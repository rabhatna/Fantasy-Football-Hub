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sheetId="1" state="visible" r:id="rId3"/>
    <sheet name="QB" sheetId="2" state="visible" r:id="rId4"/>
    <sheet name="RB" sheetId="3" state="visible" r:id="rId5"/>
    <sheet name="WR" sheetId="4" state="visible" r:id="rId6"/>
    <sheet name="TE" sheetId="5" state="visible" r:id="rId7"/>
    <sheet name="Value Board" sheetId="6" state="visible" r:id="rId8"/>
    <sheet name="Team Context" sheetId="7" state="visible" r:id="rId9"/>
    <sheet name="Raw" sheetId="8" state="visible" r:id="rId10"/>
    <sheet name="Methodology" sheetId="9" state="visible" r:id="rId11"/>
  </sheets>
  <definedNames>
    <definedName function="false" hidden="true" localSheetId="0" name="_xlnm._FilterDatabase" vbProcedure="false">Master!$A$2:$CS$252</definedName>
    <definedName function="false" hidden="true" localSheetId="1" name="_xlnm._FilterDatabase" vbProcedure="false">QB!$A$2:$BV$33</definedName>
    <definedName function="false" hidden="true" localSheetId="7" name="_xlnm._FilterDatabase" vbProcedure="false">Raw!$A$1:$HR$251</definedName>
    <definedName function="false" hidden="true" localSheetId="2" name="_xlnm._FilterDatabase" vbProcedure="false">RB!$A$2:$CJ$83</definedName>
    <definedName function="false" hidden="true" localSheetId="4" name="_xlnm._FilterDatabase" vbProcedure="false">TE!$A$2:$CH$35</definedName>
    <definedName function="false" hidden="true" localSheetId="6" name="_xlnm._FilterDatabase" vbProcedure="false">'Team Context'!$A$2:$AG$34</definedName>
    <definedName function="false" hidden="true" localSheetId="5" name="_xlnm._FilterDatabase" vbProcedure="false">'Value Board'!$A$2:$AH$252</definedName>
    <definedName function="false" hidden="true" localSheetId="3" name="_xlnm._FilterDatabase" vbProcedure="false">WR!$A$2:$CH$107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<sst xmlns="http://schemas.openxmlformats.org/spreadsheetml/2006/main" count="12209" uniqueCount="2384">
  <si>
    <t xml:space="preserve">Top 250 for 2026, full PPR. Columns marked '25 are actual 2025 production; tm_ columns describe the 2026 team. Starred shares (*) count only weeks played. See Methodology.</t>
  </si>
  <si>
    <t xml:space="preserve">Rank</t>
  </si>
  <si>
    <t xml:space="preserve">Player</t>
  </si>
  <si>
    <t xml:space="preserve">Pos</t>
  </si>
  <si>
    <t xml:space="preserve">Pos Rank</t>
  </si>
  <si>
    <t xml:space="preserve">2026 Team</t>
  </si>
  <si>
    <t xml:space="preserve">Depth Slot</t>
  </si>
  <si>
    <t xml:space="preserve">Depth #</t>
  </si>
  <si>
    <t xml:space="preserve">Age</t>
  </si>
  <si>
    <t xml:space="preserve">Exp</t>
  </si>
  <si>
    <t xml:space="preserve">Bye</t>
  </si>
  <si>
    <t xml:space="preserve">ADP</t>
  </si>
  <si>
    <t xml:space="preserve">ADP SD</t>
  </si>
  <si>
    <t xml:space="preserve">ADP Best</t>
  </si>
  <si>
    <t xml:space="preserve">ADP Worst</t>
  </si>
  <si>
    <t xml:space="preserve">ECR</t>
  </si>
  <si>
    <t xml:space="preserve">Rostered %</t>
  </si>
  <si>
    <t xml:space="preserve">'25 Team</t>
  </si>
  <si>
    <t xml:space="preserve">'25 G</t>
  </si>
  <si>
    <t xml:space="preserve">'25 PPR</t>
  </si>
  <si>
    <t xml:space="preserve">'25 PPR/G</t>
  </si>
  <si>
    <t xml:space="preserve">'25 Half PPR</t>
  </si>
  <si>
    <t xml:space="preserve">'25 Std</t>
  </si>
  <si>
    <t xml:space="preserve">'25 Pos Finish</t>
  </si>
  <si>
    <t xml:space="preserve">'25 Pts/Opp</t>
  </si>
  <si>
    <t xml:space="preserve">'25 Pts/Snap</t>
  </si>
  <si>
    <t xml:space="preserve">Floor (25th)</t>
  </si>
  <si>
    <t xml:space="preserve">Median Wk</t>
  </si>
  <si>
    <t xml:space="preserve">Ceiling (85th)</t>
  </si>
  <si>
    <t xml:space="preserve">Boom %</t>
  </si>
  <si>
    <t xml:space="preserve">Bust %</t>
  </si>
  <si>
    <t xml:space="preserve">Volatility</t>
  </si>
  <si>
    <t xml:space="preserve">Snaps</t>
  </si>
  <si>
    <t xml:space="preserve">Snap %</t>
  </si>
  <si>
    <t xml:space="preserve">Opportunities</t>
  </si>
  <si>
    <t xml:space="preserve">Tgts</t>
  </si>
  <si>
    <t xml:space="preserve">Tgts/G</t>
  </si>
  <si>
    <t xml:space="preserve">Tgt Share*</t>
  </si>
  <si>
    <t xml:space="preserve">AY Share*</t>
  </si>
  <si>
    <t xml:space="preserve">WOPR</t>
  </si>
  <si>
    <t xml:space="preserve">Rec</t>
  </si>
  <si>
    <t xml:space="preserve">Catch %</t>
  </si>
  <si>
    <t xml:space="preserve">Rec Yds</t>
  </si>
  <si>
    <t xml:space="preserve">Y/Tgt</t>
  </si>
  <si>
    <t xml:space="preserve">aDOT</t>
  </si>
  <si>
    <t xml:space="preserve">YAC/Rec</t>
  </si>
  <si>
    <t xml:space="preserve">RACR</t>
  </si>
  <si>
    <t xml:space="preserve">NGS Sep</t>
  </si>
  <si>
    <t xml:space="preserve">NGS Cushion</t>
  </si>
  <si>
    <t xml:space="preserve">YAC O/E</t>
  </si>
  <si>
    <t xml:space="preserve">Drop %</t>
  </si>
  <si>
    <t xml:space="preserve">Carries</t>
  </si>
  <si>
    <t xml:space="preserve">Car/G</t>
  </si>
  <si>
    <t xml:space="preserve">Carry Share*</t>
  </si>
  <si>
    <t xml:space="preserve">Rush Yds</t>
  </si>
  <si>
    <t xml:space="preserve">Y/Carry</t>
  </si>
  <si>
    <t xml:space="preserve">Yds B4 Contact</t>
  </si>
  <si>
    <t xml:space="preserve">Yds After Contact</t>
  </si>
  <si>
    <t xml:space="preserve">Broken Tkls</t>
  </si>
  <si>
    <t xml:space="preserve">RYOE/Att</t>
  </si>
  <si>
    <t xml:space="preserve">8+ Box %</t>
  </si>
  <si>
    <t xml:space="preserve">NGS Efficiency</t>
  </si>
  <si>
    <t xml:space="preserve">RZ Opps</t>
  </si>
  <si>
    <t xml:space="preserve">Inside 10</t>
  </si>
  <si>
    <t xml:space="preserve">Inside 5</t>
  </si>
  <si>
    <t xml:space="preserve">TDs</t>
  </si>
  <si>
    <t xml:space="preserve">Expected TDs</t>
  </si>
  <si>
    <t xml:space="preserve">TD Over Exp</t>
  </si>
  <si>
    <t xml:space="preserve">TD/Opp</t>
  </si>
  <si>
    <t xml:space="preserve">OL Overall</t>
  </si>
  <si>
    <t xml:space="preserve">OL Run Block</t>
  </si>
  <si>
    <t xml:space="preserve">OL Pass Block</t>
  </si>
  <si>
    <t xml:space="preserve">Adj Line Yds</t>
  </si>
  <si>
    <t xml:space="preserve">Stuff Rate</t>
  </si>
  <si>
    <t xml:space="preserve">Power Success</t>
  </si>
  <si>
    <t xml:space="preserve">Team YBC/Att</t>
  </si>
  <si>
    <t xml:space="preserve">Pressure Allowed</t>
  </si>
  <si>
    <t xml:space="preserve">Sack Rate Allowed</t>
  </si>
  <si>
    <t xml:space="preserve">Pocket Time</t>
  </si>
  <si>
    <t xml:space="preserve">OL Continuity</t>
  </si>
  <si>
    <t xml:space="preserve">OL Starters Back</t>
  </si>
  <si>
    <t xml:space="preserve">PROE</t>
  </si>
  <si>
    <t xml:space="preserve">Neutral Pass %</t>
  </si>
  <si>
    <t xml:space="preserve">Plays/G</t>
  </si>
  <si>
    <t xml:space="preserve">Sec/Play</t>
  </si>
  <si>
    <t xml:space="preserve">RZ Trips/G</t>
  </si>
  <si>
    <t xml:space="preserve">Team PPG</t>
  </si>
  <si>
    <t xml:space="preserve">Rush EPA/Play</t>
  </si>
  <si>
    <t xml:space="preserve">Pass EPA/Play</t>
  </si>
  <si>
    <t xml:space="preserve">Vacated Tgts</t>
  </si>
  <si>
    <t xml:space="preserve">Vacated Tgt %</t>
  </si>
  <si>
    <t xml:space="preserve">Vacated Carries</t>
  </si>
  <si>
    <t xml:space="preserve">Vacated Carry %</t>
  </si>
  <si>
    <t xml:space="preserve">Vacated RZ</t>
  </si>
  <si>
    <t xml:space="preserve">Value Score</t>
  </si>
  <si>
    <t xml:space="preserve">Value (per game)</t>
  </si>
  <si>
    <t xml:space="preserve">Verdict</t>
  </si>
  <si>
    <t xml:space="preserve">Notes</t>
  </si>
  <si>
    <t xml:space="preserve">Ja'Marr Chase</t>
  </si>
  <si>
    <t xml:space="preserve">WR</t>
  </si>
  <si>
    <t xml:space="preserve">WR1</t>
  </si>
  <si>
    <t xml:space="preserve">CIN</t>
  </si>
  <si>
    <t xml:space="preserve">Fairly priced</t>
  </si>
  <si>
    <t xml:space="preserve">Jahmyr Gibbs</t>
  </si>
  <si>
    <t xml:space="preserve">RB</t>
  </si>
  <si>
    <t xml:space="preserve">RB1</t>
  </si>
  <si>
    <t xml:space="preserve">DET</t>
  </si>
  <si>
    <t xml:space="preserve">Puka Nacua</t>
  </si>
  <si>
    <t xml:space="preserve">WR2</t>
  </si>
  <si>
    <t xml:space="preserve">LAR</t>
  </si>
  <si>
    <t xml:space="preserve">Bijan Robinson</t>
  </si>
  <si>
    <t xml:space="preserve">RB2</t>
  </si>
  <si>
    <t xml:space="preserve">ATL</t>
  </si>
  <si>
    <t xml:space="preserve">Jaxon Smith-Njigba</t>
  </si>
  <si>
    <t xml:space="preserve">WR3</t>
  </si>
  <si>
    <t xml:space="preserve">SEA</t>
  </si>
  <si>
    <t xml:space="preserve">Amon-Ra St. Brown</t>
  </si>
  <si>
    <t xml:space="preserve">WR4</t>
  </si>
  <si>
    <t xml:space="preserve">CeeDee Lamb</t>
  </si>
  <si>
    <t xml:space="preserve">WR5</t>
  </si>
  <si>
    <t xml:space="preserve">DAL</t>
  </si>
  <si>
    <t xml:space="preserve">Slight reach</t>
  </si>
  <si>
    <t xml:space="preserve">Christian McCaffrey</t>
  </si>
  <si>
    <t xml:space="preserve">RB3</t>
  </si>
  <si>
    <t xml:space="preserve">SF</t>
  </si>
  <si>
    <t xml:space="preserve">Justin Jefferson</t>
  </si>
  <si>
    <t xml:space="preserve">WR6</t>
  </si>
  <si>
    <t xml:space="preserve">MIN</t>
  </si>
  <si>
    <t xml:space="preserve">Jonathan Taylor</t>
  </si>
  <si>
    <t xml:space="preserve">RB4</t>
  </si>
  <si>
    <t xml:space="preserve">IND</t>
  </si>
  <si>
    <t xml:space="preserve">Drake London</t>
  </si>
  <si>
    <t xml:space="preserve">WR7</t>
  </si>
  <si>
    <t xml:space="preserve">A.J. Brown</t>
  </si>
  <si>
    <t xml:space="preserve">WR8</t>
  </si>
  <si>
    <t xml:space="preserve">NE</t>
  </si>
  <si>
    <t xml:space="preserve">PHI</t>
  </si>
  <si>
    <t xml:space="preserve">Nico Collins</t>
  </si>
  <si>
    <t xml:space="preserve">WR9</t>
  </si>
  <si>
    <t xml:space="preserve">HOU</t>
  </si>
  <si>
    <t xml:space="preserve">Ashton Jeanty</t>
  </si>
  <si>
    <t xml:space="preserve">RB5</t>
  </si>
  <si>
    <t xml:space="preserve">LV</t>
  </si>
  <si>
    <t xml:space="preserve">Chase Brown</t>
  </si>
  <si>
    <t xml:space="preserve">RB6</t>
  </si>
  <si>
    <t xml:space="preserve">James Cook III</t>
  </si>
  <si>
    <t xml:space="preserve">RB7</t>
  </si>
  <si>
    <t xml:space="preserve">BUF</t>
  </si>
  <si>
    <t xml:space="preserve">Trey McBride</t>
  </si>
  <si>
    <t xml:space="preserve">TE</t>
  </si>
  <si>
    <t xml:space="preserve">TE1</t>
  </si>
  <si>
    <t xml:space="preserve">ARI</t>
  </si>
  <si>
    <t xml:space="preserve">George Pickens</t>
  </si>
  <si>
    <t xml:space="preserve">WR10</t>
  </si>
  <si>
    <t xml:space="preserve">Brock Bowers</t>
  </si>
  <si>
    <t xml:space="preserve">TE2</t>
  </si>
  <si>
    <t xml:space="preserve">Chris Olave</t>
  </si>
  <si>
    <t xml:space="preserve">WR11</t>
  </si>
  <si>
    <t xml:space="preserve">NO</t>
  </si>
  <si>
    <t xml:space="preserve">De'Von Achane</t>
  </si>
  <si>
    <t xml:space="preserve">RB8</t>
  </si>
  <si>
    <t xml:space="preserve">MIA</t>
  </si>
  <si>
    <t xml:space="preserve">Rashee Rice</t>
  </si>
  <si>
    <t xml:space="preserve">WR12</t>
  </si>
  <si>
    <t xml:space="preserve">KC</t>
  </si>
  <si>
    <t xml:space="preserve">Overpriced</t>
  </si>
  <si>
    <t xml:space="preserve">DeVonta Smith</t>
  </si>
  <si>
    <t xml:space="preserve">WR13</t>
  </si>
  <si>
    <t xml:space="preserve">Omarion Hampton</t>
  </si>
  <si>
    <t xml:space="preserve">RB9</t>
  </si>
  <si>
    <t xml:space="preserve">LAC</t>
  </si>
  <si>
    <t xml:space="preserve">Josh Allen</t>
  </si>
  <si>
    <t xml:space="preserve">QB</t>
  </si>
  <si>
    <t xml:space="preserve">QB1</t>
  </si>
  <si>
    <t xml:space="preserve">Saquon Barkley</t>
  </si>
  <si>
    <t xml:space="preserve">RB10</t>
  </si>
  <si>
    <t xml:space="preserve">Malik Nabers</t>
  </si>
  <si>
    <t xml:space="preserve">WR14</t>
  </si>
  <si>
    <t xml:space="preserve">NYG</t>
  </si>
  <si>
    <t xml:space="preserve">Kenneth Walker III</t>
  </si>
  <si>
    <t xml:space="preserve">RB11</t>
  </si>
  <si>
    <t xml:space="preserve">Zay Flowers</t>
  </si>
  <si>
    <t xml:space="preserve">WR15</t>
  </si>
  <si>
    <t xml:space="preserve">BAL</t>
  </si>
  <si>
    <t xml:space="preserve">Garrett Wilson</t>
  </si>
  <si>
    <t xml:space="preserve">WR16</t>
  </si>
  <si>
    <t xml:space="preserve">NYJ</t>
  </si>
  <si>
    <t xml:space="preserve">Lamar Jackson</t>
  </si>
  <si>
    <t xml:space="preserve">QB2</t>
  </si>
  <si>
    <t xml:space="preserve">Tetairoa McMillan</t>
  </si>
  <si>
    <t xml:space="preserve">WR17</t>
  </si>
  <si>
    <t xml:space="preserve">CAR</t>
  </si>
  <si>
    <t xml:space="preserve">Tee Higgins</t>
  </si>
  <si>
    <t xml:space="preserve">WR18</t>
  </si>
  <si>
    <t xml:space="preserve">Ladd McConkey</t>
  </si>
  <si>
    <t xml:space="preserve">WR19</t>
  </si>
  <si>
    <t xml:space="preserve">Emeka Egbuka</t>
  </si>
  <si>
    <t xml:space="preserve">WR20</t>
  </si>
  <si>
    <t xml:space="preserve">TB</t>
  </si>
  <si>
    <t xml:space="preserve">Derrick Henry</t>
  </si>
  <si>
    <t xml:space="preserve">RB12</t>
  </si>
  <si>
    <t xml:space="preserve">Colston Loveland</t>
  </si>
  <si>
    <t xml:space="preserve">TE3</t>
  </si>
  <si>
    <t xml:space="preserve">CHI</t>
  </si>
  <si>
    <t xml:space="preserve">Jeremiyah Love</t>
  </si>
  <si>
    <t xml:space="preserve">RB13</t>
  </si>
  <si>
    <t xml:space="preserve">Rookie - no 2025 NFL production</t>
  </si>
  <si>
    <t xml:space="preserve">Jaylen Waddle</t>
  </si>
  <si>
    <t xml:space="preserve">WR21</t>
  </si>
  <si>
    <t xml:space="preserve">DEN</t>
  </si>
  <si>
    <t xml:space="preserve">Drake Maye</t>
  </si>
  <si>
    <t xml:space="preserve">QB3</t>
  </si>
  <si>
    <t xml:space="preserve">Breece Hall</t>
  </si>
  <si>
    <t xml:space="preserve">RB14</t>
  </si>
  <si>
    <t xml:space="preserve">Kyren Williams</t>
  </si>
  <si>
    <t xml:space="preserve">RB15</t>
  </si>
  <si>
    <t xml:space="preserve">Josh Jacobs</t>
  </si>
  <si>
    <t xml:space="preserve">RB16</t>
  </si>
  <si>
    <t xml:space="preserve">GB</t>
  </si>
  <si>
    <t xml:space="preserve">Terry McLaurin</t>
  </si>
  <si>
    <t xml:space="preserve">WR22</t>
  </si>
  <si>
    <t xml:space="preserve">WAS</t>
  </si>
  <si>
    <t xml:space="preserve">Javonte Williams</t>
  </si>
  <si>
    <t xml:space="preserve">RB17</t>
  </si>
  <si>
    <t xml:space="preserve">Joe Burrow</t>
  </si>
  <si>
    <t xml:space="preserve">QB4</t>
  </si>
  <si>
    <t xml:space="preserve">Luther Burden III</t>
  </si>
  <si>
    <t xml:space="preserve">WR23</t>
  </si>
  <si>
    <t xml:space="preserve">Jayden Daniels</t>
  </si>
  <si>
    <t xml:space="preserve">QB5</t>
  </si>
  <si>
    <t xml:space="preserve">Davante Adams</t>
  </si>
  <si>
    <t xml:space="preserve">WR24</t>
  </si>
  <si>
    <t xml:space="preserve">Slight value</t>
  </si>
  <si>
    <t xml:space="preserve">Travis Etienne Jr.</t>
  </si>
  <si>
    <t xml:space="preserve">RB18</t>
  </si>
  <si>
    <t xml:space="preserve">JAX</t>
  </si>
  <si>
    <t xml:space="preserve">DJ Moore</t>
  </si>
  <si>
    <t xml:space="preserve">WR25</t>
  </si>
  <si>
    <t xml:space="preserve">Tyler Warren</t>
  </si>
  <si>
    <t xml:space="preserve">TE4</t>
  </si>
  <si>
    <t xml:space="preserve">Mike Evans</t>
  </si>
  <si>
    <t xml:space="preserve">WR26</t>
  </si>
  <si>
    <t xml:space="preserve">Cam Skattebo</t>
  </si>
  <si>
    <t xml:space="preserve">RB19</t>
  </si>
  <si>
    <t xml:space="preserve">Jameson Williams</t>
  </si>
  <si>
    <t xml:space="preserve">WR27</t>
  </si>
  <si>
    <t xml:space="preserve">Christian Watson</t>
  </si>
  <si>
    <t xml:space="preserve">WR28</t>
  </si>
  <si>
    <t xml:space="preserve">Jalen Hurts</t>
  </si>
  <si>
    <t xml:space="preserve">QB6</t>
  </si>
  <si>
    <t xml:space="preserve">Bucky Irving</t>
  </si>
  <si>
    <t xml:space="preserve">RB20</t>
  </si>
  <si>
    <t xml:space="preserve">Rome Odunze</t>
  </si>
  <si>
    <t xml:space="preserve">WR29</t>
  </si>
  <si>
    <t xml:space="preserve">D'Andre Swift</t>
  </si>
  <si>
    <t xml:space="preserve">RB21</t>
  </si>
  <si>
    <t xml:space="preserve">Quinshon Judkins</t>
  </si>
  <si>
    <t xml:space="preserve">RB22</t>
  </si>
  <si>
    <t xml:space="preserve">CLE</t>
  </si>
  <si>
    <t xml:space="preserve">David Montgomery</t>
  </si>
  <si>
    <t xml:space="preserve">RB23</t>
  </si>
  <si>
    <t xml:space="preserve">TreVeyon Henderson</t>
  </si>
  <si>
    <t xml:space="preserve">RB24</t>
  </si>
  <si>
    <t xml:space="preserve">Carnell Tate</t>
  </si>
  <si>
    <t xml:space="preserve">WR30</t>
  </si>
  <si>
    <t xml:space="preserve">TEN</t>
  </si>
  <si>
    <t xml:space="preserve">Caleb Williams</t>
  </si>
  <si>
    <t xml:space="preserve">QB7</t>
  </si>
  <si>
    <t xml:space="preserve">Parker Washington</t>
  </si>
  <si>
    <t xml:space="preserve">WR31</t>
  </si>
  <si>
    <t xml:space="preserve">PR</t>
  </si>
  <si>
    <t xml:space="preserve">Marvin Harrison Jr.</t>
  </si>
  <si>
    <t xml:space="preserve">WR32</t>
  </si>
  <si>
    <t xml:space="preserve">Justin Herbert</t>
  </si>
  <si>
    <t xml:space="preserve">QB8</t>
  </si>
  <si>
    <t xml:space="preserve">Bhayshul Tuten</t>
  </si>
  <si>
    <t xml:space="preserve">RB25</t>
  </si>
  <si>
    <t xml:space="preserve">Tucker Kraft</t>
  </si>
  <si>
    <t xml:space="preserve">TE5</t>
  </si>
  <si>
    <t xml:space="preserve">Jadarian Price</t>
  </si>
  <si>
    <t xml:space="preserve">RB26</t>
  </si>
  <si>
    <t xml:space="preserve">KR</t>
  </si>
  <si>
    <t xml:space="preserve">Jaylen Warren</t>
  </si>
  <si>
    <t xml:space="preserve">RB27</t>
  </si>
  <si>
    <t xml:space="preserve">PIT</t>
  </si>
  <si>
    <t xml:space="preserve">Harold Fannin Jr.</t>
  </si>
  <si>
    <t xml:space="preserve">TE6</t>
  </si>
  <si>
    <t xml:space="preserve">Brian Thomas Jr.</t>
  </si>
  <si>
    <t xml:space="preserve">WR33</t>
  </si>
  <si>
    <t xml:space="preserve">DK Metcalf</t>
  </si>
  <si>
    <t xml:space="preserve">WR34</t>
  </si>
  <si>
    <t xml:space="preserve">Trevor Lawrence</t>
  </si>
  <si>
    <t xml:space="preserve">QB9</t>
  </si>
  <si>
    <t xml:space="preserve">Dak Prescott</t>
  </si>
  <si>
    <t xml:space="preserve">QB10</t>
  </si>
  <si>
    <t xml:space="preserve">Tony Pollard</t>
  </si>
  <si>
    <t xml:space="preserve">RB28</t>
  </si>
  <si>
    <t xml:space="preserve">Chris Godwin Jr.</t>
  </si>
  <si>
    <t xml:space="preserve">WR35</t>
  </si>
  <si>
    <t xml:space="preserve">Rhamondre Stevenson</t>
  </si>
  <si>
    <t xml:space="preserve">RB29</t>
  </si>
  <si>
    <t xml:space="preserve">Sam LaPorta</t>
  </si>
  <si>
    <t xml:space="preserve">TE7</t>
  </si>
  <si>
    <t xml:space="preserve">Kyle Pitts Sr.</t>
  </si>
  <si>
    <t xml:space="preserve">TE8</t>
  </si>
  <si>
    <t xml:space="preserve">Michael Pittman Jr.</t>
  </si>
  <si>
    <t xml:space="preserve">WR36</t>
  </si>
  <si>
    <t xml:space="preserve">Jordyn Tyson</t>
  </si>
  <si>
    <t xml:space="preserve">WR37</t>
  </si>
  <si>
    <t xml:space="preserve">Courtland Sutton</t>
  </si>
  <si>
    <t xml:space="preserve">WR38</t>
  </si>
  <si>
    <t xml:space="preserve">Josh Downs</t>
  </si>
  <si>
    <t xml:space="preserve">WR39</t>
  </si>
  <si>
    <t xml:space="preserve">Chuba Hubbard</t>
  </si>
  <si>
    <t xml:space="preserve">RB30</t>
  </si>
  <si>
    <t xml:space="preserve">Wan'Dale Robinson</t>
  </si>
  <si>
    <t xml:space="preserve">WR40</t>
  </si>
  <si>
    <t xml:space="preserve">Rico Dowdle</t>
  </si>
  <si>
    <t xml:space="preserve">RB31</t>
  </si>
  <si>
    <t xml:space="preserve">Michael Wilson</t>
  </si>
  <si>
    <t xml:space="preserve">WR41</t>
  </si>
  <si>
    <t xml:space="preserve">Underpriced</t>
  </si>
  <si>
    <t xml:space="preserve">Alec Pierce</t>
  </si>
  <si>
    <t xml:space="preserve">WR42</t>
  </si>
  <si>
    <t xml:space="preserve">RJ Harvey</t>
  </si>
  <si>
    <t xml:space="preserve">RB32</t>
  </si>
  <si>
    <t xml:space="preserve">Jaxson Dart</t>
  </si>
  <si>
    <t xml:space="preserve">QB11</t>
  </si>
  <si>
    <t xml:space="preserve">Brock Purdy</t>
  </si>
  <si>
    <t xml:space="preserve">QB12</t>
  </si>
  <si>
    <t xml:space="preserve">Travis Kelce</t>
  </si>
  <si>
    <t xml:space="preserve">TE9</t>
  </si>
  <si>
    <t xml:space="preserve">Patrick Mahomes II</t>
  </si>
  <si>
    <t xml:space="preserve">QB13</t>
  </si>
  <si>
    <t xml:space="preserve">Bo Nix</t>
  </si>
  <si>
    <t xml:space="preserve">QB14</t>
  </si>
  <si>
    <t xml:space="preserve">Makai Lemon</t>
  </si>
  <si>
    <t xml:space="preserve">WR43</t>
  </si>
  <si>
    <t xml:space="preserve">Kenny Gainwell</t>
  </si>
  <si>
    <t xml:space="preserve">RB33</t>
  </si>
  <si>
    <t xml:space="preserve">J.K. Dobbins</t>
  </si>
  <si>
    <t xml:space="preserve">RB34</t>
  </si>
  <si>
    <t xml:space="preserve">Jakobi Meyers</t>
  </si>
  <si>
    <t xml:space="preserve">WR44</t>
  </si>
  <si>
    <t xml:space="preserve">Quentin Johnston</t>
  </si>
  <si>
    <t xml:space="preserve">WR45</t>
  </si>
  <si>
    <t xml:space="preserve">Matthew Stafford</t>
  </si>
  <si>
    <t xml:space="preserve">QB15</t>
  </si>
  <si>
    <t xml:space="preserve">George Kittle</t>
  </si>
  <si>
    <t xml:space="preserve">TE10</t>
  </si>
  <si>
    <t xml:space="preserve">Kyle Monangai</t>
  </si>
  <si>
    <t xml:space="preserve">RB35</t>
  </si>
  <si>
    <t xml:space="preserve">Jonathon Brooks</t>
  </si>
  <si>
    <t xml:space="preserve">RB36</t>
  </si>
  <si>
    <t xml:space="preserve">No 2025 regular-season production - missed season</t>
  </si>
  <si>
    <t xml:space="preserve">Jared Goff</t>
  </si>
  <si>
    <t xml:space="preserve">QB16</t>
  </si>
  <si>
    <t xml:space="preserve">Jordan Addison</t>
  </si>
  <si>
    <t xml:space="preserve">WR46</t>
  </si>
  <si>
    <t xml:space="preserve">Rachaad White</t>
  </si>
  <si>
    <t xml:space="preserve">RB37</t>
  </si>
  <si>
    <t xml:space="preserve">Jayden Reed</t>
  </si>
  <si>
    <t xml:space="preserve">WR47</t>
  </si>
  <si>
    <t xml:space="preserve">Stefon Diggs</t>
  </si>
  <si>
    <t xml:space="preserve">WR48</t>
  </si>
  <si>
    <t xml:space="preserve">Blake Corum</t>
  </si>
  <si>
    <t xml:space="preserve">RB38</t>
  </si>
  <si>
    <t xml:space="preserve">Kyler Murray</t>
  </si>
  <si>
    <t xml:space="preserve">QB17</t>
  </si>
  <si>
    <t xml:space="preserve">Jake Ferguson</t>
  </si>
  <si>
    <t xml:space="preserve">TE11</t>
  </si>
  <si>
    <t xml:space="preserve">Aaron Jones Sr.</t>
  </si>
  <si>
    <t xml:space="preserve">RB39</t>
  </si>
  <si>
    <t xml:space="preserve">Dalton Kincaid</t>
  </si>
  <si>
    <t xml:space="preserve">TE12</t>
  </si>
  <si>
    <t xml:space="preserve">Isaiah Likely</t>
  </si>
  <si>
    <t xml:space="preserve">TE13</t>
  </si>
  <si>
    <t xml:space="preserve">Baker Mayfield</t>
  </si>
  <si>
    <t xml:space="preserve">QB18</t>
  </si>
  <si>
    <t xml:space="preserve">Jordan Love</t>
  </si>
  <si>
    <t xml:space="preserve">QB19</t>
  </si>
  <si>
    <t xml:space="preserve">Jacory Croskey-Merritt</t>
  </si>
  <si>
    <t xml:space="preserve">RB40</t>
  </si>
  <si>
    <t xml:space="preserve">Khalil Shakir</t>
  </si>
  <si>
    <t xml:space="preserve">WR49</t>
  </si>
  <si>
    <t xml:space="preserve">Dallas Goedert</t>
  </si>
  <si>
    <t xml:space="preserve">TE14</t>
  </si>
  <si>
    <t xml:space="preserve">Tyler Shough</t>
  </si>
  <si>
    <t xml:space="preserve">QB20</t>
  </si>
  <si>
    <t xml:space="preserve">Jordan Mason</t>
  </si>
  <si>
    <t xml:space="preserve">RB41</t>
  </si>
  <si>
    <t xml:space="preserve">Jayden Higgins</t>
  </si>
  <si>
    <t xml:space="preserve">WR50</t>
  </si>
  <si>
    <t xml:space="preserve">Jalen Coker</t>
  </si>
  <si>
    <t xml:space="preserve">WR51</t>
  </si>
  <si>
    <t xml:space="preserve">Xavier Worthy</t>
  </si>
  <si>
    <t xml:space="preserve">WR52</t>
  </si>
  <si>
    <t xml:space="preserve">Mark Andrews</t>
  </si>
  <si>
    <t xml:space="preserve">TE15</t>
  </si>
  <si>
    <t xml:space="preserve">Romeo Doubs</t>
  </si>
  <si>
    <t xml:space="preserve">WR53</t>
  </si>
  <si>
    <t xml:space="preserve">Malik Willis</t>
  </si>
  <si>
    <t xml:space="preserve">QB21</t>
  </si>
  <si>
    <t xml:space="preserve">Matthew Golden</t>
  </si>
  <si>
    <t xml:space="preserve">WR54</t>
  </si>
  <si>
    <t xml:space="preserve">KC Concepcion</t>
  </si>
  <si>
    <t xml:space="preserve">WR55</t>
  </si>
  <si>
    <t xml:space="preserve">Tyrone Tracy Jr.</t>
  </si>
  <si>
    <t xml:space="preserve">RB42</t>
  </si>
  <si>
    <t xml:space="preserve">Tyler Allgeier</t>
  </si>
  <si>
    <t xml:space="preserve">RB43</t>
  </si>
  <si>
    <t xml:space="preserve">Woody Marks</t>
  </si>
  <si>
    <t xml:space="preserve">RB44</t>
  </si>
  <si>
    <t xml:space="preserve">C.J. Stroud</t>
  </si>
  <si>
    <t xml:space="preserve">QB22</t>
  </si>
  <si>
    <t xml:space="preserve">Sam Darnold</t>
  </si>
  <si>
    <t xml:space="preserve">QB23</t>
  </si>
  <si>
    <t xml:space="preserve">Deebo Samuel Sr.</t>
  </si>
  <si>
    <t xml:space="preserve">WR56</t>
  </si>
  <si>
    <t xml:space="preserve">Chris Rodriguez Jr.</t>
  </si>
  <si>
    <t xml:space="preserve">RB45</t>
  </si>
  <si>
    <t xml:space="preserve">Zach Charbonnet</t>
  </si>
  <si>
    <t xml:space="preserve">RB46</t>
  </si>
  <si>
    <t xml:space="preserve">Juwan Johnson</t>
  </si>
  <si>
    <t xml:space="preserve">TE16</t>
  </si>
  <si>
    <t xml:space="preserve">Tyjae Spears</t>
  </si>
  <si>
    <t xml:space="preserve">RB47</t>
  </si>
  <si>
    <t xml:space="preserve">Rashid Shaheed</t>
  </si>
  <si>
    <t xml:space="preserve">WR57</t>
  </si>
  <si>
    <t xml:space="preserve">Alvin Kamara</t>
  </si>
  <si>
    <t xml:space="preserve">RB48</t>
  </si>
  <si>
    <t xml:space="preserve">Dylan Sampson</t>
  </si>
  <si>
    <t xml:space="preserve">RB49</t>
  </si>
  <si>
    <t xml:space="preserve">Isiah Pacheco</t>
  </si>
  <si>
    <t xml:space="preserve">RB50</t>
  </si>
  <si>
    <t xml:space="preserve">Cam Ward</t>
  </si>
  <si>
    <t xml:space="preserve">QB24</t>
  </si>
  <si>
    <t xml:space="preserve">Chig Okonkwo</t>
  </si>
  <si>
    <t xml:space="preserve">TE17</t>
  </si>
  <si>
    <t xml:space="preserve">Keaton Mitchell</t>
  </si>
  <si>
    <t xml:space="preserve">RB51</t>
  </si>
  <si>
    <t xml:space="preserve">Brenton Strange</t>
  </si>
  <si>
    <t xml:space="preserve">TE18</t>
  </si>
  <si>
    <t xml:space="preserve">Denzel Boston</t>
  </si>
  <si>
    <t xml:space="preserve">WR58</t>
  </si>
  <si>
    <t xml:space="preserve">Jauan Jennings</t>
  </si>
  <si>
    <t xml:space="preserve">WR59</t>
  </si>
  <si>
    <t xml:space="preserve">Daniel Jones</t>
  </si>
  <si>
    <t xml:space="preserve">QB25</t>
  </si>
  <si>
    <t xml:space="preserve">Jerry Jeudy</t>
  </si>
  <si>
    <t xml:space="preserve">WR60</t>
  </si>
  <si>
    <t xml:space="preserve">Jonah Coleman</t>
  </si>
  <si>
    <t xml:space="preserve">RB52</t>
  </si>
  <si>
    <t xml:space="preserve">Bryce Young</t>
  </si>
  <si>
    <t xml:space="preserve">QB26</t>
  </si>
  <si>
    <t xml:space="preserve">Hunter Henry</t>
  </si>
  <si>
    <t xml:space="preserve">TE19</t>
  </si>
  <si>
    <t xml:space="preserve">Omar Cooper Jr.</t>
  </si>
  <si>
    <t xml:space="preserve">WR61</t>
  </si>
  <si>
    <t xml:space="preserve">Tank Bigsby</t>
  </si>
  <si>
    <t xml:space="preserve">RB53</t>
  </si>
  <si>
    <t xml:space="preserve">Jalen McMillan</t>
  </si>
  <si>
    <t xml:space="preserve">WR62</t>
  </si>
  <si>
    <t xml:space="preserve">Brian Robinson Jr.</t>
  </si>
  <si>
    <t xml:space="preserve">RB54</t>
  </si>
  <si>
    <t xml:space="preserve">Adonai Mitchell</t>
  </si>
  <si>
    <t xml:space="preserve">WR63</t>
  </si>
  <si>
    <t xml:space="preserve">Tre Tucker</t>
  </si>
  <si>
    <t xml:space="preserve">WR64</t>
  </si>
  <si>
    <t xml:space="preserve">De'Zhaun Stribling</t>
  </si>
  <si>
    <t xml:space="preserve">WR65</t>
  </si>
  <si>
    <t xml:space="preserve">Travis Hunter</t>
  </si>
  <si>
    <t xml:space="preserve">WR66</t>
  </si>
  <si>
    <t xml:space="preserve">LCB</t>
  </si>
  <si>
    <t xml:space="preserve">Oronde Gadsden II</t>
  </si>
  <si>
    <t xml:space="preserve">TE20</t>
  </si>
  <si>
    <t xml:space="preserve">Dalton Schultz</t>
  </si>
  <si>
    <t xml:space="preserve">TE21</t>
  </si>
  <si>
    <t xml:space="preserve">Tre' Harris</t>
  </si>
  <si>
    <t xml:space="preserve">WR67</t>
  </si>
  <si>
    <t xml:space="preserve">Braelon Allen</t>
  </si>
  <si>
    <t xml:space="preserve">RB55</t>
  </si>
  <si>
    <t xml:space="preserve">Ryan Flournoy</t>
  </si>
  <si>
    <t xml:space="preserve">WR68</t>
  </si>
  <si>
    <t xml:space="preserve">T.J. Hockenson</t>
  </si>
  <si>
    <t xml:space="preserve">TE22</t>
  </si>
  <si>
    <t xml:space="preserve">Jalen Nailor</t>
  </si>
  <si>
    <t xml:space="preserve">WR69</t>
  </si>
  <si>
    <t xml:space="preserve">Ray Davis</t>
  </si>
  <si>
    <t xml:space="preserve">RB56</t>
  </si>
  <si>
    <t xml:space="preserve">James Conner</t>
  </si>
  <si>
    <t xml:space="preserve">RB57</t>
  </si>
  <si>
    <t xml:space="preserve">Kimani Vidal</t>
  </si>
  <si>
    <t xml:space="preserve">RB58</t>
  </si>
  <si>
    <t xml:space="preserve">Kayshon Boutte</t>
  </si>
  <si>
    <t xml:space="preserve">WR70</t>
  </si>
  <si>
    <t xml:space="preserve">Jacoby Brissett</t>
  </si>
  <si>
    <t xml:space="preserve">QB27</t>
  </si>
  <si>
    <t xml:space="preserve">Emmett Johnson</t>
  </si>
  <si>
    <t xml:space="preserve">RB59</t>
  </si>
  <si>
    <t xml:space="preserve">Malik Washington</t>
  </si>
  <si>
    <t xml:space="preserve">WR71</t>
  </si>
  <si>
    <t xml:space="preserve">Dontayvion Wicks</t>
  </si>
  <si>
    <t xml:space="preserve">WR72</t>
  </si>
  <si>
    <t xml:space="preserve">Sean Tucker</t>
  </si>
  <si>
    <t xml:space="preserve">RB60</t>
  </si>
  <si>
    <t xml:space="preserve">Greg Dulcich</t>
  </si>
  <si>
    <t xml:space="preserve">TE23</t>
  </si>
  <si>
    <t xml:space="preserve">Troy Franklin</t>
  </si>
  <si>
    <t xml:space="preserve">WR73</t>
  </si>
  <si>
    <t xml:space="preserve">Pat Bryant</t>
  </si>
  <si>
    <t xml:space="preserve">WR74</t>
  </si>
  <si>
    <t xml:space="preserve">Jaylin Noel</t>
  </si>
  <si>
    <t xml:space="preserve">WR75</t>
  </si>
  <si>
    <t xml:space="preserve">Calvin Ridley</t>
  </si>
  <si>
    <t xml:space="preserve">WR76</t>
  </si>
  <si>
    <t xml:space="preserve">Mike Washington Jr.</t>
  </si>
  <si>
    <t xml:space="preserve">RB61</t>
  </si>
  <si>
    <t xml:space="preserve">AJ Barner</t>
  </si>
  <si>
    <t xml:space="preserve">TE24</t>
  </si>
  <si>
    <t xml:space="preserve">Isaac TeSlaa</t>
  </si>
  <si>
    <t xml:space="preserve">WR77</t>
  </si>
  <si>
    <t xml:space="preserve">Emanuel Wilson</t>
  </si>
  <si>
    <t xml:space="preserve">RB62</t>
  </si>
  <si>
    <t xml:space="preserve">Darnell Mooney</t>
  </si>
  <si>
    <t xml:space="preserve">WR78</t>
  </si>
  <si>
    <t xml:space="preserve">Tank Dell</t>
  </si>
  <si>
    <t xml:space="preserve">WR79</t>
  </si>
  <si>
    <t xml:space="preserve">Nicholas Singleton</t>
  </si>
  <si>
    <t xml:space="preserve">RB63</t>
  </si>
  <si>
    <t xml:space="preserve">Kenyon Sadiq</t>
  </si>
  <si>
    <t xml:space="preserve">TE25</t>
  </si>
  <si>
    <t xml:space="preserve">Antonio Williams</t>
  </si>
  <si>
    <t xml:space="preserve">WR80</t>
  </si>
  <si>
    <t xml:space="preserve">MarShawn Lloyd</t>
  </si>
  <si>
    <t xml:space="preserve">RB64</t>
  </si>
  <si>
    <t xml:space="preserve">Rashod Bateman</t>
  </si>
  <si>
    <t xml:space="preserve">WR81</t>
  </si>
  <si>
    <t xml:space="preserve">Aaron Rodgers</t>
  </si>
  <si>
    <t xml:space="preserve">QB28</t>
  </si>
  <si>
    <t xml:space="preserve">Cooper Kupp</t>
  </si>
  <si>
    <t xml:space="preserve">WR82</t>
  </si>
  <si>
    <t xml:space="preserve">Gunnar Helm</t>
  </si>
  <si>
    <t xml:space="preserve">TE26</t>
  </si>
  <si>
    <t xml:space="preserve">Jaydon Blue</t>
  </si>
  <si>
    <t xml:space="preserve">RB65</t>
  </si>
  <si>
    <t xml:space="preserve">Geno Smith</t>
  </si>
  <si>
    <t xml:space="preserve">QB29</t>
  </si>
  <si>
    <t xml:space="preserve">Kaytron Allen</t>
  </si>
  <si>
    <t xml:space="preserve">RB66</t>
  </si>
  <si>
    <t xml:space="preserve">Zachariah Branch</t>
  </si>
  <si>
    <t xml:space="preserve">WR83</t>
  </si>
  <si>
    <t xml:space="preserve">Jaylen Wright</t>
  </si>
  <si>
    <t xml:space="preserve">RB67</t>
  </si>
  <si>
    <t xml:space="preserve">Chimere Dike</t>
  </si>
  <si>
    <t xml:space="preserve">WR84</t>
  </si>
  <si>
    <t xml:space="preserve">Terrance Ferguson</t>
  </si>
  <si>
    <t xml:space="preserve">TE27</t>
  </si>
  <si>
    <t xml:space="preserve">Germie Bernard</t>
  </si>
  <si>
    <t xml:space="preserve">WR85</t>
  </si>
  <si>
    <t xml:space="preserve">Pat Freiermuth</t>
  </si>
  <si>
    <t xml:space="preserve">TE28</t>
  </si>
  <si>
    <t xml:space="preserve">Justice Hill</t>
  </si>
  <si>
    <t xml:space="preserve">RB68</t>
  </si>
  <si>
    <t xml:space="preserve">Elic Ayomanor</t>
  </si>
  <si>
    <t xml:space="preserve">WR86</t>
  </si>
  <si>
    <t xml:space="preserve">Cade Otton</t>
  </si>
  <si>
    <t xml:space="preserve">TE29</t>
  </si>
  <si>
    <t xml:space="preserve">Ollie Gordon II</t>
  </si>
  <si>
    <t xml:space="preserve">RB69</t>
  </si>
  <si>
    <t xml:space="preserve">Jack Bech</t>
  </si>
  <si>
    <t xml:space="preserve">WR87</t>
  </si>
  <si>
    <t xml:space="preserve">Keon Coleman</t>
  </si>
  <si>
    <t xml:space="preserve">WR88</t>
  </si>
  <si>
    <t xml:space="preserve">Brandon Aiyuk</t>
  </si>
  <si>
    <t xml:space="preserve">WR89</t>
  </si>
  <si>
    <t xml:space="preserve">Isaiah Davis</t>
  </si>
  <si>
    <t xml:space="preserve">RB70</t>
  </si>
  <si>
    <t xml:space="preserve">David Njoku</t>
  </si>
  <si>
    <t xml:space="preserve">TE30</t>
  </si>
  <si>
    <t xml:space="preserve">Chris Bell</t>
  </si>
  <si>
    <t xml:space="preserve">WR90</t>
  </si>
  <si>
    <t xml:space="preserve">Cyrus Allen</t>
  </si>
  <si>
    <t xml:space="preserve">WR91</t>
  </si>
  <si>
    <t xml:space="preserve">George Holani</t>
  </si>
  <si>
    <t xml:space="preserve">RB71</t>
  </si>
  <si>
    <t xml:space="preserve">Christian Kirk</t>
  </si>
  <si>
    <t xml:space="preserve">WR92</t>
  </si>
  <si>
    <t xml:space="preserve">Ja'Kobi Lane</t>
  </si>
  <si>
    <t xml:space="preserve">WR93</t>
  </si>
  <si>
    <t xml:space="preserve">Evan Engram</t>
  </si>
  <si>
    <t xml:space="preserve">TE31</t>
  </si>
  <si>
    <t xml:space="preserve">Demond Claiborne</t>
  </si>
  <si>
    <t xml:space="preserve">RB72</t>
  </si>
  <si>
    <t xml:space="preserve">Ted Hurst III</t>
  </si>
  <si>
    <t xml:space="preserve">WR94</t>
  </si>
  <si>
    <t xml:space="preserve">Tory Horton</t>
  </si>
  <si>
    <t xml:space="preserve">WR95</t>
  </si>
  <si>
    <t xml:space="preserve">Malachi Fields</t>
  </si>
  <si>
    <t xml:space="preserve">WR96</t>
  </si>
  <si>
    <t xml:space="preserve">Ty Johnson</t>
  </si>
  <si>
    <t xml:space="preserve">RB73</t>
  </si>
  <si>
    <t xml:space="preserve">Fernando Mendoza</t>
  </si>
  <si>
    <t xml:space="preserve">QB30</t>
  </si>
  <si>
    <t xml:space="preserve">Tyreek Hill</t>
  </si>
  <si>
    <t xml:space="preserve">WR97</t>
  </si>
  <si>
    <t xml:space="preserve"> | 2026 team inferred, not on official roster file</t>
  </si>
  <si>
    <t xml:space="preserve">Caleb Douglas</t>
  </si>
  <si>
    <t xml:space="preserve">WR98</t>
  </si>
  <si>
    <t xml:space="preserve">Elijah Sarratt</t>
  </si>
  <si>
    <t xml:space="preserve">WR99</t>
  </si>
  <si>
    <t xml:space="preserve">Marvin Mims Jr.</t>
  </si>
  <si>
    <t xml:space="preserve">WR100</t>
  </si>
  <si>
    <t xml:space="preserve">Xavier Legette</t>
  </si>
  <si>
    <t xml:space="preserve">WR101</t>
  </si>
  <si>
    <t xml:space="preserve">Trey Benson</t>
  </si>
  <si>
    <t xml:space="preserve">RB74</t>
  </si>
  <si>
    <t xml:space="preserve">Colby Parkinson</t>
  </si>
  <si>
    <t xml:space="preserve">TE32</t>
  </si>
  <si>
    <t xml:space="preserve">Tua Tagovailoa</t>
  </si>
  <si>
    <t xml:space="preserve">QB31</t>
  </si>
  <si>
    <t xml:space="preserve">LeQuint Allen Jr.</t>
  </si>
  <si>
    <t xml:space="preserve">RB75</t>
  </si>
  <si>
    <t xml:space="preserve">Jordan James</t>
  </si>
  <si>
    <t xml:space="preserve">RB76</t>
  </si>
  <si>
    <t xml:space="preserve">Chris Brooks</t>
  </si>
  <si>
    <t xml:space="preserve">RB77</t>
  </si>
  <si>
    <t xml:space="preserve">DJ Giddens</t>
  </si>
  <si>
    <t xml:space="preserve">RB78</t>
  </si>
  <si>
    <t xml:space="preserve">Darius Slayton</t>
  </si>
  <si>
    <t xml:space="preserve">WR102</t>
  </si>
  <si>
    <t xml:space="preserve">Tyquan Thornton</t>
  </si>
  <si>
    <t xml:space="preserve">WR103</t>
  </si>
  <si>
    <t xml:space="preserve">Keenan Allen</t>
  </si>
  <si>
    <t xml:space="preserve">WR104</t>
  </si>
  <si>
    <t xml:space="preserve">Kaelon Black</t>
  </si>
  <si>
    <t xml:space="preserve">RB79</t>
  </si>
  <si>
    <t xml:space="preserve">Samaje Perine</t>
  </si>
  <si>
    <t xml:space="preserve">RB80</t>
  </si>
  <si>
    <t xml:space="preserve">Mike Gesicki</t>
  </si>
  <si>
    <t xml:space="preserve">TE33</t>
  </si>
  <si>
    <t xml:space="preserve">Kyle Williams</t>
  </si>
  <si>
    <t xml:space="preserve">WR105</t>
  </si>
  <si>
    <t xml:space="preserve">Kaleb Johnson</t>
  </si>
  <si>
    <t xml:space="preserve">RB81</t>
  </si>
  <si>
    <t xml:space="preserve">31 QBs. Colour scales are computed within this tab, so a shade here means 'good for a QB', not 'good overall'.</t>
  </si>
  <si>
    <t xml:space="preserve">Pass Att</t>
  </si>
  <si>
    <t xml:space="preserve">Comp</t>
  </si>
  <si>
    <t xml:space="preserve">Pass Yds</t>
  </si>
  <si>
    <t xml:space="preserve">Pass TD</t>
  </si>
  <si>
    <t xml:space="preserve">INT</t>
  </si>
  <si>
    <t xml:space="preserve">Sacked</t>
  </si>
  <si>
    <t xml:space="preserve">Pass EPA</t>
  </si>
  <si>
    <t xml:space="preserve">81 RBs. Colour scales are computed within this tab, so a shade here means 'good for a RB', not 'good overall'.</t>
  </si>
  <si>
    <t xml:space="preserve">105 WRs. Colour scales are computed within this tab, so a shade here means 'good for a WR', not 'good overall'.</t>
  </si>
  <si>
    <t xml:space="preserve">33 TEs. Colour scales are computed within this tab, so a shade here means 'good for a TE', not 'good overall'.</t>
  </si>
  <si>
    <t xml:space="preserve">Sorted by Value Score: 2025 positional production against 2026 draft price. Check Vacated Opportunity and OL Continuity before trusting a bargain.</t>
  </si>
  <si>
    <t xml:space="preserve">All 32 offences, 2025 regular season. O-line grades are 0-100 with 50 as league average. Vacated columns are 2026-roster-aware.</t>
  </si>
  <si>
    <t xml:space="preserve">Team</t>
  </si>
  <si>
    <t xml:space="preserve">Raw Line Yds</t>
  </si>
  <si>
    <t xml:space="preserve">Opp Faced (Line Yds)</t>
  </si>
  <si>
    <t xml:space="preserve">Stuff Rate (Adj)</t>
  </si>
  <si>
    <t xml:space="preserve">2nd Level Yds</t>
  </si>
  <si>
    <t xml:space="preserve">Open Field Yds</t>
  </si>
  <si>
    <t xml:space="preserve">Yds B4 Contact/Att</t>
  </si>
  <si>
    <t xml:space="preserve">Sack Rate (Adj)</t>
  </si>
  <si>
    <t xml:space="preserve">Starters Back (of 5)</t>
  </si>
  <si>
    <t xml:space="preserve">Neutral Run %</t>
  </si>
  <si>
    <t xml:space="preserve">Points/G</t>
  </si>
  <si>
    <t xml:space="preserve">Vacated RZ Touches</t>
  </si>
  <si>
    <t xml:space="preserve">fp_page</t>
  </si>
  <si>
    <t xml:space="preserve">page_type</t>
  </si>
  <si>
    <t xml:space="preserve">ecr_type</t>
  </si>
  <si>
    <t xml:space="preserve">player</t>
  </si>
  <si>
    <t xml:space="preserve">id</t>
  </si>
  <si>
    <t xml:space="preserve">position</t>
  </si>
  <si>
    <t xml:space="preserve">ecr</t>
  </si>
  <si>
    <t xml:space="preserve">sd</t>
  </si>
  <si>
    <t xml:space="preserve">best</t>
  </si>
  <si>
    <t xml:space="preserve">worst</t>
  </si>
  <si>
    <t xml:space="preserve">sportsdata_id</t>
  </si>
  <si>
    <t xml:space="preserve">player_filename</t>
  </si>
  <si>
    <t xml:space="preserve">yahoo_id</t>
  </si>
  <si>
    <t xml:space="preserve">cbs_id</t>
  </si>
  <si>
    <t xml:space="preserve">player_owned_avg</t>
  </si>
  <si>
    <t xml:space="preserve">player_owned_espn</t>
  </si>
  <si>
    <t xml:space="preserve">player_owned_yahoo</t>
  </si>
  <si>
    <t xml:space="preserve">player_image_url</t>
  </si>
  <si>
    <t xml:space="preserve">player_square_image_url</t>
  </si>
  <si>
    <t xml:space="preserve">rank_delta</t>
  </si>
  <si>
    <t xml:space="preserve">bye</t>
  </si>
  <si>
    <t xml:space="preserve">mergename</t>
  </si>
  <si>
    <t xml:space="preserve">scrape_date</t>
  </si>
  <si>
    <t xml:space="preserve">tm</t>
  </si>
  <si>
    <t xml:space="preserve">merge_name</t>
  </si>
  <si>
    <t xml:space="preserve">fp_id_num</t>
  </si>
  <si>
    <t xml:space="preserve">gsis_id</t>
  </si>
  <si>
    <t xml:space="preserve">id_match</t>
  </si>
  <si>
    <t xml:space="preserve">t_roster</t>
  </si>
  <si>
    <t xml:space="preserve">t_depth</t>
  </si>
  <si>
    <t xml:space="preserve">t_latest</t>
  </si>
  <si>
    <t xml:space="preserve">t_ecr</t>
  </si>
  <si>
    <t xml:space="preserve">team_2026</t>
  </si>
  <si>
    <t xml:space="preserve">team_source</t>
  </si>
  <si>
    <t xml:space="preserve">depth_rank_2026</t>
  </si>
  <si>
    <t xml:space="preserve">depth_slot_2026</t>
  </si>
  <si>
    <t xml:space="preserve">rank</t>
  </si>
  <si>
    <t xml:space="preserve">pos_rank</t>
  </si>
  <si>
    <t xml:space="preserve">pos_rank_label</t>
  </si>
  <si>
    <t xml:space="preserve">completions</t>
  </si>
  <si>
    <t xml:space="preserve">y25_pass_attempts</t>
  </si>
  <si>
    <t xml:space="preserve">y25_pass_yards</t>
  </si>
  <si>
    <t xml:space="preserve">y25_pass_tds</t>
  </si>
  <si>
    <t xml:space="preserve">y25_interceptions</t>
  </si>
  <si>
    <t xml:space="preserve">sacks_suffered</t>
  </si>
  <si>
    <t xml:space="preserve">passing_air_yards</t>
  </si>
  <si>
    <t xml:space="preserve">passing_first_downs</t>
  </si>
  <si>
    <t xml:space="preserve">passing_epa</t>
  </si>
  <si>
    <t xml:space="preserve">y25_carries</t>
  </si>
  <si>
    <t xml:space="preserve">y25_rush_yards</t>
  </si>
  <si>
    <t xml:space="preserve">y25_rush_tds</t>
  </si>
  <si>
    <t xml:space="preserve">rushing_first_downs</t>
  </si>
  <si>
    <t xml:space="preserve">rushing_epa</t>
  </si>
  <si>
    <t xml:space="preserve">rushing_fumbles_lost</t>
  </si>
  <si>
    <t xml:space="preserve">y25_receptions</t>
  </si>
  <si>
    <t xml:space="preserve">y25_targets</t>
  </si>
  <si>
    <t xml:space="preserve">y25_rec_yards</t>
  </si>
  <si>
    <t xml:space="preserve">y25_rec_tds</t>
  </si>
  <si>
    <t xml:space="preserve">y25_air_yards</t>
  </si>
  <si>
    <t xml:space="preserve">y25_yac</t>
  </si>
  <si>
    <t xml:space="preserve">receiving_first_downs</t>
  </si>
  <si>
    <t xml:space="preserve">receiving_epa</t>
  </si>
  <si>
    <t xml:space="preserve">receiving_fumbles_lost</t>
  </si>
  <si>
    <t xml:space="preserve">special_teams_tds</t>
  </si>
  <si>
    <t xml:space="preserve">y25_standard_total</t>
  </si>
  <si>
    <t xml:space="preserve">y25_ppr_total</t>
  </si>
  <si>
    <t xml:space="preserve">y25_games</t>
  </si>
  <si>
    <t xml:space="preserve">y25_team</t>
  </si>
  <si>
    <t xml:space="preserve">teams_2025</t>
  </si>
  <si>
    <t xml:space="preserve">y25_half_ppr_total</t>
  </si>
  <si>
    <t xml:space="preserve">y25_target_share</t>
  </si>
  <si>
    <t xml:space="preserve">y25_carry_share</t>
  </si>
  <si>
    <t xml:space="preserve">y25_air_yards_share</t>
  </si>
  <si>
    <t xml:space="preserve">y25_target_share_active</t>
  </si>
  <si>
    <t xml:space="preserve">y25_carry_share_active</t>
  </si>
  <si>
    <t xml:space="preserve">y25_air_yards_share_active</t>
  </si>
  <si>
    <t xml:space="preserve">y25_wopr</t>
  </si>
  <si>
    <t xml:space="preserve">y25_games_active</t>
  </si>
  <si>
    <t xml:space="preserve">y25_weekly_floor</t>
  </si>
  <si>
    <t xml:space="preserve">y25_weekly_ceiling</t>
  </si>
  <si>
    <t xml:space="preserve">y25_weekly_median</t>
  </si>
  <si>
    <t xml:space="preserve">y25_weekly_stdev</t>
  </si>
  <si>
    <t xml:space="preserve">boom_weeks</t>
  </si>
  <si>
    <t xml:space="preserve">bust_weeks</t>
  </si>
  <si>
    <t xml:space="preserve">y25_weeks_played</t>
  </si>
  <si>
    <t xml:space="preserve">y25_boom_rate</t>
  </si>
  <si>
    <t xml:space="preserve">y25_bust_rate</t>
  </si>
  <si>
    <t xml:space="preserve">y25_coef_variation</t>
  </si>
  <si>
    <t xml:space="preserve">rec_rz_opp</t>
  </si>
  <si>
    <t xml:space="preserve">rec_inside10</t>
  </si>
  <si>
    <t xml:space="preserve">rec_inside5</t>
  </si>
  <si>
    <t xml:space="preserve">rec_tds</t>
  </si>
  <si>
    <t xml:space="preserve">rec_xtds</t>
  </si>
  <si>
    <t xml:space="preserve">rush_rz_opp</t>
  </si>
  <si>
    <t xml:space="preserve">rush_inside10</t>
  </si>
  <si>
    <t xml:space="preserve">rush_inside5</t>
  </si>
  <si>
    <t xml:space="preserve">rush_tds</t>
  </si>
  <si>
    <t xml:space="preserve">rush_xtds</t>
  </si>
  <si>
    <t xml:space="preserve">y25_rz_opportunities</t>
  </si>
  <si>
    <t xml:space="preserve">y25_inside_10_touches</t>
  </si>
  <si>
    <t xml:space="preserve">y25_inside_5_touches</t>
  </si>
  <si>
    <t xml:space="preserve">y25_total_tds</t>
  </si>
  <si>
    <t xml:space="preserve">y25_expected_tds</t>
  </si>
  <si>
    <t xml:space="preserve">y25_td_over_expected</t>
  </si>
  <si>
    <t xml:space="preserve">ngs_separation</t>
  </si>
  <si>
    <t xml:space="preserve">ngs_cushion</t>
  </si>
  <si>
    <t xml:space="preserve">ngs_adot</t>
  </si>
  <si>
    <t xml:space="preserve">ngs_intended_air_yards_share</t>
  </si>
  <si>
    <t xml:space="preserve">ngs_yac_over_expected</t>
  </si>
  <si>
    <t xml:space="preserve">ngs_catch_pct</t>
  </si>
  <si>
    <t xml:space="preserve">ngs_rush_efficiency</t>
  </si>
  <si>
    <t xml:space="preserve">ngs_eight_plus_box_pct</t>
  </si>
  <si>
    <t xml:space="preserve">ngs_time_to_los</t>
  </si>
  <si>
    <t xml:space="preserve">ngs_ryoe</t>
  </si>
  <si>
    <t xml:space="preserve">ngs_ryoe_per_att</t>
  </si>
  <si>
    <t xml:space="preserve">ngs_rush_pct_over_expected</t>
  </si>
  <si>
    <t xml:space="preserve">pfr_id</t>
  </si>
  <si>
    <t xml:space="preserve">pfr_rush_att</t>
  </si>
  <si>
    <t xml:space="preserve">rush_broken_tackles</t>
  </si>
  <si>
    <t xml:space="preserve">rush_ybc_per_att</t>
  </si>
  <si>
    <t xml:space="preserve">rush_yac_per_att</t>
  </si>
  <si>
    <t xml:space="preserve">rush_att_per_broken</t>
  </si>
  <si>
    <t xml:space="preserve">pfr_targets</t>
  </si>
  <si>
    <t xml:space="preserve">rec_broken_tackles</t>
  </si>
  <si>
    <t xml:space="preserve">rec_drops</t>
  </si>
  <si>
    <t xml:space="preserve">rec_ybc_per_rec</t>
  </si>
  <si>
    <t xml:space="preserve">rec_yac_per_rec</t>
  </si>
  <si>
    <t xml:space="preserve">rec_adot</t>
  </si>
  <si>
    <t xml:space="preserve">rec_drop_pct</t>
  </si>
  <si>
    <t xml:space="preserve">y25_snaps</t>
  </si>
  <si>
    <t xml:space="preserve">y25_snap_pct</t>
  </si>
  <si>
    <t xml:space="preserve">snap_games</t>
  </si>
  <si>
    <t xml:space="preserve">birth_date</t>
  </si>
  <si>
    <t xml:space="preserve">draft_year</t>
  </si>
  <si>
    <t xml:space="preserve">draft_round</t>
  </si>
  <si>
    <t xml:space="preserve">draft_pick</t>
  </si>
  <si>
    <t xml:space="preserve">rookie_season</t>
  </si>
  <si>
    <t xml:space="preserve">last_season</t>
  </si>
  <si>
    <t xml:space="preserve">years_of_experience</t>
  </si>
  <si>
    <t xml:space="preserve">height</t>
  </si>
  <si>
    <t xml:space="preserve">weight</t>
  </si>
  <si>
    <t xml:space="preserve">college_name</t>
  </si>
  <si>
    <t xml:space="preserve">age</t>
  </si>
  <si>
    <t xml:space="preserve">is_rookie</t>
  </si>
  <si>
    <t xml:space="preserve">tm_rush_att</t>
  </si>
  <si>
    <t xml:space="preserve">tm_raw_aly</t>
  </si>
  <si>
    <t xml:space="preserve">tm_stuff_rate</t>
  </si>
  <si>
    <t xml:space="preserve">tm_second_level_yards</t>
  </si>
  <si>
    <t xml:space="preserve">tm_open_field_yards</t>
  </si>
  <si>
    <t xml:space="preserve">tm_power_att</t>
  </si>
  <si>
    <t xml:space="preserve">tm_power_conv</t>
  </si>
  <si>
    <t xml:space="preserve">tm_ypc</t>
  </si>
  <si>
    <t xml:space="preserve">tm_power_success</t>
  </si>
  <si>
    <t xml:space="preserve">tm_opp_faced_aly</t>
  </si>
  <si>
    <t xml:space="preserve">tm_adjusted_line_yards</t>
  </si>
  <si>
    <t xml:space="preserve">tm_stuff_rate_adj</t>
  </si>
  <si>
    <t xml:space="preserve">tm_ybc_per_att</t>
  </si>
  <si>
    <t xml:space="preserve">tm_yac_per_att</t>
  </si>
  <si>
    <t xml:space="preserve">tm_broken_tackles</t>
  </si>
  <si>
    <t xml:space="preserve">tm_dropbacks</t>
  </si>
  <si>
    <t xml:space="preserve">tm_sack_rate_allowed</t>
  </si>
  <si>
    <t xml:space="preserve">tm_sack_rate_adj</t>
  </si>
  <si>
    <t xml:space="preserve">tm_pressure_rate_allowed</t>
  </si>
  <si>
    <t xml:space="preserve">tm_avg_pocket_time</t>
  </si>
  <si>
    <t xml:space="preserve">tm_plays</t>
  </si>
  <si>
    <t xml:space="preserve">tm_pass_rate</t>
  </si>
  <si>
    <t xml:space="preserve">tm_games</t>
  </si>
  <si>
    <t xml:space="preserve">tm_plays_per_game</t>
  </si>
  <si>
    <t xml:space="preserve">tm_neutral_pass_rate</t>
  </si>
  <si>
    <t xml:space="preserve">tm_neutral_run_rate</t>
  </si>
  <si>
    <t xml:space="preserve">tm_proe</t>
  </si>
  <si>
    <t xml:space="preserve">tm_rush_epa_per_play</t>
  </si>
  <si>
    <t xml:space="preserve">tm_pass_epa_per_play</t>
  </si>
  <si>
    <t xml:space="preserve">tm_sec_per_play</t>
  </si>
  <si>
    <t xml:space="preserve">tm_rz_trips</t>
  </si>
  <si>
    <t xml:space="preserve">tm_rz_trips_per_game</t>
  </si>
  <si>
    <t xml:space="preserve">tm_points_per_game</t>
  </si>
  <si>
    <t xml:space="preserve">tm_ol_snaps_2025</t>
  </si>
  <si>
    <t xml:space="preserve">tm_ol_snaps_returning</t>
  </si>
  <si>
    <t xml:space="preserve">tm_ol_continuity_pct</t>
  </si>
  <si>
    <t xml:space="preserve">tm_proj_starters</t>
  </si>
  <si>
    <t xml:space="preserve">tm_returning_starters</t>
  </si>
  <si>
    <t xml:space="preserve">tm__z_run_partial</t>
  </si>
  <si>
    <t xml:space="preserve">tm_ol_run_block_grade</t>
  </si>
  <si>
    <t xml:space="preserve">tm_ol_pass_block_grade</t>
  </si>
  <si>
    <t xml:space="preserve">tm_ol_overall_grade</t>
  </si>
  <si>
    <t xml:space="preserve">tm_team_targets_2025</t>
  </si>
  <si>
    <t xml:space="preserve">tm_team_carries_2025</t>
  </si>
  <si>
    <t xml:space="preserve">tm_vacated_targets</t>
  </si>
  <si>
    <t xml:space="preserve">tm_vacated_carries</t>
  </si>
  <si>
    <t xml:space="preserve">tm_team_rz_touches_2025</t>
  </si>
  <si>
    <t xml:space="preserve">tm_vacated_rz_touches</t>
  </si>
  <si>
    <t xml:space="preserve">tm_vacated_target_pct</t>
  </si>
  <si>
    <t xml:space="preserve">tm_vacated_carry_pct</t>
  </si>
  <si>
    <t xml:space="preserve">tm_vacated_rz_pct</t>
  </si>
  <si>
    <t xml:space="preserve">y25_ppr_ppg</t>
  </si>
  <si>
    <t xml:space="preserve">y25_half_ppr_ppg</t>
  </si>
  <si>
    <t xml:space="preserve">y25_standard_ppg</t>
  </si>
  <si>
    <t xml:space="preserve">y25_targets_per_game</t>
  </si>
  <si>
    <t xml:space="preserve">y25_carries_per_game</t>
  </si>
  <si>
    <t xml:space="preserve">y25_opportunities</t>
  </si>
  <si>
    <t xml:space="preserve">y25_points_per_opportunity</t>
  </si>
  <si>
    <t xml:space="preserve">y25_points_per_snap</t>
  </si>
  <si>
    <t xml:space="preserve">y25_yards_per_target</t>
  </si>
  <si>
    <t xml:space="preserve">y25_yards_per_reception</t>
  </si>
  <si>
    <t xml:space="preserve">y25_catch_rate</t>
  </si>
  <si>
    <t xml:space="preserve">y25_yards_per_carry</t>
  </si>
  <si>
    <t xml:space="preserve">y25_adot</t>
  </si>
  <si>
    <t xml:space="preserve">y25_yac_per_rec</t>
  </si>
  <si>
    <t xml:space="preserve">y25_racr</t>
  </si>
  <si>
    <t xml:space="preserve">y25_td_rate_per_opp</t>
  </si>
  <si>
    <t xml:space="preserve">y25_rush_epa_per_att</t>
  </si>
  <si>
    <t xml:space="preserve">y25_rec_epa_per_target</t>
  </si>
  <si>
    <t xml:space="preserve">notes</t>
  </si>
  <si>
    <t xml:space="preserve">adp</t>
  </si>
  <si>
    <t xml:space="preserve">adp_stdev</t>
  </si>
  <si>
    <t xml:space="preserve">adp_best</t>
  </si>
  <si>
    <t xml:space="preserve">adp_worst</t>
  </si>
  <si>
    <t xml:space="preserve">adp_source</t>
  </si>
  <si>
    <t xml:space="preserve">adp_vs_ecr_gap</t>
  </si>
  <si>
    <t xml:space="preserve">y25_pos_finish</t>
  </si>
  <si>
    <t xml:space="preserve">y26_adp_pos_rank</t>
  </si>
  <si>
    <t xml:space="preserve">value_score</t>
  </si>
  <si>
    <t xml:space="preserve">y25_ppg_pos_finish</t>
  </si>
  <si>
    <t xml:space="preserve">value_score_ppg</t>
  </si>
  <si>
    <t xml:space="preserve">market_verdict</t>
  </si>
  <si>
    <t xml:space="preserve">/nfl/rankings/ppr-cheatsheets.php</t>
  </si>
  <si>
    <t xml:space="preserve">redraft-overall</t>
  </si>
  <si>
    <t xml:space="preserve">ro</t>
  </si>
  <si>
    <t xml:space="preserve">jamarr-chase.php</t>
  </si>
  <si>
    <t xml:space="preserve">JaMarr Chase</t>
  </si>
  <si>
    <t xml:space="preserve">2026-08-14</t>
  </si>
  <si>
    <t xml:space="preserve">jamarr chase</t>
  </si>
  <si>
    <t xml:space="preserve">00-0036900</t>
  </si>
  <si>
    <t xml:space="preserve">fp_id</t>
  </si>
  <si>
    <t xml:space="preserve">roster_2026</t>
  </si>
  <si>
    <t xml:space="preserve">ChasJa00</t>
  </si>
  <si>
    <t xml:space="preserve">2000-03-01</t>
  </si>
  <si>
    <t xml:space="preserve">LSU</t>
  </si>
  <si>
    <t xml:space="preserve">fantasypros_ecr</t>
  </si>
  <si>
    <t xml:space="preserve">jahmyr-gibbs.php</t>
  </si>
  <si>
    <t xml:space="preserve">jahmyr gibbs</t>
  </si>
  <si>
    <t xml:space="preserve">00-0039139</t>
  </si>
  <si>
    <t xml:space="preserve">GibbJa01</t>
  </si>
  <si>
    <t xml:space="preserve">2002-03-20</t>
  </si>
  <si>
    <t xml:space="preserve">Alabama; Georgia Tech</t>
  </si>
  <si>
    <t xml:space="preserve">puka-nacua.php</t>
  </si>
  <si>
    <t xml:space="preserve">puka nacua</t>
  </si>
  <si>
    <t xml:space="preserve">00-0039075</t>
  </si>
  <si>
    <t xml:space="preserve">NacuPu00</t>
  </si>
  <si>
    <t xml:space="preserve">2001-05-29</t>
  </si>
  <si>
    <t xml:space="preserve">BYU; Washington</t>
  </si>
  <si>
    <t xml:space="preserve">bijan-robinson.php</t>
  </si>
  <si>
    <t xml:space="preserve">bijan robinson</t>
  </si>
  <si>
    <t xml:space="preserve">00-0038542</t>
  </si>
  <si>
    <t xml:space="preserve">RobiBi01</t>
  </si>
  <si>
    <t xml:space="preserve">2002-01-30</t>
  </si>
  <si>
    <t xml:space="preserve">Texas</t>
  </si>
  <si>
    <t xml:space="preserve">jaxon-smith-njigba.php</t>
  </si>
  <si>
    <t xml:space="preserve">jaxon smith njigba</t>
  </si>
  <si>
    <t xml:space="preserve">00-0038543</t>
  </si>
  <si>
    <t xml:space="preserve">SmitJa06</t>
  </si>
  <si>
    <t xml:space="preserve">2002-02-14</t>
  </si>
  <si>
    <t xml:space="preserve">Ohio State</t>
  </si>
  <si>
    <t xml:space="preserve">amonra-stbrown.php</t>
  </si>
  <si>
    <t xml:space="preserve">Amon-Ra St Brown</t>
  </si>
  <si>
    <t xml:space="preserve">amon ra st brown</t>
  </si>
  <si>
    <t xml:space="preserve">00-0036963</t>
  </si>
  <si>
    <t xml:space="preserve">StxxAm00</t>
  </si>
  <si>
    <t xml:space="preserve">1999-10-24</t>
  </si>
  <si>
    <t xml:space="preserve">USC</t>
  </si>
  <si>
    <t xml:space="preserve">ceedee-lamb.php</t>
  </si>
  <si>
    <t xml:space="preserve">ceedee lamb</t>
  </si>
  <si>
    <t xml:space="preserve">00-0036358</t>
  </si>
  <si>
    <t xml:space="preserve">LambCe00</t>
  </si>
  <si>
    <t xml:space="preserve">1999-04-08</t>
  </si>
  <si>
    <t xml:space="preserve">Oklahoma</t>
  </si>
  <si>
    <t xml:space="preserve">christian-mccaffrey.php</t>
  </si>
  <si>
    <t xml:space="preserve">SFO</t>
  </si>
  <si>
    <t xml:space="preserve">christian mccaffrey</t>
  </si>
  <si>
    <t xml:space="preserve">00-0033280</t>
  </si>
  <si>
    <t xml:space="preserve">McCaCh01</t>
  </si>
  <si>
    <t xml:space="preserve">1996-06-07</t>
  </si>
  <si>
    <t xml:space="preserve">Stanford</t>
  </si>
  <si>
    <t xml:space="preserve">justin-jefferson.php</t>
  </si>
  <si>
    <t xml:space="preserve">justin jefferson</t>
  </si>
  <si>
    <t xml:space="preserve">00-0036322</t>
  </si>
  <si>
    <t xml:space="preserve">JeffJu00</t>
  </si>
  <si>
    <t xml:space="preserve">1999-06-16</t>
  </si>
  <si>
    <t xml:space="preserve">jonathan-taylor.php</t>
  </si>
  <si>
    <t xml:space="preserve">jonathan taylor</t>
  </si>
  <si>
    <t xml:space="preserve">00-0036223</t>
  </si>
  <si>
    <t xml:space="preserve">TaylJo02</t>
  </si>
  <si>
    <t xml:space="preserve">1999-01-19</t>
  </si>
  <si>
    <t xml:space="preserve">Wisconsin</t>
  </si>
  <si>
    <t xml:space="preserve">drake-london.php</t>
  </si>
  <si>
    <t xml:space="preserve">drake london</t>
  </si>
  <si>
    <t xml:space="preserve">00-0037238</t>
  </si>
  <si>
    <t xml:space="preserve">LondDr00</t>
  </si>
  <si>
    <t xml:space="preserve">2001-07-24</t>
  </si>
  <si>
    <t xml:space="preserve">aj-brown.php</t>
  </si>
  <si>
    <t xml:space="preserve">AJ Brown</t>
  </si>
  <si>
    <t xml:space="preserve">NEP</t>
  </si>
  <si>
    <t xml:space="preserve">a j brown</t>
  </si>
  <si>
    <t xml:space="preserve">00-0035676</t>
  </si>
  <si>
    <t xml:space="preserve">BrowAJ00</t>
  </si>
  <si>
    <t xml:space="preserve">1997-06-30</t>
  </si>
  <si>
    <t xml:space="preserve">Mississippi</t>
  </si>
  <si>
    <t xml:space="preserve">nico-collins.php</t>
  </si>
  <si>
    <t xml:space="preserve">nico collins</t>
  </si>
  <si>
    <t xml:space="preserve">00-0036554</t>
  </si>
  <si>
    <t xml:space="preserve">CollNi00</t>
  </si>
  <si>
    <t xml:space="preserve">1999-03-19</t>
  </si>
  <si>
    <t xml:space="preserve">Michigan</t>
  </si>
  <si>
    <t xml:space="preserve">ashton-jeanty.php</t>
  </si>
  <si>
    <t xml:space="preserve">LVR</t>
  </si>
  <si>
    <t xml:space="preserve">ashton jeanty</t>
  </si>
  <si>
    <t xml:space="preserve">00-0040122</t>
  </si>
  <si>
    <t xml:space="preserve">JeanAs00</t>
  </si>
  <si>
    <t xml:space="preserve">2003-12-02</t>
  </si>
  <si>
    <t xml:space="preserve">Boise State</t>
  </si>
  <si>
    <t xml:space="preserve">chase-brown.php</t>
  </si>
  <si>
    <t xml:space="preserve">chase brown</t>
  </si>
  <si>
    <t xml:space="preserve">00-0038597</t>
  </si>
  <si>
    <t xml:space="preserve">BrowCh10</t>
  </si>
  <si>
    <t xml:space="preserve">2000-03-21</t>
  </si>
  <si>
    <t xml:space="preserve">Illinois; Western Michigan</t>
  </si>
  <si>
    <t xml:space="preserve">james-cook.php</t>
  </si>
  <si>
    <t xml:space="preserve">James Cook</t>
  </si>
  <si>
    <t xml:space="preserve">james cook</t>
  </si>
  <si>
    <t xml:space="preserve">00-0037248</t>
  </si>
  <si>
    <t xml:space="preserve">CookJa01</t>
  </si>
  <si>
    <t xml:space="preserve">1999-09-25</t>
  </si>
  <si>
    <t xml:space="preserve">Georgia</t>
  </si>
  <si>
    <t xml:space="preserve">trey-mcbride.php</t>
  </si>
  <si>
    <t xml:space="preserve">trey mcbride</t>
  </si>
  <si>
    <t xml:space="preserve">00-0037744</t>
  </si>
  <si>
    <t xml:space="preserve">McBrTr01</t>
  </si>
  <si>
    <t xml:space="preserve">1999-11-22</t>
  </si>
  <si>
    <t xml:space="preserve">Colorado State</t>
  </si>
  <si>
    <t xml:space="preserve">george-pickens.php</t>
  </si>
  <si>
    <t xml:space="preserve">george pickens</t>
  </si>
  <si>
    <t xml:space="preserve">00-0037247</t>
  </si>
  <si>
    <t xml:space="preserve">PickGe00</t>
  </si>
  <si>
    <t xml:space="preserve">2001-03-04</t>
  </si>
  <si>
    <t xml:space="preserve">brock-bowers.php</t>
  </si>
  <si>
    <t xml:space="preserve">brock bowers</t>
  </si>
  <si>
    <t xml:space="preserve">00-0039338</t>
  </si>
  <si>
    <t xml:space="preserve">BoweBr01</t>
  </si>
  <si>
    <t xml:space="preserve">2002-12-13</t>
  </si>
  <si>
    <t xml:space="preserve">chris-olave.php</t>
  </si>
  <si>
    <t xml:space="preserve">NOS</t>
  </si>
  <si>
    <t xml:space="preserve">chris olave</t>
  </si>
  <si>
    <t xml:space="preserve">00-0037239</t>
  </si>
  <si>
    <t xml:space="preserve">OlavCh00</t>
  </si>
  <si>
    <t xml:space="preserve">2000-06-27</t>
  </si>
  <si>
    <t xml:space="preserve">devon-achane.php</t>
  </si>
  <si>
    <t xml:space="preserve">DeVon Achane</t>
  </si>
  <si>
    <t xml:space="preserve">devon achane</t>
  </si>
  <si>
    <t xml:space="preserve">00-0039040</t>
  </si>
  <si>
    <t xml:space="preserve">AchaDe00</t>
  </si>
  <si>
    <t xml:space="preserve">2001-10-13</t>
  </si>
  <si>
    <t xml:space="preserve">Texas A&amp;M</t>
  </si>
  <si>
    <t xml:space="preserve">rashee-rice.php</t>
  </si>
  <si>
    <t xml:space="preserve">KCC</t>
  </si>
  <si>
    <t xml:space="preserve">rashee rice</t>
  </si>
  <si>
    <t xml:space="preserve">00-0039067</t>
  </si>
  <si>
    <t xml:space="preserve">RiceRa01</t>
  </si>
  <si>
    <t xml:space="preserve">2000-04-22</t>
  </si>
  <si>
    <t xml:space="preserve">SMU</t>
  </si>
  <si>
    <t xml:space="preserve">devonta-smith.php</t>
  </si>
  <si>
    <t xml:space="preserve">devonta smith</t>
  </si>
  <si>
    <t xml:space="preserve">00-0036912</t>
  </si>
  <si>
    <t xml:space="preserve">SmitDe07</t>
  </si>
  <si>
    <t xml:space="preserve">1998-11-14</t>
  </si>
  <si>
    <t xml:space="preserve">Alabama</t>
  </si>
  <si>
    <t xml:space="preserve">omarion-hampton.php</t>
  </si>
  <si>
    <t xml:space="preserve">omarion hampton</t>
  </si>
  <si>
    <t xml:space="preserve">00-0040666</t>
  </si>
  <si>
    <t xml:space="preserve">HampOm00</t>
  </si>
  <si>
    <t xml:space="preserve">2003-03-16</t>
  </si>
  <si>
    <t xml:space="preserve">North Carolina</t>
  </si>
  <si>
    <t xml:space="preserve">josh-allen-qb.php</t>
  </si>
  <si>
    <t xml:space="preserve">josh allen</t>
  </si>
  <si>
    <t xml:space="preserve">00-0034857</t>
  </si>
  <si>
    <t xml:space="preserve">AlleJo02</t>
  </si>
  <si>
    <t xml:space="preserve">1996-05-21</t>
  </si>
  <si>
    <t xml:space="preserve">Wyoming; Reedley</t>
  </si>
  <si>
    <t xml:space="preserve">saquon-barkley.php</t>
  </si>
  <si>
    <t xml:space="preserve">saquon barkley</t>
  </si>
  <si>
    <t xml:space="preserve">00-0034844</t>
  </si>
  <si>
    <t xml:space="preserve">BarkSa00</t>
  </si>
  <si>
    <t xml:space="preserve">1997-02-09</t>
  </si>
  <si>
    <t xml:space="preserve">Penn State</t>
  </si>
  <si>
    <t xml:space="preserve">malik-nabers.php</t>
  </si>
  <si>
    <t xml:space="preserve">malik nabers</t>
  </si>
  <si>
    <t xml:space="preserve">00-0039337</t>
  </si>
  <si>
    <t xml:space="preserve">NabeMa00</t>
  </si>
  <si>
    <t xml:space="preserve">2003-07-28</t>
  </si>
  <si>
    <t xml:space="preserve">kenneth-walker-rb.php</t>
  </si>
  <si>
    <t xml:space="preserve">Kenneth Walker</t>
  </si>
  <si>
    <t xml:space="preserve">kenneth walker</t>
  </si>
  <si>
    <t xml:space="preserve">00-0038134</t>
  </si>
  <si>
    <t xml:space="preserve">WalkKe00</t>
  </si>
  <si>
    <t xml:space="preserve">2000-10-20</t>
  </si>
  <si>
    <t xml:space="preserve">Michigan State; Wake Forest</t>
  </si>
  <si>
    <t xml:space="preserve">zay-flowers.php</t>
  </si>
  <si>
    <t xml:space="preserve">zay flowers</t>
  </si>
  <si>
    <t xml:space="preserve">00-0039064</t>
  </si>
  <si>
    <t xml:space="preserve">FlowZa00</t>
  </si>
  <si>
    <t xml:space="preserve">2000-09-11</t>
  </si>
  <si>
    <t xml:space="preserve">Boston College</t>
  </si>
  <si>
    <t xml:space="preserve">garrett-wilson.php</t>
  </si>
  <si>
    <t xml:space="preserve">garrett wilson</t>
  </si>
  <si>
    <t xml:space="preserve">00-0037740</t>
  </si>
  <si>
    <t xml:space="preserve">WilsGa00</t>
  </si>
  <si>
    <t xml:space="preserve">2000-07-22</t>
  </si>
  <si>
    <t xml:space="preserve">lamar-jackson.php</t>
  </si>
  <si>
    <t xml:space="preserve">lamar jackson</t>
  </si>
  <si>
    <t xml:space="preserve">00-0034796</t>
  </si>
  <si>
    <t xml:space="preserve">JackLa00</t>
  </si>
  <si>
    <t xml:space="preserve">1997-01-07</t>
  </si>
  <si>
    <t xml:space="preserve">Louisville</t>
  </si>
  <si>
    <t xml:space="preserve">tetairoa-mcmillan.php</t>
  </si>
  <si>
    <t xml:space="preserve">tetairoa mcmillan</t>
  </si>
  <si>
    <t xml:space="preserve">00-0040124</t>
  </si>
  <si>
    <t xml:space="preserve">McMiTe00</t>
  </si>
  <si>
    <t xml:space="preserve">2003-04-05</t>
  </si>
  <si>
    <t xml:space="preserve">Arizona</t>
  </si>
  <si>
    <t xml:space="preserve">tee-higgins.php</t>
  </si>
  <si>
    <t xml:space="preserve">tee higgins</t>
  </si>
  <si>
    <t xml:space="preserve">00-0036410</t>
  </si>
  <si>
    <t xml:space="preserve">HiggTe00</t>
  </si>
  <si>
    <t xml:space="preserve">1999-01-18</t>
  </si>
  <si>
    <t xml:space="preserve">Clemson</t>
  </si>
  <si>
    <t xml:space="preserve">ladd-mcconkey.php</t>
  </si>
  <si>
    <t xml:space="preserve">ladd mcconkey</t>
  </si>
  <si>
    <t xml:space="preserve">00-0039915</t>
  </si>
  <si>
    <t xml:space="preserve">McCoLa00</t>
  </si>
  <si>
    <t xml:space="preserve">2001-11-11</t>
  </si>
  <si>
    <t xml:space="preserve">emeka-egbuka.php</t>
  </si>
  <si>
    <t xml:space="preserve">TBB</t>
  </si>
  <si>
    <t xml:space="preserve">emeka egbuka</t>
  </si>
  <si>
    <t xml:space="preserve">00-0040129</t>
  </si>
  <si>
    <t xml:space="preserve">EgbuEm01</t>
  </si>
  <si>
    <t xml:space="preserve">2002-10-14</t>
  </si>
  <si>
    <t xml:space="preserve">derrick-henry.php</t>
  </si>
  <si>
    <t xml:space="preserve">derrick henry</t>
  </si>
  <si>
    <t xml:space="preserve">00-0032764</t>
  </si>
  <si>
    <t xml:space="preserve">HenrDe00</t>
  </si>
  <si>
    <t xml:space="preserve">1994-01-04</t>
  </si>
  <si>
    <t xml:space="preserve">colston-loveland.php</t>
  </si>
  <si>
    <t xml:space="preserve">colston loveland</t>
  </si>
  <si>
    <t xml:space="preserve">00-0040126</t>
  </si>
  <si>
    <t xml:space="preserve">LoveCo00</t>
  </si>
  <si>
    <t xml:space="preserve">2004-04-09</t>
  </si>
  <si>
    <t xml:space="preserve">jeremiyah-love.php</t>
  </si>
  <si>
    <t xml:space="preserve">jeremiyah love</t>
  </si>
  <si>
    <t xml:space="preserve">00-0041027</t>
  </si>
  <si>
    <t xml:space="preserve">2005-05-31</t>
  </si>
  <si>
    <t xml:space="preserve">Notre Dame</t>
  </si>
  <si>
    <t xml:space="preserve">jaylen-waddle.php</t>
  </si>
  <si>
    <t xml:space="preserve">jaylen waddle</t>
  </si>
  <si>
    <t xml:space="preserve">00-0036613</t>
  </si>
  <si>
    <t xml:space="preserve">WaddJa00</t>
  </si>
  <si>
    <t xml:space="preserve">1998-11-25</t>
  </si>
  <si>
    <t xml:space="preserve">drake-maye.php</t>
  </si>
  <si>
    <t xml:space="preserve">drake maye</t>
  </si>
  <si>
    <t xml:space="preserve">00-0039851</t>
  </si>
  <si>
    <t xml:space="preserve">MayeDr00</t>
  </si>
  <si>
    <t xml:space="preserve">2002-08-30</t>
  </si>
  <si>
    <t xml:space="preserve">breece-hall.php</t>
  </si>
  <si>
    <t xml:space="preserve">breece hall</t>
  </si>
  <si>
    <t xml:space="preserve">00-0038120</t>
  </si>
  <si>
    <t xml:space="preserve">HallBr03</t>
  </si>
  <si>
    <t xml:space="preserve">2001-05-31</t>
  </si>
  <si>
    <t xml:space="preserve">Iowa State</t>
  </si>
  <si>
    <t xml:space="preserve">kyren-williams.php</t>
  </si>
  <si>
    <t xml:space="preserve">kyren williams</t>
  </si>
  <si>
    <t xml:space="preserve">00-0037840</t>
  </si>
  <si>
    <t xml:space="preserve">WillKy02</t>
  </si>
  <si>
    <t xml:space="preserve">2000-08-26</t>
  </si>
  <si>
    <t xml:space="preserve">josh-jacobs.php</t>
  </si>
  <si>
    <t xml:space="preserve">GBP</t>
  </si>
  <si>
    <t xml:space="preserve">josh jacobs</t>
  </si>
  <si>
    <t xml:space="preserve">00-0035700</t>
  </si>
  <si>
    <t xml:space="preserve">JacoJo01</t>
  </si>
  <si>
    <t xml:space="preserve">1998-02-11</t>
  </si>
  <si>
    <t xml:space="preserve">terry-mclaurin.php</t>
  </si>
  <si>
    <t xml:space="preserve">terry mclaurin</t>
  </si>
  <si>
    <t xml:space="preserve">00-0035659</t>
  </si>
  <si>
    <t xml:space="preserve">McLaTe00</t>
  </si>
  <si>
    <t xml:space="preserve">1995-09-15</t>
  </si>
  <si>
    <t xml:space="preserve">javonte-williams.php</t>
  </si>
  <si>
    <t xml:space="preserve">javonte williams</t>
  </si>
  <si>
    <t xml:space="preserve">00-0036997</t>
  </si>
  <si>
    <t xml:space="preserve">WillJa10</t>
  </si>
  <si>
    <t xml:space="preserve">2000-04-25</t>
  </si>
  <si>
    <t xml:space="preserve">joe-burrow.php</t>
  </si>
  <si>
    <t xml:space="preserve">joe burrow</t>
  </si>
  <si>
    <t xml:space="preserve">00-0036442</t>
  </si>
  <si>
    <t xml:space="preserve">BurrJo01</t>
  </si>
  <si>
    <t xml:space="preserve">1996-12-10</t>
  </si>
  <si>
    <t xml:space="preserve">LSU; Ohio State</t>
  </si>
  <si>
    <t xml:space="preserve">luther-burden-iii.php</t>
  </si>
  <si>
    <t xml:space="preserve">Luther Burden</t>
  </si>
  <si>
    <t xml:space="preserve">luther burden</t>
  </si>
  <si>
    <t xml:space="preserve">00-0040735</t>
  </si>
  <si>
    <t xml:space="preserve">BurdLu00</t>
  </si>
  <si>
    <t xml:space="preserve">2003-12-12</t>
  </si>
  <si>
    <t xml:space="preserve">Missouri</t>
  </si>
  <si>
    <t xml:space="preserve">jayden-daniels.php</t>
  </si>
  <si>
    <t xml:space="preserve">jayden daniels</t>
  </si>
  <si>
    <t xml:space="preserve">00-0039910</t>
  </si>
  <si>
    <t xml:space="preserve">DaniJa02</t>
  </si>
  <si>
    <t xml:space="preserve">2000-12-18</t>
  </si>
  <si>
    <t xml:space="preserve">LSU; Arizona State</t>
  </si>
  <si>
    <t xml:space="preserve">davante-adams.php</t>
  </si>
  <si>
    <t xml:space="preserve">davante adams</t>
  </si>
  <si>
    <t xml:space="preserve">00-0031381</t>
  </si>
  <si>
    <t xml:space="preserve">AdamDa01</t>
  </si>
  <si>
    <t xml:space="preserve">1992-12-24</t>
  </si>
  <si>
    <t xml:space="preserve">Fresno State</t>
  </si>
  <si>
    <t xml:space="preserve">travis-etienne.php</t>
  </si>
  <si>
    <t xml:space="preserve">Travis Etienne</t>
  </si>
  <si>
    <t xml:space="preserve">travis etienne</t>
  </si>
  <si>
    <t xml:space="preserve">00-0036973</t>
  </si>
  <si>
    <t xml:space="preserve">EtieTr00</t>
  </si>
  <si>
    <t xml:space="preserve">1999-01-26</t>
  </si>
  <si>
    <t xml:space="preserve">dj-moore-wr.php</t>
  </si>
  <si>
    <t xml:space="preserve">dj moore</t>
  </si>
  <si>
    <t xml:space="preserve">00-0034827</t>
  </si>
  <si>
    <t xml:space="preserve">MoorD.00</t>
  </si>
  <si>
    <t xml:space="preserve">1997-04-14</t>
  </si>
  <si>
    <t xml:space="preserve">Maryland</t>
  </si>
  <si>
    <t xml:space="preserve">tyler-warren.php</t>
  </si>
  <si>
    <t xml:space="preserve">tyler warren</t>
  </si>
  <si>
    <t xml:space="preserve">00-0040128</t>
  </si>
  <si>
    <t xml:space="preserve">WarrTy00</t>
  </si>
  <si>
    <t xml:space="preserve">2002-05-24</t>
  </si>
  <si>
    <t xml:space="preserve">mike-evans.php</t>
  </si>
  <si>
    <t xml:space="preserve">mike evans</t>
  </si>
  <si>
    <t xml:space="preserve">00-0031408</t>
  </si>
  <si>
    <t xml:space="preserve">EvanMi00</t>
  </si>
  <si>
    <t xml:space="preserve">1993-08-21</t>
  </si>
  <si>
    <t xml:space="preserve">cam-skattebo.php</t>
  </si>
  <si>
    <t xml:space="preserve">cam skattebo</t>
  </si>
  <si>
    <t xml:space="preserve">00-0040715</t>
  </si>
  <si>
    <t xml:space="preserve">SkatCa00</t>
  </si>
  <si>
    <t xml:space="preserve">2002-02-05</t>
  </si>
  <si>
    <t xml:space="preserve">Arizona State; Sacramento State</t>
  </si>
  <si>
    <t xml:space="preserve">jameson-williams.php</t>
  </si>
  <si>
    <t xml:space="preserve">jameson williams</t>
  </si>
  <si>
    <t xml:space="preserve">00-0037240</t>
  </si>
  <si>
    <t xml:space="preserve">WillJa11</t>
  </si>
  <si>
    <t xml:space="preserve">2001-03-26</t>
  </si>
  <si>
    <t xml:space="preserve">Alabama; Ohio State</t>
  </si>
  <si>
    <t xml:space="preserve">christian-watson.php</t>
  </si>
  <si>
    <t xml:space="preserve">christian watson</t>
  </si>
  <si>
    <t xml:space="preserve">00-0038124</t>
  </si>
  <si>
    <t xml:space="preserve">WatsCh00</t>
  </si>
  <si>
    <t xml:space="preserve">1999-05-12</t>
  </si>
  <si>
    <t xml:space="preserve">North Dakota State</t>
  </si>
  <si>
    <t xml:space="preserve">jalen-hurts.php</t>
  </si>
  <si>
    <t xml:space="preserve">jalen hurts</t>
  </si>
  <si>
    <t xml:space="preserve">00-0036389</t>
  </si>
  <si>
    <t xml:space="preserve">HurtJa00</t>
  </si>
  <si>
    <t xml:space="preserve">1998-08-07</t>
  </si>
  <si>
    <t xml:space="preserve">Oklahoma; Alabama</t>
  </si>
  <si>
    <t xml:space="preserve">bucky-irving.php</t>
  </si>
  <si>
    <t xml:space="preserve">bucky irving</t>
  </si>
  <si>
    <t xml:space="preserve">00-0039361</t>
  </si>
  <si>
    <t xml:space="preserve">IrviBu00</t>
  </si>
  <si>
    <t xml:space="preserve">2002-08-19</t>
  </si>
  <si>
    <t xml:space="preserve">Oregon; Minnesota</t>
  </si>
  <si>
    <t xml:space="preserve">rome-odunze.php</t>
  </si>
  <si>
    <t xml:space="preserve">rome odunze</t>
  </si>
  <si>
    <t xml:space="preserve">00-0039919</t>
  </si>
  <si>
    <t xml:space="preserve">OdunRo00</t>
  </si>
  <si>
    <t xml:space="preserve">2002-06-03</t>
  </si>
  <si>
    <t xml:space="preserve">Washington</t>
  </si>
  <si>
    <t xml:space="preserve">dandre-swift.php</t>
  </si>
  <si>
    <t xml:space="preserve">DAndre Swift</t>
  </si>
  <si>
    <t xml:space="preserve">dandre swift</t>
  </si>
  <si>
    <t xml:space="preserve">00-0036275</t>
  </si>
  <si>
    <t xml:space="preserve">SwifDA00</t>
  </si>
  <si>
    <t xml:space="preserve">1999-01-14</t>
  </si>
  <si>
    <t xml:space="preserve">quinshon-judkins.php</t>
  </si>
  <si>
    <t xml:space="preserve">quinshon judkins</t>
  </si>
  <si>
    <t xml:space="preserve">00-0040784</t>
  </si>
  <si>
    <t xml:space="preserve">JudkQu00</t>
  </si>
  <si>
    <t xml:space="preserve">2003-10-29</t>
  </si>
  <si>
    <t xml:space="preserve">Ohio State; Mississippi</t>
  </si>
  <si>
    <t xml:space="preserve">david-montgomery.php</t>
  </si>
  <si>
    <t xml:space="preserve">david montgomery</t>
  </si>
  <si>
    <t xml:space="preserve">00-0035685</t>
  </si>
  <si>
    <t xml:space="preserve">MontDa01</t>
  </si>
  <si>
    <t xml:space="preserve">1997-06-07</t>
  </si>
  <si>
    <t xml:space="preserve">treveyon-henderson.php</t>
  </si>
  <si>
    <t xml:space="preserve">treveyon henderson</t>
  </si>
  <si>
    <t xml:space="preserve">00-0040734</t>
  </si>
  <si>
    <t xml:space="preserve">HendTr02</t>
  </si>
  <si>
    <t xml:space="preserve">2002-10-22</t>
  </si>
  <si>
    <t xml:space="preserve">carnell-tate.php</t>
  </si>
  <si>
    <t xml:space="preserve">carnell tate</t>
  </si>
  <si>
    <t xml:space="preserve">00-0041438</t>
  </si>
  <si>
    <t xml:space="preserve">2005-01-19</t>
  </si>
  <si>
    <t xml:space="preserve">caleb-williams.php</t>
  </si>
  <si>
    <t xml:space="preserve">caleb williams</t>
  </si>
  <si>
    <t xml:space="preserve">00-0039918</t>
  </si>
  <si>
    <t xml:space="preserve">WillCa03</t>
  </si>
  <si>
    <t xml:space="preserve">2001-11-18</t>
  </si>
  <si>
    <t xml:space="preserve">USC; Oklahoma</t>
  </si>
  <si>
    <t xml:space="preserve">parker-washington.php</t>
  </si>
  <si>
    <t xml:space="preserve">JAC</t>
  </si>
  <si>
    <t xml:space="preserve">parker washington</t>
  </si>
  <si>
    <t xml:space="preserve">00-0038606</t>
  </si>
  <si>
    <t xml:space="preserve">WashPa01</t>
  </si>
  <si>
    <t xml:space="preserve">2002-03-21</t>
  </si>
  <si>
    <t xml:space="preserve">marvin-harrison-jr.php</t>
  </si>
  <si>
    <t xml:space="preserve">Marvin Harrison</t>
  </si>
  <si>
    <t xml:space="preserve">marvin harrison</t>
  </si>
  <si>
    <t xml:space="preserve">00-0039849</t>
  </si>
  <si>
    <t xml:space="preserve">HarrMa09</t>
  </si>
  <si>
    <t xml:space="preserve">2002-08-11</t>
  </si>
  <si>
    <t xml:space="preserve">justin-herbert.php</t>
  </si>
  <si>
    <t xml:space="preserve">justin herbert</t>
  </si>
  <si>
    <t xml:space="preserve">00-0036355</t>
  </si>
  <si>
    <t xml:space="preserve">HerbJu00</t>
  </si>
  <si>
    <t xml:space="preserve">1998-03-10</t>
  </si>
  <si>
    <t xml:space="preserve">Oregon</t>
  </si>
  <si>
    <t xml:space="preserve">bhayshul-tuten.php</t>
  </si>
  <si>
    <t xml:space="preserve">bhayshul tuten</t>
  </si>
  <si>
    <t xml:space="preserve">00-0040719</t>
  </si>
  <si>
    <t xml:space="preserve">TuteBh00</t>
  </si>
  <si>
    <t xml:space="preserve">Virginia Tech; North Carolina A&amp;T</t>
  </si>
  <si>
    <t xml:space="preserve">tucker-kraft.php</t>
  </si>
  <si>
    <t xml:space="preserve">tucker kraft</t>
  </si>
  <si>
    <t xml:space="preserve">00-0038996</t>
  </si>
  <si>
    <t xml:space="preserve">KrafTu00</t>
  </si>
  <si>
    <t xml:space="preserve">2000-11-03</t>
  </si>
  <si>
    <t xml:space="preserve">South Dakota State</t>
  </si>
  <si>
    <t xml:space="preserve">jadarian-price.php</t>
  </si>
  <si>
    <t xml:space="preserve">jadarian price</t>
  </si>
  <si>
    <t xml:space="preserve">00-0041512</t>
  </si>
  <si>
    <t xml:space="preserve">2003-10-09</t>
  </si>
  <si>
    <t xml:space="preserve">jaylen-warren.php</t>
  </si>
  <si>
    <t xml:space="preserve">jaylen warren</t>
  </si>
  <si>
    <t xml:space="preserve">00-0037228</t>
  </si>
  <si>
    <t xml:space="preserve">WarrJa01</t>
  </si>
  <si>
    <t xml:space="preserve">1998-11-01</t>
  </si>
  <si>
    <t xml:space="preserve">Oklahoma State</t>
  </si>
  <si>
    <t xml:space="preserve">harold-fannin-jr.php</t>
  </si>
  <si>
    <t xml:space="preserve">Harold Fannin</t>
  </si>
  <si>
    <t xml:space="preserve">harold fannin</t>
  </si>
  <si>
    <t xml:space="preserve">00-0040663</t>
  </si>
  <si>
    <t xml:space="preserve">FannHa00</t>
  </si>
  <si>
    <t xml:space="preserve">2004-07-20</t>
  </si>
  <si>
    <t xml:space="preserve">Bowling Green</t>
  </si>
  <si>
    <t xml:space="preserve">brian-thomas-jr.php</t>
  </si>
  <si>
    <t xml:space="preserve">Brian Thomas</t>
  </si>
  <si>
    <t xml:space="preserve">brian thomas</t>
  </si>
  <si>
    <t xml:space="preserve">00-0039893</t>
  </si>
  <si>
    <t xml:space="preserve">ThomBr06</t>
  </si>
  <si>
    <t xml:space="preserve">2002-10-08</t>
  </si>
  <si>
    <t xml:space="preserve">dk-metcalf.php</t>
  </si>
  <si>
    <t xml:space="preserve">dk metcalf</t>
  </si>
  <si>
    <t xml:space="preserve">00-0035640</t>
  </si>
  <si>
    <t xml:space="preserve">MetcDK00</t>
  </si>
  <si>
    <t xml:space="preserve">1997-12-14</t>
  </si>
  <si>
    <t xml:space="preserve">trevor-lawrence.php</t>
  </si>
  <si>
    <t xml:space="preserve">trevor lawrence</t>
  </si>
  <si>
    <t xml:space="preserve">00-0036971</t>
  </si>
  <si>
    <t xml:space="preserve">LawrTr00</t>
  </si>
  <si>
    <t xml:space="preserve">1999-10-06</t>
  </si>
  <si>
    <t xml:space="preserve">dak-prescott.php</t>
  </si>
  <si>
    <t xml:space="preserve">dak prescott</t>
  </si>
  <si>
    <t xml:space="preserve">00-0033077</t>
  </si>
  <si>
    <t xml:space="preserve">PresDa01</t>
  </si>
  <si>
    <t xml:space="preserve">1993-07-29</t>
  </si>
  <si>
    <t xml:space="preserve">Mississippi State</t>
  </si>
  <si>
    <t xml:space="preserve">tony-pollard.php</t>
  </si>
  <si>
    <t xml:space="preserve">tony pollard</t>
  </si>
  <si>
    <t xml:space="preserve">00-0035261</t>
  </si>
  <si>
    <t xml:space="preserve">PollTo00</t>
  </si>
  <si>
    <t xml:space="preserve">1997-04-30</t>
  </si>
  <si>
    <t xml:space="preserve">Memphis</t>
  </si>
  <si>
    <t xml:space="preserve">chris-godwin.php</t>
  </si>
  <si>
    <t xml:space="preserve">Chris Godwin</t>
  </si>
  <si>
    <t xml:space="preserve">chris godwin</t>
  </si>
  <si>
    <t xml:space="preserve">00-0033921</t>
  </si>
  <si>
    <t xml:space="preserve">GodwCh00</t>
  </si>
  <si>
    <t xml:space="preserve">1996-02-27</t>
  </si>
  <si>
    <t xml:space="preserve">rhamondre-stevenson.php</t>
  </si>
  <si>
    <t xml:space="preserve">rhamondre stevenson</t>
  </si>
  <si>
    <t xml:space="preserve">00-0036875</t>
  </si>
  <si>
    <t xml:space="preserve">StevRh00</t>
  </si>
  <si>
    <t xml:space="preserve">1998-02-23</t>
  </si>
  <si>
    <t xml:space="preserve">Oklahoma; Cerritos College</t>
  </si>
  <si>
    <t xml:space="preserve">sam-laporta.php</t>
  </si>
  <si>
    <t xml:space="preserve">sam laporta</t>
  </si>
  <si>
    <t xml:space="preserve">00-0039065</t>
  </si>
  <si>
    <t xml:space="preserve">LaPoSa01</t>
  </si>
  <si>
    <t xml:space="preserve">2001-01-12</t>
  </si>
  <si>
    <t xml:space="preserve">Iowa</t>
  </si>
  <si>
    <t xml:space="preserve">kyle-pitts.php</t>
  </si>
  <si>
    <t xml:space="preserve">Kyle Pitts</t>
  </si>
  <si>
    <t xml:space="preserve">kyle pitts</t>
  </si>
  <si>
    <t xml:space="preserve">00-0036970</t>
  </si>
  <si>
    <t xml:space="preserve">PittKy00</t>
  </si>
  <si>
    <t xml:space="preserve">2000-10-06</t>
  </si>
  <si>
    <t xml:space="preserve">Florida</t>
  </si>
  <si>
    <t xml:space="preserve">michael-pittman.php</t>
  </si>
  <si>
    <t xml:space="preserve">Michael Pittman</t>
  </si>
  <si>
    <t xml:space="preserve">michael pittman</t>
  </si>
  <si>
    <t xml:space="preserve">00-0036252</t>
  </si>
  <si>
    <t xml:space="preserve">PittMi01</t>
  </si>
  <si>
    <t xml:space="preserve">1997-10-05</t>
  </si>
  <si>
    <t xml:space="preserve">jordyn-tyson.php</t>
  </si>
  <si>
    <t xml:space="preserve">jordyn tyson</t>
  </si>
  <si>
    <t xml:space="preserve">00-0041029</t>
  </si>
  <si>
    <t xml:space="preserve">2004-08-12</t>
  </si>
  <si>
    <t xml:space="preserve">Arizona State; Colorado</t>
  </si>
  <si>
    <t xml:space="preserve">courtland-sutton.php</t>
  </si>
  <si>
    <t xml:space="preserve">courtland sutton</t>
  </si>
  <si>
    <t xml:space="preserve">00-0034348</t>
  </si>
  <si>
    <t xml:space="preserve">SuttCo00</t>
  </si>
  <si>
    <t xml:space="preserve">1995-10-10</t>
  </si>
  <si>
    <t xml:space="preserve">josh-downs.php</t>
  </si>
  <si>
    <t xml:space="preserve">josh downs</t>
  </si>
  <si>
    <t xml:space="preserve">00-0038997</t>
  </si>
  <si>
    <t xml:space="preserve">DownJo00</t>
  </si>
  <si>
    <t xml:space="preserve">2001-08-12</t>
  </si>
  <si>
    <t xml:space="preserve">chuba-hubbard.php</t>
  </si>
  <si>
    <t xml:space="preserve">chuba hubbard</t>
  </si>
  <si>
    <t xml:space="preserve">00-0036555</t>
  </si>
  <si>
    <t xml:space="preserve">HubbCh01</t>
  </si>
  <si>
    <t xml:space="preserve">1999-06-11</t>
  </si>
  <si>
    <t xml:space="preserve">wandale-robinson.php</t>
  </si>
  <si>
    <t xml:space="preserve">WanDale Robinson</t>
  </si>
  <si>
    <t xml:space="preserve">wandale robinson</t>
  </si>
  <si>
    <t xml:space="preserve">00-0038117</t>
  </si>
  <si>
    <t xml:space="preserve">RobiWa01</t>
  </si>
  <si>
    <t xml:space="preserve">2001-01-05</t>
  </si>
  <si>
    <t xml:space="preserve">Kentucky</t>
  </si>
  <si>
    <t xml:space="preserve">rico-dowdle.php</t>
  </si>
  <si>
    <t xml:space="preserve">rico dowdle</t>
  </si>
  <si>
    <t xml:space="preserve">00-0036139</t>
  </si>
  <si>
    <t xml:space="preserve">DowdRi01</t>
  </si>
  <si>
    <t xml:space="preserve">1998-06-14</t>
  </si>
  <si>
    <t xml:space="preserve">South Carolina</t>
  </si>
  <si>
    <t xml:space="preserve">michael-wilson.php</t>
  </si>
  <si>
    <t xml:space="preserve">michael wilson</t>
  </si>
  <si>
    <t xml:space="preserve">00-0038559</t>
  </si>
  <si>
    <t xml:space="preserve">WilsMi02</t>
  </si>
  <si>
    <t xml:space="preserve">2000-02-23</t>
  </si>
  <si>
    <t xml:space="preserve">alec-pierce.php</t>
  </si>
  <si>
    <t xml:space="preserve">alec pierce</t>
  </si>
  <si>
    <t xml:space="preserve">00-0037664</t>
  </si>
  <si>
    <t xml:space="preserve">PierAl00</t>
  </si>
  <si>
    <t xml:space="preserve">2000-05-02</t>
  </si>
  <si>
    <t xml:space="preserve">Cincinnati</t>
  </si>
  <si>
    <t xml:space="preserve">rj-harvey.php</t>
  </si>
  <si>
    <t xml:space="preserve">rj harvey</t>
  </si>
  <si>
    <t xml:space="preserve">00-0040730</t>
  </si>
  <si>
    <t xml:space="preserve">HarvRJ00</t>
  </si>
  <si>
    <t xml:space="preserve">2001-02-04</t>
  </si>
  <si>
    <t xml:space="preserve">UCF; Virginia</t>
  </si>
  <si>
    <t xml:space="preserve">jaxson-dart.php</t>
  </si>
  <si>
    <t xml:space="preserve">jaxson dart</t>
  </si>
  <si>
    <t xml:space="preserve">00-0040691</t>
  </si>
  <si>
    <t xml:space="preserve">DartJa00</t>
  </si>
  <si>
    <t xml:space="preserve">2003-05-13</t>
  </si>
  <si>
    <t xml:space="preserve">Mississippi; USC</t>
  </si>
  <si>
    <t xml:space="preserve">brock-purdy.php</t>
  </si>
  <si>
    <t xml:space="preserve">brock purdy</t>
  </si>
  <si>
    <t xml:space="preserve">00-0037834</t>
  </si>
  <si>
    <t xml:space="preserve">PurdBr00</t>
  </si>
  <si>
    <t xml:space="preserve">1999-12-27</t>
  </si>
  <si>
    <t xml:space="preserve">travis-kelce.php</t>
  </si>
  <si>
    <t xml:space="preserve">travis kelce</t>
  </si>
  <si>
    <t xml:space="preserve">00-0030506</t>
  </si>
  <si>
    <t xml:space="preserve">KelcTr00</t>
  </si>
  <si>
    <t xml:space="preserve">1989-10-05</t>
  </si>
  <si>
    <t xml:space="preserve">patrick-mahomes.php</t>
  </si>
  <si>
    <t xml:space="preserve">Patrick Mahomes</t>
  </si>
  <si>
    <t xml:space="preserve">patrick mahomes</t>
  </si>
  <si>
    <t xml:space="preserve">00-0033873</t>
  </si>
  <si>
    <t xml:space="preserve">MahoPa00</t>
  </si>
  <si>
    <t xml:space="preserve">1995-09-17</t>
  </si>
  <si>
    <t xml:space="preserve">Texas Tech</t>
  </si>
  <si>
    <t xml:space="preserve">bo-nix.php</t>
  </si>
  <si>
    <t xml:space="preserve">bo nix</t>
  </si>
  <si>
    <t xml:space="preserve">00-0039732</t>
  </si>
  <si>
    <t xml:space="preserve">NixxBo00</t>
  </si>
  <si>
    <t xml:space="preserve">2000-02-25</t>
  </si>
  <si>
    <t xml:space="preserve">Oregon; Auburn</t>
  </si>
  <si>
    <t xml:space="preserve">makai-lemon.php</t>
  </si>
  <si>
    <t xml:space="preserve">makai lemon</t>
  </si>
  <si>
    <t xml:space="preserve">00-0040867</t>
  </si>
  <si>
    <t xml:space="preserve">2004-06-02</t>
  </si>
  <si>
    <t xml:space="preserve">kenneth-gainwell.php</t>
  </si>
  <si>
    <t xml:space="preserve">kenny gainwell</t>
  </si>
  <si>
    <t xml:space="preserve">00-0036919</t>
  </si>
  <si>
    <t xml:space="preserve">GainKe00</t>
  </si>
  <si>
    <t xml:space="preserve">1999-03-14</t>
  </si>
  <si>
    <t xml:space="preserve">jk-dobbins.php</t>
  </si>
  <si>
    <t xml:space="preserve">JK Dobbins</t>
  </si>
  <si>
    <t xml:space="preserve">j k dobbins</t>
  </si>
  <si>
    <t xml:space="preserve">00-0036158</t>
  </si>
  <si>
    <t xml:space="preserve">DobbJK00</t>
  </si>
  <si>
    <t xml:space="preserve">1998-12-17</t>
  </si>
  <si>
    <t xml:space="preserve">jakobi-meyers.php</t>
  </si>
  <si>
    <t xml:space="preserve">jakobi meyers</t>
  </si>
  <si>
    <t xml:space="preserve">00-0034960</t>
  </si>
  <si>
    <t xml:space="preserve">MeyeJa01</t>
  </si>
  <si>
    <t xml:space="preserve">1996-11-09</t>
  </si>
  <si>
    <t xml:space="preserve">N.C. State</t>
  </si>
  <si>
    <t xml:space="preserve">quentin-johnston.php</t>
  </si>
  <si>
    <t xml:space="preserve">quentin johnston</t>
  </si>
  <si>
    <t xml:space="preserve">00-0038544</t>
  </si>
  <si>
    <t xml:space="preserve">JohnQu02</t>
  </si>
  <si>
    <t xml:space="preserve">2001-09-06</t>
  </si>
  <si>
    <t xml:space="preserve">TCU</t>
  </si>
  <si>
    <t xml:space="preserve">matthew-stafford.php</t>
  </si>
  <si>
    <t xml:space="preserve">matthew stafford</t>
  </si>
  <si>
    <t xml:space="preserve">00-0026498</t>
  </si>
  <si>
    <t xml:space="preserve">StafMa00</t>
  </si>
  <si>
    <t xml:space="preserve">1988-02-07</t>
  </si>
  <si>
    <t xml:space="preserve">george-kittle.php</t>
  </si>
  <si>
    <t xml:space="preserve">george kittle</t>
  </si>
  <si>
    <t xml:space="preserve">00-0033288</t>
  </si>
  <si>
    <t xml:space="preserve">KittGe00</t>
  </si>
  <si>
    <t xml:space="preserve">1993-10-09</t>
  </si>
  <si>
    <t xml:space="preserve">kyle-monangai.php</t>
  </si>
  <si>
    <t xml:space="preserve">kyle monangai</t>
  </si>
  <si>
    <t xml:space="preserve">00-0040236</t>
  </si>
  <si>
    <t xml:space="preserve">MonaKy00</t>
  </si>
  <si>
    <t xml:space="preserve">2002-06-06</t>
  </si>
  <si>
    <t xml:space="preserve">Rutgers</t>
  </si>
  <si>
    <t xml:space="preserve">jonathon-brooks.php</t>
  </si>
  <si>
    <t xml:space="preserve">jonathon brooks</t>
  </si>
  <si>
    <t xml:space="preserve">00-0039344</t>
  </si>
  <si>
    <t xml:space="preserve">2003-07-21</t>
  </si>
  <si>
    <t xml:space="preserve">jared-goff.php</t>
  </si>
  <si>
    <t xml:space="preserve">jared goff</t>
  </si>
  <si>
    <t xml:space="preserve">00-0033106</t>
  </si>
  <si>
    <t xml:space="preserve">GoffJa00</t>
  </si>
  <si>
    <t xml:space="preserve">1994-10-14</t>
  </si>
  <si>
    <t xml:space="preserve">California</t>
  </si>
  <si>
    <t xml:space="preserve">jordan-addison.php</t>
  </si>
  <si>
    <t xml:space="preserve">jordan addison</t>
  </si>
  <si>
    <t xml:space="preserve">00-0038994</t>
  </si>
  <si>
    <t xml:space="preserve">AddiJo00</t>
  </si>
  <si>
    <t xml:space="preserve">2002-01-27</t>
  </si>
  <si>
    <t xml:space="preserve">USC; Pittsburgh</t>
  </si>
  <si>
    <t xml:space="preserve">rachaad-white.php</t>
  </si>
  <si>
    <t xml:space="preserve">rachaad white</t>
  </si>
  <si>
    <t xml:space="preserve">00-0037256</t>
  </si>
  <si>
    <t xml:space="preserve">WhitRa01</t>
  </si>
  <si>
    <t xml:space="preserve">1999-01-12</t>
  </si>
  <si>
    <t xml:space="preserve">Arizona State; Mt. San Antonio; Kearney State</t>
  </si>
  <si>
    <t xml:space="preserve">jayden-reed.php</t>
  </si>
  <si>
    <t xml:space="preserve">jayden reed</t>
  </si>
  <si>
    <t xml:space="preserve">00-0039146</t>
  </si>
  <si>
    <t xml:space="preserve">ReedJa03</t>
  </si>
  <si>
    <t xml:space="preserve">2000-04-28</t>
  </si>
  <si>
    <t xml:space="preserve">Michigan State; Western Michigan</t>
  </si>
  <si>
    <t xml:space="preserve">stefon-diggs.php</t>
  </si>
  <si>
    <t xml:space="preserve">stefon diggs</t>
  </si>
  <si>
    <t xml:space="preserve">00-0031588</t>
  </si>
  <si>
    <t xml:space="preserve">depth_chart_2026</t>
  </si>
  <si>
    <t xml:space="preserve">DiggSt00</t>
  </si>
  <si>
    <t xml:space="preserve">1993-11-29</t>
  </si>
  <si>
    <t xml:space="preserve">blake-corum.php</t>
  </si>
  <si>
    <t xml:space="preserve">blake corum</t>
  </si>
  <si>
    <t xml:space="preserve">00-0039738</t>
  </si>
  <si>
    <t xml:space="preserve">CoruBl00</t>
  </si>
  <si>
    <t xml:space="preserve">2000-11-25</t>
  </si>
  <si>
    <t xml:space="preserve">kyler-murray.php</t>
  </si>
  <si>
    <t xml:space="preserve">kyler murray</t>
  </si>
  <si>
    <t xml:space="preserve">00-0035228</t>
  </si>
  <si>
    <t xml:space="preserve">MurrKy00</t>
  </si>
  <si>
    <t xml:space="preserve">1997-08-07</t>
  </si>
  <si>
    <t xml:space="preserve">Oklahoma; Texas A&amp;M</t>
  </si>
  <si>
    <t xml:space="preserve">jake-ferguson.php</t>
  </si>
  <si>
    <t xml:space="preserve">jake ferguson</t>
  </si>
  <si>
    <t xml:space="preserve">00-0038041</t>
  </si>
  <si>
    <t xml:space="preserve">FergJa00</t>
  </si>
  <si>
    <t xml:space="preserve">aaron-jones.php</t>
  </si>
  <si>
    <t xml:space="preserve">Aaron Jones</t>
  </si>
  <si>
    <t xml:space="preserve">aaron jones</t>
  </si>
  <si>
    <t xml:space="preserve">00-0033293</t>
  </si>
  <si>
    <t xml:space="preserve">JoneAa00</t>
  </si>
  <si>
    <t xml:space="preserve">1994-12-02</t>
  </si>
  <si>
    <t xml:space="preserve">Texas-El Paso</t>
  </si>
  <si>
    <t xml:space="preserve">dalton-kincaid.php</t>
  </si>
  <si>
    <t xml:space="preserve">dalton kincaid</t>
  </si>
  <si>
    <t xml:space="preserve">00-0038933</t>
  </si>
  <si>
    <t xml:space="preserve">KincDa00</t>
  </si>
  <si>
    <t xml:space="preserve">1999-10-18</t>
  </si>
  <si>
    <t xml:space="preserve">Utah; Univ of California-San Diego</t>
  </si>
  <si>
    <t xml:space="preserve">isaiah-likely.php</t>
  </si>
  <si>
    <t xml:space="preserve">isaiah likely</t>
  </si>
  <si>
    <t xml:space="preserve">00-0037838</t>
  </si>
  <si>
    <t xml:space="preserve">LikeIs00</t>
  </si>
  <si>
    <t xml:space="preserve">2000-04-18</t>
  </si>
  <si>
    <t xml:space="preserve">Coastal Carolina</t>
  </si>
  <si>
    <t xml:space="preserve">baker-mayfield.php</t>
  </si>
  <si>
    <t xml:space="preserve">baker mayfield</t>
  </si>
  <si>
    <t xml:space="preserve">00-0034855</t>
  </si>
  <si>
    <t xml:space="preserve">MayfBa00</t>
  </si>
  <si>
    <t xml:space="preserve">1995-04-14</t>
  </si>
  <si>
    <t xml:space="preserve">Oklahoma; Texas Tech</t>
  </si>
  <si>
    <t xml:space="preserve">jordan-love.php</t>
  </si>
  <si>
    <t xml:space="preserve">jordan love</t>
  </si>
  <si>
    <t xml:space="preserve">00-0036264</t>
  </si>
  <si>
    <t xml:space="preserve">LoveJo03</t>
  </si>
  <si>
    <t xml:space="preserve">1998-11-02</t>
  </si>
  <si>
    <t xml:space="preserve">Utah State</t>
  </si>
  <si>
    <t xml:space="preserve">jacory-croskeymerritt.php</t>
  </si>
  <si>
    <t xml:space="preserve">jacory croskey merritt</t>
  </si>
  <si>
    <t xml:space="preserve">00-0040242</t>
  </si>
  <si>
    <t xml:space="preserve">CrosJa00</t>
  </si>
  <si>
    <t xml:space="preserve">2001-04-12</t>
  </si>
  <si>
    <t xml:space="preserve">Arizona; New Mexico; Alabama State</t>
  </si>
  <si>
    <t xml:space="preserve">khalil-shakir.php</t>
  </si>
  <si>
    <t xml:space="preserve">khalil shakir</t>
  </si>
  <si>
    <t xml:space="preserve">00-0037261</t>
  </si>
  <si>
    <t xml:space="preserve">ShakKh00</t>
  </si>
  <si>
    <t xml:space="preserve">2000-02-03</t>
  </si>
  <si>
    <t xml:space="preserve">dallas-goedert.php</t>
  </si>
  <si>
    <t xml:space="preserve">dallas goedert</t>
  </si>
  <si>
    <t xml:space="preserve">00-0034351</t>
  </si>
  <si>
    <t xml:space="preserve">GoedDa00</t>
  </si>
  <si>
    <t xml:space="preserve">1995-01-03</t>
  </si>
  <si>
    <t xml:space="preserve">tyler-shough.php</t>
  </si>
  <si>
    <t xml:space="preserve">tyler shough</t>
  </si>
  <si>
    <t xml:space="preserve">00-0040743</t>
  </si>
  <si>
    <t xml:space="preserve">ShouTy00</t>
  </si>
  <si>
    <t xml:space="preserve">1999-09-28</t>
  </si>
  <si>
    <t xml:space="preserve">Louisville; Texas Tech; Oregon</t>
  </si>
  <si>
    <t xml:space="preserve">jordan-mason.php</t>
  </si>
  <si>
    <t xml:space="preserve">jordan mason</t>
  </si>
  <si>
    <t xml:space="preserve">00-0037525</t>
  </si>
  <si>
    <t xml:space="preserve">MasoJo00</t>
  </si>
  <si>
    <t xml:space="preserve">1999-05-24</t>
  </si>
  <si>
    <t xml:space="preserve">Georgia Tech</t>
  </si>
  <si>
    <t xml:space="preserve">jayden-higgins.php</t>
  </si>
  <si>
    <t xml:space="preserve">jayden higgins</t>
  </si>
  <si>
    <t xml:space="preserve">00-0040130</t>
  </si>
  <si>
    <t xml:space="preserve">HiggJa00</t>
  </si>
  <si>
    <t xml:space="preserve">2002-12-15</t>
  </si>
  <si>
    <t xml:space="preserve">Iowa State; Eastern Kentucky</t>
  </si>
  <si>
    <t xml:space="preserve">jalen-coker.php</t>
  </si>
  <si>
    <t xml:space="preserve">jalen coker</t>
  </si>
  <si>
    <t xml:space="preserve">00-0039491</t>
  </si>
  <si>
    <t xml:space="preserve">CokeJa01</t>
  </si>
  <si>
    <t xml:space="preserve">2001-10-30</t>
  </si>
  <si>
    <t xml:space="preserve">Holy Cross</t>
  </si>
  <si>
    <t xml:space="preserve">xavier-worthy.php</t>
  </si>
  <si>
    <t xml:space="preserve">xavier worthy</t>
  </si>
  <si>
    <t xml:space="preserve">00-0039894</t>
  </si>
  <si>
    <t xml:space="preserve">WortXa00</t>
  </si>
  <si>
    <t xml:space="preserve">2003-04-27</t>
  </si>
  <si>
    <t xml:space="preserve">mark-andrews.php</t>
  </si>
  <si>
    <t xml:space="preserve">mark andrews</t>
  </si>
  <si>
    <t xml:space="preserve">00-0034753</t>
  </si>
  <si>
    <t xml:space="preserve">AndrMa00</t>
  </si>
  <si>
    <t xml:space="preserve">1995-09-06</t>
  </si>
  <si>
    <t xml:space="preserve">romeo-doubs.php</t>
  </si>
  <si>
    <t xml:space="preserve">romeo doubs</t>
  </si>
  <si>
    <t xml:space="preserve">00-0037816</t>
  </si>
  <si>
    <t xml:space="preserve">DoubRo00</t>
  </si>
  <si>
    <t xml:space="preserve">2000-04-13</t>
  </si>
  <si>
    <t xml:space="preserve">Nevada</t>
  </si>
  <si>
    <t xml:space="preserve">malik-willis.php</t>
  </si>
  <si>
    <t xml:space="preserve">malik willis</t>
  </si>
  <si>
    <t xml:space="preserve">00-0038128</t>
  </si>
  <si>
    <t xml:space="preserve">WillMa12</t>
  </si>
  <si>
    <t xml:space="preserve">1999-05-25</t>
  </si>
  <si>
    <t xml:space="preserve">Liberty; Auburn</t>
  </si>
  <si>
    <t xml:space="preserve">matthew-golden.php</t>
  </si>
  <si>
    <t xml:space="preserve">matthew golden</t>
  </si>
  <si>
    <t xml:space="preserve">00-0040667</t>
  </si>
  <si>
    <t xml:space="preserve">GoldMa02</t>
  </si>
  <si>
    <t xml:space="preserve">2003-08-01</t>
  </si>
  <si>
    <t xml:space="preserve">Texas; Houston</t>
  </si>
  <si>
    <t xml:space="preserve">kevin-concepcion.php</t>
  </si>
  <si>
    <t xml:space="preserve">kc concepcion</t>
  </si>
  <si>
    <t xml:space="preserve">00-0041547</t>
  </si>
  <si>
    <t xml:space="preserve">2004-09-24</t>
  </si>
  <si>
    <t xml:space="preserve">Texas A&amp;M; N.C. State</t>
  </si>
  <si>
    <t xml:space="preserve">tyrone-tracy-jr.php</t>
  </si>
  <si>
    <t xml:space="preserve">Tyrone Tracy</t>
  </si>
  <si>
    <t xml:space="preserve">tyrone tracy</t>
  </si>
  <si>
    <t xml:space="preserve">00-0039384</t>
  </si>
  <si>
    <t xml:space="preserve">TracTy00</t>
  </si>
  <si>
    <t xml:space="preserve">1999-11-23</t>
  </si>
  <si>
    <t xml:space="preserve">Purdue; Iowa</t>
  </si>
  <si>
    <t xml:space="preserve">tyler-allgeier.php</t>
  </si>
  <si>
    <t xml:space="preserve">tyler allgeier</t>
  </si>
  <si>
    <t xml:space="preserve">00-0037263</t>
  </si>
  <si>
    <t xml:space="preserve">AllgTy00</t>
  </si>
  <si>
    <t xml:space="preserve">2000-04-15</t>
  </si>
  <si>
    <t xml:space="preserve">BYU</t>
  </si>
  <si>
    <t xml:space="preserve">woody-marks.php</t>
  </si>
  <si>
    <t xml:space="preserve">woody marks</t>
  </si>
  <si>
    <t xml:space="preserve">00-0040583</t>
  </si>
  <si>
    <t xml:space="preserve">MarkWo00</t>
  </si>
  <si>
    <t xml:space="preserve">2000-12-29</t>
  </si>
  <si>
    <t xml:space="preserve">USC; Mississippi State</t>
  </si>
  <si>
    <t xml:space="preserve">cj-stroud.php</t>
  </si>
  <si>
    <t xml:space="preserve">CJ Stroud</t>
  </si>
  <si>
    <t xml:space="preserve">c j stroud</t>
  </si>
  <si>
    <t xml:space="preserve">00-0039163</t>
  </si>
  <si>
    <t xml:space="preserve">StroCJ00</t>
  </si>
  <si>
    <t xml:space="preserve">2001-10-03</t>
  </si>
  <si>
    <t xml:space="preserve">sam-darnold.php</t>
  </si>
  <si>
    <t xml:space="preserve">sam darnold</t>
  </si>
  <si>
    <t xml:space="preserve">00-0034869</t>
  </si>
  <si>
    <t xml:space="preserve">DarnSa00</t>
  </si>
  <si>
    <t xml:space="preserve">1997-06-05</t>
  </si>
  <si>
    <t xml:space="preserve">deebo-samuel.php</t>
  </si>
  <si>
    <t xml:space="preserve">Deebo Samuel</t>
  </si>
  <si>
    <t xml:space="preserve">deebo samuel</t>
  </si>
  <si>
    <t xml:space="preserve">00-0035719</t>
  </si>
  <si>
    <t xml:space="preserve">SamuDe00</t>
  </si>
  <si>
    <t xml:space="preserve">1996-01-15</t>
  </si>
  <si>
    <t xml:space="preserve">chris-rodriguez-jr.php</t>
  </si>
  <si>
    <t xml:space="preserve">Chris Rodriguez</t>
  </si>
  <si>
    <t xml:space="preserve">chris rodriguez</t>
  </si>
  <si>
    <t xml:space="preserve">00-0038611</t>
  </si>
  <si>
    <t xml:space="preserve">RodrCh00</t>
  </si>
  <si>
    <t xml:space="preserve">1999-09-26</t>
  </si>
  <si>
    <t xml:space="preserve">zach-charbonnet.php</t>
  </si>
  <si>
    <t xml:space="preserve">zach charbonnet</t>
  </si>
  <si>
    <t xml:space="preserve">00-0039165</t>
  </si>
  <si>
    <t xml:space="preserve">CharZa00</t>
  </si>
  <si>
    <t xml:space="preserve">2001-01-08</t>
  </si>
  <si>
    <t xml:space="preserve">UCLA; Michigan</t>
  </si>
  <si>
    <t xml:space="preserve">juwan-johnson.php</t>
  </si>
  <si>
    <t xml:space="preserve">juwan johnson</t>
  </si>
  <si>
    <t xml:space="preserve">00-0036040</t>
  </si>
  <si>
    <t xml:space="preserve">JohnJu02</t>
  </si>
  <si>
    <t xml:space="preserve">1996-09-13</t>
  </si>
  <si>
    <t xml:space="preserve">Oregon; Penn State</t>
  </si>
  <si>
    <t xml:space="preserve">tyjae-spears.php</t>
  </si>
  <si>
    <t xml:space="preserve">tyjae spears</t>
  </si>
  <si>
    <t xml:space="preserve">00-0039032</t>
  </si>
  <si>
    <t xml:space="preserve">SpeaTy00</t>
  </si>
  <si>
    <t xml:space="preserve">2001-06-15</t>
  </si>
  <si>
    <t xml:space="preserve">Tulane</t>
  </si>
  <si>
    <t xml:space="preserve">rashid-shaheed.php</t>
  </si>
  <si>
    <t xml:space="preserve">rashid shaheed</t>
  </si>
  <si>
    <t xml:space="preserve">00-0037545</t>
  </si>
  <si>
    <t xml:space="preserve">ShahRa00</t>
  </si>
  <si>
    <t xml:space="preserve">1998-08-31</t>
  </si>
  <si>
    <t xml:space="preserve">Weber State</t>
  </si>
  <si>
    <t xml:space="preserve">alvin-kamara.php</t>
  </si>
  <si>
    <t xml:space="preserve">alvin kamara</t>
  </si>
  <si>
    <t xml:space="preserve">00-0033906</t>
  </si>
  <si>
    <t xml:space="preserve">KamaAl00</t>
  </si>
  <si>
    <t xml:space="preserve">1995-07-25</t>
  </si>
  <si>
    <t xml:space="preserve">Tennessee; Hutchinson CC; Alabama</t>
  </si>
  <si>
    <t xml:space="preserve">dylan-sampson.php</t>
  </si>
  <si>
    <t xml:space="preserve">dylan sampson</t>
  </si>
  <si>
    <t xml:space="preserve">00-0040162</t>
  </si>
  <si>
    <t xml:space="preserve">SampDy00</t>
  </si>
  <si>
    <t xml:space="preserve">2004-09-14</t>
  </si>
  <si>
    <t xml:space="preserve">Tennessee</t>
  </si>
  <si>
    <t xml:space="preserve">isiah-pacheco.php</t>
  </si>
  <si>
    <t xml:space="preserve">isiah pacheco</t>
  </si>
  <si>
    <t xml:space="preserve">00-0037197</t>
  </si>
  <si>
    <t xml:space="preserve">PachIs00</t>
  </si>
  <si>
    <t xml:space="preserve">1999-03-02</t>
  </si>
  <si>
    <t xml:space="preserve">cam-ward.php</t>
  </si>
  <si>
    <t xml:space="preserve">cam ward</t>
  </si>
  <si>
    <t xml:space="preserve">00-0040676</t>
  </si>
  <si>
    <t xml:space="preserve">WardCa00</t>
  </si>
  <si>
    <t xml:space="preserve">2002-05-25</t>
  </si>
  <si>
    <t xml:space="preserve">Miami; Washington State; Incarnate Word</t>
  </si>
  <si>
    <t xml:space="preserve">chigoziem-okonkwo.php</t>
  </si>
  <si>
    <t xml:space="preserve">Chigoziem Okonkwo</t>
  </si>
  <si>
    <t xml:space="preserve">chig okonkwo</t>
  </si>
  <si>
    <t xml:space="preserve">00-0037809</t>
  </si>
  <si>
    <t xml:space="preserve">OkonCh00</t>
  </si>
  <si>
    <t xml:space="preserve">1999-09-08</t>
  </si>
  <si>
    <t xml:space="preserve">keaton-mitchell.php</t>
  </si>
  <si>
    <t xml:space="preserve">keaton mitchell</t>
  </si>
  <si>
    <t xml:space="preserve">00-0038454</t>
  </si>
  <si>
    <t xml:space="preserve">MitcKe01</t>
  </si>
  <si>
    <t xml:space="preserve">2002-01-17</t>
  </si>
  <si>
    <t xml:space="preserve">East Carolina</t>
  </si>
  <si>
    <t xml:space="preserve">brenton-strange.php</t>
  </si>
  <si>
    <t xml:space="preserve">brenton strange</t>
  </si>
  <si>
    <t xml:space="preserve">00-0038935</t>
  </si>
  <si>
    <t xml:space="preserve">StraBr00</t>
  </si>
  <si>
    <t xml:space="preserve">2000-12-27</t>
  </si>
  <si>
    <t xml:space="preserve">denzel-boston.php</t>
  </si>
  <si>
    <t xml:space="preserve">denzel boston</t>
  </si>
  <si>
    <t xml:space="preserve">00-0041037</t>
  </si>
  <si>
    <t xml:space="preserve">2003-12-06</t>
  </si>
  <si>
    <t xml:space="preserve">jauan-jennings.php</t>
  </si>
  <si>
    <t xml:space="preserve">jauan jennings</t>
  </si>
  <si>
    <t xml:space="preserve">00-0036259</t>
  </si>
  <si>
    <t xml:space="preserve">JennJa00</t>
  </si>
  <si>
    <t xml:space="preserve">1997-07-10</t>
  </si>
  <si>
    <t xml:space="preserve">daniel-jones.php</t>
  </si>
  <si>
    <t xml:space="preserve">daniel jones</t>
  </si>
  <si>
    <t xml:space="preserve">00-0035710</t>
  </si>
  <si>
    <t xml:space="preserve">JoneDa05</t>
  </si>
  <si>
    <t xml:space="preserve">1997-05-27</t>
  </si>
  <si>
    <t xml:space="preserve">Duke</t>
  </si>
  <si>
    <t xml:space="preserve">jerry-jeudy.php</t>
  </si>
  <si>
    <t xml:space="preserve">jerry jeudy</t>
  </si>
  <si>
    <t xml:space="preserve">00-0036407</t>
  </si>
  <si>
    <t xml:space="preserve">JeudJe00</t>
  </si>
  <si>
    <t xml:space="preserve">1999-04-24</t>
  </si>
  <si>
    <t xml:space="preserve">jonah-coleman.php</t>
  </si>
  <si>
    <t xml:space="preserve">jonah coleman</t>
  </si>
  <si>
    <t xml:space="preserve">00-0041496</t>
  </si>
  <si>
    <t xml:space="preserve">2003-08-20</t>
  </si>
  <si>
    <t xml:space="preserve">Washington; Arizona</t>
  </si>
  <si>
    <t xml:space="preserve">bryce-young.php</t>
  </si>
  <si>
    <t xml:space="preserve">bryce young</t>
  </si>
  <si>
    <t xml:space="preserve">00-0039150</t>
  </si>
  <si>
    <t xml:space="preserve">YounBr01</t>
  </si>
  <si>
    <t xml:space="preserve">2001-07-25</t>
  </si>
  <si>
    <t xml:space="preserve">hunter-henry.php</t>
  </si>
  <si>
    <t xml:space="preserve">hunter henry</t>
  </si>
  <si>
    <t xml:space="preserve">00-0033090</t>
  </si>
  <si>
    <t xml:space="preserve">HenrHu00</t>
  </si>
  <si>
    <t xml:space="preserve">1994-12-07</t>
  </si>
  <si>
    <t xml:space="preserve">Arkansas</t>
  </si>
  <si>
    <t xml:space="preserve">omar-cooper-jr.php</t>
  </si>
  <si>
    <t xml:space="preserve">Omar Cooper</t>
  </si>
  <si>
    <t xml:space="preserve">omar cooper</t>
  </si>
  <si>
    <t xml:space="preserve">00-0041511</t>
  </si>
  <si>
    <t xml:space="preserve">2003-12-14</t>
  </si>
  <si>
    <t xml:space="preserve">Indiana</t>
  </si>
  <si>
    <t xml:space="preserve">tank-bigsby.php</t>
  </si>
  <si>
    <t xml:space="preserve">tank bigsby</t>
  </si>
  <si>
    <t xml:space="preserve">00-0038555</t>
  </si>
  <si>
    <t xml:space="preserve">BigsTa00</t>
  </si>
  <si>
    <t xml:space="preserve">Auburn</t>
  </si>
  <si>
    <t xml:space="preserve">jalen-mcmillan.php</t>
  </si>
  <si>
    <t xml:space="preserve">jalen mcmillan</t>
  </si>
  <si>
    <t xml:space="preserve">00-0039855</t>
  </si>
  <si>
    <t xml:space="preserve">McMiJa01</t>
  </si>
  <si>
    <t xml:space="preserve">2001-12-07</t>
  </si>
  <si>
    <t xml:space="preserve">brian-robinson-jr.php</t>
  </si>
  <si>
    <t xml:space="preserve">Brian Robinson</t>
  </si>
  <si>
    <t xml:space="preserve">brian robinson</t>
  </si>
  <si>
    <t xml:space="preserve">00-0037746</t>
  </si>
  <si>
    <t xml:space="preserve">RobiBr01</t>
  </si>
  <si>
    <t xml:space="preserve">1999-03-22</t>
  </si>
  <si>
    <t xml:space="preserve">adonai-mitchell.php</t>
  </si>
  <si>
    <t xml:space="preserve">adonai mitchell</t>
  </si>
  <si>
    <t xml:space="preserve">00-0039890</t>
  </si>
  <si>
    <t xml:space="preserve">MitcAd00</t>
  </si>
  <si>
    <t xml:space="preserve">Texas; Georgia</t>
  </si>
  <si>
    <t xml:space="preserve">tre-tucker.php</t>
  </si>
  <si>
    <t xml:space="preserve">tre tucker</t>
  </si>
  <si>
    <t xml:space="preserve">00-0038563</t>
  </si>
  <si>
    <t xml:space="preserve">TuckTr00</t>
  </si>
  <si>
    <t xml:space="preserve">2001-03-08</t>
  </si>
  <si>
    <t xml:space="preserve">dezhaun-stribling.php</t>
  </si>
  <si>
    <t xml:space="preserve">DeZhaun Stribling</t>
  </si>
  <si>
    <t xml:space="preserve">dezhaun stribling</t>
  </si>
  <si>
    <t xml:space="preserve">00-0041035</t>
  </si>
  <si>
    <t xml:space="preserve">2002-12-18</t>
  </si>
  <si>
    <t xml:space="preserve">Mississippi; Oklahoma State; Washington State</t>
  </si>
  <si>
    <t xml:space="preserve">travis-hunter.php</t>
  </si>
  <si>
    <t xml:space="preserve">travis hunter</t>
  </si>
  <si>
    <t xml:space="preserve">00-0040718</t>
  </si>
  <si>
    <t xml:space="preserve">HuntTr00</t>
  </si>
  <si>
    <t xml:space="preserve">2003-05-18</t>
  </si>
  <si>
    <t xml:space="preserve">Colorado; Jackson State University</t>
  </si>
  <si>
    <t xml:space="preserve">oronde-gadsden-ii.php</t>
  </si>
  <si>
    <t xml:space="preserve">Oronde Gadsden</t>
  </si>
  <si>
    <t xml:space="preserve">oronde gadsden</t>
  </si>
  <si>
    <t xml:space="preserve">00-0040189</t>
  </si>
  <si>
    <t xml:space="preserve">GadsOr01</t>
  </si>
  <si>
    <t xml:space="preserve">2003-06-25</t>
  </si>
  <si>
    <t xml:space="preserve">Syracuse</t>
  </si>
  <si>
    <t xml:space="preserve">dalton-schultz.php</t>
  </si>
  <si>
    <t xml:space="preserve">dalton schultz</t>
  </si>
  <si>
    <t xml:space="preserve">00-0034383</t>
  </si>
  <si>
    <t xml:space="preserve">SchuDa00</t>
  </si>
  <si>
    <t xml:space="preserve">1996-07-11</t>
  </si>
  <si>
    <t xml:space="preserve">tre-harris.php</t>
  </si>
  <si>
    <t xml:space="preserve">Tre Harris</t>
  </si>
  <si>
    <t xml:space="preserve">tre harris</t>
  </si>
  <si>
    <t xml:space="preserve">00-0040727</t>
  </si>
  <si>
    <t xml:space="preserve">HarrTr03</t>
  </si>
  <si>
    <t xml:space="preserve">2002-02-28</t>
  </si>
  <si>
    <t xml:space="preserve">Mississippi; Louisiana Tech</t>
  </si>
  <si>
    <t xml:space="preserve">braelon-allen.php</t>
  </si>
  <si>
    <t xml:space="preserve">braelon allen</t>
  </si>
  <si>
    <t xml:space="preserve">00-0039794</t>
  </si>
  <si>
    <t xml:space="preserve">AlleBr05</t>
  </si>
  <si>
    <t xml:space="preserve">2004-01-20</t>
  </si>
  <si>
    <t xml:space="preserve">ryan-flournoy.php</t>
  </si>
  <si>
    <t xml:space="preserve">ryan flournoy</t>
  </si>
  <si>
    <t xml:space="preserve">00-0039410</t>
  </si>
  <si>
    <t xml:space="preserve">FlouRy00</t>
  </si>
  <si>
    <t xml:space="preserve">1999-10-27</t>
  </si>
  <si>
    <t xml:space="preserve">Southeast Missouri State; Iowa Western CC</t>
  </si>
  <si>
    <t xml:space="preserve">tj-hockenson.php</t>
  </si>
  <si>
    <t xml:space="preserve">TJ Hockenson</t>
  </si>
  <si>
    <t xml:space="preserve">t j hockenson</t>
  </si>
  <si>
    <t xml:space="preserve">00-0035229</t>
  </si>
  <si>
    <t xml:space="preserve">HockTJ00</t>
  </si>
  <si>
    <t xml:space="preserve">1997-07-03</t>
  </si>
  <si>
    <t xml:space="preserve">jalen-nailor.php</t>
  </si>
  <si>
    <t xml:space="preserve">jalen nailor</t>
  </si>
  <si>
    <t xml:space="preserve">00-0037291</t>
  </si>
  <si>
    <t xml:space="preserve">NailJa00</t>
  </si>
  <si>
    <t xml:space="preserve">Michigan State</t>
  </si>
  <si>
    <t xml:space="preserve">ray-davis.php</t>
  </si>
  <si>
    <t xml:space="preserve">ray davis</t>
  </si>
  <si>
    <t xml:space="preserve">00-0039875</t>
  </si>
  <si>
    <t xml:space="preserve">DaviRa04</t>
  </si>
  <si>
    <t xml:space="preserve">1999-11-20</t>
  </si>
  <si>
    <t xml:space="preserve">Kentucky; Vanderbilt; Temple</t>
  </si>
  <si>
    <t xml:space="preserve">james-conner.php</t>
  </si>
  <si>
    <t xml:space="preserve">james conner</t>
  </si>
  <si>
    <t xml:space="preserve">00-0033553</t>
  </si>
  <si>
    <t xml:space="preserve">ConnJa00</t>
  </si>
  <si>
    <t xml:space="preserve">1995-05-05</t>
  </si>
  <si>
    <t xml:space="preserve">Pittsburgh</t>
  </si>
  <si>
    <t xml:space="preserve">kimani-vidal.php</t>
  </si>
  <si>
    <t xml:space="preserve">kimani vidal</t>
  </si>
  <si>
    <t xml:space="preserve">00-0039391</t>
  </si>
  <si>
    <t xml:space="preserve">VidaKi00</t>
  </si>
  <si>
    <t xml:space="preserve">2001-08-28</t>
  </si>
  <si>
    <t xml:space="preserve">Troy</t>
  </si>
  <si>
    <t xml:space="preserve">kayshon-boutte.php</t>
  </si>
  <si>
    <t xml:space="preserve">kayshon boutte</t>
  </si>
  <si>
    <t xml:space="preserve">00-0038608</t>
  </si>
  <si>
    <t xml:space="preserve">BoutKa00</t>
  </si>
  <si>
    <t xml:space="preserve">2002-05-07</t>
  </si>
  <si>
    <t xml:space="preserve">jacoby-brissett.php</t>
  </si>
  <si>
    <t xml:space="preserve">jacoby brissett</t>
  </si>
  <si>
    <t xml:space="preserve">00-0033119</t>
  </si>
  <si>
    <t xml:space="preserve">BrisJa00</t>
  </si>
  <si>
    <t xml:space="preserve">1992-12-11</t>
  </si>
  <si>
    <t xml:space="preserve">N.C. State; Florida</t>
  </si>
  <si>
    <t xml:space="preserve">emmett-johnson.php</t>
  </si>
  <si>
    <t xml:space="preserve">emmett johnson</t>
  </si>
  <si>
    <t xml:space="preserve">00-0041013</t>
  </si>
  <si>
    <t xml:space="preserve">2003-10-10</t>
  </si>
  <si>
    <t xml:space="preserve">Nebraska</t>
  </si>
  <si>
    <t xml:space="preserve">malik-washington.php</t>
  </si>
  <si>
    <t xml:space="preserve">malik washington</t>
  </si>
  <si>
    <t xml:space="preserve">00-0039880</t>
  </si>
  <si>
    <t xml:space="preserve">WashMa00</t>
  </si>
  <si>
    <t xml:space="preserve">Virginia; Northwestern</t>
  </si>
  <si>
    <t xml:space="preserve">dontayvion-wicks.php</t>
  </si>
  <si>
    <t xml:space="preserve">dontayvion wicks</t>
  </si>
  <si>
    <t xml:space="preserve">00-0038393</t>
  </si>
  <si>
    <t xml:space="preserve">WickDo00</t>
  </si>
  <si>
    <t xml:space="preserve">2001-06-16</t>
  </si>
  <si>
    <t xml:space="preserve">Virginia</t>
  </si>
  <si>
    <t xml:space="preserve">sean-tucker.php</t>
  </si>
  <si>
    <t xml:space="preserve">sean tucker</t>
  </si>
  <si>
    <t xml:space="preserve">00-0038951</t>
  </si>
  <si>
    <t xml:space="preserve">TuckSe00</t>
  </si>
  <si>
    <t xml:space="preserve">2001-10-25</t>
  </si>
  <si>
    <t xml:space="preserve">greg-dulcich.php</t>
  </si>
  <si>
    <t xml:space="preserve">greg dulcich</t>
  </si>
  <si>
    <t xml:space="preserve">00-0037252</t>
  </si>
  <si>
    <t xml:space="preserve">DulcGr00</t>
  </si>
  <si>
    <t xml:space="preserve">2000-03-26</t>
  </si>
  <si>
    <t xml:space="preserve">UCLA</t>
  </si>
  <si>
    <t xml:space="preserve">troy-franklin.php</t>
  </si>
  <si>
    <t xml:space="preserve">troy franklin</t>
  </si>
  <si>
    <t xml:space="preserve">00-0039868</t>
  </si>
  <si>
    <t xml:space="preserve">FranTr00</t>
  </si>
  <si>
    <t xml:space="preserve">2003-02-06</t>
  </si>
  <si>
    <t xml:space="preserve">pat-bryant.php</t>
  </si>
  <si>
    <t xml:space="preserve">pat bryant</t>
  </si>
  <si>
    <t xml:space="preserve">00-0040134</t>
  </si>
  <si>
    <t xml:space="preserve">BryaPa00</t>
  </si>
  <si>
    <t xml:space="preserve">2002-12-10</t>
  </si>
  <si>
    <t xml:space="preserve">Illinois</t>
  </si>
  <si>
    <t xml:space="preserve">jaylin-noel.php</t>
  </si>
  <si>
    <t xml:space="preserve">jaylin noel</t>
  </si>
  <si>
    <t xml:space="preserve">00-0040138</t>
  </si>
  <si>
    <t xml:space="preserve">NoelJa00</t>
  </si>
  <si>
    <t xml:space="preserve">2002-09-04</t>
  </si>
  <si>
    <t xml:space="preserve">calvin-ridley.php</t>
  </si>
  <si>
    <t xml:space="preserve">calvin ridley</t>
  </si>
  <si>
    <t xml:space="preserve">00-0034837</t>
  </si>
  <si>
    <t xml:space="preserve">RidlCa00</t>
  </si>
  <si>
    <t xml:space="preserve">1994-12-20</t>
  </si>
  <si>
    <t xml:space="preserve">mike-washington-jr.php</t>
  </si>
  <si>
    <t xml:space="preserve">Mike Washington</t>
  </si>
  <si>
    <t xml:space="preserve">mike washington</t>
  </si>
  <si>
    <t xml:space="preserve">00-0040878</t>
  </si>
  <si>
    <t xml:space="preserve">name_pos</t>
  </si>
  <si>
    <t xml:space="preserve">2003-07-03</t>
  </si>
  <si>
    <t xml:space="preserve">Arkansas; New Mexico State; Buffalo</t>
  </si>
  <si>
    <t xml:space="preserve">aj-barner.php</t>
  </si>
  <si>
    <t xml:space="preserve">aj barner</t>
  </si>
  <si>
    <t xml:space="preserve">00-0039793</t>
  </si>
  <si>
    <t xml:space="preserve">BarnAJ00</t>
  </si>
  <si>
    <t xml:space="preserve">2002-05-03</t>
  </si>
  <si>
    <t xml:space="preserve">Michigan; Indiana</t>
  </si>
  <si>
    <t xml:space="preserve">isaac-teslaa.php</t>
  </si>
  <si>
    <t xml:space="preserve">isaac teslaa</t>
  </si>
  <si>
    <t xml:space="preserve">00-0040669</t>
  </si>
  <si>
    <t xml:space="preserve">TeSlIs00</t>
  </si>
  <si>
    <t xml:space="preserve">2002-02-20</t>
  </si>
  <si>
    <t xml:space="preserve">Arkansas; Hillsdale</t>
  </si>
  <si>
    <t xml:space="preserve">emanuel-wilson.php</t>
  </si>
  <si>
    <t xml:space="preserve">emanuel wilson</t>
  </si>
  <si>
    <t xml:space="preserve">00-0038797</t>
  </si>
  <si>
    <t xml:space="preserve">WilsEm00</t>
  </si>
  <si>
    <t xml:space="preserve">1999-05-08</t>
  </si>
  <si>
    <t xml:space="preserve">Fort Valley State College</t>
  </si>
  <si>
    <t xml:space="preserve">darnell-mooney.php</t>
  </si>
  <si>
    <t xml:space="preserve">darnell mooney</t>
  </si>
  <si>
    <t xml:space="preserve">00-0036309</t>
  </si>
  <si>
    <t xml:space="preserve">MoonDa00</t>
  </si>
  <si>
    <t xml:space="preserve">1997-10-29</t>
  </si>
  <si>
    <t xml:space="preserve">nathaniel-dell.php</t>
  </si>
  <si>
    <t xml:space="preserve">tank dell</t>
  </si>
  <si>
    <t xml:space="preserve">00-0038977</t>
  </si>
  <si>
    <t xml:space="preserve">1999-10-29</t>
  </si>
  <si>
    <t xml:space="preserve">Houston; Independence Comm. College; Alabama A&amp;M</t>
  </si>
  <si>
    <t xml:space="preserve">nick-singleton.php</t>
  </si>
  <si>
    <t xml:space="preserve">nicholas singleton</t>
  </si>
  <si>
    <t xml:space="preserve">00-0040886</t>
  </si>
  <si>
    <t xml:space="preserve">2004-01-06</t>
  </si>
  <si>
    <t xml:space="preserve">kenyon-sadiq.php</t>
  </si>
  <si>
    <t xml:space="preserve">kenyon sadiq</t>
  </si>
  <si>
    <t xml:space="preserve">00-0041032</t>
  </si>
  <si>
    <t xml:space="preserve">2005-03-04</t>
  </si>
  <si>
    <t xml:space="preserve">antonio-williams-wr.php</t>
  </si>
  <si>
    <t xml:space="preserve">antonio williams</t>
  </si>
  <si>
    <t xml:space="preserve">00-0041040</t>
  </si>
  <si>
    <t xml:space="preserve">2004-07-14</t>
  </si>
  <si>
    <t xml:space="preserve">marshawn-lloyd.php</t>
  </si>
  <si>
    <t xml:space="preserve">marshawn lloyd</t>
  </si>
  <si>
    <t xml:space="preserve">00-0039811</t>
  </si>
  <si>
    <t xml:space="preserve">USC; South Carolina</t>
  </si>
  <si>
    <t xml:space="preserve">rashod-bateman.php</t>
  </si>
  <si>
    <t xml:space="preserve">rashod bateman</t>
  </si>
  <si>
    <t xml:space="preserve">00-0036550</t>
  </si>
  <si>
    <t xml:space="preserve">BateRa00</t>
  </si>
  <si>
    <t xml:space="preserve">1999-11-29</t>
  </si>
  <si>
    <t xml:space="preserve">Minnesota</t>
  </si>
  <si>
    <t xml:space="preserve">aaron-rodgers.php</t>
  </si>
  <si>
    <t xml:space="preserve">aaron rodgers</t>
  </si>
  <si>
    <t xml:space="preserve">00-0023459</t>
  </si>
  <si>
    <t xml:space="preserve">RodgAa00</t>
  </si>
  <si>
    <t xml:space="preserve">1983-12-02</t>
  </si>
  <si>
    <t xml:space="preserve">California; Butte College</t>
  </si>
  <si>
    <t xml:space="preserve">cooper-kupp.php</t>
  </si>
  <si>
    <t xml:space="preserve">cooper kupp</t>
  </si>
  <si>
    <t xml:space="preserve">00-0033908</t>
  </si>
  <si>
    <t xml:space="preserve">KuppCo00</t>
  </si>
  <si>
    <t xml:space="preserve">1993-06-15</t>
  </si>
  <si>
    <t xml:space="preserve">Eastern Washington</t>
  </si>
  <si>
    <t xml:space="preserve">gunnar-helm.php</t>
  </si>
  <si>
    <t xml:space="preserve">gunnar helm</t>
  </si>
  <si>
    <t xml:space="preserve">00-0040584</t>
  </si>
  <si>
    <t xml:space="preserve">HelmGu00</t>
  </si>
  <si>
    <t xml:space="preserve">2002-09-06</t>
  </si>
  <si>
    <t xml:space="preserve">jaydon-blue.php</t>
  </si>
  <si>
    <t xml:space="preserve">jaydon blue</t>
  </si>
  <si>
    <t xml:space="preserve">00-0040586</t>
  </si>
  <si>
    <t xml:space="preserve">BlueJa01</t>
  </si>
  <si>
    <t xml:space="preserve">2004-01-08</t>
  </si>
  <si>
    <t xml:space="preserve">geno-smith.php</t>
  </si>
  <si>
    <t xml:space="preserve">geno smith</t>
  </si>
  <si>
    <t xml:space="preserve">00-0030565</t>
  </si>
  <si>
    <t xml:space="preserve">SmitGe00</t>
  </si>
  <si>
    <t xml:space="preserve">1990-10-10</t>
  </si>
  <si>
    <t xml:space="preserve">West Virginia</t>
  </si>
  <si>
    <t xml:space="preserve">kaytron-allen.php</t>
  </si>
  <si>
    <t xml:space="preserve">kaytron allen</t>
  </si>
  <si>
    <t xml:space="preserve">00-0041096</t>
  </si>
  <si>
    <t xml:space="preserve">2003-01-08</t>
  </si>
  <si>
    <t xml:space="preserve">zachariah-branch.php</t>
  </si>
  <si>
    <t xml:space="preserve">zachariah branch</t>
  </si>
  <si>
    <t xml:space="preserve">00-0041044</t>
  </si>
  <si>
    <t xml:space="preserve">2004-03-29</t>
  </si>
  <si>
    <t xml:space="preserve">Georgia; USC</t>
  </si>
  <si>
    <t xml:space="preserve">jaylen-wright.php</t>
  </si>
  <si>
    <t xml:space="preserve">jaylen wright</t>
  </si>
  <si>
    <t xml:space="preserve">00-0039874</t>
  </si>
  <si>
    <t xml:space="preserve">WrigJa04</t>
  </si>
  <si>
    <t xml:space="preserve">2003-04-01</t>
  </si>
  <si>
    <t xml:space="preserve">chimere-dike.php</t>
  </si>
  <si>
    <t xml:space="preserve">chimere dike</t>
  </si>
  <si>
    <t xml:space="preserve">00-0040705</t>
  </si>
  <si>
    <t xml:space="preserve">DikeCh00</t>
  </si>
  <si>
    <t xml:space="preserve">2001-12-14</t>
  </si>
  <si>
    <t xml:space="preserve">Florida; Wisconsin</t>
  </si>
  <si>
    <t xml:space="preserve">terrance-ferguson.php</t>
  </si>
  <si>
    <t xml:space="preserve">terrance ferguson</t>
  </si>
  <si>
    <t xml:space="preserve">00-0040737</t>
  </si>
  <si>
    <t xml:space="preserve">FergTe00</t>
  </si>
  <si>
    <t xml:space="preserve">2003-03-07</t>
  </si>
  <si>
    <t xml:space="preserve">germie-bernard.php</t>
  </si>
  <si>
    <t xml:space="preserve">germie bernard</t>
  </si>
  <si>
    <t xml:space="preserve">00-0041489</t>
  </si>
  <si>
    <t xml:space="preserve">Alabama; Washington; Michigan State</t>
  </si>
  <si>
    <t xml:space="preserve">pat-freiermuth.php</t>
  </si>
  <si>
    <t xml:space="preserve">pat freiermuth</t>
  </si>
  <si>
    <t xml:space="preserve">00-0036894</t>
  </si>
  <si>
    <t xml:space="preserve">FreiPa00</t>
  </si>
  <si>
    <t xml:space="preserve">1998-10-25</t>
  </si>
  <si>
    <t xml:space="preserve">justice-hill.php</t>
  </si>
  <si>
    <t xml:space="preserve">justice hill</t>
  </si>
  <si>
    <t xml:space="preserve">00-0034975</t>
  </si>
  <si>
    <t xml:space="preserve">HillJu00</t>
  </si>
  <si>
    <t xml:space="preserve">1997-11-14</t>
  </si>
  <si>
    <t xml:space="preserve">elic-ayomanor.php</t>
  </si>
  <si>
    <t xml:space="preserve">elic ayomanor</t>
  </si>
  <si>
    <t xml:space="preserve">00-0040170</t>
  </si>
  <si>
    <t xml:space="preserve">AyomEl00</t>
  </si>
  <si>
    <t xml:space="preserve">2003-06-03</t>
  </si>
  <si>
    <t xml:space="preserve">cade-otton.php</t>
  </si>
  <si>
    <t xml:space="preserve">cade otton</t>
  </si>
  <si>
    <t xml:space="preserve">00-0038129</t>
  </si>
  <si>
    <t xml:space="preserve">OttoCa00</t>
  </si>
  <si>
    <t xml:space="preserve">1999-04-15</t>
  </si>
  <si>
    <t xml:space="preserve">ollie-gordon.php</t>
  </si>
  <si>
    <t xml:space="preserve">Ollie Gordon</t>
  </si>
  <si>
    <t xml:space="preserve">ollie gordon</t>
  </si>
  <si>
    <t xml:space="preserve">00-0040198</t>
  </si>
  <si>
    <t xml:space="preserve">GordOl00</t>
  </si>
  <si>
    <t xml:space="preserve">2004-01-15</t>
  </si>
  <si>
    <t xml:space="preserve">jack-bech.php</t>
  </si>
  <si>
    <t xml:space="preserve">jack bech</t>
  </si>
  <si>
    <t xml:space="preserve">00-0040729</t>
  </si>
  <si>
    <t xml:space="preserve">BechJa00</t>
  </si>
  <si>
    <t xml:space="preserve">TCU; LSU</t>
  </si>
  <si>
    <t xml:space="preserve">keon-coleman.php</t>
  </si>
  <si>
    <t xml:space="preserve">keon coleman</t>
  </si>
  <si>
    <t xml:space="preserve">00-0039901</t>
  </si>
  <si>
    <t xml:space="preserve">ColeKe02</t>
  </si>
  <si>
    <t xml:space="preserve">2003-05-17</t>
  </si>
  <si>
    <t xml:space="preserve">Florida State; Michigan State</t>
  </si>
  <si>
    <t xml:space="preserve">brandon-aiyuk.php</t>
  </si>
  <si>
    <t xml:space="preserve">brandon aiyuk</t>
  </si>
  <si>
    <t xml:space="preserve">00-0036261</t>
  </si>
  <si>
    <t xml:space="preserve">1998-03-17</t>
  </si>
  <si>
    <t xml:space="preserve">Arizona State; Sierra JC</t>
  </si>
  <si>
    <t xml:space="preserve">isaiah-davis.php</t>
  </si>
  <si>
    <t xml:space="preserve">isaiah davis</t>
  </si>
  <si>
    <t xml:space="preserve">00-0039798</t>
  </si>
  <si>
    <t xml:space="preserve">DaviIs00</t>
  </si>
  <si>
    <t xml:space="preserve">2002-02-21</t>
  </si>
  <si>
    <t xml:space="preserve">david-njoku.php</t>
  </si>
  <si>
    <t xml:space="preserve">david njoku</t>
  </si>
  <si>
    <t xml:space="preserve">00-0033885</t>
  </si>
  <si>
    <t xml:space="preserve">NjokDa00</t>
  </si>
  <si>
    <t xml:space="preserve">1996-07-10</t>
  </si>
  <si>
    <t xml:space="preserve">Miami</t>
  </si>
  <si>
    <t xml:space="preserve">chris-bell.php</t>
  </si>
  <si>
    <t xml:space="preserve">chris bell</t>
  </si>
  <si>
    <t xml:space="preserve">00-0041525</t>
  </si>
  <si>
    <t xml:space="preserve">2004-06-07</t>
  </si>
  <si>
    <t xml:space="preserve">cyrus-allen.php</t>
  </si>
  <si>
    <t xml:space="preserve">cyrus allen</t>
  </si>
  <si>
    <t xml:space="preserve">00-0040890</t>
  </si>
  <si>
    <t xml:space="preserve">2003-02-11</t>
  </si>
  <si>
    <t xml:space="preserve">Cincinnati; Texas A&amp;M; Louisiana Tech</t>
  </si>
  <si>
    <t xml:space="preserve">george-holani.php</t>
  </si>
  <si>
    <t xml:space="preserve">george holani</t>
  </si>
  <si>
    <t xml:space="preserve">00-0039299</t>
  </si>
  <si>
    <t xml:space="preserve">HolaGe00</t>
  </si>
  <si>
    <t xml:space="preserve">1999-12-16</t>
  </si>
  <si>
    <t xml:space="preserve">christian-kirk.php</t>
  </si>
  <si>
    <t xml:space="preserve">christian kirk</t>
  </si>
  <si>
    <t xml:space="preserve">00-0034775</t>
  </si>
  <si>
    <t xml:space="preserve">KirkCh01</t>
  </si>
  <si>
    <t xml:space="preserve">1996-11-18</t>
  </si>
  <si>
    <t xml:space="preserve">jakobi-lane.php</t>
  </si>
  <si>
    <t xml:space="preserve">JaKobi Lane</t>
  </si>
  <si>
    <t xml:space="preserve">jakobi lane</t>
  </si>
  <si>
    <t xml:space="preserve">00-0040870</t>
  </si>
  <si>
    <t xml:space="preserve">2004-08-05</t>
  </si>
  <si>
    <t xml:space="preserve">evan-engram.php</t>
  </si>
  <si>
    <t xml:space="preserve">evan engram</t>
  </si>
  <si>
    <t xml:space="preserve">00-0033881</t>
  </si>
  <si>
    <t xml:space="preserve">EngrEv00</t>
  </si>
  <si>
    <t xml:space="preserve">1994-09-02</t>
  </si>
  <si>
    <t xml:space="preserve">demond-claiborne.php</t>
  </si>
  <si>
    <t xml:space="preserve">demond claiborne</t>
  </si>
  <si>
    <t xml:space="preserve">00-0041104</t>
  </si>
  <si>
    <t xml:space="preserve">Wake Forest</t>
  </si>
  <si>
    <t xml:space="preserve">ted-hurst.php</t>
  </si>
  <si>
    <t xml:space="preserve">Ted Hurst</t>
  </si>
  <si>
    <t xml:space="preserve">ted hurst</t>
  </si>
  <si>
    <t xml:space="preserve">00-0041048</t>
  </si>
  <si>
    <t xml:space="preserve">2004-07-02</t>
  </si>
  <si>
    <t xml:space="preserve">Georgia State; Valdosta State</t>
  </si>
  <si>
    <t xml:space="preserve">tory-horton.php</t>
  </si>
  <si>
    <t xml:space="preserve">tory horton</t>
  </si>
  <si>
    <t xml:space="preserve">00-0040648</t>
  </si>
  <si>
    <t xml:space="preserve">HortTo00</t>
  </si>
  <si>
    <t xml:space="preserve">2002-11-29</t>
  </si>
  <si>
    <t xml:space="preserve">Colorado State; Nevada</t>
  </si>
  <si>
    <t xml:space="preserve">malachi-fields.php</t>
  </si>
  <si>
    <t xml:space="preserve">malachi fields</t>
  </si>
  <si>
    <t xml:space="preserve">00-0041042</t>
  </si>
  <si>
    <t xml:space="preserve">2003-08-26</t>
  </si>
  <si>
    <t xml:space="preserve">Notre Dame; Virginia</t>
  </si>
  <si>
    <t xml:space="preserve">ty-johnson.php</t>
  </si>
  <si>
    <t xml:space="preserve">ty johnson</t>
  </si>
  <si>
    <t xml:space="preserve">00-0035537</t>
  </si>
  <si>
    <t xml:space="preserve">JohnTy02</t>
  </si>
  <si>
    <t xml:space="preserve">1997-09-17</t>
  </si>
  <si>
    <t xml:space="preserve">fernando-mendoza.php</t>
  </si>
  <si>
    <t xml:space="preserve">fernando mendoza</t>
  </si>
  <si>
    <t xml:space="preserve">00-0041562</t>
  </si>
  <si>
    <t xml:space="preserve">2003-10-01</t>
  </si>
  <si>
    <t xml:space="preserve">Indiana; California</t>
  </si>
  <si>
    <t xml:space="preserve">tyreek-hill.php</t>
  </si>
  <si>
    <t xml:space="preserve">FA</t>
  </si>
  <si>
    <t xml:space="preserve">tyreek hill</t>
  </si>
  <si>
    <t xml:space="preserve">00-0033040</t>
  </si>
  <si>
    <t xml:space="preserve">players_latest_team</t>
  </si>
  <si>
    <t xml:space="preserve">HillTy00</t>
  </si>
  <si>
    <t xml:space="preserve">1994-03-01</t>
  </si>
  <si>
    <t xml:space="preserve">West Alabama; Garden City CC; Oklahoma State</t>
  </si>
  <si>
    <t xml:space="preserve">caleb-douglas.php</t>
  </si>
  <si>
    <t xml:space="preserve">caleb douglas</t>
  </si>
  <si>
    <t xml:space="preserve">00-0041523</t>
  </si>
  <si>
    <t xml:space="preserve">2003-09-09</t>
  </si>
  <si>
    <t xml:space="preserve">Texas Tech; Florida</t>
  </si>
  <si>
    <t xml:space="preserve">elijah-sarratt.php</t>
  </si>
  <si>
    <t xml:space="preserve">elijah sarratt</t>
  </si>
  <si>
    <t xml:space="preserve">00-0040876</t>
  </si>
  <si>
    <t xml:space="preserve">2003-05-28</t>
  </si>
  <si>
    <t xml:space="preserve">Indiana; James Madison; St. Francis PA</t>
  </si>
  <si>
    <t xml:space="preserve">marvin-mims.php</t>
  </si>
  <si>
    <t xml:space="preserve">Marvin Mims</t>
  </si>
  <si>
    <t xml:space="preserve">marvin mims</t>
  </si>
  <si>
    <t xml:space="preserve">00-0038976</t>
  </si>
  <si>
    <t xml:space="preserve">MimsMa00</t>
  </si>
  <si>
    <t xml:space="preserve">2002-03-19</t>
  </si>
  <si>
    <t xml:space="preserve">xavier-legette.php</t>
  </si>
  <si>
    <t xml:space="preserve">xavier legette</t>
  </si>
  <si>
    <t xml:space="preserve">00-0039342</t>
  </si>
  <si>
    <t xml:space="preserve">LegeXa00</t>
  </si>
  <si>
    <t xml:space="preserve">2001-01-29</t>
  </si>
  <si>
    <t xml:space="preserve">trey-benson.php</t>
  </si>
  <si>
    <t xml:space="preserve">trey benson</t>
  </si>
  <si>
    <t xml:space="preserve">00-0039921</t>
  </si>
  <si>
    <t xml:space="preserve">BensTr01</t>
  </si>
  <si>
    <t xml:space="preserve">2002-07-23</t>
  </si>
  <si>
    <t xml:space="preserve">Florida State; Oregon</t>
  </si>
  <si>
    <t xml:space="preserve">colby-parkinson.php</t>
  </si>
  <si>
    <t xml:space="preserve">colby parkinson</t>
  </si>
  <si>
    <t xml:space="preserve">00-0036244</t>
  </si>
  <si>
    <t xml:space="preserve">ParkCo02</t>
  </si>
  <si>
    <t xml:space="preserve">1999-01-07</t>
  </si>
  <si>
    <t xml:space="preserve">tua-tagovailoa.php</t>
  </si>
  <si>
    <t xml:space="preserve">tua tagovailoa</t>
  </si>
  <si>
    <t xml:space="preserve">00-0036212</t>
  </si>
  <si>
    <t xml:space="preserve">TagoTu00</t>
  </si>
  <si>
    <t xml:space="preserve">1998-03-02</t>
  </si>
  <si>
    <t xml:space="preserve">lequint-allen-jr.php</t>
  </si>
  <si>
    <t xml:space="preserve">LeQuint Allen</t>
  </si>
  <si>
    <t xml:space="preserve">lequint allen</t>
  </si>
  <si>
    <t xml:space="preserve">00-0040238</t>
  </si>
  <si>
    <t xml:space="preserve">AlleLe01</t>
  </si>
  <si>
    <t xml:space="preserve">jordan-james.php</t>
  </si>
  <si>
    <t xml:space="preserve">jordan james</t>
  </si>
  <si>
    <t xml:space="preserve">00-0040177</t>
  </si>
  <si>
    <t xml:space="preserve">christopher-brooks.php</t>
  </si>
  <si>
    <t xml:space="preserve">chris brooks</t>
  </si>
  <si>
    <t xml:space="preserve">00-0038685</t>
  </si>
  <si>
    <t xml:space="preserve">BrooCh00</t>
  </si>
  <si>
    <t xml:space="preserve">2000-01-11</t>
  </si>
  <si>
    <t xml:space="preserve">BYU; California</t>
  </si>
  <si>
    <t xml:space="preserve">dj-giddens.php</t>
  </si>
  <si>
    <t xml:space="preserve">dj giddens</t>
  </si>
  <si>
    <t xml:space="preserve">00-0040179</t>
  </si>
  <si>
    <t xml:space="preserve">GiddDJ00</t>
  </si>
  <si>
    <t xml:space="preserve">Kansas State</t>
  </si>
  <si>
    <t xml:space="preserve">darius-slayton.php</t>
  </si>
  <si>
    <t xml:space="preserve">darius slayton</t>
  </si>
  <si>
    <t xml:space="preserve">00-0035535</t>
  </si>
  <si>
    <t xml:space="preserve">SlayDa01</t>
  </si>
  <si>
    <t xml:space="preserve">1997-01-12</t>
  </si>
  <si>
    <t xml:space="preserve">tyquan-thornton.php</t>
  </si>
  <si>
    <t xml:space="preserve">tyquan thornton</t>
  </si>
  <si>
    <t xml:space="preserve">00-0038104</t>
  </si>
  <si>
    <t xml:space="preserve">ThorTy00</t>
  </si>
  <si>
    <t xml:space="preserve">2000-08-07</t>
  </si>
  <si>
    <t xml:space="preserve">Baylor</t>
  </si>
  <si>
    <t xml:space="preserve">keenan-allen.php</t>
  </si>
  <si>
    <t xml:space="preserve">keenan allen</t>
  </si>
  <si>
    <t xml:space="preserve">00-0030279</t>
  </si>
  <si>
    <t xml:space="preserve">AlleKe00</t>
  </si>
  <si>
    <t xml:space="preserve">1992-04-27</t>
  </si>
  <si>
    <t xml:space="preserve">kaelon-black.php</t>
  </si>
  <si>
    <t xml:space="preserve">kaelon black</t>
  </si>
  <si>
    <t xml:space="preserve">00-0041052</t>
  </si>
  <si>
    <t xml:space="preserve">2001-10-17</t>
  </si>
  <si>
    <t xml:space="preserve">Indiana; James Madison</t>
  </si>
  <si>
    <t xml:space="preserve">samaje-perine.php</t>
  </si>
  <si>
    <t xml:space="preserve">samaje perine</t>
  </si>
  <si>
    <t xml:space="preserve">00-0033526</t>
  </si>
  <si>
    <t xml:space="preserve">PeriSa00</t>
  </si>
  <si>
    <t xml:space="preserve">1995-09-16</t>
  </si>
  <si>
    <t xml:space="preserve">mike-gesicki.php</t>
  </si>
  <si>
    <t xml:space="preserve">mike gesicki</t>
  </si>
  <si>
    <t xml:space="preserve">00-0034829</t>
  </si>
  <si>
    <t xml:space="preserve">GesiMi00</t>
  </si>
  <si>
    <t xml:space="preserve">1995-10-03</t>
  </si>
  <si>
    <t xml:space="preserve">kyle-williams-wr-2025.php</t>
  </si>
  <si>
    <t xml:space="preserve">kyle williams</t>
  </si>
  <si>
    <t xml:space="preserve">00-0040131</t>
  </si>
  <si>
    <t xml:space="preserve">WillKy03</t>
  </si>
  <si>
    <t xml:space="preserve">2002-11-13</t>
  </si>
  <si>
    <t xml:space="preserve">Washington State</t>
  </si>
  <si>
    <t xml:space="preserve">kaleb-johnson-rb.php</t>
  </si>
  <si>
    <t xml:space="preserve">kaleb johnson</t>
  </si>
  <si>
    <t xml:space="preserve">00-0040142</t>
  </si>
  <si>
    <t xml:space="preserve">JohnKa03</t>
  </si>
  <si>
    <t xml:space="preserve">2003-08-14</t>
  </si>
  <si>
    <t xml:space="preserve">Top 250 Fantasy Analytics — 2026 season</t>
  </si>
  <si>
    <t xml:space="preserve">Built</t>
  </si>
  <si>
    <t xml:space="preserve">2026-08-18 04:09</t>
  </si>
  <si>
    <t xml:space="preserve">Production season</t>
  </si>
  <si>
    <t xml:space="preserve">2025 regular season only (weeks 1-18). Playoffs are excluded: only 14 teams play them, so including them would quietly reward players on good teams in every per-game column.</t>
  </si>
  <si>
    <t xml:space="preserve">Market season</t>
  </si>
  <si>
    <t xml:space="preserve">2026 draft data</t>
  </si>
  <si>
    <t xml:space="preserve">Column prefixes</t>
  </si>
  <si>
    <t xml:space="preserve">'25 = actual 2025 production · tm_ = 2026 team context · everything else is 2026 market or biographical data. A column is never a blend of the two seasons.</t>
  </si>
  <si>
    <t xml:space="preserve">ADP source</t>
  </si>
  <si>
    <t xml:space="preserve">Identity match</t>
  </si>
  <si>
    <t xml:space="preserve">fp_id=249, name_pos=1</t>
  </si>
  <si>
    <t xml:space="preserve">Teams graded</t>
  </si>
  <si>
    <t xml:space="preserve">32</t>
  </si>
  <si>
    <t xml:space="preserve">Offensive line: how the grades are computed</t>
  </si>
  <si>
    <t xml:space="preserve">Why computed, not sourced</t>
  </si>
  <si>
    <t xml:space="preserve">There is no free public O-line grade. ESPN's Run/Pass Block Win Rate and PFF's grades are both paywalled. These grades are therefore computed from play-by-play using the public Football Outsiders methodology.</t>
  </si>
  <si>
    <t xml:space="preserve">Adjusted Line Yards</t>
  </si>
  <si>
    <t xml:space="preserve">Each running-back carry is credited to the line on a sliding scale, because a 3-yard gain is the blocking and a 40-yard gain is the runner: losses at 120%, 0-4 yards at 100%, 5-10 yards at 50%, 11+ yards at 0% (capped at 7.0). Then adjusted for the run defences actually faced. QB scrambles and kneels are excluded.</t>
  </si>
  <si>
    <t xml:space="preserve">Share of carries gaining 0 or fewer yards. Opponent-adjusted. Lower is better.</t>
  </si>
  <si>
    <t xml:space="preserve">Conversion rate on 3rd/4th down with 2 or fewer to go, plus goal-to-go carries from inside the 2.</t>
  </si>
  <si>
    <t xml:space="preserve">Second Level / Open Field</t>
  </si>
  <si>
    <t xml:space="preserve">Yards earned 5-10 and 11+ yards past the line, per carry. Mostly the runner; shown as a control.</t>
  </si>
  <si>
    <t xml:space="preserve">Run Block Grade</t>
  </si>
  <si>
    <t xml:space="preserve">Weighted z-score blend rescaled 0-100 where 50 is league average: Adjusted Line Yards 40%, Stuff Rate 20%, Power Success 15%, Yards Before Contact 25%.</t>
  </si>
  <si>
    <t xml:space="preserve">Pass Block Grade</t>
  </si>
  <si>
    <t xml:space="preserve">Pressure rate allowed 45%, opponent-adjusted sack rate allowed 35%, average pocket time 20%. Same 0-100 scale.</t>
  </si>
  <si>
    <t xml:space="preserve">Share of 2025 offensive-line snaps played by men who are on that team's 2026 roster, plus how many of the five projected 2026 starters logged 200+ snaps there in 2025. A 90-grade line at 40% continuity is a very different bet from 90 at 95%.</t>
  </si>
  <si>
    <t xml:space="preserve">Player metrics</t>
  </si>
  <si>
    <t xml:space="preserve">Target / Carry Share*</t>
  </si>
  <si>
    <t xml:space="preserve">Starred share columns are computed over only the weeks the player actually appeared, which is what carries forward. The unstarred versions use the team's full season and are dragged down by missed time. Both are in the Raw tab.</t>
  </si>
  <si>
    <t xml:space="preserve">1.5 x target share + 0.7 x air-yards share.</t>
  </si>
  <si>
    <t xml:space="preserve">Boom / Bust</t>
  </si>
  <si>
    <t xml:space="preserve">Boom = a week finishing top-12 at the position (top-6 for TE). Bust = a week under half the positional median. Both computed over weeks played, not weeks on the roster.</t>
  </si>
  <si>
    <t xml:space="preserve">Floor / Ceiling</t>
  </si>
  <si>
    <t xml:space="preserve">25th and 85th percentile of weekly PPR scores in games played.</t>
  </si>
  <si>
    <t xml:space="preserve">Every carry and target is assigned the league's empirical touchdown probability for that yard line and play type, then summed. TD Over Expected separates a back who scored twelve times from inside the 5 (repeatable) from one who scored twelve times on breakaways (not).</t>
  </si>
  <si>
    <t xml:space="preserve">Vacated opportunity</t>
  </si>
  <si>
    <t xml:space="preserve">2025 targets, carries and red-zone touches produced by players who are no longer on that team's 2026 roster. Somebody has to absorb them.</t>
  </si>
  <si>
    <t xml:space="preserve">Position-relative z-score of 2025 PPR finish minus the z-score of 2026 ADP. Positive means the market is discounting last year's production. Read it beside Vacated Opportunity and OL Continuity to tell 'cheap because the market is wrong' from 'cheap because the situation collapsed'.</t>
  </si>
  <si>
    <t xml:space="preserve">Blank vs zero</t>
  </si>
  <si>
    <t xml:space="preserve">A blank production cell means no 2025 NFL snaps (rookie, or missed the season) — see the Notes column. Zero means he played and produced nothing. Rate stats are suppressed below 4 games because they are noise at that sample size.</t>
  </si>
  <si>
    <t xml:space="preserve">Known limitations</t>
  </si>
  <si>
    <t xml:space="preserve">No route data</t>
  </si>
  <si>
    <t xml:space="preserve">Yards per route run is the best receiver efficiency metric available and it is paywalled (PFF / TruMedia). Yards per target and snap share stand in. They correlate; they are not the same thing.</t>
  </si>
  <si>
    <t xml:space="preserve">Unit-level O-line</t>
  </si>
  <si>
    <t xml:space="preserve">Grades describe the unit, not individual linemen. No free per-lineman grade exists.</t>
  </si>
  <si>
    <t xml:space="preserve">Not a projection</t>
  </si>
  <si>
    <t xml:space="preserve">This describes what happened in 2025 and what the market believes in 2026. Coordinator changes, scheme changes and free agency are not modelled.</t>
  </si>
  <si>
    <t xml:space="preserve">Preseason timing</t>
  </si>
  <si>
    <t xml:space="preserve">2026 depth charts shift through final cuts. Re-run the script to refresh.</t>
  </si>
  <si>
    <t xml:space="preserve">Sources</t>
  </si>
  <si>
    <t xml:space="preserve">players (cache, 25,040 rows)</t>
  </si>
  <si>
    <t xml:space="preserve">https://github.com/nflverse/nflverse-data/releases/download/players/players.parquet</t>
  </si>
  <si>
    <t xml:space="preserve">dp_ids (cache, 12,472 rows)</t>
  </si>
  <si>
    <t xml:space="preserve">https://raw.githubusercontent.com/dynastyprocess/data/master/files/db_playerids.csv</t>
  </si>
  <si>
    <t xml:space="preserve">fp_ecr (cache, 5,849 rows)</t>
  </si>
  <si>
    <t xml:space="preserve">https://raw.githubusercontent.com/dynastyprocess/data/master/files/db_fpecr_latest.csv</t>
  </si>
  <si>
    <t xml:space="preserve">roster_mkt (cache, 2,930 rows)</t>
  </si>
  <si>
    <t xml:space="preserve">https://github.com/nflverse/nflverse-data/releases/download/rosters/roster_2026.parquet</t>
  </si>
  <si>
    <t xml:space="preserve">depth_mkt (cache, 442,872 rows)</t>
  </si>
  <si>
    <t xml:space="preserve">https://github.com/nflverse/nflverse-data/releases/download/depth_charts/depth_charts_2026.parquet</t>
  </si>
  <si>
    <t xml:space="preserve">weekly (cache, 19,422 rows)</t>
  </si>
  <si>
    <t xml:space="preserve">https://github.com/nflverse/nflverse-data/releases/download/stats_player/stats_player_week_2025.parquet</t>
  </si>
  <si>
    <t xml:space="preserve">snaps (cache, 26,612 rows)</t>
  </si>
  <si>
    <t xml:space="preserve">https://github.com/nflverse/nflverse-data/releases/download/snap_counts/snap_counts_2025.parquet</t>
  </si>
  <si>
    <t xml:space="preserve">ngs_rec (cache, 14,731 rows)</t>
  </si>
  <si>
    <t xml:space="preserve">https://github.com/nflverse/nflverse-data/releases/download/nextgen_stats/ngs_receiving.parquet</t>
  </si>
  <si>
    <t xml:space="preserve">ngs_rush (cache, 6,059 rows)</t>
  </si>
  <si>
    <t xml:space="preserve">https://github.com/nflverse/nflverse-data/releases/download/nextgen_stats/ngs_rushing.parquet</t>
  </si>
  <si>
    <t xml:space="preserve">adv_rush (cache, 2,820 rows)</t>
  </si>
  <si>
    <t xml:space="preserve">https://github.com/nflverse/nflverse-data/releases/download/pfr_advstats/advstats_season_rush.parquet</t>
  </si>
  <si>
    <t xml:space="preserve">adv_pass (cache, 848 rows)</t>
  </si>
  <si>
    <t xml:space="preserve">https://github.com/nflverse/nflverse-data/releases/download/pfr_advstats/advstats_season_pass.parquet</t>
  </si>
  <si>
    <t xml:space="preserve">adv_rec (cache, 4,130 rows)</t>
  </si>
  <si>
    <t xml:space="preserve">https://github.com/nflverse/nflverse-data/releases/download/pfr_advstats/advstats_season_rec.parquet</t>
  </si>
  <si>
    <t xml:space="preserve">pbp (cache, 48,771 rows)</t>
  </si>
  <si>
    <t xml:space="preserve">https://github.com/nflverse/nflverse-data/releases/download/pbp/play_by_play_2025.parquet</t>
  </si>
  <si>
    <t xml:space="preserve">games (cache, 7,548 rows)</t>
  </si>
  <si>
    <t xml:space="preserve">https://raw.githubusercontent.com/nflverse/nfldata/master/data/games.csv</t>
  </si>
  <si>
    <t xml:space="preserve">dp_values (cache, 698 rows)</t>
  </si>
  <si>
    <t xml:space="preserve">https://raw.githubusercontent.com/dynastyprocess/data/master/files/values-players.csv</t>
  </si>
  <si>
    <t xml:space="preserve">live_adp (unreachable, 0 rows)</t>
  </si>
  <si>
    <t xml:space="preserve">https://fantasyfootballcalculator.com/api/v1/adp/ppr?teams=12&amp;year=2026|https://api.sleeper.app/v1/players/nfl</t>
  </si>
</sst>
</file>

<file path=xl/styles.xml><?xml version="1.0" encoding="utf-8"?>
<styleSheet xmlns="http://schemas.openxmlformats.org/spreadsheetml/2006/main">
  <numFmts count="7">
    <numFmt numFmtId="164" formatCode="General"/>
    <numFmt numFmtId="165" formatCode="#,##0"/>
    <numFmt numFmtId="166" formatCode="0.0"/>
    <numFmt numFmtId="167" formatCode="0.00"/>
    <numFmt numFmtId="168" formatCode="0.000"/>
    <numFmt numFmtId="169" formatCode="0.0%"/>
    <numFmt numFmtId="170" formatCode="General"/>
  </numFmts>
  <fonts count="10">
    <font>
      <sz val="11"/>
      <color theme="1"/>
      <name val="Calibri"/>
      <family val="2"/>
      <charset val="1"/>
    </font>
    <font>
      <sz val="10"/>
      <name val="Arial"/>
      <family val="0"/>
    </font>
    <font>
      <sz val="10"/>
      <name val="Arial"/>
      <family val="0"/>
    </font>
    <font>
      <sz val="10"/>
      <name val="Arial"/>
      <family val="0"/>
    </font>
    <font>
      <i val="true"/>
      <sz val="9"/>
      <color rgb="FF595959"/>
      <name val="Arial"/>
      <family val="0"/>
      <charset val="1"/>
    </font>
    <font>
      <b val="true"/>
      <sz val="9"/>
      <color rgb="FFFFFFFF"/>
      <name val="Arial"/>
      <family val="0"/>
      <charset val="1"/>
    </font>
    <font>
      <sz val="10"/>
      <name val="Arial"/>
      <family val="0"/>
      <charset val="1"/>
    </font>
    <font>
      <b val="true"/>
      <sz val="13"/>
      <color rgb="FF1F3B57"/>
      <name val="Arial"/>
      <family val="0"/>
      <charset val="1"/>
    </font>
    <font>
      <b val="true"/>
      <sz val="9"/>
      <name val="Arial"/>
      <family val="0"/>
      <charset val="1"/>
    </font>
    <font>
      <sz val="9"/>
      <name val="Arial"/>
      <family val="0"/>
      <charset val="1"/>
    </font>
  </fonts>
  <fills count="7">
    <fill>
      <patternFill patternType="none"/>
    </fill>
    <fill>
      <patternFill patternType="gray125"/>
    </fill>
    <fill>
      <patternFill patternType="solid">
        <fgColor rgb="FF1F3B57"/>
        <bgColor rgb="FF003366"/>
      </patternFill>
    </fill>
    <fill>
      <patternFill patternType="solid">
        <fgColor rgb="FFFDF0E6"/>
        <bgColor rgb="FFF3EAF5"/>
      </patternFill>
    </fill>
    <fill>
      <patternFill patternType="solid">
        <fgColor rgb="FFE9F3EA"/>
        <bgColor rgb="FFE8EEF7"/>
      </patternFill>
    </fill>
    <fill>
      <patternFill patternType="solid">
        <fgColor rgb="FFF3EAF5"/>
        <bgColor rgb="FFE8EEF7"/>
      </patternFill>
    </fill>
    <fill>
      <patternFill patternType="solid">
        <fgColor rgb="FFE8EEF7"/>
        <bgColor rgb="FFE9F3EA"/>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82">
    <dxf>
      <fill>
        <patternFill patternType="solid">
          <fgColor rgb="FF1F3B57"/>
          <bgColor rgb="FF000000"/>
        </patternFill>
      </fill>
    </dxf>
    <dxf>
      <fill>
        <patternFill patternType="solid">
          <bgColor rgb="FF000000"/>
        </patternFill>
      </fill>
    </dxf>
    <dxf>
      <fill>
        <patternFill patternType="solid">
          <fgColor rgb="FFFFFFFF"/>
          <bgColor rgb="FF000000"/>
        </patternFill>
      </fill>
    </dxf>
    <dxf>
      <fill>
        <patternFill patternType="solid">
          <fgColor rgb="FFE8EEF7"/>
          <bgColor rgb="FF000000"/>
        </patternFill>
      </fill>
    </dxf>
    <dxf>
      <fill>
        <patternFill patternType="solid">
          <fgColor rgb="FFE9F3EA"/>
          <bgColor rgb="FF000000"/>
        </patternFill>
      </fill>
    </dxf>
    <dxf>
      <fill>
        <patternFill patternType="solid">
          <fgColor rgb="FFF3EAF5"/>
          <bgColor rgb="FF000000"/>
        </patternFill>
      </fill>
    </dxf>
    <dxf>
      <fill>
        <patternFill patternType="solid">
          <fgColor rgb="FFFDF0E6"/>
          <bgColor rgb="FF000000"/>
        </patternFill>
      </fill>
    </dxf>
    <dxf>
      <fill>
        <patternFill patternType="solid">
          <fgColor rgb="FF63BE7B"/>
          <bgColor rgb="FF000000"/>
        </patternFill>
      </fill>
    </dxf>
    <dxf>
      <fill>
        <patternFill patternType="solid">
          <fgColor rgb="FFF8696B"/>
          <bgColor rgb="FF000000"/>
        </patternFill>
      </fill>
    </dxf>
    <dxf>
      <fill>
        <patternFill patternType="solid">
          <fgColor rgb="FFFB9574"/>
          <bgColor rgb="FF000000"/>
        </patternFill>
      </fill>
    </dxf>
    <dxf>
      <fill>
        <patternFill patternType="solid">
          <fgColor rgb="FFFDC07C"/>
          <bgColor rgb="FF000000"/>
        </patternFill>
      </fill>
    </dxf>
    <dxf>
      <fill>
        <patternFill patternType="solid">
          <fgColor rgb="FF64BE7B"/>
          <bgColor rgb="FF000000"/>
        </patternFill>
      </fill>
    </dxf>
    <dxf>
      <fill>
        <patternFill patternType="solid">
          <fgColor rgb="FF65BE7B"/>
          <bgColor rgb="FF000000"/>
        </patternFill>
      </fill>
    </dxf>
    <dxf>
      <fill>
        <patternFill patternType="solid">
          <fgColor rgb="FF67BF7B"/>
          <bgColor rgb="FF000000"/>
        </patternFill>
      </fill>
    </dxf>
    <dxf>
      <fill>
        <patternFill patternType="solid">
          <fgColor rgb="FF68BF7B"/>
          <bgColor rgb="FF000000"/>
        </patternFill>
      </fill>
    </dxf>
    <dxf>
      <fill>
        <patternFill patternType="solid">
          <fgColor rgb="FF69BF7B"/>
          <bgColor rgb="FF000000"/>
        </patternFill>
      </fill>
    </dxf>
    <dxf>
      <fill>
        <patternFill patternType="solid">
          <fgColor rgb="FF6AC07B"/>
          <bgColor rgb="FF000000"/>
        </patternFill>
      </fill>
    </dxf>
    <dxf>
      <fill>
        <patternFill patternType="solid">
          <fgColor rgb="FF6DC17B"/>
          <bgColor rgb="FF000000"/>
        </patternFill>
      </fill>
    </dxf>
    <dxf>
      <fill>
        <patternFill patternType="solid">
          <fgColor rgb="FF70C17B"/>
          <bgColor rgb="FF000000"/>
        </patternFill>
      </fill>
    </dxf>
    <dxf>
      <fill>
        <patternFill patternType="solid">
          <fgColor rgb="FF74C27B"/>
          <bgColor rgb="FF000000"/>
        </patternFill>
      </fill>
    </dxf>
    <dxf>
      <fill>
        <patternFill patternType="solid">
          <fgColor rgb="FF75C37C"/>
          <bgColor rgb="FF000000"/>
        </patternFill>
      </fill>
    </dxf>
    <dxf>
      <fill>
        <patternFill patternType="solid">
          <fgColor rgb="FF76C37C"/>
          <bgColor rgb="FF000000"/>
        </patternFill>
      </fill>
    </dxf>
    <dxf>
      <fill>
        <patternFill patternType="solid">
          <fgColor rgb="FF79C47C"/>
          <bgColor rgb="FF000000"/>
        </patternFill>
      </fill>
    </dxf>
    <dxf>
      <fill>
        <patternFill patternType="solid">
          <fgColor rgb="FF7BC57C"/>
          <bgColor rgb="FF000000"/>
        </patternFill>
      </fill>
    </dxf>
    <dxf>
      <fill>
        <patternFill patternType="solid">
          <fgColor rgb="FF7DC57C"/>
          <bgColor rgb="FF000000"/>
        </patternFill>
      </fill>
    </dxf>
    <dxf>
      <fill>
        <patternFill patternType="solid">
          <fgColor rgb="FF7EC57C"/>
          <bgColor rgb="FF000000"/>
        </patternFill>
      </fill>
    </dxf>
    <dxf>
      <fill>
        <patternFill patternType="solid">
          <fgColor rgb="FF81C67C"/>
          <bgColor rgb="FF000000"/>
        </patternFill>
      </fill>
    </dxf>
    <dxf>
      <fill>
        <patternFill patternType="solid">
          <fgColor rgb="FF82C67C"/>
          <bgColor rgb="FF000000"/>
        </patternFill>
      </fill>
    </dxf>
    <dxf>
      <fill>
        <patternFill patternType="solid">
          <fgColor rgb="FF82C77C"/>
          <bgColor rgb="FF000000"/>
        </patternFill>
      </fill>
    </dxf>
    <dxf>
      <fill>
        <patternFill patternType="solid">
          <fgColor rgb="FF83C77C"/>
          <bgColor rgb="FF000000"/>
        </patternFill>
      </fill>
    </dxf>
    <dxf>
      <fill>
        <patternFill patternType="solid">
          <fgColor rgb="FF86C87D"/>
          <bgColor rgb="FF000000"/>
        </patternFill>
      </fill>
    </dxf>
    <dxf>
      <fill>
        <patternFill patternType="solid">
          <fgColor rgb="FF87C87D"/>
          <bgColor rgb="FF000000"/>
        </patternFill>
      </fill>
    </dxf>
    <dxf>
      <fill>
        <patternFill patternType="solid">
          <fgColor rgb="FF8AC97D"/>
          <bgColor rgb="FF000000"/>
        </patternFill>
      </fill>
    </dxf>
    <dxf>
      <fill>
        <patternFill patternType="solid">
          <fgColor rgb="FF8BC97D"/>
          <bgColor rgb="FF000000"/>
        </patternFill>
      </fill>
    </dxf>
    <dxf>
      <fill>
        <patternFill patternType="solid">
          <fgColor rgb="FF8DCA7D"/>
          <bgColor rgb="FF000000"/>
        </patternFill>
      </fill>
    </dxf>
    <dxf>
      <fill>
        <patternFill patternType="solid">
          <fgColor rgb="FF8ECA7D"/>
          <bgColor rgb="FF000000"/>
        </patternFill>
      </fill>
    </dxf>
    <dxf>
      <fill>
        <patternFill patternType="solid">
          <fgColor rgb="FF93CB7D"/>
          <bgColor rgb="FF000000"/>
        </patternFill>
      </fill>
    </dxf>
    <dxf>
      <fill>
        <patternFill patternType="solid">
          <fgColor rgb="FF94CC7D"/>
          <bgColor rgb="FF000000"/>
        </patternFill>
      </fill>
    </dxf>
    <dxf>
      <fill>
        <patternFill patternType="solid">
          <fgColor rgb="FF96CC7D"/>
          <bgColor rgb="FF000000"/>
        </patternFill>
      </fill>
    </dxf>
    <dxf>
      <fill>
        <patternFill patternType="solid">
          <fgColor rgb="FF98CD7E"/>
          <bgColor rgb="FF000000"/>
        </patternFill>
      </fill>
    </dxf>
    <dxf>
      <fill>
        <patternFill patternType="solid">
          <fgColor rgb="FF99CD7E"/>
          <bgColor rgb="FF000000"/>
        </patternFill>
      </fill>
    </dxf>
    <dxf>
      <fill>
        <patternFill patternType="solid">
          <fgColor rgb="FF9ACD7E"/>
          <bgColor rgb="FF000000"/>
        </patternFill>
      </fill>
    </dxf>
    <dxf>
      <fill>
        <patternFill patternType="solid">
          <fgColor rgb="FF9CCE7E"/>
          <bgColor rgb="FF000000"/>
        </patternFill>
      </fill>
    </dxf>
    <dxf>
      <fill>
        <patternFill patternType="solid">
          <fgColor rgb="FF9DCE7E"/>
          <bgColor rgb="FF000000"/>
        </patternFill>
      </fill>
    </dxf>
    <dxf>
      <fill>
        <patternFill patternType="solid">
          <fgColor rgb="FF9ECF7E"/>
          <bgColor rgb="FF000000"/>
        </patternFill>
      </fill>
    </dxf>
    <dxf>
      <fill>
        <patternFill patternType="solid">
          <fgColor rgb="FFA0CF7E"/>
          <bgColor rgb="FF000000"/>
        </patternFill>
      </fill>
    </dxf>
    <dxf>
      <fill>
        <patternFill patternType="solid">
          <fgColor rgb="FFA1CF7E"/>
          <bgColor rgb="FF000000"/>
        </patternFill>
      </fill>
    </dxf>
    <dxf>
      <fill>
        <patternFill patternType="solid">
          <fgColor rgb="FFA3D07E"/>
          <bgColor rgb="FF000000"/>
        </patternFill>
      </fill>
    </dxf>
    <dxf>
      <fill>
        <patternFill patternType="solid">
          <fgColor rgb="FFA4D07E"/>
          <bgColor rgb="FF000000"/>
        </patternFill>
      </fill>
    </dxf>
    <dxf>
      <fill>
        <patternFill patternType="solid">
          <fgColor rgb="FFA8D17E"/>
          <bgColor rgb="FF000000"/>
        </patternFill>
      </fill>
    </dxf>
    <dxf>
      <fill>
        <patternFill patternType="solid">
          <fgColor rgb="FFA9D27F"/>
          <bgColor rgb="FF000000"/>
        </patternFill>
      </fill>
    </dxf>
    <dxf>
      <fill>
        <patternFill patternType="solid">
          <fgColor rgb="FFADD37F"/>
          <bgColor rgb="FF000000"/>
        </patternFill>
      </fill>
    </dxf>
    <dxf>
      <fill>
        <patternFill patternType="solid">
          <fgColor rgb="FFB0D47F"/>
          <bgColor rgb="FF000000"/>
        </patternFill>
      </fill>
    </dxf>
    <dxf>
      <fill>
        <patternFill patternType="solid">
          <fgColor rgb="FFB4D57F"/>
          <bgColor rgb="FF000000"/>
        </patternFill>
      </fill>
    </dxf>
    <dxf>
      <fill>
        <patternFill patternType="solid">
          <fgColor rgb="FFB8D67F"/>
          <bgColor rgb="FF000000"/>
        </patternFill>
      </fill>
    </dxf>
    <dxf>
      <fill>
        <patternFill patternType="solid">
          <fgColor rgb="FFB9D67F"/>
          <bgColor rgb="FF000000"/>
        </patternFill>
      </fill>
    </dxf>
    <dxf>
      <fill>
        <patternFill patternType="solid">
          <fgColor rgb="FFBAD780"/>
          <bgColor rgb="FF000000"/>
        </patternFill>
      </fill>
    </dxf>
    <dxf>
      <fill>
        <patternFill patternType="solid">
          <fgColor rgb="FFBBD780"/>
          <bgColor rgb="FF000000"/>
        </patternFill>
      </fill>
    </dxf>
    <dxf>
      <fill>
        <patternFill patternType="solid">
          <fgColor rgb="FFBCD780"/>
          <bgColor rgb="FF000000"/>
        </patternFill>
      </fill>
    </dxf>
    <dxf>
      <fill>
        <patternFill patternType="solid">
          <fgColor rgb="FFBED880"/>
          <bgColor rgb="FF000000"/>
        </patternFill>
      </fill>
    </dxf>
    <dxf>
      <fill>
        <patternFill patternType="solid">
          <fgColor rgb="FFBFD880"/>
          <bgColor rgb="FF000000"/>
        </patternFill>
      </fill>
    </dxf>
    <dxf>
      <fill>
        <patternFill patternType="solid">
          <fgColor rgb="FFC1D980"/>
          <bgColor rgb="FF000000"/>
        </patternFill>
      </fill>
    </dxf>
    <dxf>
      <fill>
        <patternFill patternType="solid">
          <fgColor rgb="FFC2D980"/>
          <bgColor rgb="FF000000"/>
        </patternFill>
      </fill>
    </dxf>
    <dxf>
      <fill>
        <patternFill patternType="solid">
          <fgColor rgb="FFC3D980"/>
          <bgColor rgb="FF000000"/>
        </patternFill>
      </fill>
    </dxf>
    <dxf>
      <fill>
        <patternFill patternType="solid">
          <fgColor rgb="FFC4DA80"/>
          <bgColor rgb="FF000000"/>
        </patternFill>
      </fill>
    </dxf>
    <dxf>
      <fill>
        <patternFill patternType="solid">
          <fgColor rgb="FFC6DA80"/>
          <bgColor rgb="FF000000"/>
        </patternFill>
      </fill>
    </dxf>
    <dxf>
      <fill>
        <patternFill patternType="solid">
          <fgColor rgb="FFC8DB80"/>
          <bgColor rgb="FF000000"/>
        </patternFill>
      </fill>
    </dxf>
    <dxf>
      <fill>
        <patternFill patternType="solid">
          <fgColor rgb="FFCADB80"/>
          <bgColor rgb="FF000000"/>
        </patternFill>
      </fill>
    </dxf>
    <dxf>
      <fill>
        <patternFill patternType="solid">
          <fgColor rgb="FFCBDC81"/>
          <bgColor rgb="FF000000"/>
        </patternFill>
      </fill>
    </dxf>
    <dxf>
      <fill>
        <patternFill patternType="solid">
          <fgColor rgb="FFCEDC81"/>
          <bgColor rgb="FF000000"/>
        </patternFill>
      </fill>
    </dxf>
    <dxf>
      <fill>
        <patternFill patternType="solid">
          <fgColor rgb="FFCEDD81"/>
          <bgColor rgb="FF000000"/>
        </patternFill>
      </fill>
    </dxf>
    <dxf>
      <fill>
        <patternFill patternType="solid">
          <fgColor rgb="FFD1DD81"/>
          <bgColor rgb="FF000000"/>
        </patternFill>
      </fill>
    </dxf>
    <dxf>
      <fill>
        <patternFill patternType="solid">
          <fgColor rgb="FFD4DE81"/>
          <bgColor rgb="FF000000"/>
        </patternFill>
      </fill>
    </dxf>
    <dxf>
      <fill>
        <patternFill patternType="solid">
          <fgColor rgb="FFD8DF81"/>
          <bgColor rgb="FF000000"/>
        </patternFill>
      </fill>
    </dxf>
    <dxf>
      <fill>
        <patternFill patternType="solid">
          <fgColor rgb="FFDAE081"/>
          <bgColor rgb="FF000000"/>
        </patternFill>
      </fill>
    </dxf>
    <dxf>
      <fill>
        <patternFill patternType="solid">
          <fgColor rgb="FFDDE182"/>
          <bgColor rgb="FF000000"/>
        </patternFill>
      </fill>
    </dxf>
    <dxf>
      <fill>
        <patternFill patternType="solid">
          <fgColor rgb="FFDEE182"/>
          <bgColor rgb="FF000000"/>
        </patternFill>
      </fill>
    </dxf>
    <dxf>
      <fill>
        <patternFill patternType="solid">
          <fgColor rgb="FFDFE182"/>
          <bgColor rgb="FF000000"/>
        </patternFill>
      </fill>
    </dxf>
    <dxf>
      <fill>
        <patternFill patternType="solid">
          <fgColor rgb="FFE2E282"/>
          <bgColor rgb="FF000000"/>
        </patternFill>
      </fill>
    </dxf>
    <dxf>
      <fill>
        <patternFill patternType="solid">
          <fgColor rgb="FFE3E382"/>
          <bgColor rgb="FF000000"/>
        </patternFill>
      </fill>
    </dxf>
    <dxf>
      <fill>
        <patternFill patternType="solid">
          <fgColor rgb="FFE4E382"/>
          <bgColor rgb="FF000000"/>
        </patternFill>
      </fill>
    </dxf>
    <dxf>
      <fill>
        <patternFill patternType="solid">
          <fgColor rgb="FFE5E382"/>
          <bgColor rgb="FF000000"/>
        </patternFill>
      </fill>
    </dxf>
    <dxf>
      <fill>
        <patternFill patternType="solid">
          <fgColor rgb="FFE8E482"/>
          <bgColor rgb="FF000000"/>
        </patternFill>
      </fill>
    </dxf>
    <dxf>
      <fill>
        <patternFill patternType="solid">
          <fgColor rgb="FFE9E482"/>
          <bgColor rgb="FF000000"/>
        </patternFill>
      </fill>
    </dxf>
    <dxf>
      <fill>
        <patternFill patternType="solid">
          <fgColor rgb="FFEAE482"/>
          <bgColor rgb="FF000000"/>
        </patternFill>
      </fill>
    </dxf>
    <dxf>
      <fill>
        <patternFill patternType="solid">
          <fgColor rgb="FFECE582"/>
          <bgColor rgb="FF000000"/>
        </patternFill>
      </fill>
    </dxf>
    <dxf>
      <fill>
        <patternFill patternType="solid">
          <fgColor rgb="FFEEE683"/>
          <bgColor rgb="FF000000"/>
        </patternFill>
      </fill>
    </dxf>
    <dxf>
      <fill>
        <patternFill patternType="solid">
          <fgColor rgb="FFEFE683"/>
          <bgColor rgb="FF000000"/>
        </patternFill>
      </fill>
    </dxf>
    <dxf>
      <fill>
        <patternFill patternType="solid">
          <fgColor rgb="FFF1E783"/>
          <bgColor rgb="FF000000"/>
        </patternFill>
      </fill>
    </dxf>
    <dxf>
      <fill>
        <patternFill patternType="solid">
          <fgColor rgb="FFF4E783"/>
          <bgColor rgb="FF000000"/>
        </patternFill>
      </fill>
    </dxf>
    <dxf>
      <fill>
        <patternFill patternType="solid">
          <fgColor rgb="FFF5E883"/>
          <bgColor rgb="FF000000"/>
        </patternFill>
      </fill>
    </dxf>
    <dxf>
      <fill>
        <patternFill patternType="solid">
          <fgColor rgb="FFF8E983"/>
          <bgColor rgb="FF000000"/>
        </patternFill>
      </fill>
    </dxf>
    <dxf>
      <fill>
        <patternFill patternType="solid">
          <fgColor rgb="FFF96A6C"/>
          <bgColor rgb="FF000000"/>
        </patternFill>
      </fill>
    </dxf>
    <dxf>
      <fill>
        <patternFill patternType="solid">
          <fgColor rgb="FFF96C6C"/>
          <bgColor rgb="FF000000"/>
        </patternFill>
      </fill>
    </dxf>
    <dxf>
      <fill>
        <patternFill patternType="solid">
          <fgColor rgb="FFF96D6C"/>
          <bgColor rgb="FF000000"/>
        </patternFill>
      </fill>
    </dxf>
    <dxf>
      <fill>
        <patternFill patternType="solid">
          <fgColor rgb="FFF96E6C"/>
          <bgColor rgb="FF000000"/>
        </patternFill>
      </fill>
    </dxf>
    <dxf>
      <fill>
        <patternFill patternType="solid">
          <fgColor rgb="FFF96F6D"/>
          <bgColor rgb="FF000000"/>
        </patternFill>
      </fill>
    </dxf>
    <dxf>
      <fill>
        <patternFill patternType="solid">
          <fgColor rgb="FFF9706D"/>
          <bgColor rgb="FF000000"/>
        </patternFill>
      </fill>
    </dxf>
    <dxf>
      <fill>
        <patternFill patternType="solid">
          <fgColor rgb="FFF9716D"/>
          <bgColor rgb="FF000000"/>
        </patternFill>
      </fill>
    </dxf>
    <dxf>
      <fill>
        <patternFill patternType="solid">
          <fgColor rgb="FFF9726D"/>
          <bgColor rgb="FF000000"/>
        </patternFill>
      </fill>
    </dxf>
    <dxf>
      <fill>
        <patternFill patternType="solid">
          <fgColor rgb="FFF9736D"/>
          <bgColor rgb="FF000000"/>
        </patternFill>
      </fill>
    </dxf>
    <dxf>
      <fill>
        <patternFill patternType="solid">
          <fgColor rgb="FFF9756E"/>
          <bgColor rgb="FF000000"/>
        </patternFill>
      </fill>
    </dxf>
    <dxf>
      <fill>
        <patternFill patternType="solid">
          <fgColor rgb="FFF9776E"/>
          <bgColor rgb="FF000000"/>
        </patternFill>
      </fill>
    </dxf>
    <dxf>
      <fill>
        <patternFill patternType="solid">
          <fgColor rgb="FFF9786E"/>
          <bgColor rgb="FF000000"/>
        </patternFill>
      </fill>
    </dxf>
    <dxf>
      <fill>
        <patternFill patternType="solid">
          <fgColor rgb="FFF97A6F"/>
          <bgColor rgb="FF000000"/>
        </patternFill>
      </fill>
    </dxf>
    <dxf>
      <fill>
        <patternFill patternType="solid">
          <fgColor rgb="FFF97B6F"/>
          <bgColor rgb="FF000000"/>
        </patternFill>
      </fill>
    </dxf>
    <dxf>
      <fill>
        <patternFill patternType="solid">
          <fgColor rgb="FFF97C6F"/>
          <bgColor rgb="FF000000"/>
        </patternFill>
      </fill>
    </dxf>
    <dxf>
      <fill>
        <patternFill patternType="solid">
          <fgColor rgb="FFF9E983"/>
          <bgColor rgb="FF000000"/>
        </patternFill>
      </fill>
    </dxf>
    <dxf>
      <fill>
        <patternFill patternType="solid">
          <fgColor rgb="FFFA7D6F"/>
          <bgColor rgb="FF000000"/>
        </patternFill>
      </fill>
    </dxf>
    <dxf>
      <fill>
        <patternFill patternType="solid">
          <fgColor rgb="FFFA8270"/>
          <bgColor rgb="FF000000"/>
        </patternFill>
      </fill>
    </dxf>
    <dxf>
      <fill>
        <patternFill patternType="solid">
          <fgColor rgb="FFFA8370"/>
          <bgColor rgb="FF000000"/>
        </patternFill>
      </fill>
    </dxf>
    <dxf>
      <fill>
        <patternFill patternType="solid">
          <fgColor rgb="FFFA8471"/>
          <bgColor rgb="FF000000"/>
        </patternFill>
      </fill>
    </dxf>
    <dxf>
      <fill>
        <patternFill patternType="solid">
          <fgColor rgb="FFFA8671"/>
          <bgColor rgb="FF000000"/>
        </patternFill>
      </fill>
    </dxf>
    <dxf>
      <fill>
        <patternFill patternType="solid">
          <fgColor rgb="FFFA8771"/>
          <bgColor rgb="FF000000"/>
        </patternFill>
      </fill>
    </dxf>
    <dxf>
      <fill>
        <patternFill patternType="solid">
          <fgColor rgb="FFFA8972"/>
          <bgColor rgb="FF000000"/>
        </patternFill>
      </fill>
    </dxf>
    <dxf>
      <fill>
        <patternFill patternType="solid">
          <fgColor rgb="FFFA8B72"/>
          <bgColor rgb="FF000000"/>
        </patternFill>
      </fill>
    </dxf>
    <dxf>
      <fill>
        <patternFill patternType="solid">
          <fgColor rgb="FFFB8F73"/>
          <bgColor rgb="FF000000"/>
        </patternFill>
      </fill>
    </dxf>
    <dxf>
      <fill>
        <patternFill patternType="solid">
          <fgColor rgb="FFFB9073"/>
          <bgColor rgb="FF000000"/>
        </patternFill>
      </fill>
    </dxf>
    <dxf>
      <fill>
        <patternFill patternType="solid">
          <fgColor rgb="FFFB9173"/>
          <bgColor rgb="FF000000"/>
        </patternFill>
      </fill>
    </dxf>
    <dxf>
      <fill>
        <patternFill patternType="solid">
          <fgColor rgb="FFFB9373"/>
          <bgColor rgb="FF000000"/>
        </patternFill>
      </fill>
    </dxf>
    <dxf>
      <fill>
        <patternFill patternType="solid">
          <fgColor rgb="FFFB9474"/>
          <bgColor rgb="FF000000"/>
        </patternFill>
      </fill>
    </dxf>
    <dxf>
      <fill>
        <patternFill patternType="solid">
          <fgColor rgb="FFFB9774"/>
          <bgColor rgb="FF000000"/>
        </patternFill>
      </fill>
    </dxf>
    <dxf>
      <fill>
        <patternFill patternType="solid">
          <fgColor rgb="FFFB9D75"/>
          <bgColor rgb="FF000000"/>
        </patternFill>
      </fill>
    </dxf>
    <dxf>
      <fill>
        <patternFill patternType="solid">
          <fgColor rgb="FFFB9F76"/>
          <bgColor rgb="FF000000"/>
        </patternFill>
      </fill>
    </dxf>
    <dxf>
      <fill>
        <patternFill patternType="solid">
          <fgColor rgb="FFFBA176"/>
          <bgColor rgb="FF000000"/>
        </patternFill>
      </fill>
    </dxf>
    <dxf>
      <fill>
        <patternFill patternType="solid">
          <fgColor rgb="FFFCA276"/>
          <bgColor rgb="FF000000"/>
        </patternFill>
      </fill>
    </dxf>
    <dxf>
      <fill>
        <patternFill patternType="solid">
          <fgColor rgb="FFFCA377"/>
          <bgColor rgb="FF000000"/>
        </patternFill>
      </fill>
    </dxf>
    <dxf>
      <fill>
        <patternFill patternType="solid">
          <fgColor rgb="FFFCA577"/>
          <bgColor rgb="FF000000"/>
        </patternFill>
      </fill>
    </dxf>
    <dxf>
      <fill>
        <patternFill patternType="solid">
          <fgColor rgb="FFFCA777"/>
          <bgColor rgb="FF000000"/>
        </patternFill>
      </fill>
    </dxf>
    <dxf>
      <fill>
        <patternFill patternType="solid">
          <fgColor rgb="FFFCA978"/>
          <bgColor rgb="FF000000"/>
        </patternFill>
      </fill>
    </dxf>
    <dxf>
      <fill>
        <patternFill patternType="solid">
          <fgColor rgb="FFFCAA78"/>
          <bgColor rgb="FF000000"/>
        </patternFill>
      </fill>
    </dxf>
    <dxf>
      <fill>
        <patternFill patternType="solid">
          <fgColor rgb="FFFCAB78"/>
          <bgColor rgb="FF000000"/>
        </patternFill>
      </fill>
    </dxf>
    <dxf>
      <fill>
        <patternFill patternType="solid">
          <fgColor rgb="FFFCAC78"/>
          <bgColor rgb="FF000000"/>
        </patternFill>
      </fill>
    </dxf>
    <dxf>
      <fill>
        <patternFill patternType="solid">
          <fgColor rgb="FFFCAD78"/>
          <bgColor rgb="FF000000"/>
        </patternFill>
      </fill>
    </dxf>
    <dxf>
      <fill>
        <patternFill patternType="solid">
          <fgColor rgb="FFFCEA83"/>
          <bgColor rgb="FF000000"/>
        </patternFill>
      </fill>
    </dxf>
    <dxf>
      <fill>
        <patternFill patternType="solid">
          <fgColor rgb="FFFDB57A"/>
          <bgColor rgb="FF000000"/>
        </patternFill>
      </fill>
    </dxf>
    <dxf>
      <fill>
        <patternFill patternType="solid">
          <fgColor rgb="FFFDB77A"/>
          <bgColor rgb="FF000000"/>
        </patternFill>
      </fill>
    </dxf>
    <dxf>
      <fill>
        <patternFill patternType="solid">
          <fgColor rgb="FFFDB87B"/>
          <bgColor rgb="FF000000"/>
        </patternFill>
      </fill>
    </dxf>
    <dxf>
      <fill>
        <patternFill patternType="solid">
          <fgColor rgb="FFFDB97B"/>
          <bgColor rgb="FF000000"/>
        </patternFill>
      </fill>
    </dxf>
    <dxf>
      <fill>
        <patternFill patternType="solid">
          <fgColor rgb="FFFDBB7B"/>
          <bgColor rgb="FF000000"/>
        </patternFill>
      </fill>
    </dxf>
    <dxf>
      <fill>
        <patternFill patternType="solid">
          <fgColor rgb="FFFDBC7B"/>
          <bgColor rgb="FF000000"/>
        </patternFill>
      </fill>
    </dxf>
    <dxf>
      <fill>
        <patternFill patternType="solid">
          <fgColor rgb="FFFDBE7C"/>
          <bgColor rgb="FF000000"/>
        </patternFill>
      </fill>
    </dxf>
    <dxf>
      <fill>
        <patternFill patternType="solid">
          <fgColor rgb="FFFDC17C"/>
          <bgColor rgb="FF000000"/>
        </patternFill>
      </fill>
    </dxf>
    <dxf>
      <fill>
        <patternFill patternType="solid">
          <fgColor rgb="FFFDC27C"/>
          <bgColor rgb="FF000000"/>
        </patternFill>
      </fill>
    </dxf>
    <dxf>
      <fill>
        <patternFill patternType="solid">
          <fgColor rgb="FFFDC27D"/>
          <bgColor rgb="FF000000"/>
        </patternFill>
      </fill>
    </dxf>
    <dxf>
      <fill>
        <patternFill patternType="solid">
          <fgColor rgb="FFFDC37D"/>
          <bgColor rgb="FF000000"/>
        </patternFill>
      </fill>
    </dxf>
    <dxf>
      <fill>
        <patternFill patternType="solid">
          <fgColor rgb="FFFDC47D"/>
          <bgColor rgb="FF000000"/>
        </patternFill>
      </fill>
    </dxf>
    <dxf>
      <fill>
        <patternFill patternType="solid">
          <fgColor rgb="FFFDC57D"/>
          <bgColor rgb="FF000000"/>
        </patternFill>
      </fill>
    </dxf>
    <dxf>
      <fill>
        <patternFill patternType="solid">
          <fgColor rgb="FFFDEA83"/>
          <bgColor rgb="FF000000"/>
        </patternFill>
      </fill>
    </dxf>
    <dxf>
      <fill>
        <patternFill patternType="solid">
          <fgColor rgb="FFFEC97E"/>
          <bgColor rgb="FF000000"/>
        </patternFill>
      </fill>
    </dxf>
    <dxf>
      <fill>
        <patternFill patternType="solid">
          <fgColor rgb="FFFECB7E"/>
          <bgColor rgb="FF000000"/>
        </patternFill>
      </fill>
    </dxf>
    <dxf>
      <fill>
        <patternFill patternType="solid">
          <fgColor rgb="FFFECC7E"/>
          <bgColor rgb="FF000000"/>
        </patternFill>
      </fill>
    </dxf>
    <dxf>
      <fill>
        <patternFill patternType="solid">
          <fgColor rgb="FFFECD7F"/>
          <bgColor rgb="FF000000"/>
        </patternFill>
      </fill>
    </dxf>
    <dxf>
      <fill>
        <patternFill patternType="solid">
          <fgColor rgb="FFFECE7F"/>
          <bgColor rgb="FF000000"/>
        </patternFill>
      </fill>
    </dxf>
    <dxf>
      <fill>
        <patternFill patternType="solid">
          <fgColor rgb="FFFED07F"/>
          <bgColor rgb="FF000000"/>
        </patternFill>
      </fill>
    </dxf>
    <dxf>
      <fill>
        <patternFill patternType="solid">
          <fgColor rgb="FFFED17F"/>
          <bgColor rgb="FF000000"/>
        </patternFill>
      </fill>
    </dxf>
    <dxf>
      <fill>
        <patternFill patternType="solid">
          <fgColor rgb="FFFED280"/>
          <bgColor rgb="FF000000"/>
        </patternFill>
      </fill>
    </dxf>
    <dxf>
      <fill>
        <patternFill patternType="solid">
          <fgColor rgb="FFFED480"/>
          <bgColor rgb="FF000000"/>
        </patternFill>
      </fill>
    </dxf>
    <dxf>
      <fill>
        <patternFill patternType="solid">
          <fgColor rgb="FFFED680"/>
          <bgColor rgb="FF000000"/>
        </patternFill>
      </fill>
    </dxf>
    <dxf>
      <fill>
        <patternFill patternType="solid">
          <fgColor rgb="FFFED781"/>
          <bgColor rgb="FF000000"/>
        </patternFill>
      </fill>
    </dxf>
    <dxf>
      <fill>
        <patternFill patternType="solid">
          <fgColor rgb="FFFFD981"/>
          <bgColor rgb="FF000000"/>
        </patternFill>
      </fill>
    </dxf>
    <dxf>
      <fill>
        <patternFill patternType="solid">
          <fgColor rgb="FFFFDA81"/>
          <bgColor rgb="FF000000"/>
        </patternFill>
      </fill>
    </dxf>
    <dxf>
      <fill>
        <patternFill patternType="solid">
          <fgColor rgb="FFFFDB81"/>
          <bgColor rgb="FF000000"/>
        </patternFill>
      </fill>
    </dxf>
    <dxf>
      <fill>
        <patternFill patternType="solid">
          <fgColor rgb="FFFFDC81"/>
          <bgColor rgb="FF000000"/>
        </patternFill>
      </fill>
    </dxf>
    <dxf>
      <fill>
        <patternFill patternType="solid">
          <fgColor rgb="FFFFDC82"/>
          <bgColor rgb="FF000000"/>
        </patternFill>
      </fill>
    </dxf>
    <dxf>
      <fill>
        <patternFill patternType="solid">
          <fgColor rgb="FFFFDD82"/>
          <bgColor rgb="FF000000"/>
        </patternFill>
      </fill>
    </dxf>
    <dxf>
      <fill>
        <patternFill patternType="solid">
          <fgColor rgb="FFFFE483"/>
          <bgColor rgb="FF000000"/>
        </patternFill>
      </fill>
    </dxf>
    <dxf>
      <fill>
        <patternFill patternType="solid">
          <fgColor rgb="FFFFE583"/>
          <bgColor rgb="FF000000"/>
        </patternFill>
      </fill>
    </dxf>
    <dxf>
      <fill>
        <patternFill patternType="solid">
          <fgColor rgb="FFFFE683"/>
          <bgColor rgb="FF000000"/>
        </patternFill>
      </fill>
    </dxf>
    <dxf>
      <fill>
        <patternFill patternType="solid">
          <fgColor rgb="FFFFE784"/>
          <bgColor rgb="FF000000"/>
        </patternFill>
      </fill>
    </dxf>
    <dxf>
      <fill>
        <patternFill patternType="solid">
          <fgColor rgb="FFFFE884"/>
          <bgColor rgb="FF000000"/>
        </patternFill>
      </fill>
    </dxf>
    <dxf>
      <fill>
        <patternFill patternType="solid">
          <fgColor rgb="FFFFE984"/>
          <bgColor rgb="FF000000"/>
        </patternFill>
      </fill>
    </dxf>
    <dxf>
      <fill>
        <patternFill patternType="solid">
          <fgColor rgb="FFFFEA84"/>
          <bgColor rgb="FF000000"/>
        </patternFill>
      </fill>
    </dxf>
    <dxf>
      <fill>
        <patternFill patternType="solid">
          <fgColor rgb="FF64BF7C"/>
          <bgColor rgb="FF000000"/>
        </patternFill>
      </fill>
    </dxf>
    <dxf>
      <fill>
        <patternFill patternType="solid">
          <fgColor rgb="FF65BF7C"/>
          <bgColor rgb="FF000000"/>
        </patternFill>
      </fill>
    </dxf>
    <dxf>
      <fill>
        <patternFill patternType="solid">
          <fgColor rgb="FF67BF7C"/>
          <bgColor rgb="FF000000"/>
        </patternFill>
      </fill>
    </dxf>
    <dxf>
      <fill>
        <patternFill patternType="solid">
          <fgColor rgb="FF67C07C"/>
          <bgColor rgb="FF000000"/>
        </patternFill>
      </fill>
    </dxf>
    <dxf>
      <fill>
        <patternFill patternType="solid">
          <fgColor rgb="FF68C07C"/>
          <bgColor rgb="FF000000"/>
        </patternFill>
      </fill>
    </dxf>
    <dxf>
      <fill>
        <patternFill patternType="solid">
          <fgColor rgb="FF6AC07C"/>
          <bgColor rgb="FF000000"/>
        </patternFill>
      </fill>
    </dxf>
    <dxf>
      <fill>
        <patternFill patternType="solid">
          <fgColor rgb="FF6BC17C"/>
          <bgColor rgb="FF000000"/>
        </patternFill>
      </fill>
    </dxf>
    <dxf>
      <fill>
        <patternFill patternType="solid">
          <fgColor rgb="FF6DC17C"/>
          <bgColor rgb="FF000000"/>
        </patternFill>
      </fill>
    </dxf>
    <dxf>
      <fill>
        <patternFill patternType="solid">
          <fgColor rgb="FF6EC17C"/>
          <bgColor rgb="FF000000"/>
        </patternFill>
      </fill>
    </dxf>
    <dxf>
      <fill>
        <patternFill patternType="solid">
          <fgColor rgb="FF6EC27C"/>
          <bgColor rgb="FF000000"/>
        </patternFill>
      </fill>
    </dxf>
    <dxf>
      <fill>
        <patternFill patternType="solid">
          <fgColor rgb="FF6FC27C"/>
          <bgColor rgb="FF000000"/>
        </patternFill>
      </fill>
    </dxf>
    <dxf>
      <fill>
        <patternFill patternType="solid">
          <fgColor rgb="FF70C27C"/>
          <bgColor rgb="FF000000"/>
        </patternFill>
      </fill>
    </dxf>
    <dxf>
      <fill>
        <patternFill patternType="solid">
          <fgColor rgb="FF72C37C"/>
          <bgColor rgb="FF000000"/>
        </patternFill>
      </fill>
    </dxf>
    <dxf>
      <fill>
        <patternFill patternType="solid">
          <fgColor rgb="FF73C37C"/>
          <bgColor rgb="FF000000"/>
        </patternFill>
      </fill>
    </dxf>
    <dxf>
      <fill>
        <patternFill patternType="solid">
          <fgColor rgb="FF76C47D"/>
          <bgColor rgb="FF000000"/>
        </patternFill>
      </fill>
    </dxf>
    <dxf>
      <fill>
        <patternFill patternType="solid">
          <fgColor rgb="FF7AC57D"/>
          <bgColor rgb="FF000000"/>
        </patternFill>
      </fill>
    </dxf>
    <dxf>
      <fill>
        <patternFill patternType="solid">
          <fgColor rgb="FF7BC57D"/>
          <bgColor rgb="FF000000"/>
        </patternFill>
      </fill>
    </dxf>
    <dxf>
      <fill>
        <patternFill patternType="solid">
          <fgColor rgb="FF7CC57D"/>
          <bgColor rgb="FF000000"/>
        </patternFill>
      </fill>
    </dxf>
    <dxf>
      <fill>
        <patternFill patternType="solid">
          <fgColor rgb="FF7DC67D"/>
          <bgColor rgb="FF000000"/>
        </patternFill>
      </fill>
    </dxf>
    <dxf>
      <fill>
        <patternFill patternType="solid">
          <fgColor rgb="FF7EC67D"/>
          <bgColor rgb="FF000000"/>
        </patternFill>
      </fill>
    </dxf>
    <dxf>
      <fill>
        <patternFill patternType="solid">
          <fgColor rgb="FF7FC67D"/>
          <bgColor rgb="FF000000"/>
        </patternFill>
      </fill>
    </dxf>
    <dxf>
      <fill>
        <patternFill patternType="solid">
          <fgColor rgb="FF7FC77D"/>
          <bgColor rgb="FF000000"/>
        </patternFill>
      </fill>
    </dxf>
    <dxf>
      <fill>
        <patternFill patternType="solid">
          <fgColor rgb="FF81C77D"/>
          <bgColor rgb="FF000000"/>
        </patternFill>
      </fill>
    </dxf>
    <dxf>
      <fill>
        <patternFill patternType="solid">
          <fgColor rgb="FF82C77D"/>
          <bgColor rgb="FF000000"/>
        </patternFill>
      </fill>
    </dxf>
    <dxf>
      <fill>
        <patternFill patternType="solid">
          <fgColor rgb="FF83C87D"/>
          <bgColor rgb="FF000000"/>
        </patternFill>
      </fill>
    </dxf>
    <dxf>
      <fill>
        <patternFill patternType="solid">
          <fgColor rgb="FF84C87D"/>
          <bgColor rgb="FF000000"/>
        </patternFill>
      </fill>
    </dxf>
    <dxf>
      <fill>
        <patternFill patternType="solid">
          <fgColor rgb="FF87C97E"/>
          <bgColor rgb="FF000000"/>
        </patternFill>
      </fill>
    </dxf>
    <dxf>
      <fill>
        <patternFill patternType="solid">
          <fgColor rgb="FF88C97E"/>
          <bgColor rgb="FF000000"/>
        </patternFill>
      </fill>
    </dxf>
    <dxf>
      <fill>
        <patternFill patternType="solid">
          <fgColor rgb="FF89C97E"/>
          <bgColor rgb="FF000000"/>
        </patternFill>
      </fill>
    </dxf>
    <dxf>
      <fill>
        <patternFill patternType="solid">
          <fgColor rgb="FF8BCA7E"/>
          <bgColor rgb="FF000000"/>
        </patternFill>
      </fill>
    </dxf>
    <dxf>
      <fill>
        <patternFill patternType="solid">
          <fgColor rgb="FF8ECB7E"/>
          <bgColor rgb="FF000000"/>
        </patternFill>
      </fill>
    </dxf>
    <dxf>
      <fill>
        <patternFill patternType="solid">
          <fgColor rgb="FF8FCB7E"/>
          <bgColor rgb="FF000000"/>
        </patternFill>
      </fill>
    </dxf>
    <dxf>
      <fill>
        <patternFill patternType="solid">
          <fgColor rgb="FF91CC7E"/>
          <bgColor rgb="FF000000"/>
        </patternFill>
      </fill>
    </dxf>
    <dxf>
      <fill>
        <patternFill patternType="solid">
          <fgColor rgb="FF92CC7E"/>
          <bgColor rgb="FF000000"/>
        </patternFill>
      </fill>
    </dxf>
    <dxf>
      <fill>
        <patternFill patternType="solid">
          <fgColor rgb="FF94CC7E"/>
          <bgColor rgb="FF000000"/>
        </patternFill>
      </fill>
    </dxf>
    <dxf>
      <fill>
        <patternFill patternType="solid">
          <fgColor rgb="FF95CD7E"/>
          <bgColor rgb="FF000000"/>
        </patternFill>
      </fill>
    </dxf>
    <dxf>
      <fill>
        <patternFill patternType="solid">
          <fgColor rgb="FF97CD7E"/>
          <bgColor rgb="FF000000"/>
        </patternFill>
      </fill>
    </dxf>
    <dxf>
      <fill>
        <patternFill patternType="solid">
          <fgColor rgb="FF98CE7F"/>
          <bgColor rgb="FF000000"/>
        </patternFill>
      </fill>
    </dxf>
    <dxf>
      <fill>
        <patternFill patternType="solid">
          <fgColor rgb="FF9BCE7F"/>
          <bgColor rgb="FF000000"/>
        </patternFill>
      </fill>
    </dxf>
    <dxf>
      <fill>
        <patternFill patternType="solid">
          <fgColor rgb="FF9BCF7F"/>
          <bgColor rgb="FF000000"/>
        </patternFill>
      </fill>
    </dxf>
    <dxf>
      <fill>
        <patternFill patternType="solid">
          <fgColor rgb="FF9DCF7F"/>
          <bgColor rgb="FF000000"/>
        </patternFill>
      </fill>
    </dxf>
    <dxf>
      <fill>
        <patternFill patternType="solid">
          <fgColor rgb="FF9FD07F"/>
          <bgColor rgb="FF000000"/>
        </patternFill>
      </fill>
    </dxf>
    <dxf>
      <fill>
        <patternFill patternType="solid">
          <fgColor rgb="FFA1D07F"/>
          <bgColor rgb="FF000000"/>
        </patternFill>
      </fill>
    </dxf>
    <dxf>
      <fill>
        <patternFill patternType="solid">
          <fgColor rgb="FFA6D27F"/>
          <bgColor rgb="FF000000"/>
        </patternFill>
      </fill>
    </dxf>
    <dxf>
      <fill>
        <patternFill patternType="solid">
          <fgColor rgb="FFA7D27F"/>
          <bgColor rgb="FF000000"/>
        </patternFill>
      </fill>
    </dxf>
    <dxf>
      <fill>
        <patternFill patternType="solid">
          <fgColor rgb="FFAAD380"/>
          <bgColor rgb="FF000000"/>
        </patternFill>
      </fill>
    </dxf>
    <dxf>
      <fill>
        <patternFill patternType="solid">
          <fgColor rgb="FFABD380"/>
          <bgColor rgb="FF000000"/>
        </patternFill>
      </fill>
    </dxf>
    <dxf>
      <fill>
        <patternFill patternType="solid">
          <fgColor rgb="FFACD380"/>
          <bgColor rgb="FF000000"/>
        </patternFill>
      </fill>
    </dxf>
    <dxf>
      <fill>
        <patternFill patternType="solid">
          <fgColor rgb="FFAED480"/>
          <bgColor rgb="FF000000"/>
        </patternFill>
      </fill>
    </dxf>
    <dxf>
      <fill>
        <patternFill patternType="solid">
          <fgColor rgb="FFAFD480"/>
          <bgColor rgb="FF000000"/>
        </patternFill>
      </fill>
    </dxf>
    <dxf>
      <fill>
        <patternFill patternType="solid">
          <fgColor rgb="FFB0D480"/>
          <bgColor rgb="FF000000"/>
        </patternFill>
      </fill>
    </dxf>
    <dxf>
      <fill>
        <patternFill patternType="solid">
          <fgColor rgb="FFB7D780"/>
          <bgColor rgb="FF000000"/>
        </patternFill>
      </fill>
    </dxf>
    <dxf>
      <fill>
        <patternFill patternType="solid">
          <fgColor rgb="FFB8D780"/>
          <bgColor rgb="FF000000"/>
        </patternFill>
      </fill>
    </dxf>
    <dxf>
      <fill>
        <patternFill patternType="solid">
          <fgColor rgb="FFBAD881"/>
          <bgColor rgb="FF000000"/>
        </patternFill>
      </fill>
    </dxf>
    <dxf>
      <fill>
        <patternFill patternType="solid">
          <fgColor rgb="FFC0D981"/>
          <bgColor rgb="FF000000"/>
        </patternFill>
      </fill>
    </dxf>
    <dxf>
      <fill>
        <patternFill patternType="solid">
          <fgColor rgb="FFC2DA81"/>
          <bgColor rgb="FF000000"/>
        </patternFill>
      </fill>
    </dxf>
    <dxf>
      <fill>
        <patternFill patternType="solid">
          <fgColor rgb="FFC4DA81"/>
          <bgColor rgb="FF000000"/>
        </patternFill>
      </fill>
    </dxf>
    <dxf>
      <fill>
        <patternFill patternType="solid">
          <fgColor rgb="FFCADC81"/>
          <bgColor rgb="FF000000"/>
        </patternFill>
      </fill>
    </dxf>
    <dxf>
      <fill>
        <patternFill patternType="solid">
          <fgColor rgb="FFCEDD82"/>
          <bgColor rgb="FF000000"/>
        </patternFill>
      </fill>
    </dxf>
    <dxf>
      <fill>
        <patternFill patternType="solid">
          <fgColor rgb="FFD1DE82"/>
          <bgColor rgb="FF000000"/>
        </patternFill>
      </fill>
    </dxf>
    <dxf>
      <fill>
        <patternFill patternType="solid">
          <fgColor rgb="FFD2DE82"/>
          <bgColor rgb="FF000000"/>
        </patternFill>
      </fill>
    </dxf>
    <dxf>
      <fill>
        <patternFill patternType="solid">
          <fgColor rgb="FFDDE283"/>
          <bgColor rgb="FF000000"/>
        </patternFill>
      </fill>
    </dxf>
    <dxf>
      <fill>
        <patternFill patternType="solid">
          <fgColor rgb="FFE4E483"/>
          <bgColor rgb="FF000000"/>
        </patternFill>
      </fill>
    </dxf>
    <dxf>
      <fill>
        <patternFill patternType="solid">
          <fgColor rgb="FFE9E583"/>
          <bgColor rgb="FF000000"/>
        </patternFill>
      </fill>
    </dxf>
    <dxf>
      <fill>
        <patternFill patternType="solid">
          <fgColor rgb="FFEDE683"/>
          <bgColor rgb="FF000000"/>
        </patternFill>
      </fill>
    </dxf>
    <dxf>
      <fill>
        <patternFill patternType="solid">
          <fgColor rgb="FFF2E884"/>
          <bgColor rgb="FF000000"/>
        </patternFill>
      </fill>
    </dxf>
    <dxf>
      <fill>
        <patternFill patternType="solid">
          <fgColor rgb="FFF3E884"/>
          <bgColor rgb="FF000000"/>
        </patternFill>
      </fill>
    </dxf>
    <dxf>
      <fill>
        <patternFill patternType="solid">
          <fgColor rgb="FFF4E884"/>
          <bgColor rgb="FF000000"/>
        </patternFill>
      </fill>
    </dxf>
    <dxf>
      <fill>
        <patternFill patternType="solid">
          <fgColor rgb="FFF86A6B"/>
          <bgColor rgb="FF000000"/>
        </patternFill>
      </fill>
    </dxf>
    <dxf>
      <fill>
        <patternFill patternType="solid">
          <fgColor rgb="FFF86B6B"/>
          <bgColor rgb="FF000000"/>
        </patternFill>
      </fill>
    </dxf>
    <dxf>
      <fill>
        <patternFill patternType="solid">
          <fgColor rgb="FFF86C6B"/>
          <bgColor rgb="FF000000"/>
        </patternFill>
      </fill>
    </dxf>
    <dxf>
      <fill>
        <patternFill patternType="solid">
          <fgColor rgb="FFF86D6B"/>
          <bgColor rgb="FF000000"/>
        </patternFill>
      </fill>
    </dxf>
    <dxf>
      <fill>
        <patternFill patternType="solid">
          <fgColor rgb="FFF86E6B"/>
          <bgColor rgb="FF000000"/>
        </patternFill>
      </fill>
    </dxf>
    <dxf>
      <fill>
        <patternFill patternType="solid">
          <fgColor rgb="FFF86E6C"/>
          <bgColor rgb="FF000000"/>
        </patternFill>
      </fill>
    </dxf>
    <dxf>
      <fill>
        <patternFill patternType="solid">
          <fgColor rgb="FFF86F6C"/>
          <bgColor rgb="FF000000"/>
        </patternFill>
      </fill>
    </dxf>
    <dxf>
      <fill>
        <patternFill patternType="solid">
          <fgColor rgb="FFF8706C"/>
          <bgColor rgb="FF000000"/>
        </patternFill>
      </fill>
    </dxf>
    <dxf>
      <fill>
        <patternFill patternType="solid">
          <fgColor rgb="FFF8716C"/>
          <bgColor rgb="FF000000"/>
        </patternFill>
      </fill>
    </dxf>
    <dxf>
      <fill>
        <patternFill patternType="solid">
          <fgColor rgb="FFF8726C"/>
          <bgColor rgb="FF000000"/>
        </patternFill>
      </fill>
    </dxf>
    <dxf>
      <fill>
        <patternFill patternType="solid">
          <fgColor rgb="FFF8736C"/>
          <bgColor rgb="FF000000"/>
        </patternFill>
      </fill>
    </dxf>
    <dxf>
      <fill>
        <patternFill patternType="solid">
          <fgColor rgb="FFF8736D"/>
          <bgColor rgb="FF000000"/>
        </patternFill>
      </fill>
    </dxf>
    <dxf>
      <fill>
        <patternFill patternType="solid">
          <fgColor rgb="FFF8746D"/>
          <bgColor rgb="FF000000"/>
        </patternFill>
      </fill>
    </dxf>
    <dxf>
      <fill>
        <patternFill patternType="solid">
          <fgColor rgb="FFF8756D"/>
          <bgColor rgb="FF000000"/>
        </patternFill>
      </fill>
    </dxf>
    <dxf>
      <fill>
        <patternFill patternType="solid">
          <fgColor rgb="FFF8766D"/>
          <bgColor rgb="FF000000"/>
        </patternFill>
      </fill>
    </dxf>
    <dxf>
      <fill>
        <patternFill patternType="solid">
          <fgColor rgb="FFF8786D"/>
          <bgColor rgb="FF000000"/>
        </patternFill>
      </fill>
    </dxf>
    <dxf>
      <fill>
        <patternFill patternType="solid">
          <fgColor rgb="FFF8796E"/>
          <bgColor rgb="FF000000"/>
        </patternFill>
      </fill>
    </dxf>
    <dxf>
      <fill>
        <patternFill patternType="solid">
          <fgColor rgb="FFF87A6E"/>
          <bgColor rgb="FF000000"/>
        </patternFill>
      </fill>
    </dxf>
    <dxf>
      <fill>
        <patternFill patternType="solid">
          <fgColor rgb="FFF87B6E"/>
          <bgColor rgb="FF000000"/>
        </patternFill>
      </fill>
    </dxf>
    <dxf>
      <fill>
        <patternFill patternType="solid">
          <fgColor rgb="FFF97B6E"/>
          <bgColor rgb="FF000000"/>
        </patternFill>
      </fill>
    </dxf>
    <dxf>
      <fill>
        <patternFill patternType="solid">
          <fgColor rgb="FFF97C6E"/>
          <bgColor rgb="FF000000"/>
        </patternFill>
      </fill>
    </dxf>
    <dxf>
      <fill>
        <patternFill patternType="solid">
          <fgColor rgb="FFF97D6E"/>
          <bgColor rgb="FF000000"/>
        </patternFill>
      </fill>
    </dxf>
    <dxf>
      <fill>
        <patternFill patternType="solid">
          <fgColor rgb="FFF97E6F"/>
          <bgColor rgb="FF000000"/>
        </patternFill>
      </fill>
    </dxf>
    <dxf>
      <fill>
        <patternFill patternType="solid">
          <fgColor rgb="FFF97F6F"/>
          <bgColor rgb="FF000000"/>
        </patternFill>
      </fill>
    </dxf>
    <dxf>
      <fill>
        <patternFill patternType="solid">
          <fgColor rgb="FFF9816F"/>
          <bgColor rgb="FF000000"/>
        </patternFill>
      </fill>
    </dxf>
    <dxf>
      <fill>
        <patternFill patternType="solid">
          <fgColor rgb="FFF9826F"/>
          <bgColor rgb="FF000000"/>
        </patternFill>
      </fill>
    </dxf>
    <dxf>
      <fill>
        <patternFill patternType="solid">
          <fgColor rgb="FFF98370"/>
          <bgColor rgb="FF000000"/>
        </patternFill>
      </fill>
    </dxf>
    <dxf>
      <fill>
        <patternFill patternType="solid">
          <fgColor rgb="FFF98570"/>
          <bgColor rgb="FF000000"/>
        </patternFill>
      </fill>
    </dxf>
    <dxf>
      <fill>
        <patternFill patternType="solid">
          <fgColor rgb="FFF98670"/>
          <bgColor rgb="FF000000"/>
        </patternFill>
      </fill>
    </dxf>
    <dxf>
      <fill>
        <patternFill patternType="solid">
          <fgColor rgb="FFF98871"/>
          <bgColor rgb="FF000000"/>
        </patternFill>
      </fill>
    </dxf>
    <dxf>
      <fill>
        <patternFill patternType="solid">
          <fgColor rgb="FFF98971"/>
          <bgColor rgb="FF000000"/>
        </patternFill>
      </fill>
    </dxf>
    <dxf>
      <fill>
        <patternFill patternType="solid">
          <fgColor rgb="FFF98A71"/>
          <bgColor rgb="FF000000"/>
        </patternFill>
      </fill>
    </dxf>
    <dxf>
      <fill>
        <patternFill patternType="solid">
          <fgColor rgb="FFF98C71"/>
          <bgColor rgb="FF000000"/>
        </patternFill>
      </fill>
    </dxf>
    <dxf>
      <fill>
        <patternFill patternType="solid">
          <fgColor rgb="FFFA8F72"/>
          <bgColor rgb="FF000000"/>
        </patternFill>
      </fill>
    </dxf>
    <dxf>
      <fill>
        <patternFill patternType="solid">
          <fgColor rgb="FFFA9272"/>
          <bgColor rgb="FF000000"/>
        </patternFill>
      </fill>
    </dxf>
    <dxf>
      <fill>
        <patternFill patternType="solid">
          <fgColor rgb="FFFA9273"/>
          <bgColor rgb="FF000000"/>
        </patternFill>
      </fill>
    </dxf>
    <dxf>
      <fill>
        <patternFill patternType="solid">
          <fgColor rgb="FFFA9573"/>
          <bgColor rgb="FF000000"/>
        </patternFill>
      </fill>
    </dxf>
    <dxf>
      <fill>
        <patternFill patternType="solid">
          <fgColor rgb="FFFA9673"/>
          <bgColor rgb="FF000000"/>
        </patternFill>
      </fill>
    </dxf>
    <dxf>
      <fill>
        <patternFill patternType="solid">
          <fgColor rgb="FFFA9773"/>
          <bgColor rgb="FF000000"/>
        </patternFill>
      </fill>
    </dxf>
    <dxf>
      <fill>
        <patternFill patternType="solid">
          <fgColor rgb="FFFA9874"/>
          <bgColor rgb="FF000000"/>
        </patternFill>
      </fill>
    </dxf>
    <dxf>
      <fill>
        <patternFill patternType="solid">
          <fgColor rgb="FFFA9974"/>
          <bgColor rgb="FF000000"/>
        </patternFill>
      </fill>
    </dxf>
    <dxf>
      <fill>
        <patternFill patternType="solid">
          <fgColor rgb="FFFA9A74"/>
          <bgColor rgb="FF000000"/>
        </patternFill>
      </fill>
    </dxf>
    <dxf>
      <fill>
        <patternFill patternType="solid">
          <fgColor rgb="FFFA9B74"/>
          <bgColor rgb="FF000000"/>
        </patternFill>
      </fill>
    </dxf>
    <dxf>
      <fill>
        <patternFill patternType="solid">
          <fgColor rgb="FFFA9E75"/>
          <bgColor rgb="FF000000"/>
        </patternFill>
      </fill>
    </dxf>
    <dxf>
      <fill>
        <patternFill patternType="solid">
          <fgColor rgb="FFFBA376"/>
          <bgColor rgb="FF000000"/>
        </patternFill>
      </fill>
    </dxf>
    <dxf>
      <fill>
        <patternFill patternType="solid">
          <fgColor rgb="FFFBA476"/>
          <bgColor rgb="FF000000"/>
        </patternFill>
      </fill>
    </dxf>
    <dxf>
      <fill>
        <patternFill patternType="solid">
          <fgColor rgb="FFFBA676"/>
          <bgColor rgb="FF000000"/>
        </patternFill>
      </fill>
    </dxf>
    <dxf>
      <fill>
        <patternFill patternType="solid">
          <fgColor rgb="FFFBAE78"/>
          <bgColor rgb="FF000000"/>
        </patternFill>
      </fill>
    </dxf>
    <dxf>
      <fill>
        <patternFill patternType="solid">
          <fgColor rgb="FFFBAF78"/>
          <bgColor rgb="FF000000"/>
        </patternFill>
      </fill>
    </dxf>
    <dxf>
      <fill>
        <patternFill patternType="solid">
          <fgColor rgb="FFFBB078"/>
          <bgColor rgb="FF000000"/>
        </patternFill>
      </fill>
    </dxf>
    <dxf>
      <fill>
        <patternFill patternType="solid">
          <fgColor rgb="FFFBB279"/>
          <bgColor rgb="FF000000"/>
        </patternFill>
      </fill>
    </dxf>
    <dxf>
      <fill>
        <patternFill patternType="solid">
          <fgColor rgb="FFFCB379"/>
          <bgColor rgb="FF000000"/>
        </patternFill>
      </fill>
    </dxf>
    <dxf>
      <fill>
        <patternFill patternType="solid">
          <fgColor rgb="FFFCB479"/>
          <bgColor rgb="FF000000"/>
        </patternFill>
      </fill>
    </dxf>
    <dxf>
      <fill>
        <patternFill patternType="solid">
          <fgColor rgb="FFFCB77A"/>
          <bgColor rgb="FF000000"/>
        </patternFill>
      </fill>
    </dxf>
    <dxf>
      <fill>
        <patternFill patternType="solid">
          <fgColor rgb="FFFCBD7B"/>
          <bgColor rgb="FF000000"/>
        </patternFill>
      </fill>
    </dxf>
    <dxf>
      <fill>
        <patternFill patternType="solid">
          <fgColor rgb="FFFCBE7B"/>
          <bgColor rgb="FF000000"/>
        </patternFill>
      </fill>
    </dxf>
    <dxf>
      <fill>
        <patternFill patternType="solid">
          <fgColor rgb="FFFCC17C"/>
          <bgColor rgb="FF000000"/>
        </patternFill>
      </fill>
    </dxf>
    <dxf>
      <fill>
        <patternFill patternType="solid">
          <fgColor rgb="FFFCC27C"/>
          <bgColor rgb="FF000000"/>
        </patternFill>
      </fill>
    </dxf>
    <dxf>
      <fill>
        <patternFill patternType="solid">
          <fgColor rgb="FFFCC47C"/>
          <bgColor rgb="FF000000"/>
        </patternFill>
      </fill>
    </dxf>
    <dxf>
      <fill>
        <patternFill patternType="solid">
          <fgColor rgb="FFFDC67C"/>
          <bgColor rgb="FF000000"/>
        </patternFill>
      </fill>
    </dxf>
    <dxf>
      <fill>
        <patternFill patternType="solid">
          <fgColor rgb="FFFDC87D"/>
          <bgColor rgb="FF000000"/>
        </patternFill>
      </fill>
    </dxf>
    <dxf>
      <fill>
        <patternFill patternType="solid">
          <fgColor rgb="FFFDCC7E"/>
          <bgColor rgb="FF000000"/>
        </patternFill>
      </fill>
    </dxf>
    <dxf>
      <fill>
        <patternFill patternType="solid">
          <fgColor rgb="FFFDD680"/>
          <bgColor rgb="FF000000"/>
        </patternFill>
      </fill>
    </dxf>
    <dxf>
      <fill>
        <patternFill patternType="solid">
          <fgColor rgb="FFFDEB84"/>
          <bgColor rgb="FF000000"/>
        </patternFill>
      </fill>
    </dxf>
    <dxf>
      <fill>
        <patternFill patternType="solid">
          <fgColor rgb="FFFEDD81"/>
          <bgColor rgb="FF000000"/>
        </patternFill>
      </fill>
    </dxf>
    <dxf>
      <fill>
        <patternFill patternType="solid">
          <fgColor rgb="FFFEDF81"/>
          <bgColor rgb="FF000000"/>
        </patternFill>
      </fill>
    </dxf>
    <dxf>
      <fill>
        <patternFill patternType="solid">
          <fgColor rgb="FFFEE081"/>
          <bgColor rgb="FF000000"/>
        </patternFill>
      </fill>
    </dxf>
    <dxf>
      <fill>
        <patternFill patternType="solid">
          <fgColor rgb="FFFEE182"/>
          <bgColor rgb="FF000000"/>
        </patternFill>
      </fill>
    </dxf>
    <dxf>
      <fill>
        <patternFill patternType="solid">
          <fgColor rgb="FFFEE282"/>
          <bgColor rgb="FF000000"/>
        </patternFill>
      </fill>
    </dxf>
    <dxf>
      <fill>
        <patternFill patternType="solid">
          <fgColor rgb="FFFEE983"/>
          <bgColor rgb="FF000000"/>
        </patternFill>
      </fill>
    </dxf>
    <dxf>
      <fill>
        <patternFill patternType="solid">
          <fgColor rgb="FFFBA576"/>
          <bgColor rgb="FF000000"/>
        </patternFill>
      </fill>
    </dxf>
    <dxf>
      <fill>
        <patternFill patternType="solid">
          <fgColor rgb="FFFDCF7E"/>
          <bgColor rgb="FF000000"/>
        </patternFill>
      </fill>
    </dxf>
    <dxf>
      <fill>
        <patternFill patternType="solid">
          <fgColor rgb="FFFFEB84"/>
          <bgColor rgb="FF000000"/>
        </patternFill>
      </fill>
    </dxf>
    <dxf>
      <fill>
        <patternFill patternType="solid">
          <fgColor rgb="FF6CC17C"/>
          <bgColor rgb="FF000000"/>
        </patternFill>
      </fill>
    </dxf>
    <dxf>
      <fill>
        <patternFill patternType="solid">
          <fgColor rgb="FF74C37C"/>
          <bgColor rgb="FF000000"/>
        </patternFill>
      </fill>
    </dxf>
    <dxf>
      <fill>
        <patternFill patternType="solid">
          <fgColor rgb="FF77C47D"/>
          <bgColor rgb="FF000000"/>
        </patternFill>
      </fill>
    </dxf>
    <dxf>
      <fill>
        <patternFill patternType="solid">
          <fgColor rgb="FF85C87D"/>
          <bgColor rgb="FF000000"/>
        </patternFill>
      </fill>
    </dxf>
    <dxf>
      <fill>
        <patternFill patternType="solid">
          <fgColor rgb="FF8ACA7E"/>
          <bgColor rgb="FF000000"/>
        </patternFill>
      </fill>
    </dxf>
    <dxf>
      <fill>
        <patternFill patternType="solid">
          <fgColor rgb="FF94CD7E"/>
          <bgColor rgb="FF000000"/>
        </patternFill>
      </fill>
    </dxf>
    <dxf>
      <fill>
        <patternFill patternType="solid">
          <fgColor rgb="FFA8D27F"/>
          <bgColor rgb="FF000000"/>
        </patternFill>
      </fill>
    </dxf>
    <dxf>
      <fill>
        <patternFill patternType="solid">
          <fgColor rgb="FFB1D580"/>
          <bgColor rgb="FF000000"/>
        </patternFill>
      </fill>
    </dxf>
    <dxf>
      <fill>
        <patternFill patternType="solid">
          <fgColor rgb="FFB4D680"/>
          <bgColor rgb="FF000000"/>
        </patternFill>
      </fill>
    </dxf>
    <dxf>
      <fill>
        <patternFill patternType="solid">
          <fgColor rgb="FFB9D780"/>
          <bgColor rgb="FF000000"/>
        </patternFill>
      </fill>
    </dxf>
    <dxf>
      <fill>
        <patternFill patternType="solid">
          <fgColor rgb="FFBCD881"/>
          <bgColor rgb="FF000000"/>
        </patternFill>
      </fill>
    </dxf>
    <dxf>
      <fill>
        <patternFill patternType="solid">
          <fgColor rgb="FFBED881"/>
          <bgColor rgb="FF000000"/>
        </patternFill>
      </fill>
    </dxf>
    <dxf>
      <fill>
        <patternFill patternType="solid">
          <fgColor rgb="FFBED981"/>
          <bgColor rgb="FF000000"/>
        </patternFill>
      </fill>
    </dxf>
    <dxf>
      <fill>
        <patternFill patternType="solid">
          <fgColor rgb="FFBFD981"/>
          <bgColor rgb="FF000000"/>
        </patternFill>
      </fill>
    </dxf>
    <dxf>
      <fill>
        <patternFill patternType="solid">
          <fgColor rgb="FFC1D981"/>
          <bgColor rgb="FF000000"/>
        </patternFill>
      </fill>
    </dxf>
    <dxf>
      <fill>
        <patternFill patternType="solid">
          <fgColor rgb="FFC1DA81"/>
          <bgColor rgb="FF000000"/>
        </patternFill>
      </fill>
    </dxf>
    <dxf>
      <fill>
        <patternFill patternType="solid">
          <fgColor rgb="FFC3DA81"/>
          <bgColor rgb="FF000000"/>
        </patternFill>
      </fill>
    </dxf>
    <dxf>
      <fill>
        <patternFill patternType="solid">
          <fgColor rgb="FFC6DB81"/>
          <bgColor rgb="FF000000"/>
        </patternFill>
      </fill>
    </dxf>
    <dxf>
      <fill>
        <patternFill patternType="solid">
          <fgColor rgb="FFC7DB81"/>
          <bgColor rgb="FF000000"/>
        </patternFill>
      </fill>
    </dxf>
    <dxf>
      <fill>
        <patternFill patternType="solid">
          <fgColor rgb="FFC9DC81"/>
          <bgColor rgb="FF000000"/>
        </patternFill>
      </fill>
    </dxf>
    <dxf>
      <fill>
        <patternFill patternType="solid">
          <fgColor rgb="FFCFDD82"/>
          <bgColor rgb="FF000000"/>
        </patternFill>
      </fill>
    </dxf>
    <dxf>
      <fill>
        <patternFill patternType="solid">
          <fgColor rgb="FFCFDE82"/>
          <bgColor rgb="FF000000"/>
        </patternFill>
      </fill>
    </dxf>
    <dxf>
      <fill>
        <patternFill patternType="solid">
          <fgColor rgb="FFD0DE82"/>
          <bgColor rgb="FF000000"/>
        </patternFill>
      </fill>
    </dxf>
    <dxf>
      <fill>
        <patternFill patternType="solid">
          <fgColor rgb="FFD4DF82"/>
          <bgColor rgb="FF000000"/>
        </patternFill>
      </fill>
    </dxf>
    <dxf>
      <fill>
        <patternFill patternType="solid">
          <fgColor rgb="FFD6DF82"/>
          <bgColor rgb="FF000000"/>
        </patternFill>
      </fill>
    </dxf>
    <dxf>
      <fill>
        <patternFill patternType="solid">
          <fgColor rgb="FFD6E082"/>
          <bgColor rgb="FF000000"/>
        </patternFill>
      </fill>
    </dxf>
    <dxf>
      <fill>
        <patternFill patternType="solid">
          <fgColor rgb="FFD8E082"/>
          <bgColor rgb="FF000000"/>
        </patternFill>
      </fill>
    </dxf>
    <dxf>
      <fill>
        <patternFill patternType="solid">
          <fgColor rgb="FFDBE182"/>
          <bgColor rgb="FF000000"/>
        </patternFill>
      </fill>
    </dxf>
    <dxf>
      <fill>
        <patternFill patternType="solid">
          <fgColor rgb="FFDCE182"/>
          <bgColor rgb="FF000000"/>
        </patternFill>
      </fill>
    </dxf>
    <dxf>
      <fill>
        <patternFill patternType="solid">
          <fgColor rgb="FFDEE283"/>
          <bgColor rgb="FF000000"/>
        </patternFill>
      </fill>
    </dxf>
    <dxf>
      <fill>
        <patternFill patternType="solid">
          <fgColor rgb="FFDFE283"/>
          <bgColor rgb="FF000000"/>
        </patternFill>
      </fill>
    </dxf>
    <dxf>
      <fill>
        <patternFill patternType="solid">
          <fgColor rgb="FFE0E283"/>
          <bgColor rgb="FF000000"/>
        </patternFill>
      </fill>
    </dxf>
    <dxf>
      <fill>
        <patternFill patternType="solid">
          <fgColor rgb="FFE1E383"/>
          <bgColor rgb="FF000000"/>
        </patternFill>
      </fill>
    </dxf>
    <dxf>
      <fill>
        <patternFill patternType="solid">
          <fgColor rgb="FFE2E383"/>
          <bgColor rgb="FF000000"/>
        </patternFill>
      </fill>
    </dxf>
    <dxf>
      <fill>
        <patternFill patternType="solid">
          <fgColor rgb="FFE3E383"/>
          <bgColor rgb="FF000000"/>
        </patternFill>
      </fill>
    </dxf>
    <dxf>
      <fill>
        <patternFill patternType="solid">
          <fgColor rgb="FFE5E483"/>
          <bgColor rgb="FF000000"/>
        </patternFill>
      </fill>
    </dxf>
    <dxf>
      <fill>
        <patternFill patternType="solid">
          <fgColor rgb="FFE6E483"/>
          <bgColor rgb="FF000000"/>
        </patternFill>
      </fill>
    </dxf>
    <dxf>
      <fill>
        <patternFill patternType="solid">
          <fgColor rgb="FFE7E583"/>
          <bgColor rgb="FF000000"/>
        </patternFill>
      </fill>
    </dxf>
    <dxf>
      <fill>
        <patternFill patternType="solid">
          <fgColor rgb="FFE8E583"/>
          <bgColor rgb="FF000000"/>
        </patternFill>
      </fill>
    </dxf>
    <dxf>
      <fill>
        <patternFill patternType="solid">
          <fgColor rgb="FFEAE583"/>
          <bgColor rgb="FF000000"/>
        </patternFill>
      </fill>
    </dxf>
    <dxf>
      <fill>
        <patternFill patternType="solid">
          <fgColor rgb="FFEBE683"/>
          <bgColor rgb="FF000000"/>
        </patternFill>
      </fill>
    </dxf>
    <dxf>
      <fill>
        <patternFill patternType="solid">
          <fgColor rgb="FFEFE784"/>
          <bgColor rgb="FF000000"/>
        </patternFill>
      </fill>
    </dxf>
    <dxf>
      <fill>
        <patternFill patternType="solid">
          <fgColor rgb="FFF6E984"/>
          <bgColor rgb="FF000000"/>
        </patternFill>
      </fill>
    </dxf>
    <dxf>
      <fill>
        <patternFill patternType="solid">
          <fgColor rgb="FFF7E984"/>
          <bgColor rgb="FF000000"/>
        </patternFill>
      </fill>
    </dxf>
    <dxf>
      <fill>
        <patternFill patternType="solid">
          <fgColor rgb="FFF8776D"/>
          <bgColor rgb="FF000000"/>
        </patternFill>
      </fill>
    </dxf>
    <dxf>
      <fill>
        <patternFill patternType="solid">
          <fgColor rgb="FFF97D6F"/>
          <bgColor rgb="FF000000"/>
        </patternFill>
      </fill>
    </dxf>
    <dxf>
      <fill>
        <patternFill patternType="solid">
          <fgColor rgb="FFF9806F"/>
          <bgColor rgb="FF000000"/>
        </patternFill>
      </fill>
    </dxf>
    <dxf>
      <fill>
        <patternFill patternType="solid">
          <fgColor rgb="FFF98770"/>
          <bgColor rgb="FF000000"/>
        </patternFill>
      </fill>
    </dxf>
    <dxf>
      <fill>
        <patternFill patternType="solid">
          <fgColor rgb="FFF98D72"/>
          <bgColor rgb="FF000000"/>
        </patternFill>
      </fill>
    </dxf>
    <dxf>
      <fill>
        <patternFill patternType="solid">
          <fgColor rgb="FFFA9172"/>
          <bgColor rgb="FF000000"/>
        </patternFill>
      </fill>
    </dxf>
    <dxf>
      <fill>
        <patternFill patternType="solid">
          <fgColor rgb="FFFA9C74"/>
          <bgColor rgb="FF000000"/>
        </patternFill>
      </fill>
    </dxf>
    <dxf>
      <fill>
        <patternFill patternType="solid">
          <fgColor rgb="FFFA9F75"/>
          <bgColor rgb="FF000000"/>
        </patternFill>
      </fill>
    </dxf>
    <dxf>
      <fill>
        <patternFill patternType="solid">
          <fgColor rgb="FFFAA075"/>
          <bgColor rgb="FF000000"/>
        </patternFill>
      </fill>
    </dxf>
    <dxf>
      <fill>
        <patternFill patternType="solid">
          <fgColor rgb="FFFBA275"/>
          <bgColor rgb="FF000000"/>
        </patternFill>
      </fill>
    </dxf>
    <dxf>
      <fill>
        <patternFill patternType="solid">
          <fgColor rgb="FFFBA776"/>
          <bgColor rgb="FF000000"/>
        </patternFill>
      </fill>
    </dxf>
    <dxf>
      <fill>
        <patternFill patternType="solid">
          <fgColor rgb="FFFBA877"/>
          <bgColor rgb="FF000000"/>
        </patternFill>
      </fill>
    </dxf>
    <dxf>
      <fill>
        <patternFill patternType="solid">
          <fgColor rgb="FFFBAC78"/>
          <bgColor rgb="FF000000"/>
        </patternFill>
      </fill>
    </dxf>
    <dxf>
      <fill>
        <patternFill patternType="solid">
          <fgColor rgb="FFFBAD78"/>
          <bgColor rgb="FF000000"/>
        </patternFill>
      </fill>
    </dxf>
    <dxf>
      <fill>
        <patternFill patternType="solid">
          <fgColor rgb="FFFBB178"/>
          <bgColor rgb="FF000000"/>
        </patternFill>
      </fill>
    </dxf>
    <dxf>
      <fill>
        <patternFill patternType="solid">
          <fgColor rgb="FFFCBB7A"/>
          <bgColor rgb="FF000000"/>
        </patternFill>
      </fill>
    </dxf>
    <dxf>
      <fill>
        <patternFill patternType="solid">
          <fgColor rgb="FFFCBF7B"/>
          <bgColor rgb="FF000000"/>
        </patternFill>
      </fill>
    </dxf>
    <dxf>
      <fill>
        <patternFill patternType="solid">
          <fgColor rgb="FFFCC07B"/>
          <bgColor rgb="FF000000"/>
        </patternFill>
      </fill>
    </dxf>
    <dxf>
      <fill>
        <patternFill patternType="solid">
          <fgColor rgb="FFFCC17B"/>
          <bgColor rgb="FF000000"/>
        </patternFill>
      </fill>
    </dxf>
    <dxf>
      <fill>
        <patternFill patternType="solid">
          <fgColor rgb="FFFCC37C"/>
          <bgColor rgb="FF000000"/>
        </patternFill>
      </fill>
    </dxf>
    <dxf>
      <fill>
        <patternFill patternType="solid">
          <fgColor rgb="FFFCC57C"/>
          <bgColor rgb="FF000000"/>
        </patternFill>
      </fill>
    </dxf>
    <dxf>
      <fill>
        <patternFill patternType="solid">
          <fgColor rgb="FFFCEB84"/>
          <bgColor rgb="FF000000"/>
        </patternFill>
      </fill>
    </dxf>
    <dxf>
      <fill>
        <patternFill patternType="solid">
          <fgColor rgb="FFFDC67D"/>
          <bgColor rgb="FF000000"/>
        </patternFill>
      </fill>
    </dxf>
    <dxf>
      <fill>
        <patternFill patternType="solid">
          <fgColor rgb="FFFDC97D"/>
          <bgColor rgb="FF000000"/>
        </patternFill>
      </fill>
    </dxf>
    <dxf>
      <fill>
        <patternFill patternType="solid">
          <fgColor rgb="FFFDCB7D"/>
          <bgColor rgb="FF000000"/>
        </patternFill>
      </fill>
    </dxf>
    <dxf>
      <fill>
        <patternFill patternType="solid">
          <fgColor rgb="FFFDCD7E"/>
          <bgColor rgb="FF000000"/>
        </patternFill>
      </fill>
    </dxf>
    <dxf>
      <fill>
        <patternFill patternType="solid">
          <fgColor rgb="FFFDD07E"/>
          <bgColor rgb="FF000000"/>
        </patternFill>
      </fill>
    </dxf>
    <dxf>
      <fill>
        <patternFill patternType="solid">
          <fgColor rgb="FFFDD27F"/>
          <bgColor rgb="FF000000"/>
        </patternFill>
      </fill>
    </dxf>
    <dxf>
      <fill>
        <patternFill patternType="solid">
          <fgColor rgb="FFFDD37F"/>
          <bgColor rgb="FF000000"/>
        </patternFill>
      </fill>
    </dxf>
    <dxf>
      <fill>
        <patternFill patternType="solid">
          <fgColor rgb="FFFDD47F"/>
          <bgColor rgb="FF000000"/>
        </patternFill>
      </fill>
    </dxf>
    <dxf>
      <fill>
        <patternFill patternType="solid">
          <fgColor rgb="FFFDD57F"/>
          <bgColor rgb="FF000000"/>
        </patternFill>
      </fill>
    </dxf>
    <dxf>
      <fill>
        <patternFill patternType="solid">
          <fgColor rgb="FFFDD780"/>
          <bgColor rgb="FF000000"/>
        </patternFill>
      </fill>
    </dxf>
    <dxf>
      <fill>
        <patternFill patternType="solid">
          <fgColor rgb="FFFED880"/>
          <bgColor rgb="FF000000"/>
        </patternFill>
      </fill>
    </dxf>
    <dxf>
      <fill>
        <patternFill patternType="solid">
          <fgColor rgb="FFFEDB80"/>
          <bgColor rgb="FF000000"/>
        </patternFill>
      </fill>
    </dxf>
    <dxf>
      <fill>
        <patternFill patternType="solid">
          <fgColor rgb="FFFEDB81"/>
          <bgColor rgb="FF000000"/>
        </patternFill>
      </fill>
    </dxf>
    <dxf>
      <fill>
        <patternFill patternType="solid">
          <fgColor rgb="FFFEDC81"/>
          <bgColor rgb="FF000000"/>
        </patternFill>
      </fill>
    </dxf>
    <dxf>
      <fill>
        <patternFill patternType="solid">
          <fgColor rgb="FFFEE082"/>
          <bgColor rgb="FF000000"/>
        </patternFill>
      </fill>
    </dxf>
    <dxf>
      <fill>
        <patternFill patternType="solid">
          <fgColor rgb="FFFEE683"/>
          <bgColor rgb="FF000000"/>
        </patternFill>
      </fill>
    </dxf>
    <dxf>
      <fill>
        <patternFill patternType="solid">
          <fgColor rgb="FFFEE883"/>
          <bgColor rgb="FF000000"/>
        </patternFill>
      </fill>
    </dxf>
    <dxf>
      <fill>
        <patternFill patternType="solid">
          <fgColor rgb="FFFEEA83"/>
          <bgColor rgb="FF000000"/>
        </patternFill>
      </fill>
    </dxf>
    <dxf>
      <fill>
        <patternFill patternType="solid">
          <fgColor rgb="FF78C47D"/>
          <bgColor rgb="FF000000"/>
        </patternFill>
      </fill>
    </dxf>
    <dxf>
      <fill>
        <patternFill patternType="solid">
          <fgColor rgb="FF78C57D"/>
          <bgColor rgb="FF000000"/>
        </patternFill>
      </fill>
    </dxf>
    <dxf>
      <fill>
        <patternFill patternType="solid">
          <fgColor rgb="FF90CB7E"/>
          <bgColor rgb="FF000000"/>
        </patternFill>
      </fill>
    </dxf>
    <dxf>
      <fill>
        <patternFill patternType="solid">
          <fgColor rgb="FF9ACE7F"/>
          <bgColor rgb="FF000000"/>
        </patternFill>
      </fill>
    </dxf>
    <dxf>
      <fill>
        <patternFill patternType="solid">
          <fgColor rgb="FFA3D17F"/>
          <bgColor rgb="FF000000"/>
        </patternFill>
      </fill>
    </dxf>
    <dxf>
      <fill>
        <patternFill patternType="solid">
          <fgColor rgb="FFA4D17F"/>
          <bgColor rgb="FF000000"/>
        </patternFill>
      </fill>
    </dxf>
    <dxf>
      <fill>
        <patternFill patternType="solid">
          <fgColor rgb="FFA9D380"/>
          <bgColor rgb="FF000000"/>
        </patternFill>
      </fill>
    </dxf>
    <dxf>
      <fill>
        <patternFill patternType="solid">
          <fgColor rgb="FFB0D580"/>
          <bgColor rgb="FF000000"/>
        </patternFill>
      </fill>
    </dxf>
    <dxf>
      <fill>
        <patternFill patternType="solid">
          <fgColor rgb="FFB2D580"/>
          <bgColor rgb="FF000000"/>
        </patternFill>
      </fill>
    </dxf>
    <dxf>
      <fill>
        <patternFill patternType="solid">
          <fgColor rgb="FFB7D680"/>
          <bgColor rgb="FF000000"/>
        </patternFill>
      </fill>
    </dxf>
    <dxf>
      <fill>
        <patternFill patternType="solid">
          <fgColor rgb="FFBBD881"/>
          <bgColor rgb="FF000000"/>
        </patternFill>
      </fill>
    </dxf>
    <dxf>
      <fill>
        <patternFill patternType="solid">
          <fgColor rgb="FFC5DB81"/>
          <bgColor rgb="FF000000"/>
        </patternFill>
      </fill>
    </dxf>
    <dxf>
      <fill>
        <patternFill patternType="solid">
          <fgColor rgb="FFC8DB81"/>
          <bgColor rgb="FF000000"/>
        </patternFill>
      </fill>
    </dxf>
    <dxf>
      <fill>
        <patternFill patternType="solid">
          <fgColor rgb="FFD3DF82"/>
          <bgColor rgb="FF000000"/>
        </patternFill>
      </fill>
    </dxf>
    <dxf>
      <fill>
        <patternFill patternType="solid">
          <fgColor rgb="FFDAE182"/>
          <bgColor rgb="FF000000"/>
        </patternFill>
      </fill>
    </dxf>
    <dxf>
      <fill>
        <patternFill patternType="solid">
          <fgColor rgb="FFE0E383"/>
          <bgColor rgb="FF000000"/>
        </patternFill>
      </fill>
    </dxf>
    <dxf>
      <fill>
        <patternFill patternType="solid">
          <fgColor rgb="FFE7E483"/>
          <bgColor rgb="FF000000"/>
        </patternFill>
      </fill>
    </dxf>
    <dxf>
      <fill>
        <patternFill patternType="solid">
          <fgColor rgb="FFECE683"/>
          <bgColor rgb="FF000000"/>
        </patternFill>
      </fill>
    </dxf>
    <dxf>
      <fill>
        <patternFill patternType="solid">
          <fgColor rgb="FFF0E784"/>
          <bgColor rgb="FF000000"/>
        </patternFill>
      </fill>
    </dxf>
    <dxf>
      <fill>
        <patternFill patternType="solid">
          <fgColor rgb="FFF5E884"/>
          <bgColor rgb="FF000000"/>
        </patternFill>
      </fill>
    </dxf>
    <dxf>
      <fill>
        <patternFill patternType="solid">
          <fgColor rgb="FFF8E984"/>
          <bgColor rgb="FF000000"/>
        </patternFill>
      </fill>
    </dxf>
    <dxf>
      <fill>
        <patternFill patternType="solid">
          <fgColor rgb="FFF98470"/>
          <bgColor rgb="FF000000"/>
        </patternFill>
      </fill>
    </dxf>
    <dxf>
      <fill>
        <patternFill patternType="solid">
          <fgColor rgb="FFF98B71"/>
          <bgColor rgb="FF000000"/>
        </patternFill>
      </fill>
    </dxf>
    <dxf>
      <fill>
        <patternFill patternType="solid">
          <fgColor rgb="FFF9EA84"/>
          <bgColor rgb="FF000000"/>
        </patternFill>
      </fill>
    </dxf>
    <dxf>
      <fill>
        <patternFill patternType="solid">
          <fgColor rgb="FFFA8E72"/>
          <bgColor rgb="FF000000"/>
        </patternFill>
      </fill>
    </dxf>
    <dxf>
      <fill>
        <patternFill patternType="solid">
          <fgColor rgb="FFFA9D75"/>
          <bgColor rgb="FF000000"/>
        </patternFill>
      </fill>
    </dxf>
    <dxf>
      <fill>
        <patternFill patternType="solid">
          <fgColor rgb="FFFAEA84"/>
          <bgColor rgb="FF000000"/>
        </patternFill>
      </fill>
    </dxf>
    <dxf>
      <fill>
        <patternFill patternType="solid">
          <fgColor rgb="FFFBA276"/>
          <bgColor rgb="FF000000"/>
        </patternFill>
      </fill>
    </dxf>
    <dxf>
      <fill>
        <patternFill patternType="solid">
          <fgColor rgb="FFFBA777"/>
          <bgColor rgb="FF000000"/>
        </patternFill>
      </fill>
    </dxf>
    <dxf>
      <fill>
        <patternFill patternType="solid">
          <fgColor rgb="FFFBAB77"/>
          <bgColor rgb="FF000000"/>
        </patternFill>
      </fill>
    </dxf>
    <dxf>
      <fill>
        <patternFill patternType="solid">
          <fgColor rgb="FFFBAC77"/>
          <bgColor rgb="FF000000"/>
        </patternFill>
      </fill>
    </dxf>
    <dxf>
      <fill>
        <patternFill patternType="solid">
          <fgColor rgb="FFFCB579"/>
          <bgColor rgb="FF000000"/>
        </patternFill>
      </fill>
    </dxf>
    <dxf>
      <fill>
        <patternFill patternType="solid">
          <fgColor rgb="FFFCB87A"/>
          <bgColor rgb="FF000000"/>
        </patternFill>
      </fill>
    </dxf>
    <dxf>
      <fill>
        <patternFill patternType="solid">
          <fgColor rgb="FFFCB97A"/>
          <bgColor rgb="FF000000"/>
        </patternFill>
      </fill>
    </dxf>
    <dxf>
      <fill>
        <patternFill patternType="solid">
          <fgColor rgb="FFFCBC7B"/>
          <bgColor rgb="FF000000"/>
        </patternFill>
      </fill>
    </dxf>
    <dxf>
      <fill>
        <patternFill patternType="solid">
          <fgColor rgb="FFFDCB7E"/>
          <bgColor rgb="FF000000"/>
        </patternFill>
      </fill>
    </dxf>
    <dxf>
      <fill>
        <patternFill patternType="solid">
          <fgColor rgb="FFFDD67F"/>
          <bgColor rgb="FF000000"/>
        </patternFill>
      </fill>
    </dxf>
    <dxf>
      <fill>
        <patternFill patternType="solid">
          <fgColor rgb="FFFEDE81"/>
          <bgColor rgb="FF000000"/>
        </patternFill>
      </fill>
    </dxf>
    <dxf>
      <fill>
        <patternFill patternType="solid">
          <fgColor rgb="FFFEE382"/>
          <bgColor rgb="FF000000"/>
        </patternFill>
      </fill>
    </dxf>
    <dxf>
      <fill>
        <patternFill patternType="solid">
          <fgColor rgb="FFFEE482"/>
          <bgColor rgb="FF000000"/>
        </patternFill>
      </fill>
    </dxf>
    <dxf>
      <fill>
        <patternFill patternType="solid">
          <fgColor rgb="FFFEEB84"/>
          <bgColor rgb="FF000000"/>
        </patternFill>
      </fill>
    </dxf>
    <dxf>
      <fill>
        <patternFill patternType="solid">
          <fgColor rgb="FF93CC7E"/>
          <bgColor rgb="FF000000"/>
        </patternFill>
      </fill>
    </dxf>
    <dxf>
      <fill>
        <patternFill patternType="solid">
          <fgColor rgb="FF99CE7F"/>
          <bgColor rgb="FF000000"/>
        </patternFill>
      </fill>
    </dxf>
    <dxf>
      <fill>
        <patternFill patternType="solid">
          <fgColor rgb="FFA2D07F"/>
          <bgColor rgb="FF000000"/>
        </patternFill>
      </fill>
    </dxf>
    <dxf>
      <fill>
        <patternFill patternType="solid">
          <fgColor rgb="FFA2D17F"/>
          <bgColor rgb="FF000000"/>
        </patternFill>
      </fill>
    </dxf>
    <dxf>
      <fill>
        <patternFill patternType="solid">
          <fgColor rgb="FFB5D680"/>
          <bgColor rgb="FF000000"/>
        </patternFill>
      </fill>
    </dxf>
    <dxf>
      <fill>
        <patternFill patternType="solid">
          <fgColor rgb="FFC5DA81"/>
          <bgColor rgb="FF000000"/>
        </patternFill>
      </fill>
    </dxf>
    <dxf>
      <fill>
        <patternFill patternType="solid">
          <fgColor rgb="FFCCDD82"/>
          <bgColor rgb="FF000000"/>
        </patternFill>
      </fill>
    </dxf>
    <dxf>
      <fill>
        <patternFill patternType="solid">
          <fgColor rgb="FFCDDD82"/>
          <bgColor rgb="FF000000"/>
        </patternFill>
      </fill>
    </dxf>
    <dxf>
      <fill>
        <patternFill patternType="solid">
          <fgColor rgb="FFD5DF82"/>
          <bgColor rgb="FF000000"/>
        </patternFill>
      </fill>
    </dxf>
    <dxf>
      <fill>
        <patternFill patternType="solid">
          <fgColor rgb="FFD7E082"/>
          <bgColor rgb="FF000000"/>
        </patternFill>
      </fill>
    </dxf>
    <dxf>
      <fill>
        <patternFill patternType="solid">
          <fgColor rgb="FFD9E082"/>
          <bgColor rgb="FF000000"/>
        </patternFill>
      </fill>
    </dxf>
    <dxf>
      <fill>
        <patternFill patternType="solid">
          <fgColor rgb="FFF1E784"/>
          <bgColor rgb="FF000000"/>
        </patternFill>
      </fill>
    </dxf>
    <dxf>
      <fill>
        <patternFill patternType="solid">
          <fgColor rgb="FFFA9373"/>
          <bgColor rgb="FF000000"/>
        </patternFill>
      </fill>
    </dxf>
    <dxf>
      <fill>
        <patternFill patternType="solid">
          <fgColor rgb="FFFBA175"/>
          <bgColor rgb="FF000000"/>
        </patternFill>
      </fill>
    </dxf>
    <dxf>
      <fill>
        <patternFill patternType="solid">
          <fgColor rgb="FFFBA977"/>
          <bgColor rgb="FF000000"/>
        </patternFill>
      </fill>
    </dxf>
    <dxf>
      <fill>
        <patternFill patternType="solid">
          <fgColor rgb="FFFBAA77"/>
          <bgColor rgb="FF000000"/>
        </patternFill>
      </fill>
    </dxf>
    <dxf>
      <fill>
        <patternFill patternType="solid">
          <fgColor rgb="FFFBB379"/>
          <bgColor rgb="FF000000"/>
        </patternFill>
      </fill>
    </dxf>
    <dxf>
      <fill>
        <patternFill patternType="solid">
          <fgColor rgb="FFFBEA84"/>
          <bgColor rgb="FF000000"/>
        </patternFill>
      </fill>
    </dxf>
    <dxf>
      <fill>
        <patternFill patternType="solid">
          <fgColor rgb="FFFCB679"/>
          <bgColor rgb="FF000000"/>
        </patternFill>
      </fill>
    </dxf>
    <dxf>
      <fill>
        <patternFill patternType="solid">
          <fgColor rgb="FFFCBA7A"/>
          <bgColor rgb="FF000000"/>
        </patternFill>
      </fill>
    </dxf>
    <dxf>
      <fill>
        <patternFill patternType="solid">
          <fgColor rgb="FFFCEA84"/>
          <bgColor rgb="FF000000"/>
        </patternFill>
      </fill>
    </dxf>
    <dxf>
      <fill>
        <patternFill patternType="solid">
          <fgColor rgb="FFFDC77D"/>
          <bgColor rgb="FF000000"/>
        </patternFill>
      </fill>
    </dxf>
    <dxf>
      <fill>
        <patternFill patternType="solid">
          <fgColor rgb="FFFDCA7D"/>
          <bgColor rgb="FF000000"/>
        </patternFill>
      </fill>
    </dxf>
    <dxf>
      <fill>
        <patternFill patternType="solid">
          <fgColor rgb="FFFDCE7E"/>
          <bgColor rgb="FF000000"/>
        </patternFill>
      </fill>
    </dxf>
    <dxf>
      <fill>
        <patternFill patternType="solid">
          <fgColor rgb="FFFED980"/>
          <bgColor rgb="FF000000"/>
        </patternFill>
      </fill>
    </dxf>
    <dxf>
      <fill>
        <patternFill patternType="solid">
          <fgColor rgb="FF66BF7C"/>
          <bgColor rgb="FF000000"/>
        </patternFill>
      </fill>
    </dxf>
    <dxf>
      <fill>
        <patternFill patternType="solid">
          <fgColor rgb="FF75C47D"/>
          <bgColor rgb="FF000000"/>
        </patternFill>
      </fill>
    </dxf>
    <dxf>
      <fill>
        <patternFill patternType="solid">
          <fgColor rgb="FFA5D17F"/>
          <bgColor rgb="FF000000"/>
        </patternFill>
      </fill>
    </dxf>
    <dxf>
      <fill>
        <patternFill patternType="solid">
          <fgColor rgb="FFC8DC81"/>
          <bgColor rgb="FF000000"/>
        </patternFill>
      </fill>
    </dxf>
    <dxf>
      <fill>
        <patternFill patternType="solid">
          <fgColor rgb="FFEEE784"/>
          <bgColor rgb="FF000000"/>
        </patternFill>
      </fill>
    </dxf>
    <dxf>
      <fill>
        <patternFill patternType="solid">
          <fgColor rgb="FFF5E984"/>
          <bgColor rgb="FF000000"/>
        </patternFill>
      </fill>
    </dxf>
    <dxf>
      <fill>
        <patternFill patternType="solid">
          <fgColor rgb="FFFA9473"/>
          <bgColor rgb="FF000000"/>
        </patternFill>
      </fill>
    </dxf>
    <dxf>
      <fill>
        <patternFill patternType="solid">
          <fgColor rgb="FFFDC57C"/>
          <bgColor rgb="FF000000"/>
        </patternFill>
      </fill>
    </dxf>
    <dxf>
      <fill>
        <patternFill patternType="solid">
          <fgColor rgb="FFFEDA80"/>
          <bgColor rgb="FF000000"/>
        </patternFill>
      </fill>
    </dxf>
    <dxf>
      <fill>
        <patternFill patternType="solid">
          <fgColor rgb="FFFEE583"/>
          <bgColor rgb="FF000000"/>
        </patternFill>
      </fill>
    </dxf>
    <dxf>
      <fill>
        <patternFill patternType="solid">
          <fgColor rgb="FFFEE783"/>
          <bgColor rgb="FF000000"/>
        </patternFill>
      </fill>
    </dxf>
    <dxf>
      <fill>
        <patternFill patternType="solid">
          <fgColor rgb="FF6FC17B"/>
          <bgColor rgb="FF000000"/>
        </patternFill>
      </fill>
    </dxf>
    <dxf>
      <fill>
        <patternFill patternType="solid">
          <fgColor rgb="FF88C87D"/>
          <bgColor rgb="FF000000"/>
        </patternFill>
      </fill>
    </dxf>
    <dxf>
      <fill>
        <patternFill patternType="solid">
          <fgColor rgb="FF9BCE7E"/>
          <bgColor rgb="FF000000"/>
        </patternFill>
      </fill>
    </dxf>
    <dxf>
      <fill>
        <patternFill patternType="solid">
          <fgColor rgb="FFA1D07E"/>
          <bgColor rgb="FF000000"/>
        </patternFill>
      </fill>
    </dxf>
    <dxf>
      <fill>
        <patternFill patternType="solid">
          <fgColor rgb="FFA7D17E"/>
          <bgColor rgb="FF000000"/>
        </patternFill>
      </fill>
    </dxf>
    <dxf>
      <fill>
        <patternFill patternType="solid">
          <fgColor rgb="FFC0D980"/>
          <bgColor rgb="FF000000"/>
        </patternFill>
      </fill>
    </dxf>
    <dxf>
      <fill>
        <patternFill patternType="solid">
          <fgColor rgb="FFCDDC81"/>
          <bgColor rgb="FF000000"/>
        </patternFill>
      </fill>
    </dxf>
    <dxf>
      <fill>
        <patternFill patternType="solid">
          <fgColor rgb="FFD3DE81"/>
          <bgColor rgb="FF000000"/>
        </patternFill>
      </fill>
    </dxf>
    <dxf>
      <fill>
        <patternFill patternType="solid">
          <fgColor rgb="FFD9E081"/>
          <bgColor rgb="FF000000"/>
        </patternFill>
      </fill>
    </dxf>
    <dxf>
      <fill>
        <patternFill patternType="solid">
          <fgColor rgb="FFDFE282"/>
          <bgColor rgb="FF000000"/>
        </patternFill>
      </fill>
    </dxf>
    <dxf>
      <fill>
        <patternFill patternType="solid">
          <fgColor rgb="FFE6E382"/>
          <bgColor rgb="FF000000"/>
        </patternFill>
      </fill>
    </dxf>
    <dxf>
      <fill>
        <patternFill patternType="solid">
          <fgColor rgb="FFF2E783"/>
          <bgColor rgb="FF000000"/>
        </patternFill>
      </fill>
    </dxf>
    <dxf>
      <fill>
        <patternFill patternType="solid">
          <fgColor rgb="FFFA8070"/>
          <bgColor rgb="FF000000"/>
        </patternFill>
      </fill>
    </dxf>
    <dxf>
      <fill>
        <patternFill patternType="solid">
          <fgColor rgb="FFFA8871"/>
          <bgColor rgb="FF000000"/>
        </patternFill>
      </fill>
    </dxf>
    <dxf>
      <fill>
        <patternFill patternType="solid">
          <fgColor rgb="FFFB9374"/>
          <bgColor rgb="FF000000"/>
        </patternFill>
      </fill>
    </dxf>
    <dxf>
      <fill>
        <patternFill patternType="solid">
          <fgColor rgb="FFFB9674"/>
          <bgColor rgb="FF000000"/>
        </patternFill>
      </fill>
    </dxf>
    <dxf>
      <fill>
        <patternFill patternType="solid">
          <fgColor rgb="FFFB9975"/>
          <bgColor rgb="FF000000"/>
        </patternFill>
      </fill>
    </dxf>
    <dxf>
      <fill>
        <patternFill patternType="solid">
          <fgColor rgb="FFFB9C75"/>
          <bgColor rgb="FF000000"/>
        </patternFill>
      </fill>
    </dxf>
    <dxf>
      <fill>
        <patternFill patternType="solid">
          <fgColor rgb="FFFB9E76"/>
          <bgColor rgb="FF000000"/>
        </patternFill>
      </fill>
    </dxf>
    <dxf>
      <fill>
        <patternFill patternType="solid">
          <fgColor rgb="FFFCA477"/>
          <bgColor rgb="FF000000"/>
        </patternFill>
      </fill>
    </dxf>
    <dxf>
      <fill>
        <patternFill patternType="solid">
          <fgColor rgb="FFFCAF79"/>
          <bgColor rgb="FF000000"/>
        </patternFill>
      </fill>
    </dxf>
    <dxf>
      <fill>
        <patternFill patternType="solid">
          <fgColor rgb="FFFCB279"/>
          <bgColor rgb="FF000000"/>
        </patternFill>
      </fill>
    </dxf>
    <dxf>
      <fill>
        <patternFill patternType="solid">
          <fgColor rgb="FFFDB47A"/>
          <bgColor rgb="FF000000"/>
        </patternFill>
      </fill>
    </dxf>
    <dxf>
      <fill>
        <patternFill patternType="solid">
          <fgColor rgb="FFFDBA7B"/>
          <bgColor rgb="FF000000"/>
        </patternFill>
      </fill>
    </dxf>
    <dxf>
      <fill>
        <patternFill patternType="solid">
          <fgColor rgb="FFFDBD7B"/>
          <bgColor rgb="FF000000"/>
        </patternFill>
      </fill>
    </dxf>
    <dxf>
      <fill>
        <patternFill patternType="solid">
          <fgColor rgb="FFFDBF7C"/>
          <bgColor rgb="FF000000"/>
        </patternFill>
      </fill>
    </dxf>
    <dxf>
      <fill>
        <patternFill patternType="solid">
          <fgColor rgb="FFFEC87E"/>
          <bgColor rgb="FF000000"/>
        </patternFill>
      </fill>
    </dxf>
    <dxf>
      <fill>
        <patternFill patternType="solid">
          <fgColor rgb="FFFECA7E"/>
          <bgColor rgb="FF000000"/>
        </patternFill>
      </fill>
    </dxf>
    <dxf>
      <fill>
        <patternFill patternType="solid">
          <fgColor rgb="FFFED380"/>
          <bgColor rgb="FF000000"/>
        </patternFill>
      </fill>
    </dxf>
    <dxf>
      <fill>
        <patternFill patternType="solid">
          <fgColor rgb="FFFED580"/>
          <bgColor rgb="FF000000"/>
        </patternFill>
      </fill>
    </dxf>
    <dxf>
      <fill>
        <patternFill patternType="solid">
          <fgColor rgb="FFFED881"/>
          <bgColor rgb="FF000000"/>
        </patternFill>
      </fill>
    </dxf>
    <dxf>
      <fill>
        <patternFill patternType="solid">
          <fgColor rgb="FFFFDE82"/>
          <bgColor rgb="FF000000"/>
        </patternFill>
      </fill>
    </dxf>
    <dxf>
      <fill>
        <patternFill patternType="solid">
          <fgColor rgb="FFFFE082"/>
          <bgColor rgb="FF000000"/>
        </patternFill>
      </fill>
    </dxf>
    <dxf>
      <fill>
        <patternFill patternType="solid">
          <fgColor rgb="FFFFE383"/>
          <bgColor rgb="FF000000"/>
        </patternFill>
      </fill>
    </dxf>
    <dxf>
      <fill>
        <patternFill patternType="solid">
          <fgColor rgb="FF80C77D"/>
          <bgColor rgb="FF000000"/>
        </patternFill>
      </fill>
    </dxf>
    <dxf>
      <fill>
        <patternFill patternType="solid">
          <fgColor rgb="FFB6D680"/>
          <bgColor rgb="FF000000"/>
        </patternFill>
      </fill>
    </dxf>
    <dxf>
      <fill>
        <patternFill patternType="solid">
          <fgColor rgb="FFD2DF82"/>
          <bgColor rgb="FF000000"/>
        </patternFill>
      </fill>
    </dxf>
    <dxf>
      <fill>
        <patternFill patternType="solid">
          <fgColor rgb="FFF2E784"/>
          <bgColor rgb="FF000000"/>
        </patternFill>
      </fill>
    </dxf>
    <dxf>
      <fill>
        <patternFill patternType="solid">
          <fgColor rgb="FFF8786E"/>
          <bgColor rgb="FF000000"/>
        </patternFill>
      </fill>
    </dxf>
    <dxf>
      <fill>
        <patternFill patternType="solid">
          <fgColor rgb="FFF98E72"/>
          <bgColor rgb="FF000000"/>
        </patternFill>
      </fill>
    </dxf>
    <dxf>
      <fill>
        <patternFill patternType="solid">
          <fgColor rgb="FFF9E984"/>
          <bgColor rgb="FF000000"/>
        </patternFill>
      </fill>
    </dxf>
    <dxf>
      <fill>
        <patternFill patternType="solid">
          <fgColor rgb="FFFBA075"/>
          <bgColor rgb="FF000000"/>
        </patternFill>
      </fill>
    </dxf>
    <dxf>
      <fill>
        <patternFill patternType="solid">
          <fgColor rgb="FFFDD17F"/>
          <bgColor rgb="FF000000"/>
        </patternFill>
      </fill>
    </dxf>
    <dxf>
      <fill>
        <patternFill patternType="solid">
          <fgColor rgb="FFFDD880"/>
          <bgColor rgb="FF000000"/>
        </patternFill>
      </fill>
    </dxf>
    <dxf>
      <fill>
        <patternFill patternType="solid">
          <fgColor rgb="FF79C57D"/>
          <bgColor rgb="FF000000"/>
        </patternFill>
      </fill>
    </dxf>
    <dxf>
      <fill>
        <patternFill patternType="solid">
          <fgColor rgb="FF8DCB7E"/>
          <bgColor rgb="FF000000"/>
        </patternFill>
      </fill>
    </dxf>
    <dxf>
      <fill>
        <patternFill patternType="solid">
          <fgColor rgb="FF9CCF7F"/>
          <bgColor rgb="FF000000"/>
        </patternFill>
      </fill>
    </dxf>
    <dxf>
      <fill>
        <patternFill patternType="solid">
          <fgColor rgb="FFADD480"/>
          <bgColor rgb="FF000000"/>
        </patternFill>
      </fill>
    </dxf>
    <dxf>
      <fill>
        <patternFill patternType="solid">
          <fgColor rgb="FFB3D580"/>
          <bgColor rgb="FF000000"/>
        </patternFill>
      </fill>
    </dxf>
    <dxf>
      <fill>
        <patternFill patternType="solid">
          <fgColor rgb="FFB3D680"/>
          <bgColor rgb="FF000000"/>
        </patternFill>
      </fill>
    </dxf>
    <dxf>
      <fill>
        <patternFill patternType="solid">
          <fgColor rgb="FFBDD881"/>
          <bgColor rgb="FF000000"/>
        </patternFill>
      </fill>
    </dxf>
    <dxf>
      <fill>
        <patternFill patternType="solid">
          <fgColor rgb="FFF98870"/>
          <bgColor rgb="FF000000"/>
        </patternFill>
      </fill>
    </dxf>
    <dxf>
      <fill>
        <patternFill patternType="solid">
          <fgColor rgb="FFFA9072"/>
          <bgColor rgb="FF000000"/>
        </patternFill>
      </fill>
    </dxf>
    <dxf>
      <fill>
        <patternFill patternType="solid">
          <fgColor rgb="FFFEE582"/>
          <bgColor rgb="FF000000"/>
        </patternFill>
      </fill>
    </dxf>
    <dxf>
      <fill>
        <patternFill patternType="solid">
          <fgColor rgb="FF71C27C"/>
          <bgColor rgb="FF000000"/>
        </patternFill>
      </fill>
    </dxf>
    <dxf>
      <fill>
        <patternFill patternType="solid">
          <fgColor rgb="FF8AC97E"/>
          <bgColor rgb="FF000000"/>
        </patternFill>
      </fill>
    </dxf>
    <dxf>
      <fill>
        <patternFill patternType="solid">
          <fgColor rgb="FF9ECF7F"/>
          <bgColor rgb="FF000000"/>
        </patternFill>
      </fill>
    </dxf>
    <dxf>
      <fill>
        <patternFill patternType="solid">
          <fgColor rgb="FFF98D71"/>
          <bgColor rgb="FF000000"/>
        </patternFill>
      </fill>
    </dxf>
    <dxf>
      <fill>
        <patternFill patternType="solid">
          <fgColor rgb="FFFA9774"/>
          <bgColor rgb="FF000000"/>
        </patternFill>
      </fill>
    </dxf>
    <dxf>
      <fill>
        <patternFill patternType="solid">
          <fgColor rgb="FF71C37C"/>
          <bgColor rgb="FF000000"/>
        </patternFill>
      </fill>
    </dxf>
    <dxf>
      <fill>
        <patternFill patternType="solid">
          <fgColor rgb="FF86C97E"/>
          <bgColor rgb="FF000000"/>
        </patternFill>
      </fill>
    </dxf>
    <dxf>
      <fill>
        <patternFill patternType="solid">
          <fgColor rgb="FF96CD7E"/>
          <bgColor rgb="FF000000"/>
        </patternFill>
      </fill>
    </dxf>
    <dxf>
      <fill>
        <patternFill patternType="solid">
          <fgColor rgb="FF69C07C"/>
          <bgColor rgb="FF000000"/>
        </patternFill>
      </fill>
    </dxf>
    <dxf>
      <fill>
        <patternFill patternType="solid">
          <fgColor rgb="FF8CCA7E"/>
          <bgColor rgb="FF000000"/>
        </patternFill>
      </fill>
    </dxf>
    <dxf>
      <fill>
        <patternFill patternType="solid">
          <fgColor rgb="FF8DCA7E"/>
          <bgColor rgb="FF000000"/>
        </patternFill>
      </fill>
    </dxf>
    <dxf>
      <fill>
        <patternFill patternType="solid">
          <fgColor rgb="FFACD480"/>
          <bgColor rgb="FF000000"/>
        </patternFill>
      </fill>
    </dxf>
    <dxf>
      <fill>
        <patternFill patternType="solid">
          <fgColor rgb="FFFCBC7A"/>
          <bgColor rgb="FF000000"/>
        </patternFill>
      </fill>
    </dxf>
    <dxf>
      <fill>
        <patternFill patternType="solid">
          <fgColor rgb="FFFA7C6F"/>
          <bgColor rgb="FF000000"/>
        </patternFill>
      </fill>
    </dxf>
    <dxf>
      <fill>
        <patternFill patternType="solid">
          <fgColor rgb="FFFA8C72"/>
          <bgColor rgb="FF000000"/>
        </patternFill>
      </fill>
    </dxf>
    <dxf>
      <fill>
        <patternFill patternType="solid">
          <fgColor rgb="FFFAE983"/>
          <bgColor rgb="FF000000"/>
        </patternFill>
      </fill>
    </dxf>
    <dxf>
      <fill>
        <patternFill patternType="solid">
          <fgColor rgb="FFFCA677"/>
          <bgColor rgb="FF000000"/>
        </patternFill>
      </fill>
    </dxf>
    <dxf>
      <fill>
        <patternFill patternType="solid">
          <fgColor rgb="FFFCA877"/>
          <bgColor rgb="FF000000"/>
        </patternFill>
      </fill>
    </dxf>
    <dxf>
      <fill>
        <patternFill patternType="solid">
          <fgColor rgb="FFFCB079"/>
          <bgColor rgb="FF000000"/>
        </patternFill>
      </fill>
    </dxf>
    <dxf>
      <fill>
        <patternFill patternType="solid">
          <fgColor rgb="FF6EC17B"/>
          <bgColor rgb="FF000000"/>
        </patternFill>
      </fill>
    </dxf>
    <dxf>
      <fill>
        <patternFill patternType="solid">
          <fgColor rgb="FF71C27B"/>
          <bgColor rgb="FF000000"/>
        </patternFill>
      </fill>
    </dxf>
    <dxf>
      <fill>
        <patternFill patternType="solid">
          <fgColor rgb="FF72C27B"/>
          <bgColor rgb="FF000000"/>
        </patternFill>
      </fill>
    </dxf>
    <dxf>
      <fill>
        <patternFill patternType="solid">
          <fgColor rgb="FF78C47C"/>
          <bgColor rgb="FF000000"/>
        </patternFill>
      </fill>
    </dxf>
    <dxf>
      <fill>
        <patternFill patternType="solid">
          <fgColor rgb="FF89C97D"/>
          <bgColor rgb="FF000000"/>
        </patternFill>
      </fill>
    </dxf>
    <dxf>
      <fill>
        <patternFill patternType="solid">
          <fgColor rgb="FF8FCA7D"/>
          <bgColor rgb="FF000000"/>
        </patternFill>
      </fill>
    </dxf>
    <dxf>
      <fill>
        <patternFill patternType="solid">
          <fgColor rgb="FF90CB7D"/>
          <bgColor rgb="FF000000"/>
        </patternFill>
      </fill>
    </dxf>
    <dxf>
      <fill>
        <patternFill patternType="solid">
          <fgColor rgb="FF91CB7D"/>
          <bgColor rgb="FF000000"/>
        </patternFill>
      </fill>
    </dxf>
    <dxf>
      <fill>
        <patternFill patternType="solid">
          <fgColor rgb="FF92CB7D"/>
          <bgColor rgb="FF000000"/>
        </patternFill>
      </fill>
    </dxf>
    <dxf>
      <fill>
        <patternFill patternType="solid">
          <fgColor rgb="FFA6D17E"/>
          <bgColor rgb="FF000000"/>
        </patternFill>
      </fill>
    </dxf>
    <dxf>
      <fill>
        <patternFill patternType="solid">
          <fgColor rgb="FFAAD27F"/>
          <bgColor rgb="FF000000"/>
        </patternFill>
      </fill>
    </dxf>
    <dxf>
      <fill>
        <patternFill patternType="solid">
          <fgColor rgb="FFABD27F"/>
          <bgColor rgb="FF000000"/>
        </patternFill>
      </fill>
    </dxf>
    <dxf>
      <fill>
        <patternFill patternType="solid">
          <fgColor rgb="FFABD37F"/>
          <bgColor rgb="FF000000"/>
        </patternFill>
      </fill>
    </dxf>
    <dxf>
      <fill>
        <patternFill patternType="solid">
          <fgColor rgb="FFACD37F"/>
          <bgColor rgb="FF000000"/>
        </patternFill>
      </fill>
    </dxf>
    <dxf>
      <fill>
        <patternFill patternType="solid">
          <fgColor rgb="FFAED37F"/>
          <bgColor rgb="FF000000"/>
        </patternFill>
      </fill>
    </dxf>
    <dxf>
      <fill>
        <patternFill patternType="solid">
          <fgColor rgb="FFAFD47F"/>
          <bgColor rgb="FF000000"/>
        </patternFill>
      </fill>
    </dxf>
    <dxf>
      <fill>
        <patternFill patternType="solid">
          <fgColor rgb="FFB1D47F"/>
          <bgColor rgb="FF000000"/>
        </patternFill>
      </fill>
    </dxf>
    <dxf>
      <fill>
        <patternFill patternType="solid">
          <fgColor rgb="FFB2D47F"/>
          <bgColor rgb="FF000000"/>
        </patternFill>
      </fill>
    </dxf>
    <dxf>
      <fill>
        <patternFill patternType="solid">
          <fgColor rgb="FFB2D57F"/>
          <bgColor rgb="FF000000"/>
        </patternFill>
      </fill>
    </dxf>
    <dxf>
      <fill>
        <patternFill patternType="solid">
          <fgColor rgb="FFB6D67F"/>
          <bgColor rgb="FF000000"/>
        </patternFill>
      </fill>
    </dxf>
    <dxf>
      <fill>
        <patternFill patternType="solid">
          <fgColor rgb="FFC0D880"/>
          <bgColor rgb="FF000000"/>
        </patternFill>
      </fill>
    </dxf>
    <dxf>
      <fill>
        <patternFill patternType="solid">
          <fgColor rgb="FFCCDC81"/>
          <bgColor rgb="FF000000"/>
        </patternFill>
      </fill>
    </dxf>
    <dxf>
      <fill>
        <patternFill patternType="solid">
          <fgColor rgb="FFD0DD81"/>
          <bgColor rgb="FF000000"/>
        </patternFill>
      </fill>
    </dxf>
    <dxf>
      <fill>
        <patternFill patternType="solid">
          <fgColor rgb="FFD5DE81"/>
          <bgColor rgb="FF000000"/>
        </patternFill>
      </fill>
    </dxf>
    <dxf>
      <fill>
        <patternFill patternType="solid">
          <fgColor rgb="FFD5DF81"/>
          <bgColor rgb="FF000000"/>
        </patternFill>
      </fill>
    </dxf>
    <dxf>
      <fill>
        <patternFill patternType="solid">
          <fgColor rgb="FFE0E282"/>
          <bgColor rgb="FF000000"/>
        </patternFill>
      </fill>
    </dxf>
    <dxf>
      <fill>
        <patternFill patternType="solid">
          <fgColor rgb="FFE1E282"/>
          <bgColor rgb="FF000000"/>
        </patternFill>
      </fill>
    </dxf>
    <dxf>
      <fill>
        <patternFill patternType="solid">
          <fgColor rgb="FFE6E482"/>
          <bgColor rgb="FF000000"/>
        </patternFill>
      </fill>
    </dxf>
    <dxf>
      <fill>
        <patternFill patternType="solid">
          <fgColor rgb="FFEAE582"/>
          <bgColor rgb="FF000000"/>
        </patternFill>
      </fill>
    </dxf>
    <dxf>
      <fill>
        <patternFill patternType="solid">
          <fgColor rgb="FFF3E783"/>
          <bgColor rgb="FF000000"/>
        </patternFill>
      </fill>
    </dxf>
    <dxf>
      <fill>
        <patternFill patternType="solid">
          <fgColor rgb="FFF6E883"/>
          <bgColor rgb="FF000000"/>
        </patternFill>
      </fill>
    </dxf>
    <dxf>
      <fill>
        <patternFill patternType="solid">
          <fgColor rgb="FFF7E883"/>
          <bgColor rgb="FF000000"/>
        </patternFill>
      </fill>
    </dxf>
    <dxf>
      <fill>
        <patternFill patternType="solid">
          <fgColor rgb="FFF9766E"/>
          <bgColor rgb="FF000000"/>
        </patternFill>
      </fill>
    </dxf>
    <dxf>
      <fill>
        <patternFill patternType="solid">
          <fgColor rgb="FFFA7F70"/>
          <bgColor rgb="FF000000"/>
        </patternFill>
      </fill>
    </dxf>
    <dxf>
      <fill>
        <patternFill patternType="solid">
          <fgColor rgb="FFFA8D72"/>
          <bgColor rgb="FF000000"/>
        </patternFill>
      </fill>
    </dxf>
    <dxf>
      <fill>
        <patternFill patternType="solid">
          <fgColor rgb="FFFB9B75"/>
          <bgColor rgb="FF000000"/>
        </patternFill>
      </fill>
    </dxf>
    <dxf>
      <fill>
        <patternFill patternType="solid">
          <fgColor rgb="FFFBA076"/>
          <bgColor rgb="FF000000"/>
        </patternFill>
      </fill>
    </dxf>
    <dxf>
      <fill>
        <patternFill patternType="solid">
          <fgColor rgb="FFFBEA83"/>
          <bgColor rgb="FF000000"/>
        </patternFill>
      </fill>
    </dxf>
    <dxf>
      <fill>
        <patternFill patternType="solid">
          <fgColor rgb="FFFCA878"/>
          <bgColor rgb="FF000000"/>
        </patternFill>
      </fill>
    </dxf>
    <dxf>
      <fill>
        <patternFill patternType="solid">
          <fgColor rgb="FFFCAD79"/>
          <bgColor rgb="FF000000"/>
        </patternFill>
      </fill>
    </dxf>
    <dxf>
      <fill>
        <patternFill patternType="solid">
          <fgColor rgb="FFFCAE79"/>
          <bgColor rgb="FF000000"/>
        </patternFill>
      </fill>
    </dxf>
    <dxf>
      <fill>
        <patternFill patternType="solid">
          <fgColor rgb="FFFCB179"/>
          <bgColor rgb="FF000000"/>
        </patternFill>
      </fill>
    </dxf>
    <dxf>
      <fill>
        <patternFill patternType="solid">
          <fgColor rgb="FFFCB37A"/>
          <bgColor rgb="FF000000"/>
        </patternFill>
      </fill>
    </dxf>
    <dxf>
      <fill>
        <patternFill patternType="solid">
          <fgColor rgb="FFFEC77E"/>
          <bgColor rgb="FF000000"/>
        </patternFill>
      </fill>
    </dxf>
    <dxf>
      <fill>
        <patternFill patternType="solid">
          <fgColor rgb="FFFECF7F"/>
          <bgColor rgb="FF000000"/>
        </patternFill>
      </fill>
    </dxf>
    <dxf>
      <fill>
        <patternFill patternType="solid">
          <fgColor rgb="FFFFDF82"/>
          <bgColor rgb="FF000000"/>
        </patternFill>
      </fill>
    </dxf>
    <dxf>
      <fill>
        <patternFill patternType="solid">
          <fgColor rgb="FFFFE182"/>
          <bgColor rgb="FF000000"/>
        </patternFill>
      </fill>
    </dxf>
    <dxf>
      <fill>
        <patternFill patternType="solid">
          <fgColor rgb="FFFFE283"/>
          <bgColor rgb="FF000000"/>
        </patternFill>
      </fill>
    </dxf>
    <dxf>
      <fill>
        <patternFill patternType="solid">
          <fgColor rgb="FF7CC67D"/>
          <bgColor rgb="FF000000"/>
        </patternFill>
      </fill>
    </dxf>
    <dxf>
      <fill>
        <patternFill patternType="solid">
          <fgColor rgb="FFA0D07F"/>
          <bgColor rgb="FF000000"/>
        </patternFill>
      </fill>
    </dxf>
    <dxf>
      <fill>
        <patternFill patternType="solid">
          <fgColor rgb="FF91CB7E"/>
          <bgColor rgb="FF000000"/>
        </patternFill>
      </fill>
    </dxf>
    <dxf>
      <fill>
        <patternFill patternType="solid">
          <fgColor rgb="FFE4E383"/>
          <bgColor rgb="FF000000"/>
        </patternFill>
      </fill>
    </dxf>
    <dxf>
      <fill>
        <patternFill patternType="solid">
          <fgColor rgb="FFFBB179"/>
          <bgColor rgb="FF000000"/>
        </patternFill>
      </fill>
    </dxf>
    <dxf>
      <fill>
        <patternFill patternType="solid">
          <fgColor rgb="FFEBE583"/>
          <bgColor rgb="FF000000"/>
        </patternFill>
      </fill>
    </dxf>
    <dxf>
      <fill>
        <patternFill patternType="solid">
          <fgColor rgb="FFD9E182"/>
          <bgColor rgb="FF000000"/>
        </patternFill>
      </fill>
    </dxf>
    <dxf>
      <fill>
        <patternFill patternType="solid">
          <fgColor rgb="FF83C77D"/>
          <bgColor rgb="FF000000"/>
        </patternFill>
      </fill>
    </dxf>
    <dxf>
      <fill>
        <patternFill patternType="solid">
          <fgColor rgb="FF9ED07F"/>
          <bgColor rgb="FF000000"/>
        </patternFill>
      </fill>
    </dxf>
    <dxf>
      <fill>
        <patternFill patternType="solid">
          <fgColor rgb="FFA5D27F"/>
          <bgColor rgb="FF000000"/>
        </patternFill>
      </fill>
    </dxf>
    <dxf>
      <fill>
        <patternFill patternType="solid">
          <fgColor rgb="FF9FCF7E"/>
          <bgColor rgb="FF000000"/>
        </patternFill>
      </fill>
    </dxf>
    <dxf>
      <fill>
        <patternFill patternType="solid">
          <fgColor rgb="FFA4D17E"/>
          <bgColor rgb="FF000000"/>
        </patternFill>
      </fill>
    </dxf>
    <dxf>
      <fill>
        <patternFill patternType="solid">
          <fgColor rgb="FFB6D57F"/>
          <bgColor rgb="FF000000"/>
        </patternFill>
      </fill>
    </dxf>
    <dxf>
      <fill>
        <patternFill patternType="solid">
          <fgColor rgb="FFB7D67F"/>
          <bgColor rgb="FF000000"/>
        </patternFill>
      </fill>
    </dxf>
    <dxf>
      <fill>
        <patternFill patternType="solid">
          <fgColor rgb="FFBDD880"/>
          <bgColor rgb="FF000000"/>
        </patternFill>
      </fill>
    </dxf>
    <dxf>
      <fill>
        <patternFill patternType="solid">
          <fgColor rgb="FFCFDD81"/>
          <bgColor rgb="FF000000"/>
        </patternFill>
      </fill>
    </dxf>
    <dxf>
      <fill>
        <patternFill patternType="solid">
          <fgColor rgb="FFD2DE81"/>
          <bgColor rgb="FF000000"/>
        </patternFill>
      </fill>
    </dxf>
    <dxf>
      <fill>
        <patternFill patternType="solid">
          <fgColor rgb="FFF0E683"/>
          <bgColor rgb="FF000000"/>
        </patternFill>
      </fill>
    </dxf>
    <dxf>
      <fill>
        <patternFill patternType="solid">
          <fgColor rgb="FFF4E883"/>
          <bgColor rgb="FF000000"/>
        </patternFill>
      </fill>
    </dxf>
    <dxf>
      <fill>
        <patternFill patternType="solid">
          <fgColor rgb="FFF96B6C"/>
          <bgColor rgb="FF000000"/>
        </patternFill>
      </fill>
    </dxf>
    <dxf>
      <fill>
        <patternFill patternType="solid">
          <fgColor rgb="FFFA8170"/>
          <bgColor rgb="FF000000"/>
        </patternFill>
      </fill>
    </dxf>
    <dxf>
      <fill>
        <patternFill patternType="solid">
          <fgColor rgb="FFFCB47A"/>
          <bgColor rgb="FF000000"/>
        </patternFill>
      </fill>
    </dxf>
    <dxf>
      <fill>
        <patternFill patternType="solid">
          <fgColor rgb="FFFEC77D"/>
          <bgColor rgb="FF000000"/>
        </patternFill>
      </fill>
    </dxf>
    <dxf>
      <fill>
        <patternFill patternType="solid">
          <fgColor rgb="FFFFE684"/>
          <bgColor rgb="FF000000"/>
        </patternFill>
      </fill>
    </dxf>
    <dxf>
      <fill>
        <patternFill patternType="solid">
          <fgColor rgb="FF84C77C"/>
          <bgColor rgb="FF000000"/>
        </patternFill>
      </fill>
    </dxf>
    <dxf>
      <fill>
        <patternFill patternType="solid">
          <fgColor rgb="FFDBE081"/>
          <bgColor rgb="FF000000"/>
        </patternFill>
      </fill>
    </dxf>
    <dxf>
      <fill>
        <patternFill patternType="solid">
          <fgColor rgb="FFE7E482"/>
          <bgColor rgb="FF000000"/>
        </patternFill>
      </fill>
    </dxf>
    <dxf>
      <fill>
        <patternFill patternType="solid">
          <fgColor rgb="FF66BE7B"/>
          <bgColor rgb="FF000000"/>
        </patternFill>
      </fill>
    </dxf>
    <dxf>
      <fill>
        <patternFill patternType="solid">
          <fgColor rgb="FF77C37C"/>
          <bgColor rgb="FF000000"/>
        </patternFill>
      </fill>
    </dxf>
    <dxf>
      <fill>
        <patternFill patternType="solid">
          <fgColor rgb="FFA2D07E"/>
          <bgColor rgb="FF000000"/>
        </patternFill>
      </fill>
    </dxf>
    <dxf>
      <fill>
        <patternFill patternType="solid">
          <fgColor rgb="FFB3D57F"/>
          <bgColor rgb="FF000000"/>
        </patternFill>
      </fill>
    </dxf>
    <dxf>
      <fill>
        <patternFill patternType="solid">
          <fgColor rgb="FFC5DA80"/>
          <bgColor rgb="FF000000"/>
        </patternFill>
      </fill>
    </dxf>
    <dxf>
      <fill>
        <patternFill patternType="solid">
          <fgColor rgb="FFEDE582"/>
          <bgColor rgb="FF000000"/>
        </patternFill>
      </fill>
    </dxf>
    <dxf>
      <fill>
        <patternFill patternType="solid">
          <fgColor rgb="FFFBE983"/>
          <bgColor rgb="FF000000"/>
        </patternFill>
      </fill>
    </dxf>
    <dxf>
      <fill>
        <patternFill patternType="solid">
          <fgColor rgb="FFDCE081"/>
          <bgColor rgb="FF000000"/>
        </patternFill>
      </fill>
    </dxf>
    <dxf>
      <fill>
        <patternFill patternType="solid">
          <fgColor rgb="FFF9746D"/>
          <bgColor rgb="FF000000"/>
        </patternFill>
      </fill>
    </dxf>
    <dxf>
      <fill>
        <patternFill patternType="solid">
          <fgColor rgb="FFFDB67A"/>
          <bgColor rgb="FF000000"/>
        </patternFill>
      </fill>
    </dxf>
    <dxf>
      <fill>
        <patternFill patternType="solid">
          <fgColor rgb="FFFFE183"/>
          <bgColor rgb="FF000000"/>
        </patternFill>
      </fill>
    </dxf>
    <dxf>
      <fill>
        <patternFill patternType="solid">
          <fgColor rgb="FFA5D17E"/>
          <bgColor rgb="FF000000"/>
        </patternFill>
      </fill>
    </dxf>
    <dxf>
      <fill>
        <patternFill patternType="solid">
          <fgColor rgb="FFC9DB80"/>
          <bgColor rgb="FF000000"/>
        </patternFill>
      </fill>
    </dxf>
    <dxf>
      <fill>
        <patternFill patternType="solid">
          <fgColor rgb="FFF9796E"/>
          <bgColor rgb="FF000000"/>
        </patternFill>
      </fill>
    </dxf>
    <dxf>
      <fill>
        <patternFill patternType="solid">
          <fgColor rgb="FFFA7E6F"/>
          <bgColor rgb="FF000000"/>
        </patternFill>
      </fill>
    </dxf>
    <dxf>
      <fill>
        <patternFill patternType="solid">
          <fgColor rgb="FFFA8F73"/>
          <bgColor rgb="FF000000"/>
        </patternFill>
      </fill>
    </dxf>
    <dxf>
      <fill>
        <patternFill patternType="solid">
          <fgColor rgb="FFF9746E"/>
          <bgColor rgb="FF000000"/>
        </patternFill>
      </fill>
    </dxf>
    <dxf>
      <fill>
        <patternFill patternType="solid">
          <fgColor rgb="FFFB9273"/>
          <bgColor rgb="FF000000"/>
        </patternFill>
      </fill>
    </dxf>
    <dxf>
      <fill>
        <patternFill patternType="solid">
          <fgColor rgb="FFFED981"/>
          <bgColor rgb="FF000000"/>
        </patternFill>
      </fill>
    </dxf>
    <dxf>
      <fill>
        <patternFill patternType="solid">
          <fgColor rgb="FF85C77C"/>
          <bgColor rgb="FF000000"/>
        </patternFill>
      </fill>
    </dxf>
    <dxf>
      <fill>
        <patternFill patternType="solid">
          <fgColor rgb="FFD6DF81"/>
          <bgColor rgb="FF000000"/>
        </patternFill>
      </fill>
    </dxf>
    <dxf>
      <fill>
        <patternFill patternType="solid">
          <fgColor rgb="FFEBE582"/>
          <bgColor rgb="FF000000"/>
        </patternFill>
      </fill>
    </dxf>
    <dxf>
      <fill>
        <patternFill patternType="solid">
          <fgColor rgb="FF7FC67C"/>
          <bgColor rgb="FF000000"/>
        </patternFill>
      </fill>
    </dxf>
    <dxf>
      <fill>
        <patternFill patternType="solid">
          <fgColor rgb="FFFB9A75"/>
          <bgColor rgb="FF000000"/>
        </patternFill>
      </fill>
    </dxf>
    <dxf>
      <fill>
        <patternFill patternType="solid">
          <fgColor rgb="FF95CC7D"/>
          <bgColor rgb="FF000000"/>
        </patternFill>
      </fill>
    </dxf>
    <dxf>
      <fill>
        <patternFill patternType="solid">
          <fgColor rgb="FF9ACE7E"/>
          <bgColor rgb="FF000000"/>
        </patternFill>
      </fill>
    </dxf>
    <dxf>
      <fill>
        <patternFill patternType="solid">
          <fgColor rgb="FFF9796F"/>
          <bgColor rgb="FF000000"/>
        </patternFill>
      </fill>
    </dxf>
    <dxf>
      <fill>
        <patternFill patternType="solid">
          <fgColor rgb="FF6BC07B"/>
          <bgColor rgb="FF000000"/>
        </patternFill>
      </fill>
    </dxf>
    <dxf>
      <fill>
        <patternFill patternType="solid">
          <fgColor rgb="FF7AC47C"/>
          <bgColor rgb="FF000000"/>
        </patternFill>
      </fill>
    </dxf>
    <dxf>
      <fill>
        <patternFill patternType="solid">
          <fgColor rgb="FF93CC7D"/>
          <bgColor rgb="FF000000"/>
        </patternFill>
      </fill>
    </dxf>
    <dxf>
      <fill>
        <patternFill patternType="solid">
          <fgColor rgb="FFFA8A72"/>
          <bgColor rgb="FF000000"/>
        </patternFill>
      </fill>
    </dxf>
    <dxf>
      <fill>
        <patternFill patternType="solid">
          <fgColor rgb="FFFA8E73"/>
          <bgColor rgb="FF000000"/>
        </patternFill>
      </fill>
    </dxf>
    <dxf>
      <fill>
        <patternFill patternType="solid">
          <fgColor rgb="FFFDBD7C"/>
          <bgColor rgb="FF000000"/>
        </patternFill>
      </fill>
    </dxf>
    <dxf>
      <fill>
        <patternFill patternType="solid">
          <fgColor rgb="FFD7DF81"/>
          <bgColor rgb="FF000000"/>
        </patternFill>
      </fill>
    </dxf>
    <dxf>
      <fill>
        <patternFill patternType="solid">
          <fgColor rgb="FF66BF7B"/>
          <bgColor rgb="FF000000"/>
        </patternFill>
      </fill>
    </dxf>
    <dxf>
      <fill>
        <patternFill patternType="solid">
          <fgColor rgb="FF80C67C"/>
          <bgColor rgb="FF000000"/>
        </patternFill>
      </fill>
    </dxf>
    <dxf>
      <fill>
        <patternFill patternType="solid">
          <fgColor rgb="FF7EC67C"/>
          <bgColor rgb="FF000000"/>
        </patternFill>
      </fill>
    </dxf>
    <dxf>
      <fill>
        <patternFill patternType="solid">
          <fgColor rgb="FFFA8571"/>
          <bgColor rgb="FF000000"/>
        </patternFill>
      </fill>
    </dxf>
    <dxf>
      <fill>
        <patternFill patternType="solid">
          <fgColor rgb="FFBDD780"/>
          <bgColor rgb="FF000000"/>
        </patternFill>
      </fill>
    </dxf>
    <dxf>
      <fill>
        <patternFill patternType="solid">
          <fgColor rgb="FF7BC47C"/>
          <bgColor rgb="FF000000"/>
        </patternFill>
      </fill>
    </dxf>
    <dxf>
      <fill>
        <patternFill patternType="solid">
          <fgColor rgb="FF7CC57C"/>
          <bgColor rgb="FF000000"/>
        </patternFill>
      </fill>
    </dxf>
    <dxf>
      <fill>
        <patternFill patternType="solid">
          <fgColor rgb="FFFCA376"/>
          <bgColor rgb="FF000000"/>
        </patternFill>
      </fill>
    </dxf>
    <dxf>
      <fill>
        <patternFill patternType="solid">
          <fgColor rgb="FF6AC17C"/>
          <bgColor rgb="FF000000"/>
        </patternFill>
      </fill>
    </dxf>
    <dxf>
      <fill>
        <patternFill patternType="solid">
          <fgColor rgb="FFC7DB80"/>
          <bgColor rgb="FF000000"/>
        </patternFill>
      </fill>
    </dxf>
    <dxf>
      <fill>
        <patternFill patternType="solid">
          <fgColor rgb="FFFB9874"/>
          <bgColor rgb="FF000000"/>
        </patternFill>
      </fill>
    </dxf>
    <dxf>
      <fill>
        <patternFill patternType="solid">
          <fgColor rgb="FFFECC7F"/>
          <bgColor rgb="FF000000"/>
        </patternFill>
      </fill>
    </dxf>
    <dxf>
      <fill>
        <patternFill patternType="solid">
          <fgColor rgb="FFFED780"/>
          <bgColor rgb="FF000000"/>
        </patternFill>
      </fill>
    </dxf>
    <dxf>
      <fill>
        <patternFill patternType="solid">
          <fgColor rgb="FFB5D57F"/>
          <bgColor rgb="FF000000"/>
        </patternFill>
      </fill>
    </dxf>
    <dxf>
      <fill>
        <patternFill patternType="solid">
          <fgColor rgb="FFC4D980"/>
          <bgColor rgb="FF000000"/>
        </patternFill>
      </fill>
    </dxf>
    <dxf>
      <fill>
        <patternFill patternType="solid">
          <fgColor rgb="FFF96F6C"/>
          <bgColor rgb="FF000000"/>
        </patternFill>
      </fill>
    </dxf>
    <dxf>
      <fill>
        <patternFill patternType="solid">
          <fgColor rgb="FFFCA176"/>
          <bgColor rgb="FF000000"/>
        </patternFill>
      </fill>
    </dxf>
    <dxf>
      <fill>
        <patternFill patternType="solid">
          <fgColor rgb="FF8CCA7D"/>
          <bgColor rgb="FF000000"/>
        </patternFill>
      </fill>
    </dxf>
    <dxf>
      <fill>
        <patternFill patternType="solid">
          <fgColor rgb="FFFEC67D"/>
          <bgColor rgb="FF000000"/>
        </patternFill>
      </fill>
    </dxf>
    <dxf>
      <fill>
        <patternFill patternType="solid">
          <fgColor rgb="FF73C27B"/>
          <bgColor rgb="FF000000"/>
        </patternFill>
      </fill>
    </dxf>
    <dxf>
      <fill>
        <patternFill patternType="solid">
          <fgColor rgb="FFE3E282"/>
          <bgColor rgb="FF000000"/>
        </patternFill>
      </fill>
    </dxf>
    <dxf>
      <fill>
        <patternFill patternType="solid">
          <fgColor rgb="FFFCB27A"/>
          <bgColor rgb="FF000000"/>
        </patternFill>
      </fill>
    </dxf>
    <dxf>
      <fill>
        <patternFill patternType="solid">
          <fgColor rgb="FF8CC97D"/>
          <bgColor rgb="FF000000"/>
        </patternFill>
      </fill>
    </dxf>
    <dxf>
      <fill>
        <patternFill patternType="solid">
          <fgColor rgb="FFAFD37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0E6"/>
      <rgbColor rgb="FFE9F3E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8EEF7"/>
      <rgbColor rgb="FFF3EAF5"/>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3B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S2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5" min="3" style="0" width="9"/>
    <col collapsed="false" customWidth="true" hidden="false" outlineLevel="0" max="6" min="6" style="0" width="12"/>
    <col collapsed="false" customWidth="true" hidden="false" outlineLevel="0" max="15" min="7" style="0" width="9"/>
    <col collapsed="false" customWidth="true" hidden="false" outlineLevel="0" max="16" min="16" style="0" width="12"/>
    <col collapsed="false" customWidth="true" hidden="false" outlineLevel="0" max="20" min="17" style="0" width="9"/>
    <col collapsed="false" customWidth="true" hidden="false" outlineLevel="0" max="21" min="21" style="0" width="12"/>
    <col collapsed="false" customWidth="true" hidden="false" outlineLevel="0" max="22" min="22" style="0" width="9"/>
    <col collapsed="false" customWidth="true" hidden="false" outlineLevel="0" max="26" min="23" style="0" width="12"/>
    <col collapsed="false" customWidth="true" hidden="false" outlineLevel="0" max="27" min="27" style="0" width="9"/>
    <col collapsed="false" customWidth="true" hidden="false" outlineLevel="0" max="28" min="28" style="0" width="12"/>
    <col collapsed="false" customWidth="true" hidden="false" outlineLevel="0" max="30" min="29" style="0" width="9"/>
    <col collapsed="false" customWidth="true" hidden="false" outlineLevel="0" max="31" min="31" style="0" width="12"/>
    <col collapsed="false" customWidth="true" hidden="false" outlineLevel="0" max="33" min="32" style="0" width="9"/>
    <col collapsed="false" customWidth="true" hidden="false" outlineLevel="0" max="34" min="34" style="0" width="12"/>
    <col collapsed="false" customWidth="true" hidden="false" outlineLevel="0" max="36" min="35" style="0" width="9"/>
    <col collapsed="false" customWidth="true" hidden="false" outlineLevel="0" max="37" min="37" style="0" width="12"/>
    <col collapsed="false" customWidth="true" hidden="false" outlineLevel="0" max="47" min="38" style="0" width="9"/>
    <col collapsed="false" customWidth="true" hidden="false" outlineLevel="0" max="48" min="48" style="0" width="12"/>
    <col collapsed="false" customWidth="true" hidden="false" outlineLevel="0" max="52" min="49" style="0" width="9"/>
    <col collapsed="false" customWidth="true" hidden="false" outlineLevel="0" max="53" min="53" style="0" width="12"/>
    <col collapsed="false" customWidth="true" hidden="false" outlineLevel="0" max="55" min="54" style="0" width="9"/>
    <col collapsed="false" customWidth="true" hidden="false" outlineLevel="0" max="58" min="56" style="0" width="12"/>
    <col collapsed="false" customWidth="true" hidden="false" outlineLevel="0" max="60" min="59" style="0" width="9"/>
    <col collapsed="false" customWidth="true" hidden="false" outlineLevel="0" max="61" min="61" style="0" width="12"/>
    <col collapsed="false" customWidth="true" hidden="false" outlineLevel="0" max="65" min="62" style="0" width="9"/>
    <col collapsed="false" customWidth="true" hidden="false" outlineLevel="0" max="67" min="66" style="0" width="12"/>
    <col collapsed="false" customWidth="true" hidden="false" outlineLevel="0" max="68" min="68" style="0" width="9"/>
    <col collapsed="false" customWidth="true" hidden="false" outlineLevel="0" max="80" min="69" style="0" width="12"/>
    <col collapsed="false" customWidth="true" hidden="false" outlineLevel="0" max="81" min="81" style="0" width="9"/>
    <col collapsed="false" customWidth="true" hidden="false" outlineLevel="0" max="82" min="82" style="0" width="12"/>
    <col collapsed="false" customWidth="true" hidden="false" outlineLevel="0" max="84" min="83" style="0" width="9"/>
    <col collapsed="false" customWidth="true" hidden="false" outlineLevel="0" max="85" min="85" style="0" width="12"/>
    <col collapsed="false" customWidth="true" hidden="false" outlineLevel="0" max="86" min="86" style="0" width="9"/>
    <col collapsed="false" customWidth="true" hidden="false" outlineLevel="0" max="95" min="87" style="0" width="12"/>
    <col collapsed="false" customWidth="true" hidden="false" outlineLevel="0" max="96" min="96" style="0" width="22"/>
    <col collapsed="false" customWidth="true" hidden="false" outlineLevel="0" max="97" min="97" style="0" width="44"/>
  </cols>
  <sheetData>
    <row r="1" customFormat="false" ht="15" hidden="false" customHeight="false" outlineLevel="0" collapsed="false">
      <c r="A1" s="1" t="s">
        <v>0</v>
      </c>
    </row>
    <row r="2" customFormat="false" ht="33.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c r="AN2" s="2" t="s">
        <v>40</v>
      </c>
      <c r="AO2" s="2" t="s">
        <v>41</v>
      </c>
      <c r="AP2" s="2" t="s">
        <v>42</v>
      </c>
      <c r="AQ2" s="2" t="s">
        <v>43</v>
      </c>
      <c r="AR2" s="2" t="s">
        <v>44</v>
      </c>
      <c r="AS2" s="2" t="s">
        <v>45</v>
      </c>
      <c r="AT2" s="2" t="s">
        <v>46</v>
      </c>
      <c r="AU2" s="2" t="s">
        <v>47</v>
      </c>
      <c r="AV2" s="2" t="s">
        <v>48</v>
      </c>
      <c r="AW2" s="2" t="s">
        <v>49</v>
      </c>
      <c r="AX2" s="2" t="s">
        <v>50</v>
      </c>
      <c r="AY2" s="2" t="s">
        <v>51</v>
      </c>
      <c r="AZ2" s="2" t="s">
        <v>52</v>
      </c>
      <c r="BA2" s="2" t="s">
        <v>53</v>
      </c>
      <c r="BB2" s="2" t="s">
        <v>54</v>
      </c>
      <c r="BC2" s="2" t="s">
        <v>55</v>
      </c>
      <c r="BD2" s="2" t="s">
        <v>56</v>
      </c>
      <c r="BE2" s="2" t="s">
        <v>57</v>
      </c>
      <c r="BF2" s="2" t="s">
        <v>58</v>
      </c>
      <c r="BG2" s="2" t="s">
        <v>59</v>
      </c>
      <c r="BH2" s="2" t="s">
        <v>60</v>
      </c>
      <c r="BI2" s="2" t="s">
        <v>61</v>
      </c>
      <c r="BJ2" s="2" t="s">
        <v>62</v>
      </c>
      <c r="BK2" s="2" t="s">
        <v>63</v>
      </c>
      <c r="BL2" s="2" t="s">
        <v>64</v>
      </c>
      <c r="BM2" s="2" t="s">
        <v>65</v>
      </c>
      <c r="BN2" s="2" t="s">
        <v>66</v>
      </c>
      <c r="BO2" s="2" t="s">
        <v>67</v>
      </c>
      <c r="BP2" s="2" t="s">
        <v>68</v>
      </c>
      <c r="BQ2" s="2" t="s">
        <v>69</v>
      </c>
      <c r="BR2" s="2" t="s">
        <v>70</v>
      </c>
      <c r="BS2" s="2" t="s">
        <v>71</v>
      </c>
      <c r="BT2" s="2" t="s">
        <v>72</v>
      </c>
      <c r="BU2" s="2" t="s">
        <v>73</v>
      </c>
      <c r="BV2" s="2" t="s">
        <v>74</v>
      </c>
      <c r="BW2" s="2" t="s">
        <v>75</v>
      </c>
      <c r="BX2" s="2" t="s">
        <v>76</v>
      </c>
      <c r="BY2" s="2" t="s">
        <v>77</v>
      </c>
      <c r="BZ2" s="2" t="s">
        <v>78</v>
      </c>
      <c r="CA2" s="2" t="s">
        <v>79</v>
      </c>
      <c r="CB2" s="2" t="s">
        <v>80</v>
      </c>
      <c r="CC2" s="2" t="s">
        <v>81</v>
      </c>
      <c r="CD2" s="2" t="s">
        <v>82</v>
      </c>
      <c r="CE2" s="2" t="s">
        <v>83</v>
      </c>
      <c r="CF2" s="2" t="s">
        <v>84</v>
      </c>
      <c r="CG2" s="2" t="s">
        <v>85</v>
      </c>
      <c r="CH2" s="2" t="s">
        <v>86</v>
      </c>
      <c r="CI2" s="2" t="s">
        <v>87</v>
      </c>
      <c r="CJ2" s="2" t="s">
        <v>88</v>
      </c>
      <c r="CK2" s="2" t="s">
        <v>89</v>
      </c>
      <c r="CL2" s="2" t="s">
        <v>90</v>
      </c>
      <c r="CM2" s="2" t="s">
        <v>91</v>
      </c>
      <c r="CN2" s="2" t="s">
        <v>92</v>
      </c>
      <c r="CO2" s="2" t="s">
        <v>93</v>
      </c>
      <c r="CP2" s="2" t="s">
        <v>94</v>
      </c>
      <c r="CQ2" s="2" t="s">
        <v>95</v>
      </c>
      <c r="CR2" s="2" t="s">
        <v>96</v>
      </c>
      <c r="CS2" s="2" t="s">
        <v>97</v>
      </c>
    </row>
    <row r="3" customFormat="false" ht="15" hidden="false" customHeight="false" outlineLevel="0" collapsed="false">
      <c r="A3" s="3" t="n">
        <v>1</v>
      </c>
      <c r="B3" s="4" t="s">
        <v>98</v>
      </c>
      <c r="C3" s="5" t="s">
        <v>99</v>
      </c>
      <c r="D3" s="4" t="s">
        <v>100</v>
      </c>
      <c r="E3" s="4" t="s">
        <v>101</v>
      </c>
      <c r="F3" s="4" t="s">
        <v>99</v>
      </c>
      <c r="G3" s="3" t="n">
        <v>1</v>
      </c>
      <c r="H3" s="6" t="n">
        <v>26.5</v>
      </c>
      <c r="I3" s="3" t="n">
        <v>6</v>
      </c>
      <c r="J3" s="3" t="n">
        <v>6</v>
      </c>
      <c r="K3" s="7" t="n">
        <v>1.67</v>
      </c>
      <c r="L3" s="7" t="n">
        <v>0.96</v>
      </c>
      <c r="M3" s="8" t="n">
        <v>1</v>
      </c>
      <c r="N3" s="8" t="n">
        <v>4</v>
      </c>
      <c r="O3" s="7" t="n">
        <v>1.67</v>
      </c>
      <c r="P3" s="6" t="n">
        <v>99.5</v>
      </c>
      <c r="Q3" s="4" t="s">
        <v>101</v>
      </c>
      <c r="R3" s="8" t="n">
        <v>16</v>
      </c>
      <c r="S3" s="6" t="n">
        <v>313.6</v>
      </c>
      <c r="T3" s="7" t="n">
        <f aca="false">IFERROR(S3/R3,"")</f>
        <v>19.6</v>
      </c>
      <c r="U3" s="6" t="n">
        <v>251.1</v>
      </c>
      <c r="V3" s="6" t="n">
        <v>188.6</v>
      </c>
      <c r="W3" s="8" t="n">
        <v>4</v>
      </c>
      <c r="X3" s="7" t="n">
        <f aca="false">IFERROR(S3/AH3,"")</f>
        <v>1.66808510638298</v>
      </c>
      <c r="Y3" s="9" t="n">
        <f aca="false">IFERROR(S3/AF3,"")</f>
        <v>0.317730496453901</v>
      </c>
      <c r="Z3" s="6" t="n">
        <v>9.88</v>
      </c>
      <c r="AA3" s="6" t="n">
        <v>20.5</v>
      </c>
      <c r="AB3" s="6" t="n">
        <v>28.02</v>
      </c>
      <c r="AC3" s="10" t="n">
        <v>0.562</v>
      </c>
      <c r="AD3" s="10" t="n">
        <v>0</v>
      </c>
      <c r="AE3" s="7" t="n">
        <v>0.501</v>
      </c>
      <c r="AF3" s="8" t="n">
        <v>987</v>
      </c>
      <c r="AG3" s="10" t="n">
        <v>0.944</v>
      </c>
      <c r="AH3" s="8" t="n">
        <v>188</v>
      </c>
      <c r="AI3" s="8" t="n">
        <v>185</v>
      </c>
      <c r="AJ3" s="6" t="n">
        <f aca="false">IFERROR(AI3/R3,"")</f>
        <v>11.5625</v>
      </c>
      <c r="AK3" s="10" t="n">
        <v>0.3223</v>
      </c>
      <c r="AL3" s="10" t="n">
        <v>0.3712</v>
      </c>
      <c r="AM3" s="9" t="n">
        <v>0.7433</v>
      </c>
      <c r="AN3" s="8" t="n">
        <v>125</v>
      </c>
      <c r="AO3" s="10" t="n">
        <f aca="false">IFERROR(AN3/AI3,"")</f>
        <v>0.675675675675676</v>
      </c>
      <c r="AP3" s="8" t="n">
        <v>1412</v>
      </c>
      <c r="AQ3" s="7" t="n">
        <f aca="false">IFERROR(AP3/AI3,"")</f>
        <v>7.63243243243243</v>
      </c>
      <c r="AR3" s="6" t="n">
        <v>8.486</v>
      </c>
      <c r="AS3" s="7" t="n">
        <v>5.12</v>
      </c>
      <c r="AT3" s="7" t="n">
        <v>0.899</v>
      </c>
      <c r="AU3" s="7" t="n">
        <v>3.17336315809628</v>
      </c>
      <c r="AV3" s="7" t="n">
        <v>5.72634285714286</v>
      </c>
      <c r="AW3" s="7" t="n">
        <v>1.30842801771353</v>
      </c>
      <c r="AX3" s="10" t="n">
        <v>0.0216</v>
      </c>
      <c r="AY3" s="8" t="n">
        <v>3</v>
      </c>
      <c r="AZ3" s="6" t="n">
        <f aca="false">IFERROR(AY3/R3,"")</f>
        <v>0.1875</v>
      </c>
      <c r="BA3" s="10" t="n">
        <v>0.0084</v>
      </c>
      <c r="BB3" s="8" t="n">
        <v>14</v>
      </c>
      <c r="BC3" s="7"/>
      <c r="BD3" s="7"/>
      <c r="BE3" s="7"/>
      <c r="BF3" s="8" t="n">
        <v>0</v>
      </c>
      <c r="BG3" s="7"/>
      <c r="BH3" s="6"/>
      <c r="BI3" s="7"/>
      <c r="BJ3" s="8" t="n">
        <v>22</v>
      </c>
      <c r="BK3" s="8" t="n">
        <v>8</v>
      </c>
      <c r="BL3" s="8" t="n">
        <v>2</v>
      </c>
      <c r="BM3" s="8" t="n">
        <v>8</v>
      </c>
      <c r="BN3" s="7" t="n">
        <v>7.53</v>
      </c>
      <c r="BO3" s="7" t="n">
        <f aca="false">IFERROR(BM3-BN3,"")</f>
        <v>0.47</v>
      </c>
      <c r="BP3" s="9" t="n">
        <f aca="false">IFERROR(BM3/AH3,"")</f>
        <v>0.0425531914893617</v>
      </c>
      <c r="BQ3" s="6" t="n">
        <v>60.4</v>
      </c>
      <c r="BR3" s="6" t="n">
        <v>63.4</v>
      </c>
      <c r="BS3" s="6" t="n">
        <v>53</v>
      </c>
      <c r="BT3" s="7" t="n">
        <v>3.212</v>
      </c>
      <c r="BU3" s="10" t="n">
        <v>0.1072</v>
      </c>
      <c r="BV3" s="10" t="n">
        <v>0.657142857142857</v>
      </c>
      <c r="BW3" s="7" t="n">
        <v>2.249</v>
      </c>
      <c r="BX3" s="10" t="n">
        <v>0.2234</v>
      </c>
      <c r="BY3" s="10" t="n">
        <v>0.0527</v>
      </c>
      <c r="BZ3" s="7" t="n">
        <v>2.22</v>
      </c>
      <c r="CA3" s="10" t="n">
        <v>0.996</v>
      </c>
      <c r="CB3" s="8" t="n">
        <v>5</v>
      </c>
      <c r="CC3" s="10" t="n">
        <v>0.0172</v>
      </c>
      <c r="CD3" s="10" t="n">
        <v>0.6322</v>
      </c>
      <c r="CE3" s="6" t="n">
        <v>61.71</v>
      </c>
      <c r="CF3" s="6" t="n">
        <v>38</v>
      </c>
      <c r="CG3" s="7" t="n">
        <v>3.29</v>
      </c>
      <c r="CH3" s="6" t="n">
        <v>24.4</v>
      </c>
      <c r="CI3" s="9" t="n">
        <v>0.0246</v>
      </c>
      <c r="CJ3" s="9" t="n">
        <v>-0.0266</v>
      </c>
      <c r="CK3" s="8" t="n">
        <v>41</v>
      </c>
      <c r="CL3" s="10" t="n">
        <v>0.067</v>
      </c>
      <c r="CM3" s="8" t="n">
        <v>9</v>
      </c>
      <c r="CN3" s="10" t="n">
        <v>0.024</v>
      </c>
      <c r="CO3" s="8" t="n">
        <v>6</v>
      </c>
      <c r="CP3" s="7" t="n">
        <v>-0.105</v>
      </c>
      <c r="CQ3" s="7" t="n">
        <v>-0.061</v>
      </c>
      <c r="CR3" s="4" t="s">
        <v>102</v>
      </c>
      <c r="CS3" s="4"/>
    </row>
    <row r="4" customFormat="false" ht="15" hidden="false" customHeight="false" outlineLevel="0" collapsed="false">
      <c r="A4" s="3" t="n">
        <v>2</v>
      </c>
      <c r="B4" s="4" t="s">
        <v>103</v>
      </c>
      <c r="C4" s="11" t="s">
        <v>104</v>
      </c>
      <c r="D4" s="4" t="s">
        <v>105</v>
      </c>
      <c r="E4" s="4" t="s">
        <v>106</v>
      </c>
      <c r="F4" s="4" t="s">
        <v>104</v>
      </c>
      <c r="G4" s="3" t="n">
        <v>1</v>
      </c>
      <c r="H4" s="6" t="n">
        <v>24.4</v>
      </c>
      <c r="I4" s="3" t="n">
        <v>4</v>
      </c>
      <c r="J4" s="3" t="n">
        <v>6</v>
      </c>
      <c r="K4" s="7" t="n">
        <v>3.01</v>
      </c>
      <c r="L4" s="7" t="n">
        <v>1.65</v>
      </c>
      <c r="M4" s="8" t="n">
        <v>1</v>
      </c>
      <c r="N4" s="8" t="n">
        <v>7</v>
      </c>
      <c r="O4" s="7" t="n">
        <v>3.01</v>
      </c>
      <c r="P4" s="6" t="n">
        <v>99.5</v>
      </c>
      <c r="Q4" s="4" t="s">
        <v>106</v>
      </c>
      <c r="R4" s="8" t="n">
        <v>17</v>
      </c>
      <c r="S4" s="6" t="n">
        <v>366.9</v>
      </c>
      <c r="T4" s="7" t="n">
        <f aca="false">IFERROR(S4/R4,"")</f>
        <v>21.5823529411765</v>
      </c>
      <c r="U4" s="6" t="n">
        <v>328.4</v>
      </c>
      <c r="V4" s="6" t="n">
        <v>289.9</v>
      </c>
      <c r="W4" s="8" t="n">
        <v>3</v>
      </c>
      <c r="X4" s="7" t="n">
        <f aca="false">IFERROR(S4/AH4,"")</f>
        <v>1.08872403560831</v>
      </c>
      <c r="Y4" s="9" t="n">
        <f aca="false">IFERROR(S4/AF4,"")</f>
        <v>0.497829036635007</v>
      </c>
      <c r="Z4" s="6" t="n">
        <v>11.6</v>
      </c>
      <c r="AA4" s="6" t="n">
        <v>19.4</v>
      </c>
      <c r="AB4" s="6" t="n">
        <v>36.92</v>
      </c>
      <c r="AC4" s="10" t="n">
        <v>0.529</v>
      </c>
      <c r="AD4" s="10" t="n">
        <v>0</v>
      </c>
      <c r="AE4" s="7" t="n">
        <v>0.697</v>
      </c>
      <c r="AF4" s="8" t="n">
        <v>737</v>
      </c>
      <c r="AG4" s="10" t="n">
        <v>0.67</v>
      </c>
      <c r="AH4" s="8" t="n">
        <v>337</v>
      </c>
      <c r="AI4" s="8" t="n">
        <v>94</v>
      </c>
      <c r="AJ4" s="6" t="n">
        <f aca="false">IFERROR(AI4/R4,"")</f>
        <v>5.52941176470588</v>
      </c>
      <c r="AK4" s="10" t="n">
        <v>0.1709</v>
      </c>
      <c r="AL4" s="10" t="n">
        <v>0.0147</v>
      </c>
      <c r="AM4" s="9" t="n">
        <v>0.2666</v>
      </c>
      <c r="AN4" s="8" t="n">
        <v>77</v>
      </c>
      <c r="AO4" s="10" t="n">
        <f aca="false">IFERROR(AN4/AI4,"")</f>
        <v>0.819148936170213</v>
      </c>
      <c r="AP4" s="8" t="n">
        <v>616</v>
      </c>
      <c r="AQ4" s="7" t="n">
        <f aca="false">IFERROR(AP4/AI4,"")</f>
        <v>6.5531914893617</v>
      </c>
      <c r="AR4" s="6" t="n">
        <v>0.574</v>
      </c>
      <c r="AS4" s="7" t="n">
        <v>7.987</v>
      </c>
      <c r="AT4" s="7" t="n">
        <v>11.407</v>
      </c>
      <c r="AU4" s="7"/>
      <c r="AV4" s="7"/>
      <c r="AW4" s="7"/>
      <c r="AX4" s="10" t="n">
        <v>0.0426</v>
      </c>
      <c r="AY4" s="8" t="n">
        <v>243</v>
      </c>
      <c r="AZ4" s="6" t="n">
        <f aca="false">IFERROR(AY4/R4,"")</f>
        <v>14.2941176470588</v>
      </c>
      <c r="BA4" s="10" t="n">
        <v>0.5498</v>
      </c>
      <c r="BB4" s="8" t="n">
        <v>1223</v>
      </c>
      <c r="BC4" s="7" t="n">
        <f aca="false">IFERROR(BB4/AY4,"")</f>
        <v>5.03292181069959</v>
      </c>
      <c r="BD4" s="7" t="n">
        <v>3.37</v>
      </c>
      <c r="BE4" s="7" t="n">
        <v>1.663</v>
      </c>
      <c r="BF4" s="8" t="n">
        <v>18</v>
      </c>
      <c r="BG4" s="7" t="n">
        <v>0.695454210425838</v>
      </c>
      <c r="BH4" s="6" t="n">
        <v>21.8106995884774</v>
      </c>
      <c r="BI4" s="7" t="n">
        <v>3.84242845461979</v>
      </c>
      <c r="BJ4" s="8" t="n">
        <v>67</v>
      </c>
      <c r="BK4" s="8" t="n">
        <v>26</v>
      </c>
      <c r="BL4" s="8" t="n">
        <v>12</v>
      </c>
      <c r="BM4" s="8" t="n">
        <v>18</v>
      </c>
      <c r="BN4" s="7" t="n">
        <v>12.01</v>
      </c>
      <c r="BO4" s="7" t="n">
        <f aca="false">IFERROR(BM4-BN4,"")</f>
        <v>5.99</v>
      </c>
      <c r="BP4" s="9" t="n">
        <f aca="false">IFERROR(BM4/AH4,"")</f>
        <v>0.0534124629080119</v>
      </c>
      <c r="BQ4" s="6" t="n">
        <v>46.7</v>
      </c>
      <c r="BR4" s="6" t="n">
        <v>50</v>
      </c>
      <c r="BS4" s="6" t="n">
        <v>44.8</v>
      </c>
      <c r="BT4" s="7" t="n">
        <v>2.796</v>
      </c>
      <c r="BU4" s="10" t="n">
        <v>0.1795</v>
      </c>
      <c r="BV4" s="10" t="n">
        <v>0.645161290322581</v>
      </c>
      <c r="BW4" s="7" t="n">
        <v>2.844</v>
      </c>
      <c r="BX4" s="10" t="n">
        <v>0.2646</v>
      </c>
      <c r="BY4" s="10" t="n">
        <v>0.0608</v>
      </c>
      <c r="BZ4" s="7" t="n">
        <v>2.297</v>
      </c>
      <c r="CA4" s="10" t="n">
        <v>0.521</v>
      </c>
      <c r="CB4" s="8" t="n">
        <v>3</v>
      </c>
      <c r="CC4" s="10" t="n">
        <v>-0.0456</v>
      </c>
      <c r="CD4" s="10" t="n">
        <v>0.5469</v>
      </c>
      <c r="CE4" s="6" t="n">
        <v>61.82</v>
      </c>
      <c r="CF4" s="6" t="n">
        <v>38</v>
      </c>
      <c r="CG4" s="7" t="n">
        <v>3.82</v>
      </c>
      <c r="CH4" s="6" t="n">
        <v>28.3</v>
      </c>
      <c r="CI4" s="9" t="n">
        <v>-0.0408</v>
      </c>
      <c r="CJ4" s="9" t="n">
        <v>0.1681</v>
      </c>
      <c r="CK4" s="8" t="n">
        <v>79</v>
      </c>
      <c r="CL4" s="10" t="n">
        <v>0.144</v>
      </c>
      <c r="CM4" s="8" t="n">
        <v>167</v>
      </c>
      <c r="CN4" s="10" t="n">
        <v>0.378</v>
      </c>
      <c r="CO4" s="8" t="n">
        <v>45</v>
      </c>
      <c r="CP4" s="7" t="n">
        <v>-0.061</v>
      </c>
      <c r="CQ4" s="7" t="n">
        <v>-0.061</v>
      </c>
      <c r="CR4" s="4" t="s">
        <v>102</v>
      </c>
      <c r="CS4" s="4"/>
    </row>
    <row r="5" customFormat="false" ht="15" hidden="false" customHeight="false" outlineLevel="0" collapsed="false">
      <c r="A5" s="3" t="n">
        <v>3</v>
      </c>
      <c r="B5" s="4" t="s">
        <v>107</v>
      </c>
      <c r="C5" s="5" t="s">
        <v>99</v>
      </c>
      <c r="D5" s="4" t="s">
        <v>108</v>
      </c>
      <c r="E5" s="4" t="s">
        <v>109</v>
      </c>
      <c r="F5" s="4" t="s">
        <v>99</v>
      </c>
      <c r="G5" s="3" t="n">
        <v>1</v>
      </c>
      <c r="H5" s="6" t="n">
        <v>25.2</v>
      </c>
      <c r="I5" s="3" t="n">
        <v>4</v>
      </c>
      <c r="J5" s="3" t="n">
        <v>11</v>
      </c>
      <c r="K5" s="7" t="n">
        <v>3.21</v>
      </c>
      <c r="L5" s="7" t="n">
        <v>1.4</v>
      </c>
      <c r="M5" s="8" t="n">
        <v>1</v>
      </c>
      <c r="N5" s="8" t="n">
        <v>9</v>
      </c>
      <c r="O5" s="7" t="n">
        <v>3.21</v>
      </c>
      <c r="P5" s="6" t="n">
        <v>99.7</v>
      </c>
      <c r="Q5" s="4" t="s">
        <v>109</v>
      </c>
      <c r="R5" s="8" t="n">
        <v>16</v>
      </c>
      <c r="S5" s="6" t="n">
        <v>375</v>
      </c>
      <c r="T5" s="7" t="n">
        <f aca="false">IFERROR(S5/R5,"")</f>
        <v>23.4375</v>
      </c>
      <c r="U5" s="6" t="n">
        <v>310.5</v>
      </c>
      <c r="V5" s="6" t="n">
        <v>246</v>
      </c>
      <c r="W5" s="8" t="n">
        <v>1</v>
      </c>
      <c r="X5" s="7" t="n">
        <f aca="false">IFERROR(S5/AH5,"")</f>
        <v>2.13068181818182</v>
      </c>
      <c r="Y5" s="9" t="n">
        <f aca="false">IFERROR(S5/AF5,"")</f>
        <v>0.515818431911967</v>
      </c>
      <c r="Z5" s="6" t="n">
        <v>16.45</v>
      </c>
      <c r="AA5" s="6" t="n">
        <v>22.95</v>
      </c>
      <c r="AB5" s="6" t="n">
        <v>33.75</v>
      </c>
      <c r="AC5" s="10" t="n">
        <v>0.625</v>
      </c>
      <c r="AD5" s="10" t="n">
        <v>0</v>
      </c>
      <c r="AE5" s="7" t="n">
        <v>0.445</v>
      </c>
      <c r="AF5" s="8" t="n">
        <v>727</v>
      </c>
      <c r="AG5" s="10" t="n">
        <v>0.682</v>
      </c>
      <c r="AH5" s="8" t="n">
        <v>176</v>
      </c>
      <c r="AI5" s="8" t="n">
        <v>166</v>
      </c>
      <c r="AJ5" s="6" t="n">
        <f aca="false">IFERROR(AI5/R5,"")</f>
        <v>10.375</v>
      </c>
      <c r="AK5" s="10" t="n">
        <v>0.3029</v>
      </c>
      <c r="AL5" s="10" t="n">
        <v>0.3111</v>
      </c>
      <c r="AM5" s="9" t="n">
        <v>0.6721</v>
      </c>
      <c r="AN5" s="8" t="n">
        <v>129</v>
      </c>
      <c r="AO5" s="10" t="n">
        <f aca="false">IFERROR(AN5/AI5,"")</f>
        <v>0.77710843373494</v>
      </c>
      <c r="AP5" s="8" t="n">
        <v>1715</v>
      </c>
      <c r="AQ5" s="7" t="n">
        <f aca="false">IFERROR(AP5/AI5,"")</f>
        <v>10.3313253012048</v>
      </c>
      <c r="AR5" s="6" t="n">
        <v>9.434</v>
      </c>
      <c r="AS5" s="7" t="n">
        <v>5.163</v>
      </c>
      <c r="AT5" s="7" t="n">
        <v>1.095</v>
      </c>
      <c r="AU5" s="7" t="n">
        <v>2.87987607102695</v>
      </c>
      <c r="AV5" s="7" t="n">
        <v>6.02031446540881</v>
      </c>
      <c r="AW5" s="7" t="n">
        <v>1.34145983545684</v>
      </c>
      <c r="AX5" s="10" t="n">
        <v>0.0241</v>
      </c>
      <c r="AY5" s="8" t="n">
        <v>10</v>
      </c>
      <c r="AZ5" s="6" t="n">
        <f aca="false">IFERROR(AY5/R5,"")</f>
        <v>0.625</v>
      </c>
      <c r="BA5" s="10" t="n">
        <v>0.0229</v>
      </c>
      <c r="BB5" s="8" t="n">
        <v>105</v>
      </c>
      <c r="BC5" s="7"/>
      <c r="BD5" s="7"/>
      <c r="BE5" s="7"/>
      <c r="BF5" s="8" t="n">
        <v>1</v>
      </c>
      <c r="BG5" s="7"/>
      <c r="BH5" s="6"/>
      <c r="BI5" s="7"/>
      <c r="BJ5" s="8" t="n">
        <v>18</v>
      </c>
      <c r="BK5" s="8" t="n">
        <v>11</v>
      </c>
      <c r="BL5" s="8" t="n">
        <v>4</v>
      </c>
      <c r="BM5" s="8" t="n">
        <v>11</v>
      </c>
      <c r="BN5" s="7" t="n">
        <v>7.68</v>
      </c>
      <c r="BO5" s="7" t="n">
        <f aca="false">IFERROR(BM5-BN5,"")</f>
        <v>3.32</v>
      </c>
      <c r="BP5" s="9" t="n">
        <f aca="false">IFERROR(BM5/AH5,"")</f>
        <v>0.0625</v>
      </c>
      <c r="BQ5" s="6" t="n">
        <v>80.4</v>
      </c>
      <c r="BR5" s="6" t="n">
        <v>76.4</v>
      </c>
      <c r="BS5" s="6" t="n">
        <v>71.5</v>
      </c>
      <c r="BT5" s="7" t="n">
        <v>3.462</v>
      </c>
      <c r="BU5" s="10" t="n">
        <v>0.1266</v>
      </c>
      <c r="BV5" s="10" t="n">
        <v>0.638297872340426</v>
      </c>
      <c r="BW5" s="7" t="n">
        <v>2.811</v>
      </c>
      <c r="BX5" s="10" t="n">
        <v>0.194</v>
      </c>
      <c r="BY5" s="10" t="n">
        <v>0.0424</v>
      </c>
      <c r="BZ5" s="7" t="n">
        <v>2.396</v>
      </c>
      <c r="CA5" s="10" t="n">
        <v>0.904</v>
      </c>
      <c r="CB5" s="8" t="n">
        <v>5</v>
      </c>
      <c r="CC5" s="10" t="n">
        <v>0.0296</v>
      </c>
      <c r="CD5" s="10" t="n">
        <v>0.6185</v>
      </c>
      <c r="CE5" s="6" t="n">
        <v>62.12</v>
      </c>
      <c r="CF5" s="6" t="n">
        <v>37</v>
      </c>
      <c r="CG5" s="7" t="n">
        <v>4.47</v>
      </c>
      <c r="CH5" s="6" t="n">
        <v>30.5</v>
      </c>
      <c r="CI5" s="9" t="n">
        <v>0.0262</v>
      </c>
      <c r="CJ5" s="9" t="n">
        <v>0.2292</v>
      </c>
      <c r="CK5" s="8" t="n">
        <v>15</v>
      </c>
      <c r="CL5" s="10" t="n">
        <v>0.026</v>
      </c>
      <c r="CM5" s="8" t="n">
        <v>0</v>
      </c>
      <c r="CN5" s="10" t="n">
        <v>0</v>
      </c>
      <c r="CO5" s="8" t="n">
        <v>1</v>
      </c>
      <c r="CP5" s="7" t="n">
        <v>0.062</v>
      </c>
      <c r="CQ5" s="7" t="n">
        <v>0.062</v>
      </c>
      <c r="CR5" s="4" t="s">
        <v>102</v>
      </c>
      <c r="CS5" s="4"/>
    </row>
    <row r="6" customFormat="false" ht="15" hidden="false" customHeight="false" outlineLevel="0" collapsed="false">
      <c r="A6" s="3" t="n">
        <v>4</v>
      </c>
      <c r="B6" s="4" t="s">
        <v>110</v>
      </c>
      <c r="C6" s="11" t="s">
        <v>104</v>
      </c>
      <c r="D6" s="4" t="s">
        <v>111</v>
      </c>
      <c r="E6" s="4" t="s">
        <v>112</v>
      </c>
      <c r="F6" s="4" t="s">
        <v>104</v>
      </c>
      <c r="G6" s="3" t="n">
        <v>1</v>
      </c>
      <c r="H6" s="6" t="n">
        <v>24.5</v>
      </c>
      <c r="I6" s="3" t="n">
        <v>4</v>
      </c>
      <c r="J6" s="3" t="n">
        <v>11</v>
      </c>
      <c r="K6" s="7" t="n">
        <v>3.5</v>
      </c>
      <c r="L6" s="7" t="n">
        <v>1.6</v>
      </c>
      <c r="M6" s="8" t="n">
        <v>1</v>
      </c>
      <c r="N6" s="8" t="n">
        <v>7</v>
      </c>
      <c r="O6" s="7" t="n">
        <v>3.5</v>
      </c>
      <c r="P6" s="6" t="n">
        <v>99.4</v>
      </c>
      <c r="Q6" s="4" t="s">
        <v>112</v>
      </c>
      <c r="R6" s="8" t="n">
        <v>17</v>
      </c>
      <c r="S6" s="6" t="n">
        <v>370.8</v>
      </c>
      <c r="T6" s="7" t="n">
        <f aca="false">IFERROR(S6/R6,"")</f>
        <v>21.8117647058824</v>
      </c>
      <c r="U6" s="6" t="n">
        <v>331.3</v>
      </c>
      <c r="V6" s="6" t="n">
        <v>291.8</v>
      </c>
      <c r="W6" s="8" t="n">
        <v>2</v>
      </c>
      <c r="X6" s="7" t="n">
        <f aca="false">IFERROR(S6/AH6,"")</f>
        <v>0.950769230769231</v>
      </c>
      <c r="Y6" s="9" t="n">
        <f aca="false">IFERROR(S6/AF6,"")</f>
        <v>0.431162790697674</v>
      </c>
      <c r="Z6" s="6" t="n">
        <v>14.7</v>
      </c>
      <c r="AA6" s="6" t="n">
        <v>21.2</v>
      </c>
      <c r="AB6" s="6" t="n">
        <v>30.3</v>
      </c>
      <c r="AC6" s="10" t="n">
        <v>0.706</v>
      </c>
      <c r="AD6" s="10" t="n">
        <v>0</v>
      </c>
      <c r="AE6" s="7" t="n">
        <v>0.484</v>
      </c>
      <c r="AF6" s="8" t="n">
        <v>860</v>
      </c>
      <c r="AG6" s="10" t="n">
        <v>0.782</v>
      </c>
      <c r="AH6" s="8" t="n">
        <v>390</v>
      </c>
      <c r="AI6" s="8" t="n">
        <v>103</v>
      </c>
      <c r="AJ6" s="6" t="n">
        <f aca="false">IFERROR(AI6/R6,"")</f>
        <v>6.05882352941176</v>
      </c>
      <c r="AK6" s="10" t="n">
        <v>0.1985</v>
      </c>
      <c r="AL6" s="10" t="n">
        <v>0.0241</v>
      </c>
      <c r="AM6" s="9" t="n">
        <v>0.3146</v>
      </c>
      <c r="AN6" s="8" t="n">
        <v>79</v>
      </c>
      <c r="AO6" s="10" t="n">
        <f aca="false">IFERROR(AN6/AI6,"")</f>
        <v>0.766990291262136</v>
      </c>
      <c r="AP6" s="8" t="n">
        <v>820</v>
      </c>
      <c r="AQ6" s="7" t="n">
        <f aca="false">IFERROR(AP6/AI6,"")</f>
        <v>7.96116504854369</v>
      </c>
      <c r="AR6" s="6" t="n">
        <v>0.981</v>
      </c>
      <c r="AS6" s="7" t="n">
        <v>10.848</v>
      </c>
      <c r="AT6" s="7" t="n">
        <v>8.119</v>
      </c>
      <c r="AU6" s="7"/>
      <c r="AV6" s="7"/>
      <c r="AW6" s="7"/>
      <c r="AX6" s="10" t="n">
        <v>0.0388</v>
      </c>
      <c r="AY6" s="8" t="n">
        <v>287</v>
      </c>
      <c r="AZ6" s="6" t="n">
        <f aca="false">IFERROR(AY6/R6,"")</f>
        <v>16.8823529411765</v>
      </c>
      <c r="BA6" s="10" t="n">
        <v>0.6017</v>
      </c>
      <c r="BB6" s="8" t="n">
        <v>1478</v>
      </c>
      <c r="BC6" s="7" t="n">
        <f aca="false">IFERROR(BB6/AY6,"")</f>
        <v>5.14982578397213</v>
      </c>
      <c r="BD6" s="7" t="n">
        <v>2.829</v>
      </c>
      <c r="BE6" s="7" t="n">
        <v>2.321</v>
      </c>
      <c r="BF6" s="8" t="n">
        <v>22</v>
      </c>
      <c r="BG6" s="7" t="n">
        <v>0.908504823439901</v>
      </c>
      <c r="BH6" s="6" t="n">
        <v>14.6341463414634</v>
      </c>
      <c r="BI6" s="7" t="n">
        <v>3.90630581867388</v>
      </c>
      <c r="BJ6" s="8" t="n">
        <v>48</v>
      </c>
      <c r="BK6" s="8" t="n">
        <v>21</v>
      </c>
      <c r="BL6" s="8" t="n">
        <v>11</v>
      </c>
      <c r="BM6" s="8" t="n">
        <v>11</v>
      </c>
      <c r="BN6" s="7" t="n">
        <v>11.31</v>
      </c>
      <c r="BO6" s="7" t="n">
        <f aca="false">IFERROR(BM6-BN6,"")</f>
        <v>-0.310000000000001</v>
      </c>
      <c r="BP6" s="9" t="n">
        <f aca="false">IFERROR(BM6/AH6,"")</f>
        <v>0.0282051282051282</v>
      </c>
      <c r="BQ6" s="6" t="n">
        <v>62.4</v>
      </c>
      <c r="BR6" s="6" t="n">
        <v>52.7</v>
      </c>
      <c r="BS6" s="6" t="n">
        <v>66.9</v>
      </c>
      <c r="BT6" s="7" t="n">
        <v>3.071</v>
      </c>
      <c r="BU6" s="10" t="n">
        <v>0.1627</v>
      </c>
      <c r="BV6" s="10" t="n">
        <v>0.523809523809524</v>
      </c>
      <c r="BW6" s="7" t="n">
        <v>2.522</v>
      </c>
      <c r="BX6" s="10" t="n">
        <v>0.2037</v>
      </c>
      <c r="BY6" s="10" t="n">
        <v>0.0494</v>
      </c>
      <c r="BZ6" s="7" t="n">
        <v>2.4</v>
      </c>
      <c r="CA6" s="10" t="n">
        <v>0.798</v>
      </c>
      <c r="CB6" s="8" t="n">
        <v>4</v>
      </c>
      <c r="CC6" s="10" t="n">
        <v>-0.0621</v>
      </c>
      <c r="CD6" s="10" t="n">
        <v>0.549</v>
      </c>
      <c r="CE6" s="6" t="n">
        <v>60.94</v>
      </c>
      <c r="CF6" s="6" t="n">
        <v>38</v>
      </c>
      <c r="CG6" s="7" t="n">
        <v>3.12</v>
      </c>
      <c r="CH6" s="6" t="n">
        <v>20.8</v>
      </c>
      <c r="CI6" s="9" t="n">
        <v>-0.0314</v>
      </c>
      <c r="CJ6" s="9" t="n">
        <v>-0.0132</v>
      </c>
      <c r="CK6" s="8" t="n">
        <v>151</v>
      </c>
      <c r="CL6" s="10" t="n">
        <v>0.291</v>
      </c>
      <c r="CM6" s="8" t="n">
        <v>160</v>
      </c>
      <c r="CN6" s="10" t="n">
        <v>0.335</v>
      </c>
      <c r="CO6" s="8" t="n">
        <v>49</v>
      </c>
      <c r="CP6" s="7" t="n">
        <v>0.018</v>
      </c>
      <c r="CQ6" s="7" t="n">
        <v>0.018</v>
      </c>
      <c r="CR6" s="4" t="s">
        <v>102</v>
      </c>
      <c r="CS6" s="4"/>
    </row>
    <row r="7" customFormat="false" ht="15" hidden="false" customHeight="false" outlineLevel="0" collapsed="false">
      <c r="A7" s="3" t="n">
        <v>5</v>
      </c>
      <c r="B7" s="4" t="s">
        <v>113</v>
      </c>
      <c r="C7" s="5" t="s">
        <v>99</v>
      </c>
      <c r="D7" s="4" t="s">
        <v>114</v>
      </c>
      <c r="E7" s="4" t="s">
        <v>115</v>
      </c>
      <c r="F7" s="4" t="s">
        <v>99</v>
      </c>
      <c r="G7" s="3" t="n">
        <v>1</v>
      </c>
      <c r="H7" s="6" t="n">
        <v>24.5</v>
      </c>
      <c r="I7" s="3" t="n">
        <v>4</v>
      </c>
      <c r="J7" s="3" t="n">
        <v>11</v>
      </c>
      <c r="K7" s="7" t="n">
        <v>4.69</v>
      </c>
      <c r="L7" s="7" t="n">
        <v>1.37</v>
      </c>
      <c r="M7" s="8" t="n">
        <v>1</v>
      </c>
      <c r="N7" s="8" t="n">
        <v>9</v>
      </c>
      <c r="O7" s="7" t="n">
        <v>4.69</v>
      </c>
      <c r="P7" s="6" t="n">
        <v>99.7</v>
      </c>
      <c r="Q7" s="4" t="s">
        <v>115</v>
      </c>
      <c r="R7" s="8" t="n">
        <v>17</v>
      </c>
      <c r="S7" s="6" t="n">
        <v>359.9</v>
      </c>
      <c r="T7" s="7" t="n">
        <f aca="false">IFERROR(S7/R7,"")</f>
        <v>21.1705882352941</v>
      </c>
      <c r="U7" s="6" t="n">
        <v>300.4</v>
      </c>
      <c r="V7" s="6" t="n">
        <v>240.9</v>
      </c>
      <c r="W7" s="8" t="n">
        <v>2</v>
      </c>
      <c r="X7" s="7" t="n">
        <f aca="false">IFERROR(S7/AH7,"")</f>
        <v>2.11705882352941</v>
      </c>
      <c r="Y7" s="9" t="n">
        <f aca="false">IFERROR(S7/AF7,"")</f>
        <v>0.434137515078408</v>
      </c>
      <c r="Z7" s="6" t="n">
        <v>18.3</v>
      </c>
      <c r="AA7" s="6" t="n">
        <v>20.6</v>
      </c>
      <c r="AB7" s="6" t="n">
        <v>27.74</v>
      </c>
      <c r="AC7" s="10" t="n">
        <v>0.706</v>
      </c>
      <c r="AD7" s="10" t="n">
        <v>0</v>
      </c>
      <c r="AE7" s="7" t="n">
        <v>0.363</v>
      </c>
      <c r="AF7" s="8" t="n">
        <v>829</v>
      </c>
      <c r="AG7" s="10" t="n">
        <v>0.774</v>
      </c>
      <c r="AH7" s="8" t="n">
        <v>170</v>
      </c>
      <c r="AI7" s="8" t="n">
        <v>163</v>
      </c>
      <c r="AJ7" s="6" t="n">
        <f aca="false">IFERROR(AI7/R7,"")</f>
        <v>9.58823529411765</v>
      </c>
      <c r="AK7" s="10" t="n">
        <v>0.3582</v>
      </c>
      <c r="AL7" s="10" t="n">
        <v>0.4997</v>
      </c>
      <c r="AM7" s="9" t="n">
        <v>0.8871</v>
      </c>
      <c r="AN7" s="8" t="n">
        <v>119</v>
      </c>
      <c r="AO7" s="10" t="n">
        <f aca="false">IFERROR(AN7/AI7,"")</f>
        <v>0.730061349693252</v>
      </c>
      <c r="AP7" s="8" t="n">
        <v>1793</v>
      </c>
      <c r="AQ7" s="7" t="n">
        <f aca="false">IFERROR(AP7/AI7,"")</f>
        <v>11</v>
      </c>
      <c r="AR7" s="6" t="n">
        <v>11.245</v>
      </c>
      <c r="AS7" s="7" t="n">
        <v>4.437</v>
      </c>
      <c r="AT7" s="7" t="n">
        <v>0.978</v>
      </c>
      <c r="AU7" s="7" t="n">
        <v>3.01756823312639</v>
      </c>
      <c r="AV7" s="7" t="n">
        <v>6.29564935064935</v>
      </c>
      <c r="AW7" s="7" t="n">
        <v>0.794440211804091</v>
      </c>
      <c r="AX7" s="10" t="n">
        <v>0.0307</v>
      </c>
      <c r="AY7" s="8" t="n">
        <v>7</v>
      </c>
      <c r="AZ7" s="6" t="n">
        <f aca="false">IFERROR(AY7/R7,"")</f>
        <v>0.411764705882353</v>
      </c>
      <c r="BA7" s="10" t="n">
        <v>0.0138</v>
      </c>
      <c r="BB7" s="8" t="n">
        <v>36</v>
      </c>
      <c r="BC7" s="7"/>
      <c r="BD7" s="7"/>
      <c r="BE7" s="7"/>
      <c r="BF7" s="8" t="n">
        <v>1</v>
      </c>
      <c r="BG7" s="7"/>
      <c r="BH7" s="6"/>
      <c r="BI7" s="7"/>
      <c r="BJ7" s="8" t="n">
        <v>17</v>
      </c>
      <c r="BK7" s="8" t="n">
        <v>7</v>
      </c>
      <c r="BL7" s="8" t="n">
        <v>3</v>
      </c>
      <c r="BM7" s="8" t="n">
        <v>10</v>
      </c>
      <c r="BN7" s="7" t="n">
        <v>6.01</v>
      </c>
      <c r="BO7" s="7" t="n">
        <f aca="false">IFERROR(BM7-BN7,"")</f>
        <v>3.99</v>
      </c>
      <c r="BP7" s="9" t="n">
        <f aca="false">IFERROR(BM7/AH7,"")</f>
        <v>0.0588235294117647</v>
      </c>
      <c r="BQ7" s="6" t="n">
        <v>49.9</v>
      </c>
      <c r="BR7" s="6" t="n">
        <v>39.3</v>
      </c>
      <c r="BS7" s="6" t="n">
        <v>60.5</v>
      </c>
      <c r="BT7" s="7" t="n">
        <v>2.758</v>
      </c>
      <c r="BU7" s="10" t="n">
        <v>0.2121</v>
      </c>
      <c r="BV7" s="10" t="n">
        <v>0.612903225806452</v>
      </c>
      <c r="BW7" s="7" t="n">
        <v>2.477</v>
      </c>
      <c r="BX7" s="10" t="n">
        <v>0.2266</v>
      </c>
      <c r="BY7" s="10" t="n">
        <v>0.0535</v>
      </c>
      <c r="BZ7" s="7" t="n">
        <v>2.4</v>
      </c>
      <c r="CA7" s="10" t="n">
        <v>0.942</v>
      </c>
      <c r="CB7" s="8" t="n">
        <v>5</v>
      </c>
      <c r="CC7" s="10" t="n">
        <v>-0.0677</v>
      </c>
      <c r="CD7" s="10" t="n">
        <v>0.5204</v>
      </c>
      <c r="CE7" s="6" t="n">
        <v>58.65</v>
      </c>
      <c r="CF7" s="6" t="n">
        <v>39</v>
      </c>
      <c r="CG7" s="7" t="n">
        <v>3.53</v>
      </c>
      <c r="CH7" s="6" t="n">
        <v>28.4</v>
      </c>
      <c r="CI7" s="9" t="n">
        <v>-0.0491</v>
      </c>
      <c r="CJ7" s="9" t="n">
        <v>0.1122</v>
      </c>
      <c r="CK7" s="8" t="n">
        <v>39</v>
      </c>
      <c r="CL7" s="10" t="n">
        <v>0.086</v>
      </c>
      <c r="CM7" s="8" t="n">
        <v>221</v>
      </c>
      <c r="CN7" s="10" t="n">
        <v>0.436</v>
      </c>
      <c r="CO7" s="8" t="n">
        <v>37</v>
      </c>
      <c r="CP7" s="7" t="n">
        <v>0.054</v>
      </c>
      <c r="CQ7" s="7" t="n">
        <v>0.053</v>
      </c>
      <c r="CR7" s="4" t="s">
        <v>102</v>
      </c>
      <c r="CS7" s="4"/>
    </row>
    <row r="8" customFormat="false" ht="15" hidden="false" customHeight="false" outlineLevel="0" collapsed="false">
      <c r="A8" s="3" t="n">
        <v>6</v>
      </c>
      <c r="B8" s="4" t="s">
        <v>116</v>
      </c>
      <c r="C8" s="5" t="s">
        <v>99</v>
      </c>
      <c r="D8" s="4" t="s">
        <v>117</v>
      </c>
      <c r="E8" s="4" t="s">
        <v>106</v>
      </c>
      <c r="F8" s="4" t="s">
        <v>99</v>
      </c>
      <c r="G8" s="3" t="n">
        <v>1</v>
      </c>
      <c r="H8" s="6" t="n">
        <v>26.8</v>
      </c>
      <c r="I8" s="3" t="n">
        <v>6</v>
      </c>
      <c r="J8" s="3" t="n">
        <v>6</v>
      </c>
      <c r="K8" s="7" t="n">
        <v>5.64</v>
      </c>
      <c r="L8" s="7" t="n">
        <v>1.23</v>
      </c>
      <c r="M8" s="8" t="n">
        <v>4</v>
      </c>
      <c r="N8" s="8" t="n">
        <v>9</v>
      </c>
      <c r="O8" s="7" t="n">
        <v>5.64</v>
      </c>
      <c r="P8" s="6" t="n">
        <v>99.5</v>
      </c>
      <c r="Q8" s="4" t="s">
        <v>106</v>
      </c>
      <c r="R8" s="8" t="n">
        <v>17</v>
      </c>
      <c r="S8" s="6" t="n">
        <v>324</v>
      </c>
      <c r="T8" s="7" t="n">
        <f aca="false">IFERROR(S8/R8,"")</f>
        <v>19.0588235294118</v>
      </c>
      <c r="U8" s="6" t="n">
        <v>265.5</v>
      </c>
      <c r="V8" s="6" t="n">
        <v>207</v>
      </c>
      <c r="W8" s="8" t="n">
        <v>3</v>
      </c>
      <c r="X8" s="7" t="n">
        <f aca="false">IFERROR(S8/AH8,"")</f>
        <v>1.85142857142857</v>
      </c>
      <c r="Y8" s="9" t="n">
        <f aca="false">IFERROR(S8/AF8,"")</f>
        <v>0.345047923322684</v>
      </c>
      <c r="Z8" s="6" t="n">
        <v>13.7</v>
      </c>
      <c r="AA8" s="6" t="n">
        <v>18</v>
      </c>
      <c r="AB8" s="6" t="n">
        <v>28.34</v>
      </c>
      <c r="AC8" s="10" t="n">
        <v>0.412</v>
      </c>
      <c r="AD8" s="10" t="n">
        <v>0.059</v>
      </c>
      <c r="AE8" s="7" t="n">
        <v>0.607</v>
      </c>
      <c r="AF8" s="8" t="n">
        <v>939</v>
      </c>
      <c r="AG8" s="10" t="n">
        <v>0.852</v>
      </c>
      <c r="AH8" s="8" t="n">
        <v>175</v>
      </c>
      <c r="AI8" s="8" t="n">
        <v>172</v>
      </c>
      <c r="AJ8" s="6" t="n">
        <f aca="false">IFERROR(AI8/R8,"")</f>
        <v>10.1176470588235</v>
      </c>
      <c r="AK8" s="10" t="n">
        <v>0.3127</v>
      </c>
      <c r="AL8" s="10" t="n">
        <v>0.3784</v>
      </c>
      <c r="AM8" s="9" t="n">
        <v>0.7339</v>
      </c>
      <c r="AN8" s="8" t="n">
        <v>117</v>
      </c>
      <c r="AO8" s="10" t="n">
        <f aca="false">IFERROR(AN8/AI8,"")</f>
        <v>0.680232558139535</v>
      </c>
      <c r="AP8" s="8" t="n">
        <v>1401</v>
      </c>
      <c r="AQ8" s="7" t="n">
        <f aca="false">IFERROR(AP8/AI8,"")</f>
        <v>8.1453488372093</v>
      </c>
      <c r="AR8" s="6" t="n">
        <v>8.081</v>
      </c>
      <c r="AS8" s="7" t="n">
        <v>4.872</v>
      </c>
      <c r="AT8" s="7" t="n">
        <v>1.008</v>
      </c>
      <c r="AU8" s="7" t="n">
        <v>2.95000460509691</v>
      </c>
      <c r="AV8" s="7" t="n">
        <v>6.09633540372671</v>
      </c>
      <c r="AW8" s="7" t="n">
        <v>0.344467344587386</v>
      </c>
      <c r="AX8" s="10" t="n">
        <v>0.0581</v>
      </c>
      <c r="AY8" s="8" t="n">
        <v>3</v>
      </c>
      <c r="AZ8" s="6" t="n">
        <f aca="false">IFERROR(AY8/R8,"")</f>
        <v>0.176470588235294</v>
      </c>
      <c r="BA8" s="10" t="n">
        <v>0.0068</v>
      </c>
      <c r="BB8" s="8" t="n">
        <v>9</v>
      </c>
      <c r="BC8" s="7"/>
      <c r="BD8" s="7"/>
      <c r="BE8" s="7"/>
      <c r="BF8" s="8" t="n">
        <v>0</v>
      </c>
      <c r="BG8" s="7"/>
      <c r="BH8" s="6"/>
      <c r="BI8" s="7"/>
      <c r="BJ8" s="8" t="n">
        <v>36</v>
      </c>
      <c r="BK8" s="8" t="n">
        <v>21</v>
      </c>
      <c r="BL8" s="8" t="n">
        <v>9</v>
      </c>
      <c r="BM8" s="8" t="n">
        <v>11</v>
      </c>
      <c r="BN8" s="7" t="n">
        <v>12.32</v>
      </c>
      <c r="BO8" s="7" t="n">
        <f aca="false">IFERROR(BM8-BN8,"")</f>
        <v>-1.32</v>
      </c>
      <c r="BP8" s="9" t="n">
        <f aca="false">IFERROR(BM8/AH8,"")</f>
        <v>0.0628571428571429</v>
      </c>
      <c r="BQ8" s="6" t="n">
        <v>46.7</v>
      </c>
      <c r="BR8" s="6" t="n">
        <v>50</v>
      </c>
      <c r="BS8" s="6" t="n">
        <v>44.8</v>
      </c>
      <c r="BT8" s="7" t="n">
        <v>2.796</v>
      </c>
      <c r="BU8" s="10" t="n">
        <v>0.1795</v>
      </c>
      <c r="BV8" s="10" t="n">
        <v>0.645161290322581</v>
      </c>
      <c r="BW8" s="7" t="n">
        <v>2.844</v>
      </c>
      <c r="BX8" s="10" t="n">
        <v>0.2646</v>
      </c>
      <c r="BY8" s="10" t="n">
        <v>0.0608</v>
      </c>
      <c r="BZ8" s="7" t="n">
        <v>2.297</v>
      </c>
      <c r="CA8" s="10" t="n">
        <v>0.521</v>
      </c>
      <c r="CB8" s="8" t="n">
        <v>3</v>
      </c>
      <c r="CC8" s="10" t="n">
        <v>-0.0456</v>
      </c>
      <c r="CD8" s="10" t="n">
        <v>0.5469</v>
      </c>
      <c r="CE8" s="6" t="n">
        <v>61.82</v>
      </c>
      <c r="CF8" s="6" t="n">
        <v>38</v>
      </c>
      <c r="CG8" s="7" t="n">
        <v>3.82</v>
      </c>
      <c r="CH8" s="6" t="n">
        <v>28.3</v>
      </c>
      <c r="CI8" s="9" t="n">
        <v>-0.0408</v>
      </c>
      <c r="CJ8" s="9" t="n">
        <v>0.1681</v>
      </c>
      <c r="CK8" s="8" t="n">
        <v>79</v>
      </c>
      <c r="CL8" s="10" t="n">
        <v>0.144</v>
      </c>
      <c r="CM8" s="8" t="n">
        <v>167</v>
      </c>
      <c r="CN8" s="10" t="n">
        <v>0.378</v>
      </c>
      <c r="CO8" s="8" t="n">
        <v>45</v>
      </c>
      <c r="CP8" s="7" t="n">
        <v>0.045</v>
      </c>
      <c r="CQ8" s="7" t="n">
        <v>0.001</v>
      </c>
      <c r="CR8" s="4" t="s">
        <v>102</v>
      </c>
      <c r="CS8" s="4"/>
    </row>
    <row r="9" customFormat="false" ht="15" hidden="false" customHeight="false" outlineLevel="0" collapsed="false">
      <c r="A9" s="3" t="n">
        <v>7</v>
      </c>
      <c r="B9" s="4" t="s">
        <v>118</v>
      </c>
      <c r="C9" s="5" t="s">
        <v>99</v>
      </c>
      <c r="D9" s="4" t="s">
        <v>119</v>
      </c>
      <c r="E9" s="4" t="s">
        <v>120</v>
      </c>
      <c r="F9" s="4" t="s">
        <v>99</v>
      </c>
      <c r="G9" s="3" t="n">
        <v>1</v>
      </c>
      <c r="H9" s="6" t="n">
        <v>27.4</v>
      </c>
      <c r="I9" s="3" t="n">
        <v>7</v>
      </c>
      <c r="J9" s="3" t="n">
        <v>14</v>
      </c>
      <c r="K9" s="7" t="n">
        <v>8.7</v>
      </c>
      <c r="L9" s="7" t="n">
        <v>1.63</v>
      </c>
      <c r="M9" s="8" t="n">
        <v>6</v>
      </c>
      <c r="N9" s="8" t="n">
        <v>16</v>
      </c>
      <c r="O9" s="7" t="n">
        <v>8.7</v>
      </c>
      <c r="P9" s="6" t="n">
        <v>99.4</v>
      </c>
      <c r="Q9" s="4" t="s">
        <v>120</v>
      </c>
      <c r="R9" s="8" t="n">
        <v>13</v>
      </c>
      <c r="S9" s="6" t="n">
        <v>200.9</v>
      </c>
      <c r="T9" s="7" t="n">
        <f aca="false">IFERROR(S9/R9,"")</f>
        <v>15.4538461538462</v>
      </c>
      <c r="U9" s="6" t="n">
        <v>163.4</v>
      </c>
      <c r="V9" s="6" t="n">
        <v>125.9</v>
      </c>
      <c r="W9" s="8" t="n">
        <v>22</v>
      </c>
      <c r="X9" s="7" t="n">
        <f aca="false">IFERROR(S9/AH9,"")</f>
        <v>1.70254237288136</v>
      </c>
      <c r="Y9" s="9" t="n">
        <f aca="false">IFERROR(S9/AF9,"")</f>
        <v>0.274453551912568</v>
      </c>
      <c r="Z9" s="6" t="n">
        <v>11.5</v>
      </c>
      <c r="AA9" s="6" t="n">
        <v>17.1</v>
      </c>
      <c r="AB9" s="6" t="n">
        <v>20.56</v>
      </c>
      <c r="AC9" s="10" t="n">
        <v>0.308</v>
      </c>
      <c r="AD9" s="10" t="n">
        <v>0.077</v>
      </c>
      <c r="AE9" s="7" t="n">
        <v>0.35</v>
      </c>
      <c r="AF9" s="8" t="n">
        <v>732</v>
      </c>
      <c r="AG9" s="10" t="n">
        <v>0.729</v>
      </c>
      <c r="AH9" s="8" t="n">
        <v>118</v>
      </c>
      <c r="AI9" s="8" t="n">
        <v>117</v>
      </c>
      <c r="AJ9" s="6" t="n">
        <f aca="false">IFERROR(AI9/R9,"")</f>
        <v>9</v>
      </c>
      <c r="AK9" s="10" t="n">
        <v>0.2527</v>
      </c>
      <c r="AL9" s="10" t="n">
        <v>0.3567</v>
      </c>
      <c r="AM9" s="9" t="n">
        <v>0.6287</v>
      </c>
      <c r="AN9" s="8" t="n">
        <v>75</v>
      </c>
      <c r="AO9" s="10" t="n">
        <f aca="false">IFERROR(AN9/AI9,"")</f>
        <v>0.641025641025641</v>
      </c>
      <c r="AP9" s="8" t="n">
        <v>1077</v>
      </c>
      <c r="AQ9" s="7" t="n">
        <f aca="false">IFERROR(AP9/AI9,"")</f>
        <v>9.2051282051282</v>
      </c>
      <c r="AR9" s="6" t="n">
        <v>11.991</v>
      </c>
      <c r="AS9" s="7" t="n">
        <v>4.307</v>
      </c>
      <c r="AT9" s="7" t="n">
        <v>0.768</v>
      </c>
      <c r="AU9" s="7" t="n">
        <v>2.77854083016514</v>
      </c>
      <c r="AV9" s="7" t="n">
        <v>6.13982608695652</v>
      </c>
      <c r="AW9" s="7" t="n">
        <v>0.497293742491963</v>
      </c>
      <c r="AX9" s="10" t="n">
        <v>0.0684</v>
      </c>
      <c r="AY9" s="8" t="n">
        <v>1</v>
      </c>
      <c r="AZ9" s="6" t="n">
        <f aca="false">IFERROR(AY9/R9,"")</f>
        <v>0.0769230769230769</v>
      </c>
      <c r="BA9" s="10" t="n">
        <v>0.0027</v>
      </c>
      <c r="BB9" s="8" t="n">
        <v>2</v>
      </c>
      <c r="BC9" s="7"/>
      <c r="BD9" s="7"/>
      <c r="BE9" s="7"/>
      <c r="BF9" s="8" t="n">
        <v>0</v>
      </c>
      <c r="BG9" s="7"/>
      <c r="BH9" s="6"/>
      <c r="BI9" s="7"/>
      <c r="BJ9" s="8" t="n">
        <v>17</v>
      </c>
      <c r="BK9" s="8" t="n">
        <v>7</v>
      </c>
      <c r="BL9" s="8" t="n">
        <v>4</v>
      </c>
      <c r="BM9" s="8" t="n">
        <v>3</v>
      </c>
      <c r="BN9" s="7" t="n">
        <v>6.13</v>
      </c>
      <c r="BO9" s="7" t="n">
        <f aca="false">IFERROR(BM9-BN9,"")</f>
        <v>-3.13</v>
      </c>
      <c r="BP9" s="9" t="n">
        <f aca="false">IFERROR(BM9/AH9,"")</f>
        <v>0.0254237288135593</v>
      </c>
      <c r="BQ9" s="6" t="n">
        <v>65.1</v>
      </c>
      <c r="BR9" s="6" t="n">
        <v>61.6</v>
      </c>
      <c r="BS9" s="6" t="n">
        <v>62.2</v>
      </c>
      <c r="BT9" s="7" t="n">
        <v>3.074</v>
      </c>
      <c r="BU9" s="10" t="n">
        <v>0.1352</v>
      </c>
      <c r="BV9" s="10" t="n">
        <v>0.705882352941177</v>
      </c>
      <c r="BW9" s="7" t="n">
        <v>2.563</v>
      </c>
      <c r="BX9" s="10" t="n">
        <v>0.2356</v>
      </c>
      <c r="BY9" s="10" t="n">
        <v>0.044</v>
      </c>
      <c r="BZ9" s="7" t="n">
        <v>2.396</v>
      </c>
      <c r="CA9" s="10" t="n">
        <v>0.848</v>
      </c>
      <c r="CB9" s="8" t="n">
        <v>5</v>
      </c>
      <c r="CC9" s="10" t="n">
        <v>-0.0098</v>
      </c>
      <c r="CD9" s="10" t="n">
        <v>0.5628</v>
      </c>
      <c r="CE9" s="6" t="n">
        <v>64.94</v>
      </c>
      <c r="CF9" s="6" t="n">
        <v>36</v>
      </c>
      <c r="CG9" s="7" t="n">
        <v>3.82</v>
      </c>
      <c r="CH9" s="6" t="n">
        <v>27.7</v>
      </c>
      <c r="CI9" s="9" t="n">
        <v>0.005</v>
      </c>
      <c r="CJ9" s="9" t="n">
        <v>0.1615</v>
      </c>
      <c r="CK9" s="8" t="n">
        <v>34</v>
      </c>
      <c r="CL9" s="10" t="n">
        <v>0.056</v>
      </c>
      <c r="CM9" s="8" t="n">
        <v>0</v>
      </c>
      <c r="CN9" s="10" t="n">
        <v>0</v>
      </c>
      <c r="CO9" s="8" t="n">
        <v>4</v>
      </c>
      <c r="CP9" s="7" t="n">
        <v>-0.752</v>
      </c>
      <c r="CQ9" s="7" t="n">
        <v>-0.226</v>
      </c>
      <c r="CR9" s="4" t="s">
        <v>121</v>
      </c>
      <c r="CS9" s="4"/>
    </row>
    <row r="10" customFormat="false" ht="15" hidden="false" customHeight="false" outlineLevel="0" collapsed="false">
      <c r="A10" s="3" t="n">
        <v>8</v>
      </c>
      <c r="B10" s="4" t="s">
        <v>122</v>
      </c>
      <c r="C10" s="11" t="s">
        <v>104</v>
      </c>
      <c r="D10" s="4" t="s">
        <v>123</v>
      </c>
      <c r="E10" s="4" t="s">
        <v>124</v>
      </c>
      <c r="F10" s="4" t="s">
        <v>104</v>
      </c>
      <c r="G10" s="3" t="n">
        <v>1</v>
      </c>
      <c r="H10" s="6" t="n">
        <v>30.2</v>
      </c>
      <c r="I10" s="3" t="n">
        <v>10</v>
      </c>
      <c r="J10" s="3" t="n">
        <v>8</v>
      </c>
      <c r="K10" s="7" t="n">
        <v>9.29</v>
      </c>
      <c r="L10" s="7" t="n">
        <v>5.12</v>
      </c>
      <c r="M10" s="8" t="n">
        <v>2</v>
      </c>
      <c r="N10" s="8" t="n">
        <v>31</v>
      </c>
      <c r="O10" s="7" t="n">
        <v>9.29</v>
      </c>
      <c r="P10" s="6" t="n">
        <v>99.5</v>
      </c>
      <c r="Q10" s="4" t="s">
        <v>124</v>
      </c>
      <c r="R10" s="8" t="n">
        <v>17</v>
      </c>
      <c r="S10" s="6" t="n">
        <v>416.6</v>
      </c>
      <c r="T10" s="7" t="n">
        <f aca="false">IFERROR(S10/R10,"")</f>
        <v>24.5058823529412</v>
      </c>
      <c r="U10" s="6" t="n">
        <v>365.6</v>
      </c>
      <c r="V10" s="6" t="n">
        <v>314.6</v>
      </c>
      <c r="W10" s="8" t="n">
        <v>1</v>
      </c>
      <c r="X10" s="7" t="n">
        <f aca="false">IFERROR(S10/AH10,"")</f>
        <v>0.946818181818182</v>
      </c>
      <c r="Y10" s="9" t="n">
        <f aca="false">IFERROR(S10/AF10,"")</f>
        <v>0.446995708154506</v>
      </c>
      <c r="Z10" s="6" t="n">
        <v>17.6</v>
      </c>
      <c r="AA10" s="6" t="n">
        <v>24.1</v>
      </c>
      <c r="AB10" s="6" t="n">
        <v>33.62</v>
      </c>
      <c r="AC10" s="10" t="n">
        <v>0.824</v>
      </c>
      <c r="AD10" s="10" t="n">
        <v>0</v>
      </c>
      <c r="AE10" s="7" t="n">
        <v>0.341</v>
      </c>
      <c r="AF10" s="8" t="n">
        <v>932</v>
      </c>
      <c r="AG10" s="10" t="n">
        <v>0.831</v>
      </c>
      <c r="AH10" s="8" t="n">
        <v>440</v>
      </c>
      <c r="AI10" s="8" t="n">
        <v>129</v>
      </c>
      <c r="AJ10" s="6" t="n">
        <f aca="false">IFERROR(AI10/R10,"")</f>
        <v>7.58823529411765</v>
      </c>
      <c r="AK10" s="10" t="n">
        <v>0.2345</v>
      </c>
      <c r="AL10" s="10" t="n">
        <v>0.0811</v>
      </c>
      <c r="AM10" s="9" t="n">
        <v>0.4085</v>
      </c>
      <c r="AN10" s="8" t="n">
        <v>102</v>
      </c>
      <c r="AO10" s="10" t="n">
        <f aca="false">IFERROR(AN10/AI10,"")</f>
        <v>0.790697674418605</v>
      </c>
      <c r="AP10" s="8" t="n">
        <v>924</v>
      </c>
      <c r="AQ10" s="7" t="n">
        <f aca="false">IFERROR(AP10/AI10,"")</f>
        <v>7.16279069767442</v>
      </c>
      <c r="AR10" s="6" t="n">
        <v>2.597</v>
      </c>
      <c r="AS10" s="7" t="n">
        <v>7.059</v>
      </c>
      <c r="AT10" s="7" t="n">
        <v>2.758</v>
      </c>
      <c r="AU10" s="7"/>
      <c r="AV10" s="7"/>
      <c r="AW10" s="7"/>
      <c r="AX10" s="10" t="n">
        <v>0.0543</v>
      </c>
      <c r="AY10" s="8" t="n">
        <v>311</v>
      </c>
      <c r="AZ10" s="6" t="n">
        <f aca="false">IFERROR(AY10/R10,"")</f>
        <v>18.2941176470588</v>
      </c>
      <c r="BA10" s="10" t="n">
        <v>0.6466</v>
      </c>
      <c r="BB10" s="8" t="n">
        <v>1202</v>
      </c>
      <c r="BC10" s="7" t="n">
        <f aca="false">IFERROR(BB10/AY10,"")</f>
        <v>3.86495176848875</v>
      </c>
      <c r="BD10" s="7" t="n">
        <v>2.341</v>
      </c>
      <c r="BE10" s="7" t="n">
        <v>1.524</v>
      </c>
      <c r="BF10" s="8" t="n">
        <v>10</v>
      </c>
      <c r="BG10" s="7" t="n">
        <v>-0.544367599275668</v>
      </c>
      <c r="BH10" s="6" t="n">
        <v>29.2604501607717</v>
      </c>
      <c r="BI10" s="7" t="n">
        <v>4.40319467554077</v>
      </c>
      <c r="BJ10" s="8" t="n">
        <v>100</v>
      </c>
      <c r="BK10" s="8" t="n">
        <v>50</v>
      </c>
      <c r="BL10" s="8" t="n">
        <v>24</v>
      </c>
      <c r="BM10" s="8" t="n">
        <v>17</v>
      </c>
      <c r="BN10" s="7" t="n">
        <v>20.98</v>
      </c>
      <c r="BO10" s="7" t="n">
        <f aca="false">IFERROR(BM10-BN10,"")</f>
        <v>-3.98</v>
      </c>
      <c r="BP10" s="9" t="n">
        <f aca="false">IFERROR(BM10/AH10,"")</f>
        <v>0.0386363636363636</v>
      </c>
      <c r="BQ10" s="6" t="n">
        <v>63.3</v>
      </c>
      <c r="BR10" s="6" t="n">
        <v>46.4</v>
      </c>
      <c r="BS10" s="6" t="n">
        <v>74.5</v>
      </c>
      <c r="BT10" s="7" t="n">
        <v>2.906</v>
      </c>
      <c r="BU10" s="10" t="n">
        <v>0.1848</v>
      </c>
      <c r="BV10" s="10" t="n">
        <v>0.655172413793103</v>
      </c>
      <c r="BW10" s="7" t="n">
        <v>2.349</v>
      </c>
      <c r="BX10" s="10" t="n">
        <v>0.2125</v>
      </c>
      <c r="BY10" s="10" t="n">
        <v>0.0428</v>
      </c>
      <c r="BZ10" s="7" t="n">
        <v>2.547</v>
      </c>
      <c r="CA10" s="10" t="n">
        <v>0.852</v>
      </c>
      <c r="CB10" s="8" t="n">
        <v>4</v>
      </c>
      <c r="CC10" s="10" t="n">
        <v>-0.0088</v>
      </c>
      <c r="CD10" s="10" t="n">
        <v>0.5521</v>
      </c>
      <c r="CE10" s="6" t="n">
        <v>62.65</v>
      </c>
      <c r="CF10" s="6" t="n">
        <v>38</v>
      </c>
      <c r="CG10" s="7" t="n">
        <v>3.88</v>
      </c>
      <c r="CH10" s="6" t="n">
        <v>25.7</v>
      </c>
      <c r="CI10" s="9" t="n">
        <v>-0.0044</v>
      </c>
      <c r="CJ10" s="9" t="n">
        <v>0.1587</v>
      </c>
      <c r="CK10" s="8" t="n">
        <v>170</v>
      </c>
      <c r="CL10" s="10" t="n">
        <v>0.309</v>
      </c>
      <c r="CM10" s="8" t="n">
        <v>94</v>
      </c>
      <c r="CN10" s="10" t="n">
        <v>0.195</v>
      </c>
      <c r="CO10" s="8" t="n">
        <v>38</v>
      </c>
      <c r="CP10" s="7" t="n">
        <v>0.098</v>
      </c>
      <c r="CQ10" s="7" t="n">
        <v>0.097</v>
      </c>
      <c r="CR10" s="4" t="s">
        <v>102</v>
      </c>
      <c r="CS10" s="4"/>
    </row>
    <row r="11" customFormat="false" ht="15" hidden="false" customHeight="false" outlineLevel="0" collapsed="false">
      <c r="A11" s="3" t="n">
        <v>9</v>
      </c>
      <c r="B11" s="4" t="s">
        <v>125</v>
      </c>
      <c r="C11" s="5" t="s">
        <v>99</v>
      </c>
      <c r="D11" s="4" t="s">
        <v>126</v>
      </c>
      <c r="E11" s="4" t="s">
        <v>127</v>
      </c>
      <c r="F11" s="4" t="s">
        <v>99</v>
      </c>
      <c r="G11" s="3" t="n">
        <v>1</v>
      </c>
      <c r="H11" s="6" t="n">
        <v>27.2</v>
      </c>
      <c r="I11" s="3" t="n">
        <v>7</v>
      </c>
      <c r="J11" s="3" t="n">
        <v>6</v>
      </c>
      <c r="K11" s="7" t="n">
        <v>9.58</v>
      </c>
      <c r="L11" s="7" t="n">
        <v>2.63</v>
      </c>
      <c r="M11" s="8" t="n">
        <v>5</v>
      </c>
      <c r="N11" s="8" t="n">
        <v>20</v>
      </c>
      <c r="O11" s="7" t="n">
        <v>9.58</v>
      </c>
      <c r="P11" s="6" t="n">
        <v>99.4</v>
      </c>
      <c r="Q11" s="4" t="s">
        <v>127</v>
      </c>
      <c r="R11" s="8" t="n">
        <v>17</v>
      </c>
      <c r="S11" s="6" t="n">
        <v>201.5</v>
      </c>
      <c r="T11" s="7" t="n">
        <f aca="false">IFERROR(S11/R11,"")</f>
        <v>11.8529411764706</v>
      </c>
      <c r="U11" s="6" t="n">
        <v>159.5</v>
      </c>
      <c r="V11" s="6" t="n">
        <v>117.5</v>
      </c>
      <c r="W11" s="8" t="n">
        <v>21</v>
      </c>
      <c r="X11" s="7" t="n">
        <f aca="false">IFERROR(S11/AH11,"")</f>
        <v>1.40909090909091</v>
      </c>
      <c r="Y11" s="9" t="n">
        <f aca="false">IFERROR(S11/AF11,"")</f>
        <v>0.21413390010627</v>
      </c>
      <c r="Z11" s="6" t="n">
        <v>7.7</v>
      </c>
      <c r="AA11" s="6" t="n">
        <v>12.5</v>
      </c>
      <c r="AB11" s="6" t="n">
        <v>17.72</v>
      </c>
      <c r="AC11" s="10" t="n">
        <v>0.176</v>
      </c>
      <c r="AD11" s="10" t="n">
        <v>0</v>
      </c>
      <c r="AE11" s="7" t="n">
        <v>0.463</v>
      </c>
      <c r="AF11" s="8" t="n">
        <v>941</v>
      </c>
      <c r="AG11" s="10" t="n">
        <v>0.942</v>
      </c>
      <c r="AH11" s="8" t="n">
        <v>143</v>
      </c>
      <c r="AI11" s="8" t="n">
        <v>141</v>
      </c>
      <c r="AJ11" s="6" t="n">
        <f aca="false">IFERROR(AI11/R11,"")</f>
        <v>8.29411764705882</v>
      </c>
      <c r="AK11" s="10" t="n">
        <v>0.3013</v>
      </c>
      <c r="AL11" s="10" t="n">
        <v>0.3859</v>
      </c>
      <c r="AM11" s="9" t="n">
        <v>0.7221</v>
      </c>
      <c r="AN11" s="8" t="n">
        <v>84</v>
      </c>
      <c r="AO11" s="10" t="n">
        <f aca="false">IFERROR(AN11/AI11,"")</f>
        <v>0.595744680851064</v>
      </c>
      <c r="AP11" s="8" t="n">
        <v>1048</v>
      </c>
      <c r="AQ11" s="7" t="n">
        <f aca="false">IFERROR(AP11/AI11,"")</f>
        <v>7.43262411347518</v>
      </c>
      <c r="AR11" s="6" t="n">
        <v>10.199</v>
      </c>
      <c r="AS11" s="7" t="n">
        <v>5.369</v>
      </c>
      <c r="AT11" s="7" t="n">
        <v>0.729</v>
      </c>
      <c r="AU11" s="7" t="n">
        <v>3.23303550437762</v>
      </c>
      <c r="AV11" s="7" t="n">
        <v>5.84856060606061</v>
      </c>
      <c r="AW11" s="7" t="n">
        <v>0.778681667836201</v>
      </c>
      <c r="AX11" s="10" t="n">
        <v>0.0213</v>
      </c>
      <c r="AY11" s="8" t="n">
        <v>2</v>
      </c>
      <c r="AZ11" s="6" t="n">
        <f aca="false">IFERROR(AY11/R11,"")</f>
        <v>0.117647058823529</v>
      </c>
      <c r="BA11" s="10" t="n">
        <v>0.0049</v>
      </c>
      <c r="BB11" s="8" t="n">
        <v>7</v>
      </c>
      <c r="BC11" s="7"/>
      <c r="BD11" s="7"/>
      <c r="BE11" s="7"/>
      <c r="BF11" s="8" t="n">
        <v>0</v>
      </c>
      <c r="BG11" s="7"/>
      <c r="BH11" s="6"/>
      <c r="BI11" s="7"/>
      <c r="BJ11" s="8" t="n">
        <v>18</v>
      </c>
      <c r="BK11" s="8" t="n">
        <v>10</v>
      </c>
      <c r="BL11" s="8" t="n">
        <v>5</v>
      </c>
      <c r="BM11" s="8" t="n">
        <v>2</v>
      </c>
      <c r="BN11" s="7" t="n">
        <v>7.03</v>
      </c>
      <c r="BO11" s="7" t="n">
        <f aca="false">IFERROR(BM11-BN11,"")</f>
        <v>-5.03</v>
      </c>
      <c r="BP11" s="9" t="n">
        <f aca="false">IFERROR(BM11/AH11,"")</f>
        <v>0.013986013986014</v>
      </c>
      <c r="BQ11" s="6" t="n">
        <v>36</v>
      </c>
      <c r="BR11" s="6" t="n">
        <v>51.8</v>
      </c>
      <c r="BS11" s="6" t="n">
        <v>26.2</v>
      </c>
      <c r="BT11" s="7" t="n">
        <v>2.961</v>
      </c>
      <c r="BU11" s="10" t="n">
        <v>0.1751</v>
      </c>
      <c r="BV11" s="10" t="n">
        <v>0.7</v>
      </c>
      <c r="BW11" s="7" t="n">
        <v>2.441</v>
      </c>
      <c r="BX11" s="10" t="n">
        <v>0.3037</v>
      </c>
      <c r="BY11" s="10" t="n">
        <v>0.1028</v>
      </c>
      <c r="BZ11" s="7" t="n">
        <v>2.429</v>
      </c>
      <c r="CA11" s="10" t="n">
        <v>0.819</v>
      </c>
      <c r="CB11" s="8" t="n">
        <v>5</v>
      </c>
      <c r="CC11" s="10" t="n">
        <v>-0.012</v>
      </c>
      <c r="CD11" s="10" t="n">
        <v>0.5369</v>
      </c>
      <c r="CE11" s="6" t="n">
        <v>55.47</v>
      </c>
      <c r="CF11" s="6" t="n">
        <v>39</v>
      </c>
      <c r="CG11" s="7" t="n">
        <v>3.12</v>
      </c>
      <c r="CH11" s="6" t="n">
        <v>20.2</v>
      </c>
      <c r="CI11" s="9" t="n">
        <v>-0.0149</v>
      </c>
      <c r="CJ11" s="9" t="n">
        <v>-0.1883</v>
      </c>
      <c r="CK11" s="8" t="n">
        <v>82</v>
      </c>
      <c r="CL11" s="10" t="n">
        <v>0.175</v>
      </c>
      <c r="CM11" s="8" t="n">
        <v>24</v>
      </c>
      <c r="CN11" s="10" t="n">
        <v>0.059</v>
      </c>
      <c r="CO11" s="8" t="n">
        <v>17</v>
      </c>
      <c r="CP11" s="7" t="n">
        <v>-0.673</v>
      </c>
      <c r="CQ11" s="7" t="n">
        <v>-1.155</v>
      </c>
      <c r="CR11" s="4" t="s">
        <v>121</v>
      </c>
      <c r="CS11" s="4"/>
    </row>
    <row r="12" customFormat="false" ht="15" hidden="false" customHeight="false" outlineLevel="0" collapsed="false">
      <c r="A12" s="3" t="n">
        <v>10</v>
      </c>
      <c r="B12" s="4" t="s">
        <v>128</v>
      </c>
      <c r="C12" s="11" t="s">
        <v>104</v>
      </c>
      <c r="D12" s="4" t="s">
        <v>129</v>
      </c>
      <c r="E12" s="4" t="s">
        <v>130</v>
      </c>
      <c r="F12" s="4" t="s">
        <v>104</v>
      </c>
      <c r="G12" s="3" t="n">
        <v>1</v>
      </c>
      <c r="H12" s="6" t="n">
        <v>27.6</v>
      </c>
      <c r="I12" s="3" t="n">
        <v>7</v>
      </c>
      <c r="J12" s="3" t="n">
        <v>13</v>
      </c>
      <c r="K12" s="7" t="n">
        <v>11.77</v>
      </c>
      <c r="L12" s="7" t="n">
        <v>5.03</v>
      </c>
      <c r="M12" s="8" t="n">
        <v>6</v>
      </c>
      <c r="N12" s="8" t="n">
        <v>33</v>
      </c>
      <c r="O12" s="7" t="n">
        <v>11.77</v>
      </c>
      <c r="P12" s="6" t="n">
        <v>99.4</v>
      </c>
      <c r="Q12" s="4" t="s">
        <v>130</v>
      </c>
      <c r="R12" s="8" t="n">
        <v>17</v>
      </c>
      <c r="S12" s="6" t="n">
        <v>362.3</v>
      </c>
      <c r="T12" s="7" t="n">
        <f aca="false">IFERROR(S12/R12,"")</f>
        <v>21.3117647058824</v>
      </c>
      <c r="U12" s="6" t="n">
        <v>339.3</v>
      </c>
      <c r="V12" s="6" t="n">
        <v>316.3</v>
      </c>
      <c r="W12" s="8" t="n">
        <v>4</v>
      </c>
      <c r="X12" s="7" t="n">
        <f aca="false">IFERROR(S12/AH12,"")</f>
        <v>0.958465608465609</v>
      </c>
      <c r="Y12" s="9" t="n">
        <f aca="false">IFERROR(S12/AF12,"")</f>
        <v>0.410305775764439</v>
      </c>
      <c r="Z12" s="6" t="n">
        <v>12.8</v>
      </c>
      <c r="AA12" s="6" t="n">
        <v>16.9</v>
      </c>
      <c r="AB12" s="6" t="n">
        <v>33.64</v>
      </c>
      <c r="AC12" s="10" t="n">
        <v>0.471</v>
      </c>
      <c r="AD12" s="10" t="n">
        <v>0</v>
      </c>
      <c r="AE12" s="7" t="n">
        <v>0.736</v>
      </c>
      <c r="AF12" s="8" t="n">
        <v>883</v>
      </c>
      <c r="AG12" s="10" t="n">
        <v>0.826</v>
      </c>
      <c r="AH12" s="8" t="n">
        <v>378</v>
      </c>
      <c r="AI12" s="8" t="n">
        <v>55</v>
      </c>
      <c r="AJ12" s="6" t="n">
        <f aca="false">IFERROR(AI12/R12,"")</f>
        <v>3.23529411764706</v>
      </c>
      <c r="AK12" s="10" t="n">
        <v>0.1038</v>
      </c>
      <c r="AL12" s="10" t="n">
        <v>-0.0105</v>
      </c>
      <c r="AM12" s="9" t="n">
        <v>0.1484</v>
      </c>
      <c r="AN12" s="8" t="n">
        <v>46</v>
      </c>
      <c r="AO12" s="10" t="n">
        <f aca="false">IFERROR(AN12/AI12,"")</f>
        <v>0.836363636363636</v>
      </c>
      <c r="AP12" s="8" t="n">
        <v>378</v>
      </c>
      <c r="AQ12" s="7" t="n">
        <f aca="false">IFERROR(AP12/AI12,"")</f>
        <v>6.87272727272727</v>
      </c>
      <c r="AR12" s="6" t="n">
        <v>-0.818</v>
      </c>
      <c r="AS12" s="7" t="n">
        <v>9.435</v>
      </c>
      <c r="AT12" s="7" t="n">
        <v>-8.4</v>
      </c>
      <c r="AU12" s="7"/>
      <c r="AV12" s="7"/>
      <c r="AW12" s="7"/>
      <c r="AX12" s="10" t="n">
        <v>0.0727</v>
      </c>
      <c r="AY12" s="8" t="n">
        <v>323</v>
      </c>
      <c r="AZ12" s="6" t="n">
        <f aca="false">IFERROR(AY12/R12,"")</f>
        <v>19</v>
      </c>
      <c r="BA12" s="10" t="n">
        <v>0.7308</v>
      </c>
      <c r="BB12" s="8" t="n">
        <v>1585</v>
      </c>
      <c r="BC12" s="7" t="n">
        <f aca="false">IFERROR(BB12/AY12,"")</f>
        <v>4.90712074303406</v>
      </c>
      <c r="BD12" s="7" t="n">
        <v>2.471</v>
      </c>
      <c r="BE12" s="7" t="n">
        <v>2.437</v>
      </c>
      <c r="BF12" s="8" t="n">
        <v>27</v>
      </c>
      <c r="BG12" s="7" t="n">
        <v>0.613373471242784</v>
      </c>
      <c r="BH12" s="6" t="n">
        <v>17.9566563467492</v>
      </c>
      <c r="BI12" s="7" t="n">
        <v>3.46654258675079</v>
      </c>
      <c r="BJ12" s="8" t="n">
        <v>74</v>
      </c>
      <c r="BK12" s="8" t="n">
        <v>40</v>
      </c>
      <c r="BL12" s="8" t="n">
        <v>23</v>
      </c>
      <c r="BM12" s="8" t="n">
        <v>20</v>
      </c>
      <c r="BN12" s="7" t="n">
        <v>15.33</v>
      </c>
      <c r="BO12" s="7" t="n">
        <f aca="false">IFERROR(BM12-BN12,"")</f>
        <v>4.67</v>
      </c>
      <c r="BP12" s="9" t="n">
        <f aca="false">IFERROR(BM12/AH12,"")</f>
        <v>0.0529100529100529</v>
      </c>
      <c r="BQ12" s="6" t="n">
        <v>60.3</v>
      </c>
      <c r="BR12" s="6" t="n">
        <v>57.7</v>
      </c>
      <c r="BS12" s="6" t="n">
        <v>58.5</v>
      </c>
      <c r="BT12" s="7" t="n">
        <v>3.072</v>
      </c>
      <c r="BU12" s="10" t="n">
        <v>0.1487</v>
      </c>
      <c r="BV12" s="10" t="n">
        <v>0.6875</v>
      </c>
      <c r="BW12" s="7" t="n">
        <v>2.428</v>
      </c>
      <c r="BX12" s="10" t="n">
        <v>0.2121</v>
      </c>
      <c r="BY12" s="10" t="n">
        <v>0.047</v>
      </c>
      <c r="BZ12" s="7" t="n">
        <v>2.237</v>
      </c>
      <c r="CA12" s="10" t="n">
        <v>0.832</v>
      </c>
      <c r="CB12" s="8" t="n">
        <v>5</v>
      </c>
      <c r="CC12" s="10" t="n">
        <v>-0.0091</v>
      </c>
      <c r="CD12" s="10" t="n">
        <v>0.5637</v>
      </c>
      <c r="CE12" s="6" t="n">
        <v>59.47</v>
      </c>
      <c r="CF12" s="6" t="n">
        <v>39</v>
      </c>
      <c r="CG12" s="7" t="n">
        <v>4.12</v>
      </c>
      <c r="CH12" s="6" t="n">
        <v>27.4</v>
      </c>
      <c r="CI12" s="9" t="n">
        <v>0.094</v>
      </c>
      <c r="CJ12" s="9" t="n">
        <v>0.0558</v>
      </c>
      <c r="CK12" s="8" t="n">
        <v>147</v>
      </c>
      <c r="CL12" s="10" t="n">
        <v>0.277</v>
      </c>
      <c r="CM12" s="8" t="n">
        <v>24</v>
      </c>
      <c r="CN12" s="10" t="n">
        <v>0.054</v>
      </c>
      <c r="CO12" s="8" t="n">
        <v>20</v>
      </c>
      <c r="CP12" s="7" t="n">
        <v>0.002</v>
      </c>
      <c r="CQ12" s="7" t="n">
        <v>0.001</v>
      </c>
      <c r="CR12" s="4" t="s">
        <v>102</v>
      </c>
      <c r="CS12" s="4"/>
    </row>
    <row r="13" customFormat="false" ht="15" hidden="false" customHeight="false" outlineLevel="0" collapsed="false">
      <c r="A13" s="3" t="n">
        <v>11</v>
      </c>
      <c r="B13" s="4" t="s">
        <v>131</v>
      </c>
      <c r="C13" s="5" t="s">
        <v>99</v>
      </c>
      <c r="D13" s="4" t="s">
        <v>132</v>
      </c>
      <c r="E13" s="4" t="s">
        <v>112</v>
      </c>
      <c r="F13" s="4" t="s">
        <v>99</v>
      </c>
      <c r="G13" s="3" t="n">
        <v>1</v>
      </c>
      <c r="H13" s="6" t="n">
        <v>25.1</v>
      </c>
      <c r="I13" s="3" t="n">
        <v>5</v>
      </c>
      <c r="J13" s="3" t="n">
        <v>11</v>
      </c>
      <c r="K13" s="7" t="n">
        <v>12.35</v>
      </c>
      <c r="L13" s="7" t="n">
        <v>3.39</v>
      </c>
      <c r="M13" s="8" t="n">
        <v>8</v>
      </c>
      <c r="N13" s="8" t="n">
        <v>26</v>
      </c>
      <c r="O13" s="7" t="n">
        <v>12.35</v>
      </c>
      <c r="P13" s="6" t="n">
        <v>99.1</v>
      </c>
      <c r="Q13" s="4" t="s">
        <v>112</v>
      </c>
      <c r="R13" s="8" t="n">
        <v>12</v>
      </c>
      <c r="S13" s="6" t="n">
        <v>201.9</v>
      </c>
      <c r="T13" s="7" t="n">
        <f aca="false">IFERROR(S13/R13,"")</f>
        <v>16.825</v>
      </c>
      <c r="U13" s="6" t="n">
        <v>167.9</v>
      </c>
      <c r="V13" s="6" t="n">
        <v>133.9</v>
      </c>
      <c r="W13" s="8" t="n">
        <v>19</v>
      </c>
      <c r="X13" s="7" t="n">
        <f aca="false">IFERROR(S13/AH13,"")</f>
        <v>1.80267857142857</v>
      </c>
      <c r="Y13" s="9" t="n">
        <f aca="false">IFERROR(S13/AF13,"")</f>
        <v>0.284767277856135</v>
      </c>
      <c r="Z13" s="6" t="n">
        <v>7.62</v>
      </c>
      <c r="AA13" s="6" t="n">
        <v>15.65</v>
      </c>
      <c r="AB13" s="6" t="n">
        <v>27.38</v>
      </c>
      <c r="AC13" s="10" t="n">
        <v>0.5</v>
      </c>
      <c r="AD13" s="10" t="n">
        <v>0.083</v>
      </c>
      <c r="AE13" s="7" t="n">
        <v>0.732</v>
      </c>
      <c r="AF13" s="8" t="n">
        <v>709</v>
      </c>
      <c r="AG13" s="10" t="n">
        <v>0.907</v>
      </c>
      <c r="AH13" s="8" t="n">
        <v>112</v>
      </c>
      <c r="AI13" s="8" t="n">
        <v>112</v>
      </c>
      <c r="AJ13" s="6" t="n">
        <f aca="false">IFERROR(AI13/R13,"")</f>
        <v>9.33333333333333</v>
      </c>
      <c r="AK13" s="10" t="n">
        <v>0.3035</v>
      </c>
      <c r="AL13" s="10" t="n">
        <v>0.4014</v>
      </c>
      <c r="AM13" s="9" t="n">
        <v>0.7362</v>
      </c>
      <c r="AN13" s="8" t="n">
        <v>68</v>
      </c>
      <c r="AO13" s="10" t="n">
        <f aca="false">IFERROR(AN13/AI13,"")</f>
        <v>0.607142857142857</v>
      </c>
      <c r="AP13" s="8" t="n">
        <v>919</v>
      </c>
      <c r="AQ13" s="7" t="n">
        <f aca="false">IFERROR(AP13/AI13,"")</f>
        <v>8.20535714285714</v>
      </c>
      <c r="AR13" s="6" t="n">
        <v>10.902</v>
      </c>
      <c r="AS13" s="7" t="n">
        <v>3.368</v>
      </c>
      <c r="AT13" s="7" t="n">
        <v>0.753</v>
      </c>
      <c r="AU13" s="7" t="n">
        <v>2.65906762866908</v>
      </c>
      <c r="AV13" s="7" t="n">
        <v>5.78305555555556</v>
      </c>
      <c r="AW13" s="7" t="n">
        <v>0.644629873771899</v>
      </c>
      <c r="AX13" s="10" t="n">
        <v>0.0089</v>
      </c>
      <c r="AY13" s="8" t="n">
        <v>0</v>
      </c>
      <c r="AZ13" s="6" t="n">
        <f aca="false">IFERROR(AY13/R13,"")</f>
        <v>0</v>
      </c>
      <c r="BA13" s="10" t="n">
        <v>0</v>
      </c>
      <c r="BB13" s="8" t="n">
        <v>0</v>
      </c>
      <c r="BC13" s="7"/>
      <c r="BD13" s="7"/>
      <c r="BE13" s="7"/>
      <c r="BF13" s="8"/>
      <c r="BG13" s="7"/>
      <c r="BH13" s="6"/>
      <c r="BI13" s="7"/>
      <c r="BJ13" s="8" t="n">
        <v>15</v>
      </c>
      <c r="BK13" s="8" t="n">
        <v>8</v>
      </c>
      <c r="BL13" s="8" t="n">
        <v>5</v>
      </c>
      <c r="BM13" s="8" t="n">
        <v>7</v>
      </c>
      <c r="BN13" s="7" t="n">
        <v>6.14</v>
      </c>
      <c r="BO13" s="7" t="n">
        <f aca="false">IFERROR(BM13-BN13,"")</f>
        <v>0.86</v>
      </c>
      <c r="BP13" s="9" t="n">
        <f aca="false">IFERROR(BM13/AH13,"")</f>
        <v>0.0625</v>
      </c>
      <c r="BQ13" s="6" t="n">
        <v>62.4</v>
      </c>
      <c r="BR13" s="6" t="n">
        <v>52.7</v>
      </c>
      <c r="BS13" s="6" t="n">
        <v>66.9</v>
      </c>
      <c r="BT13" s="7" t="n">
        <v>3.071</v>
      </c>
      <c r="BU13" s="10" t="n">
        <v>0.1627</v>
      </c>
      <c r="BV13" s="10" t="n">
        <v>0.523809523809524</v>
      </c>
      <c r="BW13" s="7" t="n">
        <v>2.522</v>
      </c>
      <c r="BX13" s="10" t="n">
        <v>0.2037</v>
      </c>
      <c r="BY13" s="10" t="n">
        <v>0.0494</v>
      </c>
      <c r="BZ13" s="7" t="n">
        <v>2.4</v>
      </c>
      <c r="CA13" s="10" t="n">
        <v>0.798</v>
      </c>
      <c r="CB13" s="8" t="n">
        <v>4</v>
      </c>
      <c r="CC13" s="10" t="n">
        <v>-0.0621</v>
      </c>
      <c r="CD13" s="10" t="n">
        <v>0.549</v>
      </c>
      <c r="CE13" s="6" t="n">
        <v>60.94</v>
      </c>
      <c r="CF13" s="6" t="n">
        <v>38</v>
      </c>
      <c r="CG13" s="7" t="n">
        <v>3.12</v>
      </c>
      <c r="CH13" s="6" t="n">
        <v>20.8</v>
      </c>
      <c r="CI13" s="9" t="n">
        <v>-0.0314</v>
      </c>
      <c r="CJ13" s="9" t="n">
        <v>-0.0132</v>
      </c>
      <c r="CK13" s="8" t="n">
        <v>151</v>
      </c>
      <c r="CL13" s="10" t="n">
        <v>0.291</v>
      </c>
      <c r="CM13" s="8" t="n">
        <v>160</v>
      </c>
      <c r="CN13" s="10" t="n">
        <v>0.335</v>
      </c>
      <c r="CO13" s="8" t="n">
        <v>49</v>
      </c>
      <c r="CP13" s="7" t="n">
        <v>-0.55</v>
      </c>
      <c r="CQ13" s="7" t="n">
        <v>-0.024</v>
      </c>
      <c r="CR13" s="4" t="s">
        <v>121</v>
      </c>
      <c r="CS13" s="4"/>
    </row>
    <row r="14" customFormat="false" ht="15" hidden="false" customHeight="false" outlineLevel="0" collapsed="false">
      <c r="A14" s="3" t="n">
        <v>12</v>
      </c>
      <c r="B14" s="4" t="s">
        <v>133</v>
      </c>
      <c r="C14" s="5" t="s">
        <v>99</v>
      </c>
      <c r="D14" s="4" t="s">
        <v>134</v>
      </c>
      <c r="E14" s="4" t="s">
        <v>135</v>
      </c>
      <c r="F14" s="4" t="s">
        <v>99</v>
      </c>
      <c r="G14" s="3" t="n">
        <v>1</v>
      </c>
      <c r="H14" s="6" t="n">
        <v>29.1</v>
      </c>
      <c r="I14" s="3" t="n">
        <v>8</v>
      </c>
      <c r="J14" s="3" t="n">
        <v>11</v>
      </c>
      <c r="K14" s="7" t="n">
        <v>14.71</v>
      </c>
      <c r="L14" s="7" t="n">
        <v>5.48</v>
      </c>
      <c r="M14" s="8" t="n">
        <v>6</v>
      </c>
      <c r="N14" s="8" t="n">
        <v>35</v>
      </c>
      <c r="O14" s="7" t="n">
        <v>14.71</v>
      </c>
      <c r="P14" s="6" t="n">
        <v>99.3</v>
      </c>
      <c r="Q14" s="4" t="s">
        <v>136</v>
      </c>
      <c r="R14" s="8" t="n">
        <v>15</v>
      </c>
      <c r="S14" s="6" t="n">
        <v>220.3</v>
      </c>
      <c r="T14" s="7" t="n">
        <f aca="false">IFERROR(S14/R14,"")</f>
        <v>14.6866666666667</v>
      </c>
      <c r="U14" s="6" t="n">
        <v>181.3</v>
      </c>
      <c r="V14" s="6" t="n">
        <v>142.3</v>
      </c>
      <c r="W14" s="8" t="n">
        <v>11</v>
      </c>
      <c r="X14" s="7" t="n">
        <f aca="false">IFERROR(S14/AH14,"")</f>
        <v>1.82066115702479</v>
      </c>
      <c r="Y14" s="9" t="n">
        <f aca="false">IFERROR(S14/AF14,"")</f>
        <v>0.261328588374852</v>
      </c>
      <c r="Z14" s="6" t="n">
        <v>8.5</v>
      </c>
      <c r="AA14" s="6" t="n">
        <v>12.1</v>
      </c>
      <c r="AB14" s="6" t="n">
        <v>24.79</v>
      </c>
      <c r="AC14" s="10" t="n">
        <v>0.267</v>
      </c>
      <c r="AD14" s="10" t="n">
        <v>0.067</v>
      </c>
      <c r="AE14" s="7" t="n">
        <v>0.806</v>
      </c>
      <c r="AF14" s="8" t="n">
        <v>843</v>
      </c>
      <c r="AG14" s="10" t="n">
        <v>0.907</v>
      </c>
      <c r="AH14" s="8" t="n">
        <v>121</v>
      </c>
      <c r="AI14" s="8" t="n">
        <v>121</v>
      </c>
      <c r="AJ14" s="6" t="n">
        <f aca="false">IFERROR(AI14/R14,"")</f>
        <v>8.06666666666667</v>
      </c>
      <c r="AK14" s="10" t="n">
        <v>0.2951</v>
      </c>
      <c r="AL14" s="10" t="n">
        <v>0.3815</v>
      </c>
      <c r="AM14" s="9" t="n">
        <v>0.7097</v>
      </c>
      <c r="AN14" s="8" t="n">
        <v>78</v>
      </c>
      <c r="AO14" s="10" t="n">
        <f aca="false">IFERROR(AN14/AI14,"")</f>
        <v>0.644628099173554</v>
      </c>
      <c r="AP14" s="8" t="n">
        <v>1003</v>
      </c>
      <c r="AQ14" s="7" t="n">
        <f aca="false">IFERROR(AP14/AI14,"")</f>
        <v>8.28925619834711</v>
      </c>
      <c r="AR14" s="6" t="n">
        <v>11.777</v>
      </c>
      <c r="AS14" s="7" t="n">
        <v>3.436</v>
      </c>
      <c r="AT14" s="7" t="n">
        <v>0.704</v>
      </c>
      <c r="AU14" s="7" t="n">
        <v>2.24433043595344</v>
      </c>
      <c r="AV14" s="7" t="n">
        <v>5.74058823529412</v>
      </c>
      <c r="AW14" s="7" t="n">
        <v>1.06005524611829</v>
      </c>
      <c r="AX14" s="10" t="n">
        <v>0.0083</v>
      </c>
      <c r="AY14" s="8" t="n">
        <v>0</v>
      </c>
      <c r="AZ14" s="6" t="n">
        <f aca="false">IFERROR(AY14/R14,"")</f>
        <v>0</v>
      </c>
      <c r="BA14" s="10" t="n">
        <v>0</v>
      </c>
      <c r="BB14" s="8" t="n">
        <v>0</v>
      </c>
      <c r="BC14" s="7"/>
      <c r="BD14" s="7"/>
      <c r="BE14" s="7"/>
      <c r="BF14" s="8"/>
      <c r="BG14" s="7"/>
      <c r="BH14" s="6"/>
      <c r="BI14" s="7"/>
      <c r="BJ14" s="8" t="n">
        <v>13</v>
      </c>
      <c r="BK14" s="8" t="n">
        <v>5</v>
      </c>
      <c r="BL14" s="8" t="n">
        <v>2</v>
      </c>
      <c r="BM14" s="8" t="n">
        <v>7</v>
      </c>
      <c r="BN14" s="7" t="n">
        <v>4.61</v>
      </c>
      <c r="BO14" s="7" t="n">
        <f aca="false">IFERROR(BM14-BN14,"")</f>
        <v>2.39</v>
      </c>
      <c r="BP14" s="9" t="n">
        <f aca="false">IFERROR(BM14/AH14,"")</f>
        <v>0.0578512396694215</v>
      </c>
      <c r="BQ14" s="6" t="n">
        <v>41.6</v>
      </c>
      <c r="BR14" s="6" t="n">
        <v>43.3</v>
      </c>
      <c r="BS14" s="6" t="n">
        <v>43.5</v>
      </c>
      <c r="BT14" s="7" t="n">
        <v>2.802</v>
      </c>
      <c r="BU14" s="10" t="n">
        <v>0.1883</v>
      </c>
      <c r="BV14" s="10" t="n">
        <v>0.575757575757576</v>
      </c>
      <c r="BW14" s="7" t="n">
        <v>2.561</v>
      </c>
      <c r="BX14" s="10" t="n">
        <v>0.261</v>
      </c>
      <c r="BY14" s="10" t="n">
        <v>0.0789</v>
      </c>
      <c r="BZ14" s="7" t="n">
        <v>2.406</v>
      </c>
      <c r="CA14" s="10" t="n">
        <v>0.533</v>
      </c>
      <c r="CB14" s="8" t="n">
        <v>3</v>
      </c>
      <c r="CC14" s="10" t="n">
        <v>0.0242</v>
      </c>
      <c r="CD14" s="10" t="n">
        <v>0.5691</v>
      </c>
      <c r="CE14" s="6" t="n">
        <v>59.82</v>
      </c>
      <c r="CF14" s="6" t="n">
        <v>38</v>
      </c>
      <c r="CG14" s="7" t="n">
        <v>3.76</v>
      </c>
      <c r="CH14" s="6" t="n">
        <v>28.8</v>
      </c>
      <c r="CI14" s="9" t="n">
        <v>0.0077</v>
      </c>
      <c r="CJ14" s="9" t="n">
        <v>0.2873</v>
      </c>
      <c r="CK14" s="8" t="n">
        <v>128</v>
      </c>
      <c r="CL14" s="10" t="n">
        <v>0.266</v>
      </c>
      <c r="CM14" s="8" t="n">
        <v>10</v>
      </c>
      <c r="CN14" s="10" t="n">
        <v>0.02</v>
      </c>
      <c r="CO14" s="8" t="n">
        <v>17</v>
      </c>
      <c r="CP14" s="7" t="n">
        <v>-0.164</v>
      </c>
      <c r="CQ14" s="7" t="n">
        <v>-0.208</v>
      </c>
      <c r="CR14" s="4" t="s">
        <v>102</v>
      </c>
      <c r="CS14" s="4"/>
    </row>
    <row r="15" customFormat="false" ht="15" hidden="false" customHeight="false" outlineLevel="0" collapsed="false">
      <c r="A15" s="3" t="n">
        <v>13</v>
      </c>
      <c r="B15" s="4" t="s">
        <v>137</v>
      </c>
      <c r="C15" s="5" t="s">
        <v>99</v>
      </c>
      <c r="D15" s="4" t="s">
        <v>138</v>
      </c>
      <c r="E15" s="4" t="s">
        <v>139</v>
      </c>
      <c r="F15" s="4" t="s">
        <v>99</v>
      </c>
      <c r="G15" s="3" t="n">
        <v>1</v>
      </c>
      <c r="H15" s="6" t="n">
        <v>27.4</v>
      </c>
      <c r="I15" s="3" t="n">
        <v>6</v>
      </c>
      <c r="J15" s="3" t="n">
        <v>8</v>
      </c>
      <c r="K15" s="7" t="n">
        <v>16.37</v>
      </c>
      <c r="L15" s="7" t="n">
        <v>4.14</v>
      </c>
      <c r="M15" s="8" t="n">
        <v>11</v>
      </c>
      <c r="N15" s="8" t="n">
        <v>36</v>
      </c>
      <c r="O15" s="7" t="n">
        <v>16.37</v>
      </c>
      <c r="P15" s="6" t="n">
        <v>99.4</v>
      </c>
      <c r="Q15" s="4" t="s">
        <v>139</v>
      </c>
      <c r="R15" s="8" t="n">
        <v>15</v>
      </c>
      <c r="S15" s="6" t="n">
        <v>226.2</v>
      </c>
      <c r="T15" s="7" t="n">
        <f aca="false">IFERROR(S15/R15,"")</f>
        <v>15.08</v>
      </c>
      <c r="U15" s="6" t="n">
        <v>190.7</v>
      </c>
      <c r="V15" s="6" t="n">
        <v>155.2</v>
      </c>
      <c r="W15" s="8" t="n">
        <v>8</v>
      </c>
      <c r="X15" s="7" t="n">
        <f aca="false">IFERROR(S15/AH15,"")</f>
        <v>1.85409836065574</v>
      </c>
      <c r="Y15" s="9" t="n">
        <f aca="false">IFERROR(S15/AF15,"")</f>
        <v>0.290745501285347</v>
      </c>
      <c r="Z15" s="6" t="n">
        <v>9.3</v>
      </c>
      <c r="AA15" s="6" t="n">
        <v>14.5</v>
      </c>
      <c r="AB15" s="6" t="n">
        <v>22.58</v>
      </c>
      <c r="AC15" s="10" t="n">
        <v>0.333</v>
      </c>
      <c r="AD15" s="10" t="n">
        <v>0</v>
      </c>
      <c r="AE15" s="7" t="n">
        <v>0.448</v>
      </c>
      <c r="AF15" s="8" t="n">
        <v>778</v>
      </c>
      <c r="AG15" s="10" t="n">
        <v>0.772</v>
      </c>
      <c r="AH15" s="8" t="n">
        <v>122</v>
      </c>
      <c r="AI15" s="8" t="n">
        <v>120</v>
      </c>
      <c r="AJ15" s="6" t="n">
        <f aca="false">IFERROR(AI15/R15,"")</f>
        <v>8</v>
      </c>
      <c r="AK15" s="10" t="n">
        <v>0.2464</v>
      </c>
      <c r="AL15" s="10" t="n">
        <v>0.3732</v>
      </c>
      <c r="AM15" s="9" t="n">
        <v>0.6308</v>
      </c>
      <c r="AN15" s="8" t="n">
        <v>71</v>
      </c>
      <c r="AO15" s="10" t="n">
        <f aca="false">IFERROR(AN15/AI15,"")</f>
        <v>0.591666666666667</v>
      </c>
      <c r="AP15" s="8" t="n">
        <v>1117</v>
      </c>
      <c r="AQ15" s="7" t="n">
        <f aca="false">IFERROR(AP15/AI15,"")</f>
        <v>9.30833333333333</v>
      </c>
      <c r="AR15" s="6" t="n">
        <v>12.742</v>
      </c>
      <c r="AS15" s="7" t="n">
        <v>4.563</v>
      </c>
      <c r="AT15" s="7" t="n">
        <v>0.731</v>
      </c>
      <c r="AU15" s="7" t="n">
        <v>2.31316660313172</v>
      </c>
      <c r="AV15" s="7" t="n">
        <v>4.87213675213675</v>
      </c>
      <c r="AW15" s="7" t="n">
        <v>1.68816949176868</v>
      </c>
      <c r="AX15" s="10" t="n">
        <v>0.0083</v>
      </c>
      <c r="AY15" s="8" t="n">
        <v>2</v>
      </c>
      <c r="AZ15" s="6" t="n">
        <f aca="false">IFERROR(AY15/R15,"")</f>
        <v>0.133333333333333</v>
      </c>
      <c r="BA15" s="10" t="n">
        <v>0.0049</v>
      </c>
      <c r="BB15" s="8" t="n">
        <v>15</v>
      </c>
      <c r="BC15" s="7"/>
      <c r="BD15" s="7"/>
      <c r="BE15" s="7"/>
      <c r="BF15" s="8" t="n">
        <v>0</v>
      </c>
      <c r="BG15" s="7"/>
      <c r="BH15" s="6"/>
      <c r="BI15" s="7"/>
      <c r="BJ15" s="8" t="n">
        <v>19</v>
      </c>
      <c r="BK15" s="8" t="n">
        <v>10</v>
      </c>
      <c r="BL15" s="8" t="n">
        <v>7</v>
      </c>
      <c r="BM15" s="8" t="n">
        <v>7</v>
      </c>
      <c r="BN15" s="7" t="n">
        <v>6.88</v>
      </c>
      <c r="BO15" s="7" t="n">
        <f aca="false">IFERROR(BM15-BN15,"")</f>
        <v>0.12</v>
      </c>
      <c r="BP15" s="9" t="n">
        <f aca="false">IFERROR(BM15/AH15,"")</f>
        <v>0.0573770491803279</v>
      </c>
      <c r="BQ15" s="6" t="n">
        <v>45.8</v>
      </c>
      <c r="BR15" s="6" t="n">
        <v>34.1</v>
      </c>
      <c r="BS15" s="6" t="n">
        <v>59.3</v>
      </c>
      <c r="BT15" s="7" t="n">
        <v>2.812</v>
      </c>
      <c r="BU15" s="10" t="n">
        <v>0.1937</v>
      </c>
      <c r="BV15" s="10" t="n">
        <v>0.485714285714286</v>
      </c>
      <c r="BW15" s="7" t="n">
        <v>2.099</v>
      </c>
      <c r="BX15" s="10" t="n">
        <v>0.2216</v>
      </c>
      <c r="BY15" s="10" t="n">
        <v>0.0526</v>
      </c>
      <c r="BZ15" s="7" t="n">
        <v>2.345</v>
      </c>
      <c r="CA15" s="10" t="n">
        <v>0.713</v>
      </c>
      <c r="CB15" s="8" t="n">
        <v>2</v>
      </c>
      <c r="CC15" s="10" t="n">
        <v>-0.0098</v>
      </c>
      <c r="CD15" s="10" t="n">
        <v>0.5638</v>
      </c>
      <c r="CE15" s="6" t="n">
        <v>63.41</v>
      </c>
      <c r="CF15" s="6" t="n">
        <v>38</v>
      </c>
      <c r="CG15" s="7" t="n">
        <v>3.41</v>
      </c>
      <c r="CH15" s="6" t="n">
        <v>23.8</v>
      </c>
      <c r="CI15" s="9" t="n">
        <v>-0.0779</v>
      </c>
      <c r="CJ15" s="9" t="n">
        <v>0.036</v>
      </c>
      <c r="CK15" s="8" t="n">
        <v>82</v>
      </c>
      <c r="CL15" s="10" t="n">
        <v>0.148</v>
      </c>
      <c r="CM15" s="8" t="n">
        <v>21</v>
      </c>
      <c r="CN15" s="10" t="n">
        <v>0.044</v>
      </c>
      <c r="CO15" s="8" t="n">
        <v>18</v>
      </c>
      <c r="CP15" s="7" t="n">
        <v>0.003</v>
      </c>
      <c r="CQ15" s="7" t="n">
        <v>-0.129</v>
      </c>
      <c r="CR15" s="4" t="s">
        <v>102</v>
      </c>
      <c r="CS15" s="4"/>
    </row>
    <row r="16" customFormat="false" ht="15" hidden="false" customHeight="false" outlineLevel="0" collapsed="false">
      <c r="A16" s="3" t="n">
        <v>14</v>
      </c>
      <c r="B16" s="4" t="s">
        <v>140</v>
      </c>
      <c r="C16" s="11" t="s">
        <v>104</v>
      </c>
      <c r="D16" s="4" t="s">
        <v>141</v>
      </c>
      <c r="E16" s="4" t="s">
        <v>142</v>
      </c>
      <c r="F16" s="4" t="s">
        <v>104</v>
      </c>
      <c r="G16" s="3" t="n">
        <v>1</v>
      </c>
      <c r="H16" s="6" t="n">
        <v>22.7</v>
      </c>
      <c r="I16" s="3" t="n">
        <v>2</v>
      </c>
      <c r="J16" s="3" t="n">
        <v>13</v>
      </c>
      <c r="K16" s="7" t="n">
        <v>17.07</v>
      </c>
      <c r="L16" s="7" t="n">
        <v>5.84</v>
      </c>
      <c r="M16" s="8" t="n">
        <v>7</v>
      </c>
      <c r="N16" s="8" t="n">
        <v>39</v>
      </c>
      <c r="O16" s="7" t="n">
        <v>17.07</v>
      </c>
      <c r="P16" s="6" t="n">
        <v>99.3</v>
      </c>
      <c r="Q16" s="4" t="s">
        <v>142</v>
      </c>
      <c r="R16" s="8" t="n">
        <v>17</v>
      </c>
      <c r="S16" s="6" t="n">
        <v>245.1</v>
      </c>
      <c r="T16" s="7" t="n">
        <f aca="false">IFERROR(S16/R16,"")</f>
        <v>14.4176470588235</v>
      </c>
      <c r="U16" s="6" t="n">
        <v>217.6</v>
      </c>
      <c r="V16" s="6" t="n">
        <v>190.1</v>
      </c>
      <c r="W16" s="8" t="n">
        <v>11</v>
      </c>
      <c r="X16" s="7" t="n">
        <f aca="false">IFERROR(S16/AH16,"")</f>
        <v>0.723008849557522</v>
      </c>
      <c r="Y16" s="9" t="n">
        <f aca="false">IFERROR(S16/AF16,"")</f>
        <v>0.317898832684825</v>
      </c>
      <c r="Z16" s="6" t="n">
        <v>8.2</v>
      </c>
      <c r="AA16" s="6" t="n">
        <v>12.1</v>
      </c>
      <c r="AB16" s="6" t="n">
        <v>22.84</v>
      </c>
      <c r="AC16" s="10" t="n">
        <v>0.294</v>
      </c>
      <c r="AD16" s="10" t="n">
        <v>0</v>
      </c>
      <c r="AE16" s="7" t="n">
        <v>0.718</v>
      </c>
      <c r="AF16" s="8" t="n">
        <v>771</v>
      </c>
      <c r="AG16" s="10" t="n">
        <v>0.779</v>
      </c>
      <c r="AH16" s="8" t="n">
        <v>339</v>
      </c>
      <c r="AI16" s="8" t="n">
        <v>73</v>
      </c>
      <c r="AJ16" s="6" t="n">
        <f aca="false">IFERROR(AI16/R16,"")</f>
        <v>4.29411764705882</v>
      </c>
      <c r="AK16" s="10" t="n">
        <v>0.1478</v>
      </c>
      <c r="AL16" s="10" t="n">
        <v>-0.0325</v>
      </c>
      <c r="AM16" s="9" t="n">
        <v>0.1989</v>
      </c>
      <c r="AN16" s="8" t="n">
        <v>55</v>
      </c>
      <c r="AO16" s="10" t="n">
        <f aca="false">IFERROR(AN16/AI16,"")</f>
        <v>0.753424657534247</v>
      </c>
      <c r="AP16" s="8" t="n">
        <v>346</v>
      </c>
      <c r="AQ16" s="7" t="n">
        <f aca="false">IFERROR(AP16/AI16,"")</f>
        <v>4.73972602739726</v>
      </c>
      <c r="AR16" s="6" t="n">
        <v>-1.425</v>
      </c>
      <c r="AS16" s="7" t="n">
        <v>8.218</v>
      </c>
      <c r="AT16" s="7" t="n">
        <v>-3.327</v>
      </c>
      <c r="AU16" s="7"/>
      <c r="AV16" s="7"/>
      <c r="AW16" s="7"/>
      <c r="AX16" s="10" t="n">
        <v>0.0548</v>
      </c>
      <c r="AY16" s="8" t="n">
        <v>266</v>
      </c>
      <c r="AZ16" s="6" t="n">
        <f aca="false">IFERROR(AY16/R16,"")</f>
        <v>15.6470588235294</v>
      </c>
      <c r="BA16" s="10" t="n">
        <v>0.7209</v>
      </c>
      <c r="BB16" s="8" t="n">
        <v>975</v>
      </c>
      <c r="BC16" s="7" t="n">
        <f aca="false">IFERROR(BB16/AY16,"")</f>
        <v>3.66541353383459</v>
      </c>
      <c r="BD16" s="7" t="n">
        <v>1.575</v>
      </c>
      <c r="BE16" s="7" t="n">
        <v>2.09</v>
      </c>
      <c r="BF16" s="8" t="n">
        <v>24</v>
      </c>
      <c r="BG16" s="7" t="n">
        <v>-0.194656812310075</v>
      </c>
      <c r="BH16" s="6" t="n">
        <v>16.1654135338346</v>
      </c>
      <c r="BI16" s="7" t="n">
        <v>4.11495384615385</v>
      </c>
      <c r="BJ16" s="8" t="n">
        <v>44</v>
      </c>
      <c r="BK16" s="8" t="n">
        <v>19</v>
      </c>
      <c r="BL16" s="8" t="n">
        <v>11</v>
      </c>
      <c r="BM16" s="8" t="n">
        <v>10</v>
      </c>
      <c r="BN16" s="7" t="n">
        <v>9.11</v>
      </c>
      <c r="BO16" s="7" t="n">
        <f aca="false">IFERROR(BM16-BN16,"")</f>
        <v>0.890000000000001</v>
      </c>
      <c r="BP16" s="9" t="n">
        <f aca="false">IFERROR(BM16/AH16,"")</f>
        <v>0.0294985250737463</v>
      </c>
      <c r="BQ16" s="6" t="n">
        <v>15.2</v>
      </c>
      <c r="BR16" s="6" t="n">
        <v>7.8</v>
      </c>
      <c r="BS16" s="6" t="n">
        <v>37.5</v>
      </c>
      <c r="BT16" s="7" t="n">
        <v>2.49</v>
      </c>
      <c r="BU16" s="10" t="n">
        <v>0.2502</v>
      </c>
      <c r="BV16" s="10" t="n">
        <v>0.366666666666667</v>
      </c>
      <c r="BW16" s="7" t="n">
        <v>1.629</v>
      </c>
      <c r="BX16" s="10" t="n">
        <v>0.2641</v>
      </c>
      <c r="BY16" s="10" t="n">
        <v>0.1019</v>
      </c>
      <c r="BZ16" s="7" t="n">
        <v>2.487</v>
      </c>
      <c r="CA16" s="10" t="n">
        <v>0.384</v>
      </c>
      <c r="CB16" s="8" t="n">
        <v>2</v>
      </c>
      <c r="CC16" s="10" t="n">
        <v>-0.0175</v>
      </c>
      <c r="CD16" s="10" t="n">
        <v>0.5679</v>
      </c>
      <c r="CE16" s="6" t="n">
        <v>55.41</v>
      </c>
      <c r="CF16" s="6" t="n">
        <v>38</v>
      </c>
      <c r="CG16" s="7" t="n">
        <v>2.24</v>
      </c>
      <c r="CH16" s="6" t="n">
        <v>14.2</v>
      </c>
      <c r="CI16" s="9" t="n">
        <v>-0.2605</v>
      </c>
      <c r="CJ16" s="9" t="n">
        <v>-0.187</v>
      </c>
      <c r="CK16" s="8" t="n">
        <v>55</v>
      </c>
      <c r="CL16" s="10" t="n">
        <v>0.111</v>
      </c>
      <c r="CM16" s="8" t="n">
        <v>58</v>
      </c>
      <c r="CN16" s="10" t="n">
        <v>0.157</v>
      </c>
      <c r="CO16" s="8" t="n">
        <v>13</v>
      </c>
      <c r="CP16" s="7" t="n">
        <v>-0.27</v>
      </c>
      <c r="CQ16" s="7" t="n">
        <v>-0.489</v>
      </c>
      <c r="CR16" s="4" t="s">
        <v>102</v>
      </c>
      <c r="CS16" s="4"/>
    </row>
    <row r="17" customFormat="false" ht="15" hidden="false" customHeight="false" outlineLevel="0" collapsed="false">
      <c r="A17" s="3" t="n">
        <v>15</v>
      </c>
      <c r="B17" s="4" t="s">
        <v>143</v>
      </c>
      <c r="C17" s="11" t="s">
        <v>104</v>
      </c>
      <c r="D17" s="4" t="s">
        <v>144</v>
      </c>
      <c r="E17" s="4" t="s">
        <v>101</v>
      </c>
      <c r="F17" s="4" t="s">
        <v>104</v>
      </c>
      <c r="G17" s="3" t="n">
        <v>1</v>
      </c>
      <c r="H17" s="6" t="n">
        <v>26.4</v>
      </c>
      <c r="I17" s="3" t="n">
        <v>4</v>
      </c>
      <c r="J17" s="3" t="n">
        <v>6</v>
      </c>
      <c r="K17" s="7" t="n">
        <v>17.85</v>
      </c>
      <c r="L17" s="7" t="n">
        <v>6.26</v>
      </c>
      <c r="M17" s="8" t="n">
        <v>7</v>
      </c>
      <c r="N17" s="8" t="n">
        <v>34</v>
      </c>
      <c r="O17" s="7" t="n">
        <v>17.85</v>
      </c>
      <c r="P17" s="6" t="n">
        <v>98.6</v>
      </c>
      <c r="Q17" s="4" t="s">
        <v>101</v>
      </c>
      <c r="R17" s="8" t="n">
        <v>17</v>
      </c>
      <c r="S17" s="6" t="n">
        <v>282.6</v>
      </c>
      <c r="T17" s="7" t="n">
        <f aca="false">IFERROR(S17/R17,"")</f>
        <v>16.6235294117647</v>
      </c>
      <c r="U17" s="6" t="n">
        <v>248.1</v>
      </c>
      <c r="V17" s="6" t="n">
        <v>213.6</v>
      </c>
      <c r="W17" s="8" t="n">
        <v>7</v>
      </c>
      <c r="X17" s="7" t="n">
        <f aca="false">IFERROR(S17/AH17,"")</f>
        <v>0.883125</v>
      </c>
      <c r="Y17" s="9" t="n">
        <f aca="false">IFERROR(S17/AF17,"")</f>
        <v>0.382926829268293</v>
      </c>
      <c r="Z17" s="6" t="n">
        <v>11.8</v>
      </c>
      <c r="AA17" s="6" t="n">
        <v>16</v>
      </c>
      <c r="AB17" s="6" t="n">
        <v>22.98</v>
      </c>
      <c r="AC17" s="10" t="n">
        <v>0.471</v>
      </c>
      <c r="AD17" s="10" t="n">
        <v>0</v>
      </c>
      <c r="AE17" s="7" t="n">
        <v>0.459</v>
      </c>
      <c r="AF17" s="8" t="n">
        <v>738</v>
      </c>
      <c r="AG17" s="10" t="n">
        <v>0.666</v>
      </c>
      <c r="AH17" s="8" t="n">
        <v>320</v>
      </c>
      <c r="AI17" s="8" t="n">
        <v>88</v>
      </c>
      <c r="AJ17" s="6" t="n">
        <f aca="false">IFERROR(AI17/R17,"")</f>
        <v>5.17647058823529</v>
      </c>
      <c r="AK17" s="10" t="n">
        <v>0.1447</v>
      </c>
      <c r="AL17" s="10" t="n">
        <v>0.0101</v>
      </c>
      <c r="AM17" s="9" t="n">
        <v>0.2241</v>
      </c>
      <c r="AN17" s="8" t="n">
        <v>69</v>
      </c>
      <c r="AO17" s="10" t="n">
        <f aca="false">IFERROR(AN17/AI17,"")</f>
        <v>0.784090909090909</v>
      </c>
      <c r="AP17" s="8" t="n">
        <v>437</v>
      </c>
      <c r="AQ17" s="7" t="n">
        <f aca="false">IFERROR(AP17/AI17,"")</f>
        <v>4.96590909090909</v>
      </c>
      <c r="AR17" s="6" t="n">
        <v>0.523</v>
      </c>
      <c r="AS17" s="7" t="n">
        <v>6.522</v>
      </c>
      <c r="AT17" s="7" t="n">
        <v>9.5</v>
      </c>
      <c r="AU17" s="7"/>
      <c r="AV17" s="7"/>
      <c r="AW17" s="7"/>
      <c r="AX17" s="10" t="n">
        <v>0.0568</v>
      </c>
      <c r="AY17" s="8" t="n">
        <v>232</v>
      </c>
      <c r="AZ17" s="6" t="n">
        <f aca="false">IFERROR(AY17/R17,"")</f>
        <v>13.6470588235294</v>
      </c>
      <c r="BA17" s="10" t="n">
        <v>0.6089</v>
      </c>
      <c r="BB17" s="8" t="n">
        <v>1019</v>
      </c>
      <c r="BC17" s="7" t="n">
        <f aca="false">IFERROR(BB17/AY17,"")</f>
        <v>4.39224137931035</v>
      </c>
      <c r="BD17" s="7" t="n">
        <v>2.263</v>
      </c>
      <c r="BE17" s="7" t="n">
        <v>2.129</v>
      </c>
      <c r="BF17" s="8" t="n">
        <v>16</v>
      </c>
      <c r="BG17" s="7" t="n">
        <v>0.337435548111542</v>
      </c>
      <c r="BH17" s="6" t="n">
        <v>15.948275862069</v>
      </c>
      <c r="BI17" s="7" t="n">
        <v>3.55215897939156</v>
      </c>
      <c r="BJ17" s="8" t="n">
        <v>47</v>
      </c>
      <c r="BK17" s="8" t="n">
        <v>24</v>
      </c>
      <c r="BL17" s="8" t="n">
        <v>15</v>
      </c>
      <c r="BM17" s="8" t="n">
        <v>11</v>
      </c>
      <c r="BN17" s="7" t="n">
        <v>11.78</v>
      </c>
      <c r="BO17" s="7" t="n">
        <f aca="false">IFERROR(BM17-BN17,"")</f>
        <v>-0.779999999999999</v>
      </c>
      <c r="BP17" s="9" t="n">
        <f aca="false">IFERROR(BM17/AH17,"")</f>
        <v>0.034375</v>
      </c>
      <c r="BQ17" s="6" t="n">
        <v>60.4</v>
      </c>
      <c r="BR17" s="6" t="n">
        <v>63.4</v>
      </c>
      <c r="BS17" s="6" t="n">
        <v>53</v>
      </c>
      <c r="BT17" s="7" t="n">
        <v>3.212</v>
      </c>
      <c r="BU17" s="10" t="n">
        <v>0.1072</v>
      </c>
      <c r="BV17" s="10" t="n">
        <v>0.657142857142857</v>
      </c>
      <c r="BW17" s="7" t="n">
        <v>2.249</v>
      </c>
      <c r="BX17" s="10" t="n">
        <v>0.2234</v>
      </c>
      <c r="BY17" s="10" t="n">
        <v>0.0527</v>
      </c>
      <c r="BZ17" s="7" t="n">
        <v>2.22</v>
      </c>
      <c r="CA17" s="10" t="n">
        <v>0.996</v>
      </c>
      <c r="CB17" s="8" t="n">
        <v>5</v>
      </c>
      <c r="CC17" s="10" t="n">
        <v>0.0172</v>
      </c>
      <c r="CD17" s="10" t="n">
        <v>0.6322</v>
      </c>
      <c r="CE17" s="6" t="n">
        <v>61.71</v>
      </c>
      <c r="CF17" s="6" t="n">
        <v>38</v>
      </c>
      <c r="CG17" s="7" t="n">
        <v>3.29</v>
      </c>
      <c r="CH17" s="6" t="n">
        <v>24.4</v>
      </c>
      <c r="CI17" s="9" t="n">
        <v>0.0246</v>
      </c>
      <c r="CJ17" s="9" t="n">
        <v>-0.0266</v>
      </c>
      <c r="CK17" s="8" t="n">
        <v>41</v>
      </c>
      <c r="CL17" s="10" t="n">
        <v>0.067</v>
      </c>
      <c r="CM17" s="8" t="n">
        <v>9</v>
      </c>
      <c r="CN17" s="10" t="n">
        <v>0.024</v>
      </c>
      <c r="CO17" s="8" t="n">
        <v>6</v>
      </c>
      <c r="CP17" s="7" t="n">
        <v>-0.059</v>
      </c>
      <c r="CQ17" s="7" t="n">
        <v>-0.059</v>
      </c>
      <c r="CR17" s="4" t="s">
        <v>102</v>
      </c>
      <c r="CS17" s="4"/>
    </row>
    <row r="18" customFormat="false" ht="15" hidden="false" customHeight="false" outlineLevel="0" collapsed="false">
      <c r="A18" s="3" t="n">
        <v>16</v>
      </c>
      <c r="B18" s="4" t="s">
        <v>145</v>
      </c>
      <c r="C18" s="11" t="s">
        <v>104</v>
      </c>
      <c r="D18" s="4" t="s">
        <v>146</v>
      </c>
      <c r="E18" s="4" t="s">
        <v>147</v>
      </c>
      <c r="F18" s="4" t="s">
        <v>104</v>
      </c>
      <c r="G18" s="3" t="n">
        <v>1</v>
      </c>
      <c r="H18" s="6" t="n">
        <v>26.9</v>
      </c>
      <c r="I18" s="3" t="n">
        <v>5</v>
      </c>
      <c r="J18" s="3" t="n">
        <v>7</v>
      </c>
      <c r="K18" s="7" t="n">
        <v>18.3</v>
      </c>
      <c r="L18" s="7" t="n">
        <v>7.01</v>
      </c>
      <c r="M18" s="8" t="n">
        <v>7</v>
      </c>
      <c r="N18" s="8" t="n">
        <v>33</v>
      </c>
      <c r="O18" s="7" t="n">
        <v>18.3</v>
      </c>
      <c r="P18" s="6" t="n">
        <v>99.5</v>
      </c>
      <c r="Q18" s="4" t="s">
        <v>147</v>
      </c>
      <c r="R18" s="8" t="n">
        <v>17</v>
      </c>
      <c r="S18" s="6" t="n">
        <v>302.2</v>
      </c>
      <c r="T18" s="7" t="n">
        <f aca="false">IFERROR(S18/R18,"")</f>
        <v>17.7764705882353</v>
      </c>
      <c r="U18" s="6" t="n">
        <v>285.7</v>
      </c>
      <c r="V18" s="6" t="n">
        <v>269.2</v>
      </c>
      <c r="W18" s="8" t="n">
        <v>6</v>
      </c>
      <c r="X18" s="7" t="n">
        <f aca="false">IFERROR(S18/AH18,"")</f>
        <v>0.865902578796562</v>
      </c>
      <c r="Y18" s="9" t="n">
        <f aca="false">IFERROR(S18/AF18,"")</f>
        <v>0.472926447574335</v>
      </c>
      <c r="Z18" s="6" t="n">
        <v>10.7</v>
      </c>
      <c r="AA18" s="6" t="n">
        <v>20.4</v>
      </c>
      <c r="AB18" s="6" t="n">
        <v>26.46</v>
      </c>
      <c r="AC18" s="10" t="n">
        <v>0.588</v>
      </c>
      <c r="AD18" s="10" t="n">
        <v>0.059</v>
      </c>
      <c r="AE18" s="7" t="n">
        <v>0.451</v>
      </c>
      <c r="AF18" s="8" t="n">
        <v>639</v>
      </c>
      <c r="AG18" s="10" t="n">
        <v>0.572</v>
      </c>
      <c r="AH18" s="8" t="n">
        <v>349</v>
      </c>
      <c r="AI18" s="8" t="n">
        <v>40</v>
      </c>
      <c r="AJ18" s="6" t="n">
        <f aca="false">IFERROR(AI18/R18,"")</f>
        <v>2.35294117647059</v>
      </c>
      <c r="AK18" s="10" t="n">
        <v>0.0835</v>
      </c>
      <c r="AL18" s="10" t="n">
        <v>0.016</v>
      </c>
      <c r="AM18" s="9" t="n">
        <v>0.1364</v>
      </c>
      <c r="AN18" s="8" t="n">
        <v>33</v>
      </c>
      <c r="AO18" s="10" t="n">
        <f aca="false">IFERROR(AN18/AI18,"")</f>
        <v>0.825</v>
      </c>
      <c r="AP18" s="8" t="n">
        <v>291</v>
      </c>
      <c r="AQ18" s="7" t="n">
        <f aca="false">IFERROR(AP18/AI18,"")</f>
        <v>7.275</v>
      </c>
      <c r="AR18" s="6" t="n">
        <v>1.4</v>
      </c>
      <c r="AS18" s="7" t="n">
        <v>8.242</v>
      </c>
      <c r="AT18" s="7" t="n">
        <v>5.196</v>
      </c>
      <c r="AU18" s="7"/>
      <c r="AV18" s="7"/>
      <c r="AW18" s="7"/>
      <c r="AX18" s="10" t="n">
        <v>0.075</v>
      </c>
      <c r="AY18" s="8" t="n">
        <v>309</v>
      </c>
      <c r="AZ18" s="6" t="n">
        <f aca="false">IFERROR(AY18/R18,"")</f>
        <v>18.1764705882353</v>
      </c>
      <c r="BA18" s="10" t="n">
        <v>0.5649</v>
      </c>
      <c r="BB18" s="8" t="n">
        <v>1621</v>
      </c>
      <c r="BC18" s="7" t="n">
        <f aca="false">IFERROR(BB18/AY18,"")</f>
        <v>5.24595469255663</v>
      </c>
      <c r="BD18" s="7" t="n">
        <v>3.026</v>
      </c>
      <c r="BE18" s="7" t="n">
        <v>2.22</v>
      </c>
      <c r="BF18" s="8" t="n">
        <v>21</v>
      </c>
      <c r="BG18" s="7" t="n">
        <v>1.17430416561874</v>
      </c>
      <c r="BH18" s="6" t="n">
        <v>30.42071197411</v>
      </c>
      <c r="BI18" s="7" t="n">
        <v>3.24320172732881</v>
      </c>
      <c r="BJ18" s="8" t="n">
        <v>59</v>
      </c>
      <c r="BK18" s="8" t="n">
        <v>27</v>
      </c>
      <c r="BL18" s="8" t="n">
        <v>17</v>
      </c>
      <c r="BM18" s="8" t="n">
        <v>14</v>
      </c>
      <c r="BN18" s="7" t="n">
        <v>12.14</v>
      </c>
      <c r="BO18" s="7" t="n">
        <f aca="false">IFERROR(BM18-BN18,"")</f>
        <v>1.86</v>
      </c>
      <c r="BP18" s="9" t="n">
        <f aca="false">IFERROR(BM18/AH18,"")</f>
        <v>0.0401146131805158</v>
      </c>
      <c r="BQ18" s="6" t="n">
        <v>73.6</v>
      </c>
      <c r="BR18" s="6" t="n">
        <v>72.8</v>
      </c>
      <c r="BS18" s="6" t="n">
        <v>64.4</v>
      </c>
      <c r="BT18" s="7" t="n">
        <v>3.397</v>
      </c>
      <c r="BU18" s="10" t="n">
        <v>0.1265</v>
      </c>
      <c r="BV18" s="10" t="n">
        <v>0.540540540540541</v>
      </c>
      <c r="BW18" s="7" t="n">
        <v>2.905</v>
      </c>
      <c r="BX18" s="10" t="n">
        <v>0.2</v>
      </c>
      <c r="BY18" s="10" t="n">
        <v>0.0702</v>
      </c>
      <c r="BZ18" s="7" t="n">
        <v>2.507</v>
      </c>
      <c r="CA18" s="10" t="n">
        <v>0.763</v>
      </c>
      <c r="CB18" s="8" t="n">
        <v>4</v>
      </c>
      <c r="CC18" s="10" t="n">
        <v>-0.0352</v>
      </c>
      <c r="CD18" s="10" t="n">
        <v>0.5028</v>
      </c>
      <c r="CE18" s="6" t="n">
        <v>62.65</v>
      </c>
      <c r="CF18" s="6" t="n">
        <v>40</v>
      </c>
      <c r="CG18" s="7" t="n">
        <v>4</v>
      </c>
      <c r="CH18" s="6" t="n">
        <v>28.3</v>
      </c>
      <c r="CI18" s="9" t="n">
        <v>0.1102</v>
      </c>
      <c r="CJ18" s="9" t="n">
        <v>0.1599</v>
      </c>
      <c r="CK18" s="8" t="n">
        <v>19</v>
      </c>
      <c r="CL18" s="10" t="n">
        <v>0.04</v>
      </c>
      <c r="CM18" s="8" t="n">
        <v>17</v>
      </c>
      <c r="CN18" s="10" t="n">
        <v>0.031</v>
      </c>
      <c r="CO18" s="8" t="n">
        <v>2</v>
      </c>
      <c r="CP18" s="7" t="n">
        <v>0.02</v>
      </c>
      <c r="CQ18" s="7" t="n">
        <v>0.02</v>
      </c>
      <c r="CR18" s="4" t="s">
        <v>102</v>
      </c>
      <c r="CS18" s="4"/>
    </row>
    <row r="19" customFormat="false" ht="15" hidden="false" customHeight="false" outlineLevel="0" collapsed="false">
      <c r="A19" s="3" t="n">
        <v>17</v>
      </c>
      <c r="B19" s="4" t="s">
        <v>148</v>
      </c>
      <c r="C19" s="12" t="s">
        <v>149</v>
      </c>
      <c r="D19" s="4" t="s">
        <v>150</v>
      </c>
      <c r="E19" s="4" t="s">
        <v>151</v>
      </c>
      <c r="F19" s="4" t="s">
        <v>149</v>
      </c>
      <c r="G19" s="3" t="n">
        <v>1</v>
      </c>
      <c r="H19" s="6" t="n">
        <v>26.7</v>
      </c>
      <c r="I19" s="3" t="n">
        <v>5</v>
      </c>
      <c r="J19" s="3" t="n">
        <v>14</v>
      </c>
      <c r="K19" s="7" t="n">
        <v>19.47</v>
      </c>
      <c r="L19" s="7" t="n">
        <v>5.73</v>
      </c>
      <c r="M19" s="8" t="n">
        <v>15</v>
      </c>
      <c r="N19" s="8" t="n">
        <v>33</v>
      </c>
      <c r="O19" s="7" t="n">
        <v>19.47</v>
      </c>
      <c r="P19" s="6" t="n">
        <v>99.4</v>
      </c>
      <c r="Q19" s="4" t="s">
        <v>151</v>
      </c>
      <c r="R19" s="8" t="n">
        <v>17</v>
      </c>
      <c r="S19" s="6" t="n">
        <v>315.9</v>
      </c>
      <c r="T19" s="7" t="n">
        <f aca="false">IFERROR(S19/R19,"")</f>
        <v>18.5823529411765</v>
      </c>
      <c r="U19" s="6" t="n">
        <v>252.9</v>
      </c>
      <c r="V19" s="6" t="n">
        <v>189.9</v>
      </c>
      <c r="W19" s="8" t="n">
        <v>1</v>
      </c>
      <c r="X19" s="7" t="n">
        <f aca="false">IFERROR(S19/AH19,"")</f>
        <v>1.86923076923077</v>
      </c>
      <c r="Y19" s="9" t="n">
        <f aca="false">IFERROR(S19/AF19,"")</f>
        <v>0.305808325266215</v>
      </c>
      <c r="Z19" s="6" t="n">
        <v>12.2</v>
      </c>
      <c r="AA19" s="6" t="n">
        <v>16.5</v>
      </c>
      <c r="AB19" s="6" t="n">
        <v>27.62</v>
      </c>
      <c r="AC19" s="10" t="n">
        <v>0.706</v>
      </c>
      <c r="AD19" s="10" t="n">
        <v>0</v>
      </c>
      <c r="AE19" s="7" t="n">
        <v>0.507</v>
      </c>
      <c r="AF19" s="8" t="n">
        <v>1033</v>
      </c>
      <c r="AG19" s="10" t="n">
        <v>0.914</v>
      </c>
      <c r="AH19" s="8" t="n">
        <v>169</v>
      </c>
      <c r="AI19" s="8" t="n">
        <v>169</v>
      </c>
      <c r="AJ19" s="6" t="n">
        <f aca="false">IFERROR(AI19/R19,"")</f>
        <v>9.94117647058824</v>
      </c>
      <c r="AK19" s="10" t="n">
        <v>0.2739</v>
      </c>
      <c r="AL19" s="10" t="n">
        <v>0.253</v>
      </c>
      <c r="AM19" s="9" t="n">
        <v>0.588</v>
      </c>
      <c r="AN19" s="8" t="n">
        <v>126</v>
      </c>
      <c r="AO19" s="10" t="n">
        <f aca="false">IFERROR(AN19/AI19,"")</f>
        <v>0.745562130177515</v>
      </c>
      <c r="AP19" s="8" t="n">
        <v>1239</v>
      </c>
      <c r="AQ19" s="7" t="n">
        <f aca="false">IFERROR(AP19/AI19,"")</f>
        <v>7.33136094674556</v>
      </c>
      <c r="AR19" s="6" t="n">
        <v>6.663</v>
      </c>
      <c r="AS19" s="7" t="n">
        <v>4.627</v>
      </c>
      <c r="AT19" s="7" t="n">
        <v>1.1</v>
      </c>
      <c r="AU19" s="7" t="n">
        <v>3.0601982826134</v>
      </c>
      <c r="AV19" s="7" t="n">
        <v>5.46022900763359</v>
      </c>
      <c r="AW19" s="7" t="n">
        <v>0.714653157622706</v>
      </c>
      <c r="AX19" s="10" t="n">
        <v>0.0118</v>
      </c>
      <c r="AY19" s="8" t="n">
        <v>0</v>
      </c>
      <c r="AZ19" s="6" t="n">
        <f aca="false">IFERROR(AY19/R19,"")</f>
        <v>0</v>
      </c>
      <c r="BA19" s="10" t="n">
        <v>0</v>
      </c>
      <c r="BB19" s="8" t="n">
        <v>0</v>
      </c>
      <c r="BC19" s="7"/>
      <c r="BD19" s="7"/>
      <c r="BE19" s="7"/>
      <c r="BF19" s="8"/>
      <c r="BG19" s="7"/>
      <c r="BH19" s="6"/>
      <c r="BI19" s="7"/>
      <c r="BJ19" s="8" t="n">
        <v>33</v>
      </c>
      <c r="BK19" s="8" t="n">
        <v>11</v>
      </c>
      <c r="BL19" s="8" t="n">
        <v>5</v>
      </c>
      <c r="BM19" s="8" t="n">
        <v>11</v>
      </c>
      <c r="BN19" s="7" t="n">
        <v>10.02</v>
      </c>
      <c r="BO19" s="7" t="n">
        <f aca="false">IFERROR(BM19-BN19,"")</f>
        <v>0.98</v>
      </c>
      <c r="BP19" s="9" t="n">
        <f aca="false">IFERROR(BM19/AH19,"")</f>
        <v>0.0650887573964497</v>
      </c>
      <c r="BQ19" s="6" t="n">
        <v>36.9</v>
      </c>
      <c r="BR19" s="6" t="n">
        <v>43.8</v>
      </c>
      <c r="BS19" s="6" t="n">
        <v>35.6</v>
      </c>
      <c r="BT19" s="7" t="n">
        <v>2.771</v>
      </c>
      <c r="BU19" s="10" t="n">
        <v>0.2005</v>
      </c>
      <c r="BV19" s="10" t="n">
        <v>0.65625</v>
      </c>
      <c r="BW19" s="7" t="n">
        <v>2.593</v>
      </c>
      <c r="BX19" s="10" t="n">
        <v>0.282</v>
      </c>
      <c r="BY19" s="10" t="n">
        <v>0.0839</v>
      </c>
      <c r="BZ19" s="7" t="n">
        <v>2.373</v>
      </c>
      <c r="CA19" s="10" t="n">
        <v>0.686</v>
      </c>
      <c r="CB19" s="8" t="n">
        <v>3</v>
      </c>
      <c r="CC19" s="10" t="n">
        <v>0.0399</v>
      </c>
      <c r="CD19" s="10" t="n">
        <v>0.6204</v>
      </c>
      <c r="CE19" s="6" t="n">
        <v>63.18</v>
      </c>
      <c r="CF19" s="6" t="n">
        <v>39</v>
      </c>
      <c r="CG19" s="7" t="n">
        <v>3.59</v>
      </c>
      <c r="CH19" s="6" t="n">
        <v>20.9</v>
      </c>
      <c r="CI19" s="9" t="n">
        <v>-0.0591</v>
      </c>
      <c r="CJ19" s="9" t="n">
        <v>0.0023</v>
      </c>
      <c r="CK19" s="8" t="n">
        <v>106</v>
      </c>
      <c r="CL19" s="10" t="n">
        <v>0.172</v>
      </c>
      <c r="CM19" s="8" t="n">
        <v>173</v>
      </c>
      <c r="CN19" s="10" t="n">
        <v>0.473</v>
      </c>
      <c r="CO19" s="8" t="n">
        <v>41</v>
      </c>
      <c r="CP19" s="7" t="n">
        <v>0.027</v>
      </c>
      <c r="CQ19" s="7" t="n">
        <v>0.026</v>
      </c>
      <c r="CR19" s="4" t="s">
        <v>102</v>
      </c>
      <c r="CS19" s="4"/>
    </row>
    <row r="20" customFormat="false" ht="15" hidden="false" customHeight="false" outlineLevel="0" collapsed="false">
      <c r="A20" s="3" t="n">
        <v>18</v>
      </c>
      <c r="B20" s="4" t="s">
        <v>152</v>
      </c>
      <c r="C20" s="5" t="s">
        <v>99</v>
      </c>
      <c r="D20" s="4" t="s">
        <v>153</v>
      </c>
      <c r="E20" s="4" t="s">
        <v>120</v>
      </c>
      <c r="F20" s="4" t="s">
        <v>99</v>
      </c>
      <c r="G20" s="3" t="n">
        <v>2</v>
      </c>
      <c r="H20" s="6" t="n">
        <v>25.5</v>
      </c>
      <c r="I20" s="3" t="n">
        <v>5</v>
      </c>
      <c r="J20" s="3" t="n">
        <v>14</v>
      </c>
      <c r="K20" s="7" t="n">
        <v>19.88</v>
      </c>
      <c r="L20" s="7" t="n">
        <v>6.22</v>
      </c>
      <c r="M20" s="8" t="n">
        <v>12</v>
      </c>
      <c r="N20" s="8" t="n">
        <v>51</v>
      </c>
      <c r="O20" s="7" t="n">
        <v>19.88</v>
      </c>
      <c r="P20" s="6" t="n">
        <v>99.3</v>
      </c>
      <c r="Q20" s="4" t="s">
        <v>120</v>
      </c>
      <c r="R20" s="8" t="n">
        <v>17</v>
      </c>
      <c r="S20" s="6" t="n">
        <v>291.9</v>
      </c>
      <c r="T20" s="7" t="n">
        <f aca="false">IFERROR(S20/R20,"")</f>
        <v>17.1705882352941</v>
      </c>
      <c r="U20" s="6" t="n">
        <v>245.4</v>
      </c>
      <c r="V20" s="6" t="n">
        <v>198.9</v>
      </c>
      <c r="W20" s="8" t="n">
        <v>5</v>
      </c>
      <c r="X20" s="7" t="n">
        <f aca="false">IFERROR(S20/AH20,"")</f>
        <v>2.13065693430657</v>
      </c>
      <c r="Y20" s="9" t="n">
        <f aca="false">IFERROR(S20/AF20,"")</f>
        <v>0.30154958677686</v>
      </c>
      <c r="Z20" s="6" t="n">
        <v>11.8</v>
      </c>
      <c r="AA20" s="6" t="n">
        <v>14.8</v>
      </c>
      <c r="AB20" s="6" t="n">
        <v>29.52</v>
      </c>
      <c r="AC20" s="10" t="n">
        <v>0.294</v>
      </c>
      <c r="AD20" s="10" t="n">
        <v>0</v>
      </c>
      <c r="AE20" s="7" t="n">
        <v>0.652</v>
      </c>
      <c r="AF20" s="8" t="n">
        <v>968</v>
      </c>
      <c r="AG20" s="10" t="n">
        <v>0.811</v>
      </c>
      <c r="AH20" s="8" t="n">
        <v>137</v>
      </c>
      <c r="AI20" s="8" t="n">
        <v>137</v>
      </c>
      <c r="AJ20" s="6" t="n">
        <f aca="false">IFERROR(AI20/R20,"")</f>
        <v>8.05882352941176</v>
      </c>
      <c r="AK20" s="10" t="n">
        <v>0.2257</v>
      </c>
      <c r="AL20" s="10" t="n">
        <v>0.3141</v>
      </c>
      <c r="AM20" s="9" t="n">
        <v>0.5584</v>
      </c>
      <c r="AN20" s="8" t="n">
        <v>93</v>
      </c>
      <c r="AO20" s="10" t="n">
        <f aca="false">IFERROR(AN20/AI20,"")</f>
        <v>0.678832116788321</v>
      </c>
      <c r="AP20" s="8" t="n">
        <v>1429</v>
      </c>
      <c r="AQ20" s="7" t="n">
        <f aca="false">IFERROR(AP20/AI20,"")</f>
        <v>10.4306569343066</v>
      </c>
      <c r="AR20" s="6" t="n">
        <v>11.292</v>
      </c>
      <c r="AS20" s="7" t="n">
        <v>5.151</v>
      </c>
      <c r="AT20" s="7" t="n">
        <v>0.924</v>
      </c>
      <c r="AU20" s="7" t="n">
        <v>2.31222774710587</v>
      </c>
      <c r="AV20" s="7" t="n">
        <v>5.17138686131387</v>
      </c>
      <c r="AW20" s="7" t="n">
        <v>2.15865070219917</v>
      </c>
      <c r="AX20" s="10" t="n">
        <v>0.0292</v>
      </c>
      <c r="AY20" s="8" t="n">
        <v>0</v>
      </c>
      <c r="AZ20" s="6" t="n">
        <f aca="false">IFERROR(AY20/R20,"")</f>
        <v>0</v>
      </c>
      <c r="BA20" s="10" t="n">
        <v>0</v>
      </c>
      <c r="BB20" s="8" t="n">
        <v>0</v>
      </c>
      <c r="BC20" s="7"/>
      <c r="BD20" s="7"/>
      <c r="BE20" s="7"/>
      <c r="BF20" s="8"/>
      <c r="BG20" s="7"/>
      <c r="BH20" s="6"/>
      <c r="BI20" s="7"/>
      <c r="BJ20" s="8" t="n">
        <v>23</v>
      </c>
      <c r="BK20" s="8" t="n">
        <v>10</v>
      </c>
      <c r="BL20" s="8" t="n">
        <v>6</v>
      </c>
      <c r="BM20" s="8" t="n">
        <v>9</v>
      </c>
      <c r="BN20" s="7" t="n">
        <v>8.14</v>
      </c>
      <c r="BO20" s="7" t="n">
        <f aca="false">IFERROR(BM20-BN20,"")</f>
        <v>0.859999999999999</v>
      </c>
      <c r="BP20" s="9" t="n">
        <f aca="false">IFERROR(BM20/AH20,"")</f>
        <v>0.0656934306569343</v>
      </c>
      <c r="BQ20" s="6" t="n">
        <v>65.1</v>
      </c>
      <c r="BR20" s="6" t="n">
        <v>61.6</v>
      </c>
      <c r="BS20" s="6" t="n">
        <v>62.2</v>
      </c>
      <c r="BT20" s="7" t="n">
        <v>3.074</v>
      </c>
      <c r="BU20" s="10" t="n">
        <v>0.1352</v>
      </c>
      <c r="BV20" s="10" t="n">
        <v>0.705882352941177</v>
      </c>
      <c r="BW20" s="7" t="n">
        <v>2.563</v>
      </c>
      <c r="BX20" s="10" t="n">
        <v>0.2356</v>
      </c>
      <c r="BY20" s="10" t="n">
        <v>0.044</v>
      </c>
      <c r="BZ20" s="7" t="n">
        <v>2.396</v>
      </c>
      <c r="CA20" s="10" t="n">
        <v>0.848</v>
      </c>
      <c r="CB20" s="8" t="n">
        <v>5</v>
      </c>
      <c r="CC20" s="10" t="n">
        <v>-0.0098</v>
      </c>
      <c r="CD20" s="10" t="n">
        <v>0.5628</v>
      </c>
      <c r="CE20" s="6" t="n">
        <v>64.94</v>
      </c>
      <c r="CF20" s="6" t="n">
        <v>36</v>
      </c>
      <c r="CG20" s="7" t="n">
        <v>3.82</v>
      </c>
      <c r="CH20" s="6" t="n">
        <v>27.7</v>
      </c>
      <c r="CI20" s="9" t="n">
        <v>0.005</v>
      </c>
      <c r="CJ20" s="9" t="n">
        <v>0.1615</v>
      </c>
      <c r="CK20" s="8" t="n">
        <v>34</v>
      </c>
      <c r="CL20" s="10" t="n">
        <v>0.056</v>
      </c>
      <c r="CM20" s="8" t="n">
        <v>0</v>
      </c>
      <c r="CN20" s="10" t="n">
        <v>0</v>
      </c>
      <c r="CO20" s="8" t="n">
        <v>4</v>
      </c>
      <c r="CP20" s="7" t="n">
        <v>0.17</v>
      </c>
      <c r="CQ20" s="7" t="n">
        <v>0.126</v>
      </c>
      <c r="CR20" s="4" t="s">
        <v>102</v>
      </c>
      <c r="CS20" s="4"/>
    </row>
    <row r="21" customFormat="false" ht="15" hidden="false" customHeight="false" outlineLevel="0" collapsed="false">
      <c r="A21" s="3" t="n">
        <v>19</v>
      </c>
      <c r="B21" s="4" t="s">
        <v>154</v>
      </c>
      <c r="C21" s="12" t="s">
        <v>149</v>
      </c>
      <c r="D21" s="4" t="s">
        <v>155</v>
      </c>
      <c r="E21" s="4" t="s">
        <v>142</v>
      </c>
      <c r="F21" s="4" t="s">
        <v>149</v>
      </c>
      <c r="G21" s="3" t="n">
        <v>1</v>
      </c>
      <c r="H21" s="6" t="n">
        <v>23.7</v>
      </c>
      <c r="I21" s="3" t="n">
        <v>3</v>
      </c>
      <c r="J21" s="3" t="n">
        <v>13</v>
      </c>
      <c r="K21" s="7" t="n">
        <v>20.44</v>
      </c>
      <c r="L21" s="7" t="n">
        <v>3.47</v>
      </c>
      <c r="M21" s="8" t="n">
        <v>11</v>
      </c>
      <c r="N21" s="8" t="n">
        <v>32</v>
      </c>
      <c r="O21" s="7" t="n">
        <v>20.44</v>
      </c>
      <c r="P21" s="6" t="n">
        <v>99.5</v>
      </c>
      <c r="Q21" s="4" t="s">
        <v>142</v>
      </c>
      <c r="R21" s="8" t="n">
        <v>12</v>
      </c>
      <c r="S21" s="6" t="n">
        <v>176.2</v>
      </c>
      <c r="T21" s="7" t="n">
        <f aca="false">IFERROR(S21/R21,"")</f>
        <v>14.6833333333333</v>
      </c>
      <c r="U21" s="6" t="n">
        <v>144.2</v>
      </c>
      <c r="V21" s="6" t="n">
        <v>112.2</v>
      </c>
      <c r="W21" s="8" t="n">
        <v>11</v>
      </c>
      <c r="X21" s="7" t="n">
        <f aca="false">IFERROR(S21/AH21,"")</f>
        <v>2.00227272727273</v>
      </c>
      <c r="Y21" s="9" t="n">
        <f aca="false">IFERROR(S21/AF21,"")</f>
        <v>0.291239669421488</v>
      </c>
      <c r="Z21" s="6" t="n">
        <v>9.4</v>
      </c>
      <c r="AA21" s="6" t="n">
        <v>12.85</v>
      </c>
      <c r="AB21" s="6" t="n">
        <v>17.75</v>
      </c>
      <c r="AC21" s="10" t="n">
        <v>0.333</v>
      </c>
      <c r="AD21" s="10" t="n">
        <v>0</v>
      </c>
      <c r="AE21" s="7" t="n">
        <v>0.788</v>
      </c>
      <c r="AF21" s="8" t="n">
        <v>605</v>
      </c>
      <c r="AG21" s="10" t="n">
        <v>0.859</v>
      </c>
      <c r="AH21" s="8" t="n">
        <v>88</v>
      </c>
      <c r="AI21" s="8" t="n">
        <v>86</v>
      </c>
      <c r="AJ21" s="6" t="n">
        <f aca="false">IFERROR(AI21/R21,"")</f>
        <v>7.16666666666667</v>
      </c>
      <c r="AK21" s="10" t="n">
        <v>0.2363</v>
      </c>
      <c r="AL21" s="10" t="n">
        <v>0.2297</v>
      </c>
      <c r="AM21" s="9" t="n">
        <v>0.5152</v>
      </c>
      <c r="AN21" s="8" t="n">
        <v>64</v>
      </c>
      <c r="AO21" s="10" t="n">
        <f aca="false">IFERROR(AN21/AI21,"")</f>
        <v>0.744186046511628</v>
      </c>
      <c r="AP21" s="8" t="n">
        <v>680</v>
      </c>
      <c r="AQ21" s="7" t="n">
        <f aca="false">IFERROR(AP21/AI21,"")</f>
        <v>7.90697674418605</v>
      </c>
      <c r="AR21" s="6" t="n">
        <v>6.512</v>
      </c>
      <c r="AS21" s="7" t="n">
        <v>4.766</v>
      </c>
      <c r="AT21" s="7" t="n">
        <v>1.214</v>
      </c>
      <c r="AU21" s="7" t="n">
        <v>3.05463787552995</v>
      </c>
      <c r="AV21" s="7" t="n">
        <v>6.14666666666667</v>
      </c>
      <c r="AW21" s="7" t="n">
        <v>0.948782688225947</v>
      </c>
      <c r="AX21" s="10" t="n">
        <v>0.0465</v>
      </c>
      <c r="AY21" s="8" t="n">
        <v>2</v>
      </c>
      <c r="AZ21" s="6" t="n">
        <f aca="false">IFERROR(AY21/R21,"")</f>
        <v>0.166666666666667</v>
      </c>
      <c r="BA21" s="10" t="n">
        <v>0.008</v>
      </c>
      <c r="BB21" s="8" t="n">
        <v>2</v>
      </c>
      <c r="BC21" s="7"/>
      <c r="BD21" s="7"/>
      <c r="BE21" s="7"/>
      <c r="BF21" s="8" t="n">
        <v>0</v>
      </c>
      <c r="BG21" s="7"/>
      <c r="BH21" s="6"/>
      <c r="BI21" s="7"/>
      <c r="BJ21" s="8" t="n">
        <v>17</v>
      </c>
      <c r="BK21" s="8" t="n">
        <v>9</v>
      </c>
      <c r="BL21" s="8" t="n">
        <v>2</v>
      </c>
      <c r="BM21" s="8" t="n">
        <v>7</v>
      </c>
      <c r="BN21" s="7" t="n">
        <v>5.13</v>
      </c>
      <c r="BO21" s="7" t="n">
        <f aca="false">IFERROR(BM21-BN21,"")</f>
        <v>1.87</v>
      </c>
      <c r="BP21" s="9" t="n">
        <f aca="false">IFERROR(BM21/AH21,"")</f>
        <v>0.0795454545454545</v>
      </c>
      <c r="BQ21" s="6" t="n">
        <v>15.2</v>
      </c>
      <c r="BR21" s="6" t="n">
        <v>7.8</v>
      </c>
      <c r="BS21" s="6" t="n">
        <v>37.5</v>
      </c>
      <c r="BT21" s="7" t="n">
        <v>2.49</v>
      </c>
      <c r="BU21" s="10" t="n">
        <v>0.2502</v>
      </c>
      <c r="BV21" s="10" t="n">
        <v>0.366666666666667</v>
      </c>
      <c r="BW21" s="7" t="n">
        <v>1.629</v>
      </c>
      <c r="BX21" s="10" t="n">
        <v>0.2641</v>
      </c>
      <c r="BY21" s="10" t="n">
        <v>0.1019</v>
      </c>
      <c r="BZ21" s="7" t="n">
        <v>2.487</v>
      </c>
      <c r="CA21" s="10" t="n">
        <v>0.384</v>
      </c>
      <c r="CB21" s="8" t="n">
        <v>2</v>
      </c>
      <c r="CC21" s="10" t="n">
        <v>-0.0175</v>
      </c>
      <c r="CD21" s="10" t="n">
        <v>0.5679</v>
      </c>
      <c r="CE21" s="6" t="n">
        <v>55.41</v>
      </c>
      <c r="CF21" s="6" t="n">
        <v>38</v>
      </c>
      <c r="CG21" s="7" t="n">
        <v>2.24</v>
      </c>
      <c r="CH21" s="6" t="n">
        <v>14.2</v>
      </c>
      <c r="CI21" s="9" t="n">
        <v>-0.2605</v>
      </c>
      <c r="CJ21" s="9" t="n">
        <v>-0.187</v>
      </c>
      <c r="CK21" s="8" t="n">
        <v>55</v>
      </c>
      <c r="CL21" s="10" t="n">
        <v>0.111</v>
      </c>
      <c r="CM21" s="8" t="n">
        <v>58</v>
      </c>
      <c r="CN21" s="10" t="n">
        <v>0.157</v>
      </c>
      <c r="CO21" s="8" t="n">
        <v>13</v>
      </c>
      <c r="CP21" s="7" t="n">
        <v>-0.376</v>
      </c>
      <c r="CQ21" s="7" t="n">
        <v>0.018</v>
      </c>
      <c r="CR21" s="4" t="s">
        <v>121</v>
      </c>
      <c r="CS21" s="4"/>
    </row>
    <row r="22" customFormat="false" ht="15" hidden="false" customHeight="false" outlineLevel="0" collapsed="false">
      <c r="A22" s="3" t="n">
        <v>20</v>
      </c>
      <c r="B22" s="4" t="s">
        <v>156</v>
      </c>
      <c r="C22" s="5" t="s">
        <v>99</v>
      </c>
      <c r="D22" s="4" t="s">
        <v>157</v>
      </c>
      <c r="E22" s="4" t="s">
        <v>158</v>
      </c>
      <c r="F22" s="4" t="s">
        <v>99</v>
      </c>
      <c r="G22" s="3" t="n">
        <v>1</v>
      </c>
      <c r="H22" s="6" t="n">
        <v>26.1</v>
      </c>
      <c r="I22" s="3" t="n">
        <v>5</v>
      </c>
      <c r="J22" s="3" t="n">
        <v>8</v>
      </c>
      <c r="K22" s="7" t="n">
        <v>20.57</v>
      </c>
      <c r="L22" s="7" t="n">
        <v>7.04</v>
      </c>
      <c r="M22" s="8" t="n">
        <v>11</v>
      </c>
      <c r="N22" s="8" t="n">
        <v>51</v>
      </c>
      <c r="O22" s="7" t="n">
        <v>20.57</v>
      </c>
      <c r="P22" s="6" t="n">
        <v>98</v>
      </c>
      <c r="Q22" s="4" t="s">
        <v>158</v>
      </c>
      <c r="R22" s="8" t="n">
        <v>16</v>
      </c>
      <c r="S22" s="6" t="n">
        <v>268</v>
      </c>
      <c r="T22" s="7" t="n">
        <f aca="false">IFERROR(S22/R22,"")</f>
        <v>16.75</v>
      </c>
      <c r="U22" s="6" t="n">
        <v>218</v>
      </c>
      <c r="V22" s="6" t="n">
        <v>168</v>
      </c>
      <c r="W22" s="8" t="n">
        <v>6</v>
      </c>
      <c r="X22" s="7" t="n">
        <f aca="false">IFERROR(S22/AH22,"")</f>
        <v>1.70700636942675</v>
      </c>
      <c r="Y22" s="9" t="n">
        <f aca="false">IFERROR(S22/AF22,"")</f>
        <v>0.302142051860203</v>
      </c>
      <c r="Z22" s="6" t="n">
        <v>12.15</v>
      </c>
      <c r="AA22" s="6" t="n">
        <v>15.2</v>
      </c>
      <c r="AB22" s="6" t="n">
        <v>24.78</v>
      </c>
      <c r="AC22" s="10" t="n">
        <v>0.312</v>
      </c>
      <c r="AD22" s="10" t="n">
        <v>0</v>
      </c>
      <c r="AE22" s="7" t="n">
        <v>0.521</v>
      </c>
      <c r="AF22" s="8" t="n">
        <v>887</v>
      </c>
      <c r="AG22" s="10" t="n">
        <v>0.843</v>
      </c>
      <c r="AH22" s="8" t="n">
        <v>157</v>
      </c>
      <c r="AI22" s="8" t="n">
        <v>156</v>
      </c>
      <c r="AJ22" s="6" t="n">
        <f aca="false">IFERROR(AI22/R22,"")</f>
        <v>9.75</v>
      </c>
      <c r="AK22" s="10" t="n">
        <v>0.2938</v>
      </c>
      <c r="AL22" s="10" t="n">
        <v>0.4183</v>
      </c>
      <c r="AM22" s="9" t="n">
        <v>0.7335</v>
      </c>
      <c r="AN22" s="8" t="n">
        <v>100</v>
      </c>
      <c r="AO22" s="10" t="n">
        <f aca="false">IFERROR(AN22/AI22,"")</f>
        <v>0.641025641025641</v>
      </c>
      <c r="AP22" s="8" t="n">
        <v>1163</v>
      </c>
      <c r="AQ22" s="7" t="n">
        <f aca="false">IFERROR(AP22/AI22,"")</f>
        <v>7.45512820512821</v>
      </c>
      <c r="AR22" s="6" t="n">
        <v>11.801</v>
      </c>
      <c r="AS22" s="7" t="n">
        <v>2.89</v>
      </c>
      <c r="AT22" s="7" t="n">
        <v>0.632</v>
      </c>
      <c r="AU22" s="7" t="n">
        <v>2.94506151110989</v>
      </c>
      <c r="AV22" s="7" t="n">
        <v>6.80913333333333</v>
      </c>
      <c r="AW22" s="7" t="n">
        <v>-0.52113267908365</v>
      </c>
      <c r="AX22" s="10" t="n">
        <v>0.0321</v>
      </c>
      <c r="AY22" s="8" t="n">
        <v>1</v>
      </c>
      <c r="AZ22" s="6" t="n">
        <f aca="false">IFERROR(AY22/R22,"")</f>
        <v>0.0625</v>
      </c>
      <c r="BA22" s="10" t="n">
        <v>0.0024</v>
      </c>
      <c r="BB22" s="8" t="n">
        <v>-3</v>
      </c>
      <c r="BC22" s="7"/>
      <c r="BD22" s="7"/>
      <c r="BE22" s="7"/>
      <c r="BF22" s="8" t="n">
        <v>0</v>
      </c>
      <c r="BG22" s="7"/>
      <c r="BH22" s="6"/>
      <c r="BI22" s="7"/>
      <c r="BJ22" s="8" t="n">
        <v>15</v>
      </c>
      <c r="BK22" s="8" t="n">
        <v>4</v>
      </c>
      <c r="BL22" s="8" t="n">
        <v>2</v>
      </c>
      <c r="BM22" s="8" t="n">
        <v>9</v>
      </c>
      <c r="BN22" s="7" t="n">
        <v>5.85</v>
      </c>
      <c r="BO22" s="7" t="n">
        <f aca="false">IFERROR(BM22-BN22,"")</f>
        <v>3.15</v>
      </c>
      <c r="BP22" s="9" t="n">
        <f aca="false">IFERROR(BM22/AH22,"")</f>
        <v>0.0573248407643312</v>
      </c>
      <c r="BQ22" s="6" t="n">
        <v>41.9</v>
      </c>
      <c r="BR22" s="6" t="n">
        <v>42.4</v>
      </c>
      <c r="BS22" s="6" t="n">
        <v>44.9</v>
      </c>
      <c r="BT22" s="7" t="n">
        <v>2.883</v>
      </c>
      <c r="BU22" s="10" t="n">
        <v>0.1505</v>
      </c>
      <c r="BV22" s="10" t="n">
        <v>0.55</v>
      </c>
      <c r="BW22" s="7" t="n">
        <v>2.057</v>
      </c>
      <c r="BX22" s="10" t="n">
        <v>0.2132</v>
      </c>
      <c r="BY22" s="10" t="n">
        <v>0.0763</v>
      </c>
      <c r="BZ22" s="7" t="n">
        <v>2.2</v>
      </c>
      <c r="CA22" s="10" t="n">
        <v>0.784</v>
      </c>
      <c r="CB22" s="8" t="n">
        <v>4</v>
      </c>
      <c r="CC22" s="10" t="n">
        <v>-0.0301</v>
      </c>
      <c r="CD22" s="10" t="n">
        <v>0.5383</v>
      </c>
      <c r="CE22" s="6" t="n">
        <v>62.59</v>
      </c>
      <c r="CF22" s="6" t="n">
        <v>35</v>
      </c>
      <c r="CG22" s="7" t="n">
        <v>2.82</v>
      </c>
      <c r="CH22" s="6" t="n">
        <v>18</v>
      </c>
      <c r="CI22" s="9" t="n">
        <v>-0.1008</v>
      </c>
      <c r="CJ22" s="9" t="n">
        <v>-0.0795</v>
      </c>
      <c r="CK22" s="8" t="n">
        <v>127</v>
      </c>
      <c r="CL22" s="10" t="n">
        <v>0.225</v>
      </c>
      <c r="CM22" s="8" t="n">
        <v>21</v>
      </c>
      <c r="CN22" s="10" t="n">
        <v>0.048</v>
      </c>
      <c r="CO22" s="8" t="n">
        <v>15</v>
      </c>
      <c r="CP22" s="7" t="n">
        <v>0.162</v>
      </c>
      <c r="CQ22" s="7" t="n">
        <v>0.074</v>
      </c>
      <c r="CR22" s="4" t="s">
        <v>102</v>
      </c>
      <c r="CS22" s="4"/>
    </row>
    <row r="23" customFormat="false" ht="15" hidden="false" customHeight="false" outlineLevel="0" collapsed="false">
      <c r="A23" s="3" t="n">
        <v>21</v>
      </c>
      <c r="B23" s="4" t="s">
        <v>159</v>
      </c>
      <c r="C23" s="11" t="s">
        <v>104</v>
      </c>
      <c r="D23" s="4" t="s">
        <v>160</v>
      </c>
      <c r="E23" s="4" t="s">
        <v>161</v>
      </c>
      <c r="F23" s="4" t="s">
        <v>104</v>
      </c>
      <c r="G23" s="3" t="n">
        <v>1</v>
      </c>
      <c r="H23" s="6" t="n">
        <v>24.8</v>
      </c>
      <c r="I23" s="3" t="n">
        <v>4</v>
      </c>
      <c r="J23" s="3" t="n">
        <v>6</v>
      </c>
      <c r="K23" s="7" t="n">
        <v>20.88</v>
      </c>
      <c r="L23" s="7" t="n">
        <v>6.26</v>
      </c>
      <c r="M23" s="8" t="n">
        <v>10</v>
      </c>
      <c r="N23" s="8" t="n">
        <v>33</v>
      </c>
      <c r="O23" s="7" t="n">
        <v>20.88</v>
      </c>
      <c r="P23" s="6" t="n">
        <v>99.2</v>
      </c>
      <c r="Q23" s="4" t="s">
        <v>161</v>
      </c>
      <c r="R23" s="8" t="n">
        <v>16</v>
      </c>
      <c r="S23" s="6" t="n">
        <v>322.8</v>
      </c>
      <c r="T23" s="7" t="n">
        <f aca="false">IFERROR(S23/R23,"")</f>
        <v>20.175</v>
      </c>
      <c r="U23" s="6" t="n">
        <v>289.3</v>
      </c>
      <c r="V23" s="6" t="n">
        <v>255.8</v>
      </c>
      <c r="W23" s="8" t="n">
        <v>5</v>
      </c>
      <c r="X23" s="7" t="n">
        <f aca="false">IFERROR(S23/AH23,"")</f>
        <v>0.99938080495356</v>
      </c>
      <c r="Y23" s="9" t="n">
        <f aca="false">IFERROR(S23/AF23,"")</f>
        <v>0.465129682997118</v>
      </c>
      <c r="Z23" s="6" t="n">
        <v>16.58</v>
      </c>
      <c r="AA23" s="6" t="n">
        <v>17.75</v>
      </c>
      <c r="AB23" s="6" t="n">
        <v>25.02</v>
      </c>
      <c r="AC23" s="10" t="n">
        <v>0.688</v>
      </c>
      <c r="AD23" s="10" t="n">
        <v>0</v>
      </c>
      <c r="AE23" s="7" t="n">
        <v>0.395</v>
      </c>
      <c r="AF23" s="8" t="n">
        <v>694</v>
      </c>
      <c r="AG23" s="10" t="n">
        <v>0.754</v>
      </c>
      <c r="AH23" s="8" t="n">
        <v>323</v>
      </c>
      <c r="AI23" s="8" t="n">
        <v>85</v>
      </c>
      <c r="AJ23" s="6" t="n">
        <f aca="false">IFERROR(AI23/R23,"")</f>
        <v>5.3125</v>
      </c>
      <c r="AK23" s="10" t="n">
        <v>0.1941</v>
      </c>
      <c r="AL23" s="10" t="n">
        <v>0.0112</v>
      </c>
      <c r="AM23" s="9" t="n">
        <v>0.299</v>
      </c>
      <c r="AN23" s="8" t="n">
        <v>67</v>
      </c>
      <c r="AO23" s="10" t="n">
        <f aca="false">IFERROR(AN23/AI23,"")</f>
        <v>0.788235294117647</v>
      </c>
      <c r="AP23" s="8" t="n">
        <v>488</v>
      </c>
      <c r="AQ23" s="7" t="n">
        <f aca="false">IFERROR(AP23/AI23,"")</f>
        <v>5.74117647058824</v>
      </c>
      <c r="AR23" s="6" t="n">
        <v>0.412</v>
      </c>
      <c r="AS23" s="7" t="n">
        <v>8.239</v>
      </c>
      <c r="AT23" s="7" t="n">
        <v>13.943</v>
      </c>
      <c r="AU23" s="7"/>
      <c r="AV23" s="7"/>
      <c r="AW23" s="7"/>
      <c r="AX23" s="10" t="n">
        <v>0.0588</v>
      </c>
      <c r="AY23" s="8" t="n">
        <v>238</v>
      </c>
      <c r="AZ23" s="6" t="n">
        <f aca="false">IFERROR(AY23/R23,"")</f>
        <v>14.875</v>
      </c>
      <c r="BA23" s="10" t="n">
        <v>0.5848</v>
      </c>
      <c r="BB23" s="8" t="n">
        <v>1350</v>
      </c>
      <c r="BC23" s="7" t="n">
        <f aca="false">IFERROR(BB23/AY23,"")</f>
        <v>5.67226890756303</v>
      </c>
      <c r="BD23" s="7" t="n">
        <v>2.651</v>
      </c>
      <c r="BE23" s="7" t="n">
        <v>3.021</v>
      </c>
      <c r="BF23" s="8" t="n">
        <v>22</v>
      </c>
      <c r="BG23" s="7" t="n">
        <v>1.02972881630466</v>
      </c>
      <c r="BH23" s="6" t="n">
        <v>23.109243697479</v>
      </c>
      <c r="BI23" s="7" t="n">
        <v>3.5574962962963</v>
      </c>
      <c r="BJ23" s="8" t="n">
        <v>43</v>
      </c>
      <c r="BK23" s="8" t="n">
        <v>16</v>
      </c>
      <c r="BL23" s="8" t="n">
        <v>6</v>
      </c>
      <c r="BM23" s="8" t="n">
        <v>12</v>
      </c>
      <c r="BN23" s="7" t="n">
        <v>8.35</v>
      </c>
      <c r="BO23" s="7" t="n">
        <f aca="false">IFERROR(BM23-BN23,"")</f>
        <v>3.65</v>
      </c>
      <c r="BP23" s="9" t="n">
        <f aca="false">IFERROR(BM23/AH23,"")</f>
        <v>0.0371517027863777</v>
      </c>
      <c r="BQ23" s="6" t="n">
        <v>38.6</v>
      </c>
      <c r="BR23" s="6" t="n">
        <v>37.5</v>
      </c>
      <c r="BS23" s="6" t="n">
        <v>44.5</v>
      </c>
      <c r="BT23" s="7" t="n">
        <v>2.839</v>
      </c>
      <c r="BU23" s="10" t="n">
        <v>0.2101</v>
      </c>
      <c r="BV23" s="10" t="n">
        <v>0.586206896551724</v>
      </c>
      <c r="BW23" s="7" t="n">
        <v>2.199</v>
      </c>
      <c r="BX23" s="10" t="n">
        <v>0.2422</v>
      </c>
      <c r="BY23" s="10" t="n">
        <v>0.0727</v>
      </c>
      <c r="BZ23" s="7" t="n">
        <v>2.29</v>
      </c>
      <c r="CA23" s="10" t="n">
        <v>0.672</v>
      </c>
      <c r="CB23" s="8" t="n">
        <v>4</v>
      </c>
      <c r="CC23" s="10" t="n">
        <v>-0.0584</v>
      </c>
      <c r="CD23" s="10" t="n">
        <v>0.5279</v>
      </c>
      <c r="CE23" s="6" t="n">
        <v>55.41</v>
      </c>
      <c r="CF23" s="6" t="n">
        <v>41</v>
      </c>
      <c r="CG23" s="7" t="n">
        <v>2.82</v>
      </c>
      <c r="CH23" s="6" t="n">
        <v>20.4</v>
      </c>
      <c r="CI23" s="9" t="n">
        <v>-0.026</v>
      </c>
      <c r="CJ23" s="9" t="n">
        <v>-0.0093</v>
      </c>
      <c r="CK23" s="8" t="n">
        <v>209</v>
      </c>
      <c r="CL23" s="10" t="n">
        <v>0.452</v>
      </c>
      <c r="CM23" s="8" t="n">
        <v>28</v>
      </c>
      <c r="CN23" s="10" t="n">
        <v>0.065</v>
      </c>
      <c r="CO23" s="8" t="n">
        <v>32</v>
      </c>
      <c r="CP23" s="7" t="n">
        <v>0.099</v>
      </c>
      <c r="CQ23" s="7" t="n">
        <v>0.099</v>
      </c>
      <c r="CR23" s="4" t="s">
        <v>102</v>
      </c>
      <c r="CS23" s="4"/>
    </row>
    <row r="24" customFormat="false" ht="15" hidden="false" customHeight="false" outlineLevel="0" collapsed="false">
      <c r="A24" s="3" t="n">
        <v>22</v>
      </c>
      <c r="B24" s="4" t="s">
        <v>162</v>
      </c>
      <c r="C24" s="5" t="s">
        <v>99</v>
      </c>
      <c r="D24" s="4" t="s">
        <v>163</v>
      </c>
      <c r="E24" s="4" t="s">
        <v>164</v>
      </c>
      <c r="F24" s="4" t="s">
        <v>99</v>
      </c>
      <c r="G24" s="3" t="n">
        <v>1</v>
      </c>
      <c r="H24" s="6" t="n">
        <v>26.3</v>
      </c>
      <c r="I24" s="3" t="n">
        <v>4</v>
      </c>
      <c r="J24" s="3" t="n">
        <v>5</v>
      </c>
      <c r="K24" s="7" t="n">
        <v>22.15</v>
      </c>
      <c r="L24" s="7" t="n">
        <v>9.15</v>
      </c>
      <c r="M24" s="8" t="n">
        <v>8</v>
      </c>
      <c r="N24" s="8" t="n">
        <v>48</v>
      </c>
      <c r="O24" s="7" t="n">
        <v>22.15</v>
      </c>
      <c r="P24" s="6" t="n">
        <v>98.4</v>
      </c>
      <c r="Q24" s="4" t="s">
        <v>164</v>
      </c>
      <c r="R24" s="8" t="n">
        <v>8</v>
      </c>
      <c r="S24" s="6" t="n">
        <v>150.1</v>
      </c>
      <c r="T24" s="7" t="n">
        <f aca="false">IFERROR(S24/R24,"")</f>
        <v>18.7625</v>
      </c>
      <c r="U24" s="6" t="n">
        <v>123.6</v>
      </c>
      <c r="V24" s="6" t="n">
        <v>97.1</v>
      </c>
      <c r="W24" s="8" t="n">
        <v>40</v>
      </c>
      <c r="X24" s="7" t="n">
        <f aca="false">IFERROR(S24/AH24,"")</f>
        <v>1.80843373493976</v>
      </c>
      <c r="Y24" s="9" t="n">
        <f aca="false">IFERROR(S24/AF24,"")</f>
        <v>0.361686746987952</v>
      </c>
      <c r="Z24" s="6" t="n">
        <v>11.53</v>
      </c>
      <c r="AA24" s="6" t="n">
        <v>20.9</v>
      </c>
      <c r="AB24" s="6" t="n">
        <v>25.43</v>
      </c>
      <c r="AC24" s="10" t="n">
        <v>0.625</v>
      </c>
      <c r="AD24" s="10" t="n">
        <v>0</v>
      </c>
      <c r="AE24" s="7" t="n">
        <v>0.388</v>
      </c>
      <c r="AF24" s="8" t="n">
        <v>415</v>
      </c>
      <c r="AG24" s="10" t="n">
        <v>0.749</v>
      </c>
      <c r="AH24" s="8" t="n">
        <v>83</v>
      </c>
      <c r="AI24" s="8" t="n">
        <v>78</v>
      </c>
      <c r="AJ24" s="6" t="n">
        <f aca="false">IFERROR(AI24/R24,"")</f>
        <v>9.75</v>
      </c>
      <c r="AK24" s="10" t="n">
        <v>0.2868</v>
      </c>
      <c r="AL24" s="10" t="n">
        <v>0.1523</v>
      </c>
      <c r="AM24" s="9" t="n">
        <v>0.5368</v>
      </c>
      <c r="AN24" s="8" t="n">
        <v>53</v>
      </c>
      <c r="AO24" s="10" t="n">
        <f aca="false">IFERROR(AN24/AI24,"")</f>
        <v>0.67948717948718</v>
      </c>
      <c r="AP24" s="8" t="n">
        <v>571</v>
      </c>
      <c r="AQ24" s="7" t="n">
        <f aca="false">IFERROR(AP24/AI24,"")</f>
        <v>7.32051282051282</v>
      </c>
      <c r="AR24" s="6" t="n">
        <v>4.333</v>
      </c>
      <c r="AS24" s="7" t="n">
        <v>7.811</v>
      </c>
      <c r="AT24" s="7" t="n">
        <v>1.689</v>
      </c>
      <c r="AU24" s="7" t="n">
        <v>3.59544145694787</v>
      </c>
      <c r="AV24" s="7" t="n">
        <v>6.31058823529412</v>
      </c>
      <c r="AW24" s="7" t="n">
        <v>0.6166205115972</v>
      </c>
      <c r="AX24" s="10" t="n">
        <v>0.0641</v>
      </c>
      <c r="AY24" s="8" t="n">
        <v>5</v>
      </c>
      <c r="AZ24" s="6" t="n">
        <f aca="false">IFERROR(AY24/R24,"")</f>
        <v>0.625</v>
      </c>
      <c r="BA24" s="10" t="n">
        <v>0.0228</v>
      </c>
      <c r="BB24" s="8" t="n">
        <v>20</v>
      </c>
      <c r="BC24" s="7"/>
      <c r="BD24" s="7"/>
      <c r="BE24" s="7"/>
      <c r="BF24" s="8" t="n">
        <v>0</v>
      </c>
      <c r="BG24" s="7"/>
      <c r="BH24" s="6"/>
      <c r="BI24" s="7"/>
      <c r="BJ24" s="8" t="n">
        <v>21</v>
      </c>
      <c r="BK24" s="8" t="n">
        <v>17</v>
      </c>
      <c r="BL24" s="8" t="n">
        <v>9</v>
      </c>
      <c r="BM24" s="8" t="n">
        <v>6</v>
      </c>
      <c r="BN24" s="7" t="n">
        <v>7.54</v>
      </c>
      <c r="BO24" s="7" t="n">
        <f aca="false">IFERROR(BM24-BN24,"")</f>
        <v>-1.54</v>
      </c>
      <c r="BP24" s="9" t="n">
        <f aca="false">IFERROR(BM24/AH24,"")</f>
        <v>0.072289156626506</v>
      </c>
      <c r="BQ24" s="6" t="n">
        <v>50.1</v>
      </c>
      <c r="BR24" s="6" t="n">
        <v>66.2</v>
      </c>
      <c r="BS24" s="6" t="n">
        <v>34</v>
      </c>
      <c r="BT24" s="7" t="n">
        <v>3.062</v>
      </c>
      <c r="BU24" s="10" t="n">
        <v>0.1258</v>
      </c>
      <c r="BV24" s="10" t="n">
        <v>0.8125</v>
      </c>
      <c r="BW24" s="7" t="n">
        <v>2.623</v>
      </c>
      <c r="BX24" s="10" t="n">
        <v>0.2877</v>
      </c>
      <c r="BY24" s="10" t="n">
        <v>0.0659</v>
      </c>
      <c r="BZ24" s="7" t="n">
        <v>2.212</v>
      </c>
      <c r="CA24" s="10" t="n">
        <v>0.864</v>
      </c>
      <c r="CB24" s="8" t="n">
        <v>5</v>
      </c>
      <c r="CC24" s="10" t="n">
        <v>0.0395</v>
      </c>
      <c r="CD24" s="10" t="n">
        <v>0.5721</v>
      </c>
      <c r="CE24" s="6" t="n">
        <v>61.65</v>
      </c>
      <c r="CF24" s="6" t="n">
        <v>38</v>
      </c>
      <c r="CG24" s="7" t="n">
        <v>3.71</v>
      </c>
      <c r="CH24" s="6" t="n">
        <v>21.3</v>
      </c>
      <c r="CI24" s="9" t="n">
        <v>0.0273</v>
      </c>
      <c r="CJ24" s="9" t="n">
        <v>0.0399</v>
      </c>
      <c r="CK24" s="8" t="n">
        <v>147</v>
      </c>
      <c r="CL24" s="10" t="n">
        <v>0.268</v>
      </c>
      <c r="CM24" s="8" t="n">
        <v>129</v>
      </c>
      <c r="CN24" s="10" t="n">
        <v>0.3</v>
      </c>
      <c r="CO24" s="8" t="n">
        <v>43</v>
      </c>
      <c r="CP24" s="7" t="n">
        <v>-1.293</v>
      </c>
      <c r="CQ24" s="7" t="n">
        <v>0.241</v>
      </c>
      <c r="CR24" s="4" t="s">
        <v>165</v>
      </c>
      <c r="CS24" s="4"/>
    </row>
    <row r="25" customFormat="false" ht="15" hidden="false" customHeight="false" outlineLevel="0" collapsed="false">
      <c r="A25" s="3" t="n">
        <v>23</v>
      </c>
      <c r="B25" s="4" t="s">
        <v>166</v>
      </c>
      <c r="C25" s="5" t="s">
        <v>99</v>
      </c>
      <c r="D25" s="4" t="s">
        <v>167</v>
      </c>
      <c r="E25" s="4" t="s">
        <v>136</v>
      </c>
      <c r="F25" s="4" t="s">
        <v>99</v>
      </c>
      <c r="G25" s="3" t="n">
        <v>1</v>
      </c>
      <c r="H25" s="6" t="n">
        <v>27.8</v>
      </c>
      <c r="I25" s="3" t="n">
        <v>6</v>
      </c>
      <c r="J25" s="3" t="n">
        <v>10</v>
      </c>
      <c r="K25" s="7" t="n">
        <v>23.99</v>
      </c>
      <c r="L25" s="7" t="n">
        <v>7.6</v>
      </c>
      <c r="M25" s="8" t="n">
        <v>11</v>
      </c>
      <c r="N25" s="8" t="n">
        <v>48</v>
      </c>
      <c r="O25" s="7" t="n">
        <v>23.99</v>
      </c>
      <c r="P25" s="6" t="n">
        <v>97.9</v>
      </c>
      <c r="Q25" s="4" t="s">
        <v>136</v>
      </c>
      <c r="R25" s="8" t="n">
        <v>17</v>
      </c>
      <c r="S25" s="6" t="n">
        <v>201.8</v>
      </c>
      <c r="T25" s="7" t="n">
        <f aca="false">IFERROR(S25/R25,"")</f>
        <v>11.8705882352941</v>
      </c>
      <c r="U25" s="6" t="n">
        <v>163.3</v>
      </c>
      <c r="V25" s="6" t="n">
        <v>124.8</v>
      </c>
      <c r="W25" s="8" t="n">
        <v>20</v>
      </c>
      <c r="X25" s="7" t="n">
        <f aca="false">IFERROR(S25/AH25,"")</f>
        <v>1.7858407079646</v>
      </c>
      <c r="Y25" s="9" t="n">
        <f aca="false">IFERROR(S25/AF25,"")</f>
        <v>0.227252252252252</v>
      </c>
      <c r="Z25" s="6" t="n">
        <v>7</v>
      </c>
      <c r="AA25" s="6" t="n">
        <v>9.3</v>
      </c>
      <c r="AB25" s="6" t="n">
        <v>18.4</v>
      </c>
      <c r="AC25" s="10" t="n">
        <v>0.176</v>
      </c>
      <c r="AD25" s="10" t="n">
        <v>0.059</v>
      </c>
      <c r="AE25" s="7" t="n">
        <v>0.839</v>
      </c>
      <c r="AF25" s="8" t="n">
        <v>888</v>
      </c>
      <c r="AG25" s="10" t="n">
        <v>0.844</v>
      </c>
      <c r="AH25" s="8" t="n">
        <v>113</v>
      </c>
      <c r="AI25" s="8" t="n">
        <v>113</v>
      </c>
      <c r="AJ25" s="6" t="n">
        <f aca="false">IFERROR(AI25/R25,"")</f>
        <v>6.64705882352941</v>
      </c>
      <c r="AK25" s="10" t="n">
        <v>0.2435</v>
      </c>
      <c r="AL25" s="10" t="n">
        <v>0.3217</v>
      </c>
      <c r="AM25" s="9" t="n">
        <v>0.5904</v>
      </c>
      <c r="AN25" s="8" t="n">
        <v>77</v>
      </c>
      <c r="AO25" s="10" t="n">
        <f aca="false">IFERROR(AN25/AI25,"")</f>
        <v>0.68141592920354</v>
      </c>
      <c r="AP25" s="8" t="n">
        <v>1008</v>
      </c>
      <c r="AQ25" s="7" t="n">
        <f aca="false">IFERROR(AP25/AI25,"")</f>
        <v>8.92035398230089</v>
      </c>
      <c r="AR25" s="6" t="n">
        <v>11.991</v>
      </c>
      <c r="AS25" s="7" t="n">
        <v>3.805</v>
      </c>
      <c r="AT25" s="7" t="n">
        <v>0.744</v>
      </c>
      <c r="AU25" s="7" t="n">
        <v>2.82183284965729</v>
      </c>
      <c r="AV25" s="7" t="n">
        <v>6.36339805825243</v>
      </c>
      <c r="AW25" s="7" t="n">
        <v>-0.117766696003175</v>
      </c>
      <c r="AX25" s="10" t="n">
        <v>0.0265</v>
      </c>
      <c r="AY25" s="8" t="n">
        <v>0</v>
      </c>
      <c r="AZ25" s="6" t="n">
        <f aca="false">IFERROR(AY25/R25,"")</f>
        <v>0</v>
      </c>
      <c r="BA25" s="10" t="n">
        <v>0</v>
      </c>
      <c r="BB25" s="8" t="n">
        <v>0</v>
      </c>
      <c r="BC25" s="7"/>
      <c r="BD25" s="7"/>
      <c r="BE25" s="7"/>
      <c r="BF25" s="8"/>
      <c r="BG25" s="7"/>
      <c r="BH25" s="6"/>
      <c r="BI25" s="7"/>
      <c r="BJ25" s="8" t="n">
        <v>11</v>
      </c>
      <c r="BK25" s="8" t="n">
        <v>3</v>
      </c>
      <c r="BL25" s="8" t="n">
        <v>2</v>
      </c>
      <c r="BM25" s="8" t="n">
        <v>4</v>
      </c>
      <c r="BN25" s="7" t="n">
        <v>3.84</v>
      </c>
      <c r="BO25" s="7" t="n">
        <f aca="false">IFERROR(BM25-BN25,"")</f>
        <v>0.16</v>
      </c>
      <c r="BP25" s="9" t="n">
        <f aca="false">IFERROR(BM25/AH25,"")</f>
        <v>0.0353982300884956</v>
      </c>
      <c r="BQ25" s="6" t="n">
        <v>48.2</v>
      </c>
      <c r="BR25" s="6" t="n">
        <v>35.6</v>
      </c>
      <c r="BS25" s="6" t="n">
        <v>61.6</v>
      </c>
      <c r="BT25" s="7" t="n">
        <v>2.749</v>
      </c>
      <c r="BU25" s="10" t="n">
        <v>0.2192</v>
      </c>
      <c r="BV25" s="10" t="n">
        <v>0.466666666666667</v>
      </c>
      <c r="BW25" s="7" t="n">
        <v>2.6</v>
      </c>
      <c r="BX25" s="10" t="n">
        <v>0.2334</v>
      </c>
      <c r="BY25" s="10" t="n">
        <v>0.0577</v>
      </c>
      <c r="BZ25" s="7" t="n">
        <v>2.491</v>
      </c>
      <c r="CA25" s="10" t="n">
        <v>0.909</v>
      </c>
      <c r="CB25" s="8" t="n">
        <v>5</v>
      </c>
      <c r="CC25" s="10" t="n">
        <v>-0.0248</v>
      </c>
      <c r="CD25" s="10" t="n">
        <v>0.5347</v>
      </c>
      <c r="CE25" s="6" t="n">
        <v>58.53</v>
      </c>
      <c r="CF25" s="6" t="n">
        <v>39</v>
      </c>
      <c r="CG25" s="7" t="n">
        <v>2.76</v>
      </c>
      <c r="CH25" s="6" t="n">
        <v>22.3</v>
      </c>
      <c r="CI25" s="9" t="n">
        <v>0.0054</v>
      </c>
      <c r="CJ25" s="9" t="n">
        <v>0.0436</v>
      </c>
      <c r="CK25" s="8" t="n">
        <v>175</v>
      </c>
      <c r="CL25" s="10" t="n">
        <v>0.377</v>
      </c>
      <c r="CM25" s="8" t="n">
        <v>12</v>
      </c>
      <c r="CN25" s="10" t="n">
        <v>0.025</v>
      </c>
      <c r="CO25" s="8" t="n">
        <v>23</v>
      </c>
      <c r="CP25" s="7" t="n">
        <v>-0.381</v>
      </c>
      <c r="CQ25" s="7" t="n">
        <v>-0.863</v>
      </c>
      <c r="CR25" s="4" t="s">
        <v>121</v>
      </c>
      <c r="CS25" s="4"/>
    </row>
    <row r="26" customFormat="false" ht="15" hidden="false" customHeight="false" outlineLevel="0" collapsed="false">
      <c r="A26" s="3" t="n">
        <v>24</v>
      </c>
      <c r="B26" s="4" t="s">
        <v>168</v>
      </c>
      <c r="C26" s="11" t="s">
        <v>104</v>
      </c>
      <c r="D26" s="4" t="s">
        <v>169</v>
      </c>
      <c r="E26" s="4" t="s">
        <v>170</v>
      </c>
      <c r="F26" s="4" t="s">
        <v>104</v>
      </c>
      <c r="G26" s="3" t="n">
        <v>1</v>
      </c>
      <c r="H26" s="6" t="n">
        <v>23.4</v>
      </c>
      <c r="I26" s="3" t="n">
        <v>2</v>
      </c>
      <c r="J26" s="3" t="n">
        <v>7</v>
      </c>
      <c r="K26" s="7" t="n">
        <v>25.64</v>
      </c>
      <c r="L26" s="7" t="n">
        <v>7.39</v>
      </c>
      <c r="M26" s="8" t="n">
        <v>11</v>
      </c>
      <c r="N26" s="8" t="n">
        <v>46</v>
      </c>
      <c r="O26" s="7" t="n">
        <v>25.64</v>
      </c>
      <c r="P26" s="6" t="n">
        <v>99</v>
      </c>
      <c r="Q26" s="4" t="s">
        <v>170</v>
      </c>
      <c r="R26" s="8" t="n">
        <v>9</v>
      </c>
      <c r="S26" s="6" t="n">
        <v>135.7</v>
      </c>
      <c r="T26" s="7" t="n">
        <f aca="false">IFERROR(S26/R26,"")</f>
        <v>15.0777777777778</v>
      </c>
      <c r="U26" s="6" t="n">
        <v>119.7</v>
      </c>
      <c r="V26" s="6" t="n">
        <v>103.7</v>
      </c>
      <c r="W26" s="8" t="n">
        <v>34</v>
      </c>
      <c r="X26" s="7" t="n">
        <f aca="false">IFERROR(S26/AH26,"")</f>
        <v>0.853459119496855</v>
      </c>
      <c r="Y26" s="9" t="n">
        <f aca="false">IFERROR(S26/AF26,"")</f>
        <v>0.353385416666667</v>
      </c>
      <c r="Z26" s="6" t="n">
        <v>8.1</v>
      </c>
      <c r="AA26" s="6" t="n">
        <v>14.7</v>
      </c>
      <c r="AB26" s="6" t="n">
        <v>23.92</v>
      </c>
      <c r="AC26" s="10" t="n">
        <v>0.333</v>
      </c>
      <c r="AD26" s="10" t="n">
        <v>0</v>
      </c>
      <c r="AE26" s="7" t="n">
        <v>0.549</v>
      </c>
      <c r="AF26" s="8" t="n">
        <v>384</v>
      </c>
      <c r="AG26" s="10" t="n">
        <v>0.634</v>
      </c>
      <c r="AH26" s="8" t="n">
        <v>159</v>
      </c>
      <c r="AI26" s="8" t="n">
        <v>35</v>
      </c>
      <c r="AJ26" s="6" t="n">
        <f aca="false">IFERROR(AI26/R26,"")</f>
        <v>3.88888888888889</v>
      </c>
      <c r="AK26" s="10" t="n">
        <v>0.1232</v>
      </c>
      <c r="AL26" s="10" t="n">
        <v>-0.0232</v>
      </c>
      <c r="AM26" s="9" t="n">
        <v>0.1686</v>
      </c>
      <c r="AN26" s="8" t="n">
        <v>32</v>
      </c>
      <c r="AO26" s="10" t="n">
        <f aca="false">IFERROR(AN26/AI26,"")</f>
        <v>0.914285714285714</v>
      </c>
      <c r="AP26" s="8" t="n">
        <v>192</v>
      </c>
      <c r="AQ26" s="7" t="n">
        <f aca="false">IFERROR(AP26/AI26,"")</f>
        <v>5.48571428571429</v>
      </c>
      <c r="AR26" s="6" t="n">
        <v>-1.543</v>
      </c>
      <c r="AS26" s="7" t="n">
        <v>7.656</v>
      </c>
      <c r="AT26" s="7" t="n">
        <v>-3.556</v>
      </c>
      <c r="AU26" s="7"/>
      <c r="AV26" s="7"/>
      <c r="AW26" s="7"/>
      <c r="AX26" s="10" t="n">
        <v>0</v>
      </c>
      <c r="AY26" s="8" t="n">
        <v>124</v>
      </c>
      <c r="AZ26" s="6" t="n">
        <f aca="false">IFERROR(AY26/R26,"")</f>
        <v>13.7777777777778</v>
      </c>
      <c r="BA26" s="10" t="n">
        <v>0.5145</v>
      </c>
      <c r="BB26" s="8" t="n">
        <v>545</v>
      </c>
      <c r="BC26" s="7" t="n">
        <f aca="false">IFERROR(BB26/AY26,"")</f>
        <v>4.39516129032258</v>
      </c>
      <c r="BD26" s="7" t="n">
        <v>2.71</v>
      </c>
      <c r="BE26" s="7" t="n">
        <v>1.685</v>
      </c>
      <c r="BF26" s="8" t="n">
        <v>15</v>
      </c>
      <c r="BG26" s="7" t="n">
        <v>0.658077752894987</v>
      </c>
      <c r="BH26" s="6" t="n">
        <v>25.8064516129032</v>
      </c>
      <c r="BI26" s="7" t="n">
        <v>3.94088073394496</v>
      </c>
      <c r="BJ26" s="8" t="n">
        <v>28</v>
      </c>
      <c r="BK26" s="8" t="n">
        <v>16</v>
      </c>
      <c r="BL26" s="8" t="n">
        <v>9</v>
      </c>
      <c r="BM26" s="8" t="n">
        <v>5</v>
      </c>
      <c r="BN26" s="7" t="n">
        <v>5.8</v>
      </c>
      <c r="BO26" s="7" t="n">
        <f aca="false">IFERROR(BM26-BN26,"")</f>
        <v>-0.8</v>
      </c>
      <c r="BP26" s="9" t="n">
        <f aca="false">IFERROR(BM26/AH26,"")</f>
        <v>0.0314465408805031</v>
      </c>
      <c r="BQ26" s="6" t="n">
        <v>26.9</v>
      </c>
      <c r="BR26" s="6" t="n">
        <v>40.7</v>
      </c>
      <c r="BS26" s="6" t="n">
        <v>23</v>
      </c>
      <c r="BT26" s="7" t="n">
        <v>2.77</v>
      </c>
      <c r="BU26" s="10" t="n">
        <v>0.2195</v>
      </c>
      <c r="BV26" s="10" t="n">
        <v>0.611111111111111</v>
      </c>
      <c r="BW26" s="7" t="n">
        <v>2.614</v>
      </c>
      <c r="BX26" s="10" t="n">
        <v>0.3427</v>
      </c>
      <c r="BY26" s="10" t="n">
        <v>0.0832</v>
      </c>
      <c r="BZ26" s="7" t="n">
        <v>2.37</v>
      </c>
      <c r="CA26" s="10" t="n">
        <v>0.205</v>
      </c>
      <c r="CB26" s="8" t="n">
        <v>1</v>
      </c>
      <c r="CC26" s="10" t="n">
        <v>0.0064</v>
      </c>
      <c r="CD26" s="10" t="n">
        <v>0.579</v>
      </c>
      <c r="CE26" s="6" t="n">
        <v>63.53</v>
      </c>
      <c r="CF26" s="6" t="n">
        <v>39</v>
      </c>
      <c r="CG26" s="7" t="n">
        <v>3.47</v>
      </c>
      <c r="CH26" s="6" t="n">
        <v>21.6</v>
      </c>
      <c r="CI26" s="9" t="n">
        <v>0.0187</v>
      </c>
      <c r="CJ26" s="9" t="n">
        <v>-0.0542</v>
      </c>
      <c r="CK26" s="8" t="n">
        <v>15</v>
      </c>
      <c r="CL26" s="10" t="n">
        <v>0.028</v>
      </c>
      <c r="CM26" s="8" t="n">
        <v>23</v>
      </c>
      <c r="CN26" s="10" t="n">
        <v>0.049</v>
      </c>
      <c r="CO26" s="8" t="n">
        <v>2</v>
      </c>
      <c r="CP26" s="7" t="n">
        <v>-1.136</v>
      </c>
      <c r="CQ26" s="7" t="n">
        <v>-0.216</v>
      </c>
      <c r="CR26" s="4" t="s">
        <v>165</v>
      </c>
      <c r="CS26" s="4"/>
    </row>
    <row r="27" customFormat="false" ht="15" hidden="false" customHeight="false" outlineLevel="0" collapsed="false">
      <c r="A27" s="3" t="n">
        <v>25</v>
      </c>
      <c r="B27" s="4" t="s">
        <v>171</v>
      </c>
      <c r="C27" s="13" t="s">
        <v>172</v>
      </c>
      <c r="D27" s="4" t="s">
        <v>173</v>
      </c>
      <c r="E27" s="4" t="s">
        <v>147</v>
      </c>
      <c r="F27" s="4" t="s">
        <v>172</v>
      </c>
      <c r="G27" s="3" t="n">
        <v>1</v>
      </c>
      <c r="H27" s="6" t="n">
        <v>30.2</v>
      </c>
      <c r="I27" s="3" t="n">
        <v>9</v>
      </c>
      <c r="J27" s="3" t="n">
        <v>7</v>
      </c>
      <c r="K27" s="7" t="n">
        <v>25.86</v>
      </c>
      <c r="L27" s="7" t="n">
        <v>2.48</v>
      </c>
      <c r="M27" s="8" t="n">
        <v>21</v>
      </c>
      <c r="N27" s="8" t="n">
        <v>36</v>
      </c>
      <c r="O27" s="7" t="n">
        <v>25.86</v>
      </c>
      <c r="P27" s="6" t="n">
        <v>99.6</v>
      </c>
      <c r="Q27" s="4" t="s">
        <v>147</v>
      </c>
      <c r="R27" s="8" t="n">
        <v>16</v>
      </c>
      <c r="S27" s="6" t="n">
        <v>364.62</v>
      </c>
      <c r="T27" s="7" t="n">
        <f aca="false">IFERROR(S27/R27,"")</f>
        <v>22.78875</v>
      </c>
      <c r="U27" s="6" t="n">
        <v>364.62</v>
      </c>
      <c r="V27" s="6" t="n">
        <v>364.62</v>
      </c>
      <c r="W27" s="8" t="n">
        <v>1</v>
      </c>
      <c r="X27" s="7" t="n">
        <f aca="false">IFERROR(S27/AH27,"")</f>
        <v>3.25553571428571</v>
      </c>
      <c r="Y27" s="9" t="n">
        <f aca="false">IFERROR(S27/AF27,"")</f>
        <v>0.352630560928433</v>
      </c>
      <c r="Z27" s="6" t="n">
        <v>16.39</v>
      </c>
      <c r="AA27" s="6" t="n">
        <v>23.1</v>
      </c>
      <c r="AB27" s="6" t="n">
        <v>35.58</v>
      </c>
      <c r="AC27" s="10" t="n">
        <v>0.625</v>
      </c>
      <c r="AD27" s="10" t="n">
        <v>0</v>
      </c>
      <c r="AE27" s="7" t="n">
        <v>0.45</v>
      </c>
      <c r="AF27" s="8" t="n">
        <v>1034</v>
      </c>
      <c r="AG27" s="10" t="n">
        <v>0.922</v>
      </c>
      <c r="AH27" s="8" t="n">
        <v>112</v>
      </c>
      <c r="AI27" s="8" t="n">
        <v>0</v>
      </c>
      <c r="AJ27" s="6" t="n">
        <f aca="false">IFERROR(AI27/R27,"")</f>
        <v>0</v>
      </c>
      <c r="AK27" s="10" t="n">
        <v>0</v>
      </c>
      <c r="AL27" s="10" t="n">
        <v>0</v>
      </c>
      <c r="AM27" s="9" t="n">
        <v>0</v>
      </c>
      <c r="AN27" s="8" t="n">
        <v>0</v>
      </c>
      <c r="AO27" s="10"/>
      <c r="AP27" s="8" t="n">
        <v>0</v>
      </c>
      <c r="AQ27" s="7"/>
      <c r="AR27" s="6"/>
      <c r="AS27" s="7"/>
      <c r="AT27" s="7"/>
      <c r="AU27" s="7"/>
      <c r="AV27" s="7"/>
      <c r="AW27" s="7"/>
      <c r="AX27" s="10"/>
      <c r="AY27" s="8" t="n">
        <v>112</v>
      </c>
      <c r="AZ27" s="6" t="n">
        <f aca="false">IFERROR(AY27/R27,"")</f>
        <v>7</v>
      </c>
      <c r="BA27" s="10" t="n">
        <v>0.2222</v>
      </c>
      <c r="BB27" s="8" t="n">
        <v>579</v>
      </c>
      <c r="BC27" s="7" t="n">
        <f aca="false">IFERROR(BB27/AY27,"")</f>
        <v>5.16964285714286</v>
      </c>
      <c r="BD27" s="7" t="n">
        <v>3.179</v>
      </c>
      <c r="BE27" s="7" t="n">
        <v>1.991</v>
      </c>
      <c r="BF27" s="8" t="n">
        <v>7</v>
      </c>
      <c r="BG27" s="7"/>
      <c r="BH27" s="6"/>
      <c r="BI27" s="7"/>
      <c r="BJ27" s="8" t="n">
        <v>27</v>
      </c>
      <c r="BK27" s="8" t="n">
        <v>21</v>
      </c>
      <c r="BL27" s="8" t="n">
        <v>17</v>
      </c>
      <c r="BM27" s="8" t="n">
        <v>14</v>
      </c>
      <c r="BN27" s="7" t="n">
        <v>8.5</v>
      </c>
      <c r="BO27" s="7" t="n">
        <f aca="false">IFERROR(BM27-BN27,"")</f>
        <v>5.5</v>
      </c>
      <c r="BP27" s="9" t="n">
        <f aca="false">IFERROR(BM27/AH27,"")</f>
        <v>0.125</v>
      </c>
      <c r="BQ27" s="6" t="n">
        <v>73.6</v>
      </c>
      <c r="BR27" s="6" t="n">
        <v>72.8</v>
      </c>
      <c r="BS27" s="6" t="n">
        <v>64.4</v>
      </c>
      <c r="BT27" s="7" t="n">
        <v>3.397</v>
      </c>
      <c r="BU27" s="10" t="n">
        <v>0.1265</v>
      </c>
      <c r="BV27" s="10" t="n">
        <v>0.540540540540541</v>
      </c>
      <c r="BW27" s="7" t="n">
        <v>2.905</v>
      </c>
      <c r="BX27" s="10" t="n">
        <v>0.2</v>
      </c>
      <c r="BY27" s="10" t="n">
        <v>0.0702</v>
      </c>
      <c r="BZ27" s="7" t="n">
        <v>2.507</v>
      </c>
      <c r="CA27" s="10" t="n">
        <v>0.763</v>
      </c>
      <c r="CB27" s="8" t="n">
        <v>4</v>
      </c>
      <c r="CC27" s="10" t="n">
        <v>-0.0352</v>
      </c>
      <c r="CD27" s="10" t="n">
        <v>0.5028</v>
      </c>
      <c r="CE27" s="6" t="n">
        <v>62.65</v>
      </c>
      <c r="CF27" s="6" t="n">
        <v>40</v>
      </c>
      <c r="CG27" s="7" t="n">
        <v>4</v>
      </c>
      <c r="CH27" s="6" t="n">
        <v>28.3</v>
      </c>
      <c r="CI27" s="9" t="n">
        <v>0.1102</v>
      </c>
      <c r="CJ27" s="9" t="n">
        <v>0.1599</v>
      </c>
      <c r="CK27" s="8" t="n">
        <v>19</v>
      </c>
      <c r="CL27" s="10" t="n">
        <v>0.04</v>
      </c>
      <c r="CM27" s="8" t="n">
        <v>17</v>
      </c>
      <c r="CN27" s="10" t="n">
        <v>0.031</v>
      </c>
      <c r="CO27" s="8" t="n">
        <v>2</v>
      </c>
      <c r="CP27" s="7" t="n">
        <v>0.027</v>
      </c>
      <c r="CQ27" s="7" t="n">
        <v>0.026</v>
      </c>
      <c r="CR27" s="4" t="s">
        <v>102</v>
      </c>
      <c r="CS27" s="4"/>
    </row>
    <row r="28" customFormat="false" ht="15" hidden="false" customHeight="false" outlineLevel="0" collapsed="false">
      <c r="A28" s="3" t="n">
        <v>26</v>
      </c>
      <c r="B28" s="4" t="s">
        <v>174</v>
      </c>
      <c r="C28" s="11" t="s">
        <v>104</v>
      </c>
      <c r="D28" s="4" t="s">
        <v>175</v>
      </c>
      <c r="E28" s="4" t="s">
        <v>136</v>
      </c>
      <c r="F28" s="4" t="s">
        <v>104</v>
      </c>
      <c r="G28" s="3" t="n">
        <v>1</v>
      </c>
      <c r="H28" s="6" t="n">
        <v>29.5</v>
      </c>
      <c r="I28" s="3" t="n">
        <v>9</v>
      </c>
      <c r="J28" s="3" t="n">
        <v>10</v>
      </c>
      <c r="K28" s="7" t="n">
        <v>25.94</v>
      </c>
      <c r="L28" s="7" t="n">
        <v>7.1</v>
      </c>
      <c r="M28" s="8" t="n">
        <v>10</v>
      </c>
      <c r="N28" s="8" t="n">
        <v>41</v>
      </c>
      <c r="O28" s="7" t="n">
        <v>25.94</v>
      </c>
      <c r="P28" s="6" t="n">
        <v>99.4</v>
      </c>
      <c r="Q28" s="4" t="s">
        <v>136</v>
      </c>
      <c r="R28" s="8" t="n">
        <v>16</v>
      </c>
      <c r="S28" s="6" t="n">
        <v>232.3</v>
      </c>
      <c r="T28" s="7" t="n">
        <f aca="false">IFERROR(S28/R28,"")</f>
        <v>14.51875</v>
      </c>
      <c r="U28" s="6" t="n">
        <v>213.8</v>
      </c>
      <c r="V28" s="6" t="n">
        <v>195.3</v>
      </c>
      <c r="W28" s="8" t="n">
        <v>14</v>
      </c>
      <c r="X28" s="7" t="n">
        <f aca="false">IFERROR(S28/AH28,"")</f>
        <v>0.703939393939394</v>
      </c>
      <c r="Y28" s="9" t="n">
        <f aca="false">IFERROR(S28/AF28,"")</f>
        <v>0.300517464424321</v>
      </c>
      <c r="Z28" s="6" t="n">
        <v>9.3</v>
      </c>
      <c r="AA28" s="6" t="n">
        <v>15.15</v>
      </c>
      <c r="AB28" s="6" t="n">
        <v>18.35</v>
      </c>
      <c r="AC28" s="10" t="n">
        <v>0.375</v>
      </c>
      <c r="AD28" s="10" t="n">
        <v>0</v>
      </c>
      <c r="AE28" s="7" t="n">
        <v>0.475</v>
      </c>
      <c r="AF28" s="8" t="n">
        <v>773</v>
      </c>
      <c r="AG28" s="10" t="n">
        <v>0.783</v>
      </c>
      <c r="AH28" s="8" t="n">
        <v>330</v>
      </c>
      <c r="AI28" s="8" t="n">
        <v>50</v>
      </c>
      <c r="AJ28" s="6" t="n">
        <f aca="false">IFERROR(AI28/R28,"")</f>
        <v>3.125</v>
      </c>
      <c r="AK28" s="10" t="n">
        <v>0.1163</v>
      </c>
      <c r="AL28" s="10" t="n">
        <v>0.008</v>
      </c>
      <c r="AM28" s="9" t="n">
        <v>0.18</v>
      </c>
      <c r="AN28" s="8" t="n">
        <v>37</v>
      </c>
      <c r="AO28" s="10" t="n">
        <f aca="false">IFERROR(AN28/AI28,"")</f>
        <v>0.74</v>
      </c>
      <c r="AP28" s="8" t="n">
        <v>273</v>
      </c>
      <c r="AQ28" s="7" t="n">
        <f aca="false">IFERROR(AP28/AI28,"")</f>
        <v>5.46</v>
      </c>
      <c r="AR28" s="6" t="n">
        <v>0.62</v>
      </c>
      <c r="AS28" s="7" t="n">
        <v>8</v>
      </c>
      <c r="AT28" s="7" t="n">
        <v>8.806</v>
      </c>
      <c r="AU28" s="7"/>
      <c r="AV28" s="7"/>
      <c r="AW28" s="7"/>
      <c r="AX28" s="10" t="n">
        <v>0.04</v>
      </c>
      <c r="AY28" s="8" t="n">
        <v>280</v>
      </c>
      <c r="AZ28" s="6" t="n">
        <f aca="false">IFERROR(AY28/R28,"")</f>
        <v>17.5</v>
      </c>
      <c r="BA28" s="10" t="n">
        <v>0.61</v>
      </c>
      <c r="BB28" s="8" t="n">
        <v>1140</v>
      </c>
      <c r="BC28" s="7" t="n">
        <f aca="false">IFERROR(BB28/AY28,"")</f>
        <v>4.07142857142857</v>
      </c>
      <c r="BD28" s="7" t="n">
        <v>2.461</v>
      </c>
      <c r="BE28" s="7" t="n">
        <v>1.611</v>
      </c>
      <c r="BF28" s="8" t="n">
        <v>18</v>
      </c>
      <c r="BG28" s="7" t="n">
        <v>0.276122068301088</v>
      </c>
      <c r="BH28" s="6" t="n">
        <v>31.0714285714286</v>
      </c>
      <c r="BI28" s="7" t="n">
        <v>4.08211403508772</v>
      </c>
      <c r="BJ28" s="8" t="n">
        <v>50</v>
      </c>
      <c r="BK28" s="8" t="n">
        <v>27</v>
      </c>
      <c r="BL28" s="8" t="n">
        <v>15</v>
      </c>
      <c r="BM28" s="8" t="n">
        <v>9</v>
      </c>
      <c r="BN28" s="7" t="n">
        <v>10.52</v>
      </c>
      <c r="BO28" s="7" t="n">
        <f aca="false">IFERROR(BM28-BN28,"")</f>
        <v>-1.52</v>
      </c>
      <c r="BP28" s="9" t="n">
        <f aca="false">IFERROR(BM28/AH28,"")</f>
        <v>0.0272727272727273</v>
      </c>
      <c r="BQ28" s="6" t="n">
        <v>48.2</v>
      </c>
      <c r="BR28" s="6" t="n">
        <v>35.6</v>
      </c>
      <c r="BS28" s="6" t="n">
        <v>61.6</v>
      </c>
      <c r="BT28" s="7" t="n">
        <v>2.749</v>
      </c>
      <c r="BU28" s="10" t="n">
        <v>0.2192</v>
      </c>
      <c r="BV28" s="10" t="n">
        <v>0.466666666666667</v>
      </c>
      <c r="BW28" s="7" t="n">
        <v>2.6</v>
      </c>
      <c r="BX28" s="10" t="n">
        <v>0.2334</v>
      </c>
      <c r="BY28" s="10" t="n">
        <v>0.0577</v>
      </c>
      <c r="BZ28" s="7" t="n">
        <v>2.491</v>
      </c>
      <c r="CA28" s="10" t="n">
        <v>0.909</v>
      </c>
      <c r="CB28" s="8" t="n">
        <v>5</v>
      </c>
      <c r="CC28" s="10" t="n">
        <v>-0.0248</v>
      </c>
      <c r="CD28" s="10" t="n">
        <v>0.5347</v>
      </c>
      <c r="CE28" s="6" t="n">
        <v>58.53</v>
      </c>
      <c r="CF28" s="6" t="n">
        <v>39</v>
      </c>
      <c r="CG28" s="7" t="n">
        <v>2.76</v>
      </c>
      <c r="CH28" s="6" t="n">
        <v>22.3</v>
      </c>
      <c r="CI28" s="9" t="n">
        <v>0.0054</v>
      </c>
      <c r="CJ28" s="9" t="n">
        <v>0.0436</v>
      </c>
      <c r="CK28" s="8" t="n">
        <v>175</v>
      </c>
      <c r="CL28" s="10" t="n">
        <v>0.377</v>
      </c>
      <c r="CM28" s="8" t="n">
        <v>12</v>
      </c>
      <c r="CN28" s="10" t="n">
        <v>0.025</v>
      </c>
      <c r="CO28" s="8" t="n">
        <v>23</v>
      </c>
      <c r="CP28" s="7" t="n">
        <v>-0.224</v>
      </c>
      <c r="CQ28" s="7" t="n">
        <v>-0.268</v>
      </c>
      <c r="CR28" s="4" t="s">
        <v>102</v>
      </c>
      <c r="CS28" s="4"/>
    </row>
    <row r="29" customFormat="false" ht="15" hidden="false" customHeight="false" outlineLevel="0" collapsed="false">
      <c r="A29" s="3" t="n">
        <v>27</v>
      </c>
      <c r="B29" s="4" t="s">
        <v>176</v>
      </c>
      <c r="C29" s="5" t="s">
        <v>99</v>
      </c>
      <c r="D29" s="4" t="s">
        <v>177</v>
      </c>
      <c r="E29" s="4" t="s">
        <v>178</v>
      </c>
      <c r="F29" s="4" t="s">
        <v>99</v>
      </c>
      <c r="G29" s="3" t="n">
        <v>1</v>
      </c>
      <c r="H29" s="6" t="n">
        <v>23.1</v>
      </c>
      <c r="I29" s="3" t="n">
        <v>3</v>
      </c>
      <c r="J29" s="3" t="n">
        <v>8</v>
      </c>
      <c r="K29" s="7" t="n">
        <v>28.55</v>
      </c>
      <c r="L29" s="7" t="n">
        <v>11.16</v>
      </c>
      <c r="M29" s="8" t="n">
        <v>8</v>
      </c>
      <c r="N29" s="8" t="n">
        <v>60</v>
      </c>
      <c r="O29" s="7" t="n">
        <v>28.55</v>
      </c>
      <c r="P29" s="6" t="n">
        <v>98.4</v>
      </c>
      <c r="Q29" s="4" t="s">
        <v>178</v>
      </c>
      <c r="R29" s="8" t="n">
        <v>4</v>
      </c>
      <c r="S29" s="6" t="n">
        <v>57.1</v>
      </c>
      <c r="T29" s="7" t="n">
        <f aca="false">IFERROR(S29/R29,"")</f>
        <v>14.275</v>
      </c>
      <c r="U29" s="6" t="n">
        <v>48.1</v>
      </c>
      <c r="V29" s="6" t="n">
        <v>39.1</v>
      </c>
      <c r="W29" s="8" t="n">
        <v>79</v>
      </c>
      <c r="X29" s="7" t="n">
        <f aca="false">IFERROR(S29/AH29,"")</f>
        <v>1.63142857142857</v>
      </c>
      <c r="Y29" s="9" t="n">
        <f aca="false">IFERROR(S29/AF29,"")</f>
        <v>0.264351851851852</v>
      </c>
      <c r="Z29" s="6" t="n">
        <v>3.82</v>
      </c>
      <c r="AA29" s="6" t="n">
        <v>8.05</v>
      </c>
      <c r="AB29" s="6" t="n">
        <v>26.18</v>
      </c>
      <c r="AC29" s="10" t="n">
        <v>0.25</v>
      </c>
      <c r="AD29" s="10" t="n">
        <v>0</v>
      </c>
      <c r="AE29" s="7" t="n">
        <v>2.002</v>
      </c>
      <c r="AF29" s="8" t="n">
        <v>216</v>
      </c>
      <c r="AG29" s="10" t="n">
        <v>0.795</v>
      </c>
      <c r="AH29" s="8" t="n">
        <v>35</v>
      </c>
      <c r="AI29" s="8" t="n">
        <v>35</v>
      </c>
      <c r="AJ29" s="6" t="n">
        <f aca="false">IFERROR(AI29/R29,"")</f>
        <v>8.75</v>
      </c>
      <c r="AK29" s="10" t="n">
        <v>0.2869</v>
      </c>
      <c r="AL29" s="10" t="n">
        <v>0.5144</v>
      </c>
      <c r="AM29" s="9" t="n">
        <v>0.7904</v>
      </c>
      <c r="AN29" s="8" t="n">
        <v>18</v>
      </c>
      <c r="AO29" s="10" t="n">
        <f aca="false">IFERROR(AN29/AI29,"")</f>
        <v>0.514285714285714</v>
      </c>
      <c r="AP29" s="8" t="n">
        <v>271</v>
      </c>
      <c r="AQ29" s="7" t="n">
        <f aca="false">IFERROR(AP29/AI29,"")</f>
        <v>7.74285714285714</v>
      </c>
      <c r="AR29" s="6" t="n">
        <v>15.857</v>
      </c>
      <c r="AS29" s="7" t="n">
        <v>2.889</v>
      </c>
      <c r="AT29" s="7" t="n">
        <v>0.488</v>
      </c>
      <c r="AU29" s="7"/>
      <c r="AV29" s="7"/>
      <c r="AW29" s="7"/>
      <c r="AX29" s="10" t="n">
        <v>0.0286</v>
      </c>
      <c r="AY29" s="8" t="n">
        <v>0</v>
      </c>
      <c r="AZ29" s="6" t="n">
        <f aca="false">IFERROR(AY29/R29,"")</f>
        <v>0</v>
      </c>
      <c r="BA29" s="10" t="n">
        <v>0</v>
      </c>
      <c r="BB29" s="8" t="n">
        <v>0</v>
      </c>
      <c r="BC29" s="7"/>
      <c r="BD29" s="7"/>
      <c r="BE29" s="7"/>
      <c r="BF29" s="8"/>
      <c r="BG29" s="7"/>
      <c r="BH29" s="6"/>
      <c r="BI29" s="7"/>
      <c r="BJ29" s="8" t="n">
        <v>4</v>
      </c>
      <c r="BK29" s="8" t="n">
        <v>3</v>
      </c>
      <c r="BL29" s="8" t="n">
        <v>2</v>
      </c>
      <c r="BM29" s="8" t="n">
        <v>2</v>
      </c>
      <c r="BN29" s="7" t="n">
        <v>1.92</v>
      </c>
      <c r="BO29" s="7" t="n">
        <f aca="false">IFERROR(BM29-BN29,"")</f>
        <v>0.0800000000000001</v>
      </c>
      <c r="BP29" s="9" t="n">
        <f aca="false">IFERROR(BM29/AH29,"")</f>
        <v>0.0571428571428571</v>
      </c>
      <c r="BQ29" s="6" t="n">
        <v>45.9</v>
      </c>
      <c r="BR29" s="6" t="n">
        <v>56.8</v>
      </c>
      <c r="BS29" s="6" t="n">
        <v>36.8</v>
      </c>
      <c r="BT29" s="7" t="n">
        <v>2.974</v>
      </c>
      <c r="BU29" s="10" t="n">
        <v>0.1475</v>
      </c>
      <c r="BV29" s="10" t="n">
        <v>0.625</v>
      </c>
      <c r="BW29" s="7" t="n">
        <v>2.714</v>
      </c>
      <c r="BX29" s="10" t="n">
        <v>0.2947</v>
      </c>
      <c r="BY29" s="10" t="n">
        <v>0.076</v>
      </c>
      <c r="BZ29" s="7" t="n">
        <v>2.388</v>
      </c>
      <c r="CA29" s="10" t="n">
        <v>0.723</v>
      </c>
      <c r="CB29" s="8" t="n">
        <v>4</v>
      </c>
      <c r="CC29" s="10" t="n">
        <v>-0.0466</v>
      </c>
      <c r="CD29" s="10" t="n">
        <v>0.494</v>
      </c>
      <c r="CE29" s="6" t="n">
        <v>63.47</v>
      </c>
      <c r="CF29" s="6" t="n">
        <v>36</v>
      </c>
      <c r="CG29" s="7" t="n">
        <v>3.59</v>
      </c>
      <c r="CH29" s="6" t="n">
        <v>22.4</v>
      </c>
      <c r="CI29" s="9" t="n">
        <v>0.0356</v>
      </c>
      <c r="CJ29" s="9" t="n">
        <v>-0.008</v>
      </c>
      <c r="CK29" s="8" t="n">
        <v>177</v>
      </c>
      <c r="CL29" s="10" t="n">
        <v>0.352</v>
      </c>
      <c r="CM29" s="8" t="n">
        <v>3</v>
      </c>
      <c r="CN29" s="10" t="n">
        <v>0.006</v>
      </c>
      <c r="CO29" s="8" t="n">
        <v>21</v>
      </c>
      <c r="CP29" s="7" t="n">
        <v>-2.931</v>
      </c>
      <c r="CQ29" s="7" t="n">
        <v>-0.083</v>
      </c>
      <c r="CR29" s="4" t="s">
        <v>165</v>
      </c>
      <c r="CS29" s="4"/>
    </row>
    <row r="30" customFormat="false" ht="15" hidden="false" customHeight="false" outlineLevel="0" collapsed="false">
      <c r="A30" s="3" t="n">
        <v>28</v>
      </c>
      <c r="B30" s="4" t="s">
        <v>179</v>
      </c>
      <c r="C30" s="11" t="s">
        <v>104</v>
      </c>
      <c r="D30" s="4" t="s">
        <v>180</v>
      </c>
      <c r="E30" s="4" t="s">
        <v>164</v>
      </c>
      <c r="F30" s="4" t="s">
        <v>104</v>
      </c>
      <c r="G30" s="3" t="n">
        <v>1</v>
      </c>
      <c r="H30" s="6" t="n">
        <v>25.8</v>
      </c>
      <c r="I30" s="3" t="n">
        <v>5</v>
      </c>
      <c r="J30" s="3" t="n">
        <v>5</v>
      </c>
      <c r="K30" s="7" t="n">
        <v>29.29</v>
      </c>
      <c r="L30" s="7" t="n">
        <v>9.13</v>
      </c>
      <c r="M30" s="8" t="n">
        <v>14</v>
      </c>
      <c r="N30" s="8" t="n">
        <v>56</v>
      </c>
      <c r="O30" s="7" t="n">
        <v>29.29</v>
      </c>
      <c r="P30" s="6" t="n">
        <v>99.2</v>
      </c>
      <c r="Q30" s="4" t="s">
        <v>115</v>
      </c>
      <c r="R30" s="8" t="n">
        <v>17</v>
      </c>
      <c r="S30" s="6" t="n">
        <v>191.9</v>
      </c>
      <c r="T30" s="7" t="n">
        <f aca="false">IFERROR(S30/R30,"")</f>
        <v>11.2882352941176</v>
      </c>
      <c r="U30" s="6" t="n">
        <v>176.4</v>
      </c>
      <c r="V30" s="6" t="n">
        <v>160.9</v>
      </c>
      <c r="W30" s="8" t="n">
        <v>22</v>
      </c>
      <c r="X30" s="7" t="n">
        <f aca="false">IFERROR(S30/AH30,"")</f>
        <v>0.746692607003891</v>
      </c>
      <c r="Y30" s="9" t="n">
        <f aca="false">IFERROR(S30/AF30,"")</f>
        <v>0.385341365461847</v>
      </c>
      <c r="Z30" s="6" t="n">
        <v>6.6</v>
      </c>
      <c r="AA30" s="6" t="n">
        <v>9.6</v>
      </c>
      <c r="AB30" s="6" t="n">
        <v>18.48</v>
      </c>
      <c r="AC30" s="10" t="n">
        <v>0.294</v>
      </c>
      <c r="AD30" s="10" t="n">
        <v>0</v>
      </c>
      <c r="AE30" s="7" t="n">
        <v>0.68</v>
      </c>
      <c r="AF30" s="8" t="n">
        <v>498</v>
      </c>
      <c r="AG30" s="10" t="n">
        <v>0.469</v>
      </c>
      <c r="AH30" s="8" t="n">
        <v>257</v>
      </c>
      <c r="AI30" s="8" t="n">
        <v>36</v>
      </c>
      <c r="AJ30" s="6" t="n">
        <f aca="false">IFERROR(AI30/R30,"")</f>
        <v>2.11764705882353</v>
      </c>
      <c r="AK30" s="10" t="n">
        <v>0.0791</v>
      </c>
      <c r="AL30" s="10" t="n">
        <v>-0.0112</v>
      </c>
      <c r="AM30" s="9" t="n">
        <v>0.1108</v>
      </c>
      <c r="AN30" s="8" t="n">
        <v>31</v>
      </c>
      <c r="AO30" s="10" t="n">
        <f aca="false">IFERROR(AN30/AI30,"")</f>
        <v>0.861111111111111</v>
      </c>
      <c r="AP30" s="8" t="n">
        <v>282</v>
      </c>
      <c r="AQ30" s="7" t="n">
        <f aca="false">IFERROR(AP30/AI30,"")</f>
        <v>7.83333333333333</v>
      </c>
      <c r="AR30" s="6" t="n">
        <v>-1.139</v>
      </c>
      <c r="AS30" s="7" t="n">
        <v>10.935</v>
      </c>
      <c r="AT30" s="7" t="n">
        <v>-6.878</v>
      </c>
      <c r="AU30" s="7"/>
      <c r="AV30" s="7"/>
      <c r="AW30" s="7"/>
      <c r="AX30" s="10" t="n">
        <v>0.0556</v>
      </c>
      <c r="AY30" s="8" t="n">
        <v>221</v>
      </c>
      <c r="AZ30" s="6" t="n">
        <f aca="false">IFERROR(AY30/R30,"")</f>
        <v>13</v>
      </c>
      <c r="BA30" s="10" t="n">
        <v>0.4359</v>
      </c>
      <c r="BB30" s="8" t="n">
        <v>1027</v>
      </c>
      <c r="BC30" s="7" t="n">
        <f aca="false">IFERROR(BB30/AY30,"")</f>
        <v>4.64705882352941</v>
      </c>
      <c r="BD30" s="7" t="n">
        <v>2.81</v>
      </c>
      <c r="BE30" s="7" t="n">
        <v>1.837</v>
      </c>
      <c r="BF30" s="8" t="n">
        <v>23</v>
      </c>
      <c r="BG30" s="7" t="n">
        <v>0.181894948389508</v>
      </c>
      <c r="BH30" s="6" t="n">
        <v>27.6018099547511</v>
      </c>
      <c r="BI30" s="7" t="n">
        <v>4.50178188899708</v>
      </c>
      <c r="BJ30" s="8" t="n">
        <v>37</v>
      </c>
      <c r="BK30" s="8" t="n">
        <v>11</v>
      </c>
      <c r="BL30" s="8" t="n">
        <v>8</v>
      </c>
      <c r="BM30" s="8" t="n">
        <v>5</v>
      </c>
      <c r="BN30" s="7" t="n">
        <v>6.71</v>
      </c>
      <c r="BO30" s="7" t="n">
        <f aca="false">IFERROR(BM30-BN30,"")</f>
        <v>-1.71</v>
      </c>
      <c r="BP30" s="9" t="n">
        <f aca="false">IFERROR(BM30/AH30,"")</f>
        <v>0.0194552529182879</v>
      </c>
      <c r="BQ30" s="6" t="n">
        <v>50.1</v>
      </c>
      <c r="BR30" s="6" t="n">
        <v>66.2</v>
      </c>
      <c r="BS30" s="6" t="n">
        <v>34</v>
      </c>
      <c r="BT30" s="7" t="n">
        <v>3.062</v>
      </c>
      <c r="BU30" s="10" t="n">
        <v>0.1258</v>
      </c>
      <c r="BV30" s="10" t="n">
        <v>0.8125</v>
      </c>
      <c r="BW30" s="7" t="n">
        <v>2.623</v>
      </c>
      <c r="BX30" s="10" t="n">
        <v>0.2877</v>
      </c>
      <c r="BY30" s="10" t="n">
        <v>0.0659</v>
      </c>
      <c r="BZ30" s="7" t="n">
        <v>2.212</v>
      </c>
      <c r="CA30" s="10" t="n">
        <v>0.864</v>
      </c>
      <c r="CB30" s="8" t="n">
        <v>5</v>
      </c>
      <c r="CC30" s="10" t="n">
        <v>0.0395</v>
      </c>
      <c r="CD30" s="10" t="n">
        <v>0.5721</v>
      </c>
      <c r="CE30" s="6" t="n">
        <v>61.65</v>
      </c>
      <c r="CF30" s="6" t="n">
        <v>38</v>
      </c>
      <c r="CG30" s="7" t="n">
        <v>3.71</v>
      </c>
      <c r="CH30" s="6" t="n">
        <v>21.3</v>
      </c>
      <c r="CI30" s="9" t="n">
        <v>0.0273</v>
      </c>
      <c r="CJ30" s="9" t="n">
        <v>0.0399</v>
      </c>
      <c r="CK30" s="8" t="n">
        <v>147</v>
      </c>
      <c r="CL30" s="10" t="n">
        <v>0.268</v>
      </c>
      <c r="CM30" s="8" t="n">
        <v>129</v>
      </c>
      <c r="CN30" s="10" t="n">
        <v>0.3</v>
      </c>
      <c r="CO30" s="8" t="n">
        <v>43</v>
      </c>
      <c r="CP30" s="7" t="n">
        <v>-0.539</v>
      </c>
      <c r="CQ30" s="7" t="n">
        <v>-0.846</v>
      </c>
      <c r="CR30" s="4" t="s">
        <v>121</v>
      </c>
      <c r="CS30" s="4"/>
    </row>
    <row r="31" customFormat="false" ht="15" hidden="false" customHeight="false" outlineLevel="0" collapsed="false">
      <c r="A31" s="3" t="n">
        <v>29</v>
      </c>
      <c r="B31" s="4" t="s">
        <v>181</v>
      </c>
      <c r="C31" s="5" t="s">
        <v>99</v>
      </c>
      <c r="D31" s="4" t="s">
        <v>182</v>
      </c>
      <c r="E31" s="4" t="s">
        <v>183</v>
      </c>
      <c r="F31" s="4" t="s">
        <v>99</v>
      </c>
      <c r="G31" s="3" t="n">
        <v>1</v>
      </c>
      <c r="H31" s="6" t="n">
        <v>25.9</v>
      </c>
      <c r="I31" s="3" t="n">
        <v>4</v>
      </c>
      <c r="J31" s="3" t="n">
        <v>13</v>
      </c>
      <c r="K31" s="7" t="n">
        <v>29.37</v>
      </c>
      <c r="L31" s="7" t="n">
        <v>7.59</v>
      </c>
      <c r="M31" s="8" t="n">
        <v>12</v>
      </c>
      <c r="N31" s="8" t="n">
        <v>44</v>
      </c>
      <c r="O31" s="7" t="n">
        <v>29.37</v>
      </c>
      <c r="P31" s="6" t="n">
        <v>97.6</v>
      </c>
      <c r="Q31" s="4" t="s">
        <v>183</v>
      </c>
      <c r="R31" s="8" t="n">
        <v>17</v>
      </c>
      <c r="S31" s="6" t="n">
        <v>243.3</v>
      </c>
      <c r="T31" s="7" t="n">
        <f aca="false">IFERROR(S31/R31,"")</f>
        <v>14.3117647058824</v>
      </c>
      <c r="U31" s="6" t="n">
        <v>200.3</v>
      </c>
      <c r="V31" s="6" t="n">
        <v>157.3</v>
      </c>
      <c r="W31" s="8" t="n">
        <v>7</v>
      </c>
      <c r="X31" s="7" t="n">
        <f aca="false">IFERROR(S31/AH31,"")</f>
        <v>1.90078125</v>
      </c>
      <c r="Y31" s="9" t="n">
        <f aca="false">IFERROR(S31/AF31,"")</f>
        <v>0.277107061503417</v>
      </c>
      <c r="Z31" s="6" t="n">
        <v>11.4</v>
      </c>
      <c r="AA31" s="6" t="n">
        <v>13</v>
      </c>
      <c r="AB31" s="6" t="n">
        <v>20.96</v>
      </c>
      <c r="AC31" s="10" t="n">
        <v>0.235</v>
      </c>
      <c r="AD31" s="10" t="n">
        <v>0.059</v>
      </c>
      <c r="AE31" s="7" t="n">
        <v>0.576</v>
      </c>
      <c r="AF31" s="8" t="n">
        <v>878</v>
      </c>
      <c r="AG31" s="10" t="n">
        <v>0.865</v>
      </c>
      <c r="AH31" s="8" t="n">
        <v>128</v>
      </c>
      <c r="AI31" s="8" t="n">
        <v>118</v>
      </c>
      <c r="AJ31" s="6" t="n">
        <f aca="false">IFERROR(AI31/R31,"")</f>
        <v>6.94117647058824</v>
      </c>
      <c r="AK31" s="10" t="n">
        <v>0.2899</v>
      </c>
      <c r="AL31" s="10" t="n">
        <v>0.3566</v>
      </c>
      <c r="AM31" s="9" t="n">
        <v>0.6845</v>
      </c>
      <c r="AN31" s="8" t="n">
        <v>86</v>
      </c>
      <c r="AO31" s="10" t="n">
        <f aca="false">IFERROR(AN31/AI31,"")</f>
        <v>0.728813559322034</v>
      </c>
      <c r="AP31" s="8" t="n">
        <v>1211</v>
      </c>
      <c r="AQ31" s="7" t="n">
        <f aca="false">IFERROR(AP31/AI31,"")</f>
        <v>10.2627118644068</v>
      </c>
      <c r="AR31" s="6" t="n">
        <v>10.203</v>
      </c>
      <c r="AS31" s="7" t="n">
        <v>5.326</v>
      </c>
      <c r="AT31" s="7" t="n">
        <v>1.006</v>
      </c>
      <c r="AU31" s="7" t="n">
        <v>3.57967755734189</v>
      </c>
      <c r="AV31" s="7" t="n">
        <v>6.45445454545455</v>
      </c>
      <c r="AW31" s="7" t="n">
        <v>0.195902509796348</v>
      </c>
      <c r="AX31" s="10" t="n">
        <v>0.0593</v>
      </c>
      <c r="AY31" s="8" t="n">
        <v>10</v>
      </c>
      <c r="AZ31" s="6" t="n">
        <f aca="false">IFERROR(AY31/R31,"")</f>
        <v>0.588235294117647</v>
      </c>
      <c r="BA31" s="10" t="n">
        <v>0.0197</v>
      </c>
      <c r="BB31" s="8" t="n">
        <v>62</v>
      </c>
      <c r="BC31" s="7"/>
      <c r="BD31" s="7"/>
      <c r="BE31" s="7"/>
      <c r="BF31" s="8" t="n">
        <v>0</v>
      </c>
      <c r="BG31" s="7"/>
      <c r="BH31" s="6"/>
      <c r="BI31" s="7"/>
      <c r="BJ31" s="8" t="n">
        <v>12</v>
      </c>
      <c r="BK31" s="8" t="n">
        <v>5</v>
      </c>
      <c r="BL31" s="8" t="n">
        <v>1</v>
      </c>
      <c r="BM31" s="8" t="n">
        <v>6</v>
      </c>
      <c r="BN31" s="7" t="n">
        <v>4.19</v>
      </c>
      <c r="BO31" s="7" t="n">
        <f aca="false">IFERROR(BM31-BN31,"")</f>
        <v>1.81</v>
      </c>
      <c r="BP31" s="9" t="n">
        <f aca="false">IFERROR(BM31/AH31,"")</f>
        <v>0.046875</v>
      </c>
      <c r="BQ31" s="6" t="n">
        <v>53.2</v>
      </c>
      <c r="BR31" s="6" t="n">
        <v>64.1</v>
      </c>
      <c r="BS31" s="6" t="n">
        <v>41</v>
      </c>
      <c r="BT31" s="7" t="n">
        <v>3.032</v>
      </c>
      <c r="BU31" s="10" t="n">
        <v>0.1574</v>
      </c>
      <c r="BV31" s="10" t="n">
        <v>0.648648648648649</v>
      </c>
      <c r="BW31" s="7" t="n">
        <v>3.144</v>
      </c>
      <c r="BX31" s="10" t="n">
        <v>0.2725</v>
      </c>
      <c r="BY31" s="10" t="n">
        <v>0.0849</v>
      </c>
      <c r="BZ31" s="7" t="n">
        <v>2.454</v>
      </c>
      <c r="CA31" s="10" t="n">
        <v>0.572</v>
      </c>
      <c r="CB31" s="8" t="n">
        <v>2</v>
      </c>
      <c r="CC31" s="10" t="n">
        <v>-0.0884</v>
      </c>
      <c r="CD31" s="10" t="n">
        <v>0.4667</v>
      </c>
      <c r="CE31" s="6" t="n">
        <v>56.24</v>
      </c>
      <c r="CF31" s="6" t="n">
        <v>39</v>
      </c>
      <c r="CG31" s="7" t="n">
        <v>3.59</v>
      </c>
      <c r="CH31" s="6" t="n">
        <v>24.9</v>
      </c>
      <c r="CI31" s="9" t="n">
        <v>0.0996</v>
      </c>
      <c r="CJ31" s="9" t="n">
        <v>-0.035</v>
      </c>
      <c r="CK31" s="8" t="n">
        <v>75</v>
      </c>
      <c r="CL31" s="10" t="n">
        <v>0.184</v>
      </c>
      <c r="CM31" s="8" t="n">
        <v>64</v>
      </c>
      <c r="CN31" s="10" t="n">
        <v>0.126</v>
      </c>
      <c r="CO31" s="8" t="n">
        <v>26</v>
      </c>
      <c r="CP31" s="7" t="n">
        <v>0.26</v>
      </c>
      <c r="CQ31" s="7" t="n">
        <v>-0.004</v>
      </c>
      <c r="CR31" s="4" t="s">
        <v>102</v>
      </c>
      <c r="CS31" s="4"/>
    </row>
    <row r="32" customFormat="false" ht="15" hidden="false" customHeight="false" outlineLevel="0" collapsed="false">
      <c r="A32" s="3" t="n">
        <v>30</v>
      </c>
      <c r="B32" s="4" t="s">
        <v>184</v>
      </c>
      <c r="C32" s="5" t="s">
        <v>99</v>
      </c>
      <c r="D32" s="4" t="s">
        <v>185</v>
      </c>
      <c r="E32" s="4" t="s">
        <v>186</v>
      </c>
      <c r="F32" s="4" t="s">
        <v>99</v>
      </c>
      <c r="G32" s="3" t="n">
        <v>1</v>
      </c>
      <c r="H32" s="6" t="n">
        <v>26.1</v>
      </c>
      <c r="I32" s="3" t="n">
        <v>5</v>
      </c>
      <c r="J32" s="3" t="n">
        <v>13</v>
      </c>
      <c r="K32" s="7" t="n">
        <v>30.29</v>
      </c>
      <c r="L32" s="7" t="n">
        <v>6.99</v>
      </c>
      <c r="M32" s="8" t="n">
        <v>15</v>
      </c>
      <c r="N32" s="8" t="n">
        <v>46</v>
      </c>
      <c r="O32" s="7" t="n">
        <v>30.29</v>
      </c>
      <c r="P32" s="6" t="n">
        <v>96.6</v>
      </c>
      <c r="Q32" s="4" t="s">
        <v>186</v>
      </c>
      <c r="R32" s="8" t="n">
        <v>7</v>
      </c>
      <c r="S32" s="6" t="n">
        <v>99.5</v>
      </c>
      <c r="T32" s="7" t="n">
        <f aca="false">IFERROR(S32/R32,"")</f>
        <v>14.2142857142857</v>
      </c>
      <c r="U32" s="6" t="n">
        <v>81.5</v>
      </c>
      <c r="V32" s="6" t="n">
        <v>63.5</v>
      </c>
      <c r="W32" s="8" t="n">
        <v>60</v>
      </c>
      <c r="X32" s="7" t="n">
        <f aca="false">IFERROR(S32/AH32,"")</f>
        <v>1.6864406779661</v>
      </c>
      <c r="Y32" s="9" t="n">
        <f aca="false">IFERROR(S32/AF32,"")</f>
        <v>0.259791122715405</v>
      </c>
      <c r="Z32" s="6" t="n">
        <v>6.65</v>
      </c>
      <c r="AA32" s="6" t="n">
        <v>19.1</v>
      </c>
      <c r="AB32" s="6" t="n">
        <v>22.69</v>
      </c>
      <c r="AC32" s="10" t="n">
        <v>0.571</v>
      </c>
      <c r="AD32" s="10" t="n">
        <v>0.143</v>
      </c>
      <c r="AE32" s="7" t="n">
        <v>0.506</v>
      </c>
      <c r="AF32" s="8" t="n">
        <v>383</v>
      </c>
      <c r="AG32" s="10" t="n">
        <v>0.87</v>
      </c>
      <c r="AH32" s="8" t="n">
        <v>59</v>
      </c>
      <c r="AI32" s="8" t="n">
        <v>59</v>
      </c>
      <c r="AJ32" s="6" t="n">
        <f aca="false">IFERROR(AI32/R32,"")</f>
        <v>8.42857142857143</v>
      </c>
      <c r="AK32" s="10" t="n">
        <v>0.3371</v>
      </c>
      <c r="AL32" s="10" t="n">
        <v>0.485</v>
      </c>
      <c r="AM32" s="9" t="n">
        <v>0.8452</v>
      </c>
      <c r="AN32" s="8" t="n">
        <v>36</v>
      </c>
      <c r="AO32" s="10" t="n">
        <f aca="false">IFERROR(AN32/AI32,"")</f>
        <v>0.610169491525424</v>
      </c>
      <c r="AP32" s="8" t="n">
        <v>395</v>
      </c>
      <c r="AQ32" s="7" t="n">
        <f aca="false">IFERROR(AP32/AI32,"")</f>
        <v>6.69491525423729</v>
      </c>
      <c r="AR32" s="6" t="n">
        <v>9.068</v>
      </c>
      <c r="AS32" s="7" t="n">
        <v>2.778</v>
      </c>
      <c r="AT32" s="7" t="n">
        <v>0.738</v>
      </c>
      <c r="AU32" s="7" t="n">
        <v>3.05797517007371</v>
      </c>
      <c r="AV32" s="7" t="n">
        <v>6.48491228070175</v>
      </c>
      <c r="AW32" s="7" t="n">
        <v>-0.0267561304368011</v>
      </c>
      <c r="AX32" s="10" t="n">
        <v>0.0508</v>
      </c>
      <c r="AY32" s="8" t="n">
        <v>0</v>
      </c>
      <c r="AZ32" s="6" t="n">
        <f aca="false">IFERROR(AY32/R32,"")</f>
        <v>0</v>
      </c>
      <c r="BA32" s="10" t="n">
        <v>0</v>
      </c>
      <c r="BB32" s="8" t="n">
        <v>0</v>
      </c>
      <c r="BC32" s="7"/>
      <c r="BD32" s="7"/>
      <c r="BE32" s="7"/>
      <c r="BF32" s="8"/>
      <c r="BG32" s="7"/>
      <c r="BH32" s="6"/>
      <c r="BI32" s="7"/>
      <c r="BJ32" s="8" t="n">
        <v>4</v>
      </c>
      <c r="BK32" s="8" t="n">
        <v>1</v>
      </c>
      <c r="BL32" s="8" t="n">
        <v>0</v>
      </c>
      <c r="BM32" s="8" t="n">
        <v>4</v>
      </c>
      <c r="BN32" s="7" t="n">
        <v>1.46</v>
      </c>
      <c r="BO32" s="7" t="n">
        <f aca="false">IFERROR(BM32-BN32,"")</f>
        <v>2.54</v>
      </c>
      <c r="BP32" s="9" t="n">
        <f aca="false">IFERROR(BM32/AH32,"")</f>
        <v>0.0677966101694915</v>
      </c>
      <c r="BQ32" s="6" t="n">
        <v>38.6</v>
      </c>
      <c r="BR32" s="6" t="n">
        <v>56.3</v>
      </c>
      <c r="BS32" s="6" t="n">
        <v>25.8</v>
      </c>
      <c r="BT32" s="7" t="n">
        <v>2.892</v>
      </c>
      <c r="BU32" s="10" t="n">
        <v>0.1813</v>
      </c>
      <c r="BV32" s="10" t="n">
        <v>0.739130434782609</v>
      </c>
      <c r="BW32" s="7" t="n">
        <v>2.899</v>
      </c>
      <c r="BX32" s="10" t="n">
        <v>0.3117</v>
      </c>
      <c r="BY32" s="10" t="n">
        <v>0.0989</v>
      </c>
      <c r="BZ32" s="7" t="n">
        <v>2.423</v>
      </c>
      <c r="CA32" s="10" t="n">
        <v>0.808</v>
      </c>
      <c r="CB32" s="8" t="n">
        <v>3</v>
      </c>
      <c r="CC32" s="10" t="n">
        <v>-0.0877</v>
      </c>
      <c r="CD32" s="10" t="n">
        <v>0.4319</v>
      </c>
      <c r="CE32" s="6" t="n">
        <v>59.35</v>
      </c>
      <c r="CF32" s="6" t="n">
        <v>38</v>
      </c>
      <c r="CG32" s="7" t="n">
        <v>2.47</v>
      </c>
      <c r="CH32" s="6" t="n">
        <v>17.6</v>
      </c>
      <c r="CI32" s="9" t="n">
        <v>-0.061</v>
      </c>
      <c r="CJ32" s="9" t="n">
        <v>-0.1799</v>
      </c>
      <c r="CK32" s="8" t="n">
        <v>76</v>
      </c>
      <c r="CL32" s="10" t="n">
        <v>0.161</v>
      </c>
      <c r="CM32" s="8" t="n">
        <v>117</v>
      </c>
      <c r="CN32" s="10" t="n">
        <v>0.257</v>
      </c>
      <c r="CO32" s="8" t="n">
        <v>27</v>
      </c>
      <c r="CP32" s="7" t="n">
        <v>-2.027</v>
      </c>
      <c r="CQ32" s="7" t="n">
        <v>-0.056</v>
      </c>
      <c r="CR32" s="4" t="s">
        <v>165</v>
      </c>
      <c r="CS32" s="4"/>
    </row>
    <row r="33" customFormat="false" ht="15" hidden="false" customHeight="false" outlineLevel="0" collapsed="false">
      <c r="A33" s="3" t="n">
        <v>31</v>
      </c>
      <c r="B33" s="4" t="s">
        <v>187</v>
      </c>
      <c r="C33" s="13" t="s">
        <v>172</v>
      </c>
      <c r="D33" s="4" t="s">
        <v>188</v>
      </c>
      <c r="E33" s="4" t="s">
        <v>183</v>
      </c>
      <c r="F33" s="4" t="s">
        <v>172</v>
      </c>
      <c r="G33" s="3" t="n">
        <v>1</v>
      </c>
      <c r="H33" s="6" t="n">
        <v>29.6</v>
      </c>
      <c r="I33" s="3" t="n">
        <v>9</v>
      </c>
      <c r="J33" s="3" t="n">
        <v>13</v>
      </c>
      <c r="K33" s="7" t="n">
        <v>32.31</v>
      </c>
      <c r="L33" s="7" t="n">
        <v>9.26</v>
      </c>
      <c r="M33" s="8" t="n">
        <v>25</v>
      </c>
      <c r="N33" s="8" t="n">
        <v>59</v>
      </c>
      <c r="O33" s="7" t="n">
        <v>32.31</v>
      </c>
      <c r="P33" s="6" t="n">
        <v>99.2</v>
      </c>
      <c r="Q33" s="4" t="s">
        <v>183</v>
      </c>
      <c r="R33" s="8" t="n">
        <v>13</v>
      </c>
      <c r="S33" s="6" t="n">
        <v>214.86</v>
      </c>
      <c r="T33" s="7" t="n">
        <f aca="false">IFERROR(S33/R33,"")</f>
        <v>16.5276923076923</v>
      </c>
      <c r="U33" s="6" t="n">
        <v>214.86</v>
      </c>
      <c r="V33" s="6" t="n">
        <v>214.86</v>
      </c>
      <c r="W33" s="8" t="n">
        <v>20</v>
      </c>
      <c r="X33" s="7" t="n">
        <f aca="false">IFERROR(S33/AH33,"")</f>
        <v>3.20686567164179</v>
      </c>
      <c r="Y33" s="9" t="n">
        <f aca="false">IFERROR(S33/AF33,"")</f>
        <v>0.306068376068376</v>
      </c>
      <c r="Z33" s="6" t="n">
        <v>7.22</v>
      </c>
      <c r="AA33" s="6" t="n">
        <v>16.64</v>
      </c>
      <c r="AB33" s="6" t="n">
        <v>26.44</v>
      </c>
      <c r="AC33" s="10" t="n">
        <v>0.462</v>
      </c>
      <c r="AD33" s="10" t="n">
        <v>0.231</v>
      </c>
      <c r="AE33" s="7" t="n">
        <v>0.546</v>
      </c>
      <c r="AF33" s="8" t="n">
        <v>702</v>
      </c>
      <c r="AG33" s="10" t="n">
        <v>0.922</v>
      </c>
      <c r="AH33" s="8" t="n">
        <v>67</v>
      </c>
      <c r="AI33" s="8" t="n">
        <v>0</v>
      </c>
      <c r="AJ33" s="6" t="n">
        <f aca="false">IFERROR(AI33/R33,"")</f>
        <v>0</v>
      </c>
      <c r="AK33" s="10" t="n">
        <v>0</v>
      </c>
      <c r="AL33" s="10" t="n">
        <v>0</v>
      </c>
      <c r="AM33" s="9" t="n">
        <v>0</v>
      </c>
      <c r="AN33" s="8" t="n">
        <v>0</v>
      </c>
      <c r="AO33" s="10"/>
      <c r="AP33" s="8" t="n">
        <v>0</v>
      </c>
      <c r="AQ33" s="7"/>
      <c r="AR33" s="6"/>
      <c r="AS33" s="7"/>
      <c r="AT33" s="7"/>
      <c r="AU33" s="7"/>
      <c r="AV33" s="7"/>
      <c r="AW33" s="7"/>
      <c r="AX33" s="10"/>
      <c r="AY33" s="8" t="n">
        <v>67</v>
      </c>
      <c r="AZ33" s="6" t="n">
        <f aca="false">IFERROR(AY33/R33,"")</f>
        <v>5.15384615384615</v>
      </c>
      <c r="BA33" s="10" t="n">
        <v>0.1846</v>
      </c>
      <c r="BB33" s="8" t="n">
        <v>349</v>
      </c>
      <c r="BC33" s="7" t="n">
        <f aca="false">IFERROR(BB33/AY33,"")</f>
        <v>5.2089552238806</v>
      </c>
      <c r="BD33" s="7" t="n">
        <v>3.836</v>
      </c>
      <c r="BE33" s="7" t="n">
        <v>1.373</v>
      </c>
      <c r="BF33" s="8" t="n">
        <v>7</v>
      </c>
      <c r="BG33" s="7"/>
      <c r="BH33" s="6"/>
      <c r="BI33" s="7"/>
      <c r="BJ33" s="8" t="n">
        <v>13</v>
      </c>
      <c r="BK33" s="8" t="n">
        <v>5</v>
      </c>
      <c r="BL33" s="8" t="n">
        <v>1</v>
      </c>
      <c r="BM33" s="8" t="n">
        <v>2</v>
      </c>
      <c r="BN33" s="7" t="n">
        <v>1.45</v>
      </c>
      <c r="BO33" s="7" t="n">
        <f aca="false">IFERROR(BM33-BN33,"")</f>
        <v>0.55</v>
      </c>
      <c r="BP33" s="9" t="n">
        <f aca="false">IFERROR(BM33/AH33,"")</f>
        <v>0.0298507462686567</v>
      </c>
      <c r="BQ33" s="6" t="n">
        <v>53.2</v>
      </c>
      <c r="BR33" s="6" t="n">
        <v>64.1</v>
      </c>
      <c r="BS33" s="6" t="n">
        <v>41</v>
      </c>
      <c r="BT33" s="7" t="n">
        <v>3.032</v>
      </c>
      <c r="BU33" s="10" t="n">
        <v>0.1574</v>
      </c>
      <c r="BV33" s="10" t="n">
        <v>0.648648648648649</v>
      </c>
      <c r="BW33" s="7" t="n">
        <v>3.144</v>
      </c>
      <c r="BX33" s="10" t="n">
        <v>0.2725</v>
      </c>
      <c r="BY33" s="10" t="n">
        <v>0.0849</v>
      </c>
      <c r="BZ33" s="7" t="n">
        <v>2.454</v>
      </c>
      <c r="CA33" s="10" t="n">
        <v>0.572</v>
      </c>
      <c r="CB33" s="8" t="n">
        <v>2</v>
      </c>
      <c r="CC33" s="10" t="n">
        <v>-0.0884</v>
      </c>
      <c r="CD33" s="10" t="n">
        <v>0.4667</v>
      </c>
      <c r="CE33" s="6" t="n">
        <v>56.24</v>
      </c>
      <c r="CF33" s="6" t="n">
        <v>39</v>
      </c>
      <c r="CG33" s="7" t="n">
        <v>3.59</v>
      </c>
      <c r="CH33" s="6" t="n">
        <v>24.9</v>
      </c>
      <c r="CI33" s="9" t="n">
        <v>0.0996</v>
      </c>
      <c r="CJ33" s="9" t="n">
        <v>-0.035</v>
      </c>
      <c r="CK33" s="8" t="n">
        <v>75</v>
      </c>
      <c r="CL33" s="10" t="n">
        <v>0.184</v>
      </c>
      <c r="CM33" s="8" t="n">
        <v>64</v>
      </c>
      <c r="CN33" s="10" t="n">
        <v>0.126</v>
      </c>
      <c r="CO33" s="8" t="n">
        <v>26</v>
      </c>
      <c r="CP33" s="7" t="n">
        <v>-0.77</v>
      </c>
      <c r="CQ33" s="7" t="n">
        <v>-0.596</v>
      </c>
      <c r="CR33" s="4" t="s">
        <v>121</v>
      </c>
      <c r="CS33" s="4"/>
    </row>
    <row r="34" customFormat="false" ht="15" hidden="false" customHeight="false" outlineLevel="0" collapsed="false">
      <c r="A34" s="3" t="n">
        <v>32</v>
      </c>
      <c r="B34" s="4" t="s">
        <v>189</v>
      </c>
      <c r="C34" s="5" t="s">
        <v>99</v>
      </c>
      <c r="D34" s="4" t="s">
        <v>190</v>
      </c>
      <c r="E34" s="4" t="s">
        <v>191</v>
      </c>
      <c r="F34" s="4" t="s">
        <v>99</v>
      </c>
      <c r="G34" s="3" t="n">
        <v>1</v>
      </c>
      <c r="H34" s="6" t="n">
        <v>23.4</v>
      </c>
      <c r="I34" s="3" t="n">
        <v>2</v>
      </c>
      <c r="J34" s="3" t="n">
        <v>5</v>
      </c>
      <c r="K34" s="7" t="n">
        <v>33.7</v>
      </c>
      <c r="L34" s="7" t="n">
        <v>7.48</v>
      </c>
      <c r="M34" s="8" t="n">
        <v>14</v>
      </c>
      <c r="N34" s="8" t="n">
        <v>46</v>
      </c>
      <c r="O34" s="7" t="n">
        <v>33.7</v>
      </c>
      <c r="P34" s="6" t="n">
        <v>97.7</v>
      </c>
      <c r="Q34" s="4" t="s">
        <v>191</v>
      </c>
      <c r="R34" s="8" t="n">
        <v>17</v>
      </c>
      <c r="S34" s="6" t="n">
        <v>213.4</v>
      </c>
      <c r="T34" s="7" t="n">
        <f aca="false">IFERROR(S34/R34,"")</f>
        <v>12.5529411764706</v>
      </c>
      <c r="U34" s="6" t="n">
        <v>178.4</v>
      </c>
      <c r="V34" s="6" t="n">
        <v>143.4</v>
      </c>
      <c r="W34" s="8" t="n">
        <v>15</v>
      </c>
      <c r="X34" s="7" t="n">
        <f aca="false">IFERROR(S34/AH34,"")</f>
        <v>1.74918032786885</v>
      </c>
      <c r="Y34" s="9" t="n">
        <f aca="false">IFERROR(S34/AF34,"")</f>
        <v>0.230702702702703</v>
      </c>
      <c r="Z34" s="6" t="n">
        <v>8.6</v>
      </c>
      <c r="AA34" s="6" t="n">
        <v>11.5</v>
      </c>
      <c r="AB34" s="6" t="n">
        <v>17.5</v>
      </c>
      <c r="AC34" s="10" t="n">
        <v>0.118</v>
      </c>
      <c r="AD34" s="10" t="n">
        <v>0.059</v>
      </c>
      <c r="AE34" s="7" t="n">
        <v>0.615</v>
      </c>
      <c r="AF34" s="8" t="n">
        <v>925</v>
      </c>
      <c r="AG34" s="10" t="n">
        <v>0.872</v>
      </c>
      <c r="AH34" s="8" t="n">
        <v>122</v>
      </c>
      <c r="AI34" s="8" t="n">
        <v>122</v>
      </c>
      <c r="AJ34" s="6" t="n">
        <f aca="false">IFERROR(AI34/R34,"")</f>
        <v>7.17647058823529</v>
      </c>
      <c r="AK34" s="10" t="n">
        <v>0.2542</v>
      </c>
      <c r="AL34" s="10" t="n">
        <v>0.4326</v>
      </c>
      <c r="AM34" s="9" t="n">
        <v>0.6841</v>
      </c>
      <c r="AN34" s="8" t="n">
        <v>70</v>
      </c>
      <c r="AO34" s="10" t="n">
        <f aca="false">IFERROR(AN34/AI34,"")</f>
        <v>0.573770491803279</v>
      </c>
      <c r="AP34" s="8" t="n">
        <v>1014</v>
      </c>
      <c r="AQ34" s="7" t="n">
        <f aca="false">IFERROR(AP34/AI34,"")</f>
        <v>8.31147540983607</v>
      </c>
      <c r="AR34" s="6" t="n">
        <v>11.557</v>
      </c>
      <c r="AS34" s="7" t="n">
        <v>3.843</v>
      </c>
      <c r="AT34" s="7" t="n">
        <v>0.719</v>
      </c>
      <c r="AU34" s="7" t="n">
        <v>2.69365976951954</v>
      </c>
      <c r="AV34" s="7" t="n">
        <v>5.72428571428572</v>
      </c>
      <c r="AW34" s="7" t="n">
        <v>0.104949946695028</v>
      </c>
      <c r="AX34" s="10" t="n">
        <v>0.0656</v>
      </c>
      <c r="AY34" s="8" t="n">
        <v>0</v>
      </c>
      <c r="AZ34" s="6" t="n">
        <f aca="false">IFERROR(AY34/R34,"")</f>
        <v>0</v>
      </c>
      <c r="BA34" s="10" t="n">
        <v>0</v>
      </c>
      <c r="BB34" s="8" t="n">
        <v>0</v>
      </c>
      <c r="BC34" s="7"/>
      <c r="BD34" s="7"/>
      <c r="BE34" s="7"/>
      <c r="BF34" s="8"/>
      <c r="BG34" s="7"/>
      <c r="BH34" s="6"/>
      <c r="BI34" s="7"/>
      <c r="BJ34" s="8" t="n">
        <v>15</v>
      </c>
      <c r="BK34" s="8" t="n">
        <v>6</v>
      </c>
      <c r="BL34" s="8" t="n">
        <v>3</v>
      </c>
      <c r="BM34" s="8" t="n">
        <v>7</v>
      </c>
      <c r="BN34" s="7" t="n">
        <v>5.59</v>
      </c>
      <c r="BO34" s="7" t="n">
        <f aca="false">IFERROR(BM34-BN34,"")</f>
        <v>1.41</v>
      </c>
      <c r="BP34" s="9" t="n">
        <f aca="false">IFERROR(BM34/AH34,"")</f>
        <v>0.0573770491803279</v>
      </c>
      <c r="BQ34" s="6" t="n">
        <v>56.6</v>
      </c>
      <c r="BR34" s="6" t="n">
        <v>63.1</v>
      </c>
      <c r="BS34" s="6" t="n">
        <v>47.3</v>
      </c>
      <c r="BT34" s="7" t="n">
        <v>3.179</v>
      </c>
      <c r="BU34" s="10" t="n">
        <v>0.1391</v>
      </c>
      <c r="BV34" s="10" t="n">
        <v>0.689655172413793</v>
      </c>
      <c r="BW34" s="7" t="n">
        <v>2.49</v>
      </c>
      <c r="BX34" s="10" t="n">
        <v>0.2718</v>
      </c>
      <c r="BY34" s="10" t="n">
        <v>0.0629</v>
      </c>
      <c r="BZ34" s="7" t="n">
        <v>2.4</v>
      </c>
      <c r="CA34" s="10" t="n">
        <v>0.596</v>
      </c>
      <c r="CB34" s="8" t="n">
        <v>3</v>
      </c>
      <c r="CC34" s="10" t="n">
        <v>-0.061</v>
      </c>
      <c r="CD34" s="10" t="n">
        <v>0.5106</v>
      </c>
      <c r="CE34" s="6" t="n">
        <v>58.59</v>
      </c>
      <c r="CF34" s="6" t="n">
        <v>39</v>
      </c>
      <c r="CG34" s="7" t="n">
        <v>2.82</v>
      </c>
      <c r="CH34" s="6" t="n">
        <v>18.3</v>
      </c>
      <c r="CI34" s="9" t="n">
        <v>-0.0262</v>
      </c>
      <c r="CJ34" s="9" t="n">
        <v>-0.0498</v>
      </c>
      <c r="CK34" s="8" t="n">
        <v>50</v>
      </c>
      <c r="CL34" s="10" t="n">
        <v>0.104</v>
      </c>
      <c r="CM34" s="8" t="n">
        <v>242</v>
      </c>
      <c r="CN34" s="10" t="n">
        <v>0.525</v>
      </c>
      <c r="CO34" s="8" t="n">
        <v>40</v>
      </c>
      <c r="CP34" s="7" t="n">
        <v>-0.02</v>
      </c>
      <c r="CQ34" s="7" t="n">
        <v>-0.415</v>
      </c>
      <c r="CR34" s="4" t="s">
        <v>102</v>
      </c>
      <c r="CS34" s="4"/>
    </row>
    <row r="35" customFormat="false" ht="15" hidden="false" customHeight="false" outlineLevel="0" collapsed="false">
      <c r="A35" s="3" t="n">
        <v>33</v>
      </c>
      <c r="B35" s="4" t="s">
        <v>192</v>
      </c>
      <c r="C35" s="5" t="s">
        <v>99</v>
      </c>
      <c r="D35" s="4" t="s">
        <v>193</v>
      </c>
      <c r="E35" s="4" t="s">
        <v>101</v>
      </c>
      <c r="F35" s="4" t="s">
        <v>99</v>
      </c>
      <c r="G35" s="3" t="n">
        <v>2</v>
      </c>
      <c r="H35" s="6" t="n">
        <v>27.6</v>
      </c>
      <c r="I35" s="3" t="n">
        <v>7</v>
      </c>
      <c r="J35" s="3" t="n">
        <v>6</v>
      </c>
      <c r="K35" s="7" t="n">
        <v>34.77</v>
      </c>
      <c r="L35" s="7" t="n">
        <v>7.37</v>
      </c>
      <c r="M35" s="8" t="n">
        <v>19</v>
      </c>
      <c r="N35" s="8" t="n">
        <v>52</v>
      </c>
      <c r="O35" s="7" t="n">
        <v>34.77</v>
      </c>
      <c r="P35" s="6" t="n">
        <v>96.9</v>
      </c>
      <c r="Q35" s="4" t="s">
        <v>101</v>
      </c>
      <c r="R35" s="8" t="n">
        <v>15</v>
      </c>
      <c r="S35" s="6" t="n">
        <v>211.6</v>
      </c>
      <c r="T35" s="7" t="n">
        <f aca="false">IFERROR(S35/R35,"")</f>
        <v>14.1066666666667</v>
      </c>
      <c r="U35" s="6" t="n">
        <v>182.1</v>
      </c>
      <c r="V35" s="6" t="n">
        <v>152.6</v>
      </c>
      <c r="W35" s="8" t="n">
        <v>16</v>
      </c>
      <c r="X35" s="7" t="n">
        <f aca="false">IFERROR(S35/AH35,"")</f>
        <v>2.15918367346939</v>
      </c>
      <c r="Y35" s="9" t="n">
        <f aca="false">IFERROR(S35/AF35,"")</f>
        <v>0.275162548764629</v>
      </c>
      <c r="Z35" s="6" t="n">
        <v>9</v>
      </c>
      <c r="AA35" s="6" t="n">
        <v>11.4</v>
      </c>
      <c r="AB35" s="6" t="n">
        <v>21.31</v>
      </c>
      <c r="AC35" s="10" t="n">
        <v>0.267</v>
      </c>
      <c r="AD35" s="10" t="n">
        <v>0</v>
      </c>
      <c r="AE35" s="7" t="n">
        <v>0.722</v>
      </c>
      <c r="AF35" s="8" t="n">
        <v>769</v>
      </c>
      <c r="AG35" s="10" t="n">
        <v>0.809</v>
      </c>
      <c r="AH35" s="8" t="n">
        <v>98</v>
      </c>
      <c r="AI35" s="8" t="n">
        <v>98</v>
      </c>
      <c r="AJ35" s="6" t="n">
        <f aca="false">IFERROR(AI35/R35,"")</f>
        <v>6.53333333333333</v>
      </c>
      <c r="AK35" s="10" t="n">
        <v>0.1856</v>
      </c>
      <c r="AL35" s="10" t="n">
        <v>0.3361</v>
      </c>
      <c r="AM35" s="9" t="n">
        <v>0.5137</v>
      </c>
      <c r="AN35" s="8" t="n">
        <v>59</v>
      </c>
      <c r="AO35" s="10" t="n">
        <f aca="false">IFERROR(AN35/AI35,"")</f>
        <v>0.602040816326531</v>
      </c>
      <c r="AP35" s="8" t="n">
        <v>846</v>
      </c>
      <c r="AQ35" s="7" t="n">
        <f aca="false">IFERROR(AP35/AI35,"")</f>
        <v>8.63265306122449</v>
      </c>
      <c r="AR35" s="6" t="n">
        <v>13.408</v>
      </c>
      <c r="AS35" s="7" t="n">
        <v>2.814</v>
      </c>
      <c r="AT35" s="7" t="n">
        <v>0.644</v>
      </c>
      <c r="AU35" s="7" t="n">
        <v>1.83289897084396</v>
      </c>
      <c r="AV35" s="7" t="n">
        <v>5.22721649484536</v>
      </c>
      <c r="AW35" s="7" t="n">
        <v>0.382112297101687</v>
      </c>
      <c r="AX35" s="10" t="n">
        <v>0.0204</v>
      </c>
      <c r="AY35" s="8" t="n">
        <v>0</v>
      </c>
      <c r="AZ35" s="6" t="n">
        <f aca="false">IFERROR(AY35/R35,"")</f>
        <v>0</v>
      </c>
      <c r="BA35" s="10" t="n">
        <v>0</v>
      </c>
      <c r="BB35" s="8" t="n">
        <v>0</v>
      </c>
      <c r="BC35" s="7"/>
      <c r="BD35" s="7"/>
      <c r="BE35" s="7"/>
      <c r="BF35" s="8"/>
      <c r="BG35" s="7"/>
      <c r="BH35" s="6"/>
      <c r="BI35" s="7"/>
      <c r="BJ35" s="8" t="n">
        <v>15</v>
      </c>
      <c r="BK35" s="8" t="n">
        <v>7</v>
      </c>
      <c r="BL35" s="8" t="n">
        <v>4</v>
      </c>
      <c r="BM35" s="8" t="n">
        <v>11</v>
      </c>
      <c r="BN35" s="7" t="n">
        <v>6.06</v>
      </c>
      <c r="BO35" s="7" t="n">
        <f aca="false">IFERROR(BM35-BN35,"")</f>
        <v>4.94</v>
      </c>
      <c r="BP35" s="9" t="n">
        <f aca="false">IFERROR(BM35/AH35,"")</f>
        <v>0.112244897959184</v>
      </c>
      <c r="BQ35" s="6" t="n">
        <v>60.4</v>
      </c>
      <c r="BR35" s="6" t="n">
        <v>63.4</v>
      </c>
      <c r="BS35" s="6" t="n">
        <v>53</v>
      </c>
      <c r="BT35" s="7" t="n">
        <v>3.212</v>
      </c>
      <c r="BU35" s="10" t="n">
        <v>0.1072</v>
      </c>
      <c r="BV35" s="10" t="n">
        <v>0.657142857142857</v>
      </c>
      <c r="BW35" s="7" t="n">
        <v>2.249</v>
      </c>
      <c r="BX35" s="10" t="n">
        <v>0.2234</v>
      </c>
      <c r="BY35" s="10" t="n">
        <v>0.0527</v>
      </c>
      <c r="BZ35" s="7" t="n">
        <v>2.22</v>
      </c>
      <c r="CA35" s="10" t="n">
        <v>0.996</v>
      </c>
      <c r="CB35" s="8" t="n">
        <v>5</v>
      </c>
      <c r="CC35" s="10" t="n">
        <v>0.0172</v>
      </c>
      <c r="CD35" s="10" t="n">
        <v>0.6322</v>
      </c>
      <c r="CE35" s="6" t="n">
        <v>61.71</v>
      </c>
      <c r="CF35" s="6" t="n">
        <v>38</v>
      </c>
      <c r="CG35" s="7" t="n">
        <v>3.29</v>
      </c>
      <c r="CH35" s="6" t="n">
        <v>24.4</v>
      </c>
      <c r="CI35" s="9" t="n">
        <v>0.0246</v>
      </c>
      <c r="CJ35" s="9" t="n">
        <v>-0.0266</v>
      </c>
      <c r="CK35" s="8" t="n">
        <v>41</v>
      </c>
      <c r="CL35" s="10" t="n">
        <v>0.067</v>
      </c>
      <c r="CM35" s="8" t="n">
        <v>9</v>
      </c>
      <c r="CN35" s="10" t="n">
        <v>0.024</v>
      </c>
      <c r="CO35" s="8" t="n">
        <v>6</v>
      </c>
      <c r="CP35" s="7" t="n">
        <v>-0.028</v>
      </c>
      <c r="CQ35" s="7" t="n">
        <v>-0.029</v>
      </c>
      <c r="CR35" s="4" t="s">
        <v>102</v>
      </c>
      <c r="CS35" s="4"/>
    </row>
    <row r="36" customFormat="false" ht="15" hidden="false" customHeight="false" outlineLevel="0" collapsed="false">
      <c r="A36" s="3" t="n">
        <v>34</v>
      </c>
      <c r="B36" s="4" t="s">
        <v>194</v>
      </c>
      <c r="C36" s="5" t="s">
        <v>99</v>
      </c>
      <c r="D36" s="4" t="s">
        <v>195</v>
      </c>
      <c r="E36" s="4" t="s">
        <v>170</v>
      </c>
      <c r="F36" s="4" t="s">
        <v>99</v>
      </c>
      <c r="G36" s="3" t="n">
        <v>1</v>
      </c>
      <c r="H36" s="6" t="n">
        <v>24.8</v>
      </c>
      <c r="I36" s="3" t="n">
        <v>3</v>
      </c>
      <c r="J36" s="3" t="n">
        <v>7</v>
      </c>
      <c r="K36" s="7" t="n">
        <v>35.74</v>
      </c>
      <c r="L36" s="7" t="n">
        <v>6.91</v>
      </c>
      <c r="M36" s="8" t="n">
        <v>14</v>
      </c>
      <c r="N36" s="8" t="n">
        <v>48</v>
      </c>
      <c r="O36" s="7" t="n">
        <v>35.74</v>
      </c>
      <c r="P36" s="6" t="n">
        <v>96</v>
      </c>
      <c r="Q36" s="4" t="s">
        <v>170</v>
      </c>
      <c r="R36" s="8" t="n">
        <v>16</v>
      </c>
      <c r="S36" s="6" t="n">
        <v>180.9</v>
      </c>
      <c r="T36" s="7" t="n">
        <f aca="false">IFERROR(S36/R36,"")</f>
        <v>11.30625</v>
      </c>
      <c r="U36" s="6" t="n">
        <v>147.9</v>
      </c>
      <c r="V36" s="6" t="n">
        <v>114.9</v>
      </c>
      <c r="W36" s="8" t="n">
        <v>30</v>
      </c>
      <c r="X36" s="7" t="n">
        <f aca="false">IFERROR(S36/AH36,"")</f>
        <v>1.70660377358491</v>
      </c>
      <c r="Y36" s="9" t="n">
        <f aca="false">IFERROR(S36/AF36,"")</f>
        <v>0.216129032258065</v>
      </c>
      <c r="Z36" s="6" t="n">
        <v>4.25</v>
      </c>
      <c r="AA36" s="6" t="n">
        <v>11.6</v>
      </c>
      <c r="AB36" s="6" t="n">
        <v>19.45</v>
      </c>
      <c r="AC36" s="10" t="n">
        <v>0.188</v>
      </c>
      <c r="AD36" s="10" t="n">
        <v>0</v>
      </c>
      <c r="AE36" s="7" t="n">
        <v>0.591</v>
      </c>
      <c r="AF36" s="8" t="n">
        <v>837</v>
      </c>
      <c r="AG36" s="10" t="n">
        <v>0.775</v>
      </c>
      <c r="AH36" s="8" t="n">
        <v>106</v>
      </c>
      <c r="AI36" s="8" t="n">
        <v>106</v>
      </c>
      <c r="AJ36" s="6" t="n">
        <f aca="false">IFERROR(AI36/R36,"")</f>
        <v>6.625</v>
      </c>
      <c r="AK36" s="10" t="n">
        <v>0.2095</v>
      </c>
      <c r="AL36" s="10" t="n">
        <v>0.2592</v>
      </c>
      <c r="AM36" s="9" t="n">
        <v>0.4957</v>
      </c>
      <c r="AN36" s="8" t="n">
        <v>66</v>
      </c>
      <c r="AO36" s="10" t="n">
        <f aca="false">IFERROR(AN36/AI36,"")</f>
        <v>0.622641509433962</v>
      </c>
      <c r="AP36" s="8" t="n">
        <v>789</v>
      </c>
      <c r="AQ36" s="7" t="n">
        <f aca="false">IFERROR(AP36/AI36,"")</f>
        <v>7.4433962264151</v>
      </c>
      <c r="AR36" s="6" t="n">
        <v>9.868</v>
      </c>
      <c r="AS36" s="7" t="n">
        <v>4.697</v>
      </c>
      <c r="AT36" s="7" t="n">
        <v>0.754</v>
      </c>
      <c r="AU36" s="7" t="n">
        <v>3.26484209158479</v>
      </c>
      <c r="AV36" s="7" t="n">
        <v>5.79572815533981</v>
      </c>
      <c r="AW36" s="7" t="n">
        <v>1.00853801908532</v>
      </c>
      <c r="AX36" s="10" t="n">
        <v>0.0566</v>
      </c>
      <c r="AY36" s="8" t="n">
        <v>0</v>
      </c>
      <c r="AZ36" s="6" t="n">
        <f aca="false">IFERROR(AY36/R36,"")</f>
        <v>0</v>
      </c>
      <c r="BA36" s="10" t="n">
        <v>0</v>
      </c>
      <c r="BB36" s="8" t="n">
        <v>0</v>
      </c>
      <c r="BC36" s="7"/>
      <c r="BD36" s="7"/>
      <c r="BE36" s="7"/>
      <c r="BF36" s="8"/>
      <c r="BG36" s="7"/>
      <c r="BH36" s="6"/>
      <c r="BI36" s="7"/>
      <c r="BJ36" s="8" t="n">
        <v>15</v>
      </c>
      <c r="BK36" s="8" t="n">
        <v>6</v>
      </c>
      <c r="BL36" s="8" t="n">
        <v>4</v>
      </c>
      <c r="BM36" s="8" t="n">
        <v>6</v>
      </c>
      <c r="BN36" s="7" t="n">
        <v>5.71</v>
      </c>
      <c r="BO36" s="7" t="n">
        <f aca="false">IFERROR(BM36-BN36,"")</f>
        <v>0.29</v>
      </c>
      <c r="BP36" s="9" t="n">
        <f aca="false">IFERROR(BM36/AH36,"")</f>
        <v>0.0566037735849057</v>
      </c>
      <c r="BQ36" s="6" t="n">
        <v>26.9</v>
      </c>
      <c r="BR36" s="6" t="n">
        <v>40.7</v>
      </c>
      <c r="BS36" s="6" t="n">
        <v>23</v>
      </c>
      <c r="BT36" s="7" t="n">
        <v>2.77</v>
      </c>
      <c r="BU36" s="10" t="n">
        <v>0.2195</v>
      </c>
      <c r="BV36" s="10" t="n">
        <v>0.611111111111111</v>
      </c>
      <c r="BW36" s="7" t="n">
        <v>2.614</v>
      </c>
      <c r="BX36" s="10" t="n">
        <v>0.3427</v>
      </c>
      <c r="BY36" s="10" t="n">
        <v>0.0832</v>
      </c>
      <c r="BZ36" s="7" t="n">
        <v>2.37</v>
      </c>
      <c r="CA36" s="10" t="n">
        <v>0.205</v>
      </c>
      <c r="CB36" s="8" t="n">
        <v>1</v>
      </c>
      <c r="CC36" s="10" t="n">
        <v>0.0064</v>
      </c>
      <c r="CD36" s="10" t="n">
        <v>0.579</v>
      </c>
      <c r="CE36" s="6" t="n">
        <v>63.53</v>
      </c>
      <c r="CF36" s="6" t="n">
        <v>39</v>
      </c>
      <c r="CG36" s="7" t="n">
        <v>3.47</v>
      </c>
      <c r="CH36" s="6" t="n">
        <v>21.6</v>
      </c>
      <c r="CI36" s="9" t="n">
        <v>0.0187</v>
      </c>
      <c r="CJ36" s="9" t="n">
        <v>-0.0542</v>
      </c>
      <c r="CK36" s="8" t="n">
        <v>15</v>
      </c>
      <c r="CL36" s="10" t="n">
        <v>0.028</v>
      </c>
      <c r="CM36" s="8" t="n">
        <v>23</v>
      </c>
      <c r="CN36" s="10" t="n">
        <v>0.049</v>
      </c>
      <c r="CO36" s="8" t="n">
        <v>2</v>
      </c>
      <c r="CP36" s="7" t="n">
        <v>-0.607</v>
      </c>
      <c r="CQ36" s="7" t="n">
        <v>-0.958</v>
      </c>
      <c r="CR36" s="4" t="s">
        <v>121</v>
      </c>
      <c r="CS36" s="4"/>
    </row>
    <row r="37" customFormat="false" ht="15" hidden="false" customHeight="false" outlineLevel="0" collapsed="false">
      <c r="A37" s="3" t="n">
        <v>35</v>
      </c>
      <c r="B37" s="4" t="s">
        <v>196</v>
      </c>
      <c r="C37" s="5" t="s">
        <v>99</v>
      </c>
      <c r="D37" s="4" t="s">
        <v>197</v>
      </c>
      <c r="E37" s="4" t="s">
        <v>198</v>
      </c>
      <c r="F37" s="4" t="s">
        <v>99</v>
      </c>
      <c r="G37" s="3" t="n">
        <v>1</v>
      </c>
      <c r="H37" s="6" t="n">
        <v>23.8</v>
      </c>
      <c r="I37" s="3" t="n">
        <v>2</v>
      </c>
      <c r="J37" s="3" t="n">
        <v>10</v>
      </c>
      <c r="K37" s="7" t="n">
        <v>37.67</v>
      </c>
      <c r="L37" s="7" t="n">
        <v>7.99</v>
      </c>
      <c r="M37" s="8" t="n">
        <v>14</v>
      </c>
      <c r="N37" s="8" t="n">
        <v>55</v>
      </c>
      <c r="O37" s="7" t="n">
        <v>37.67</v>
      </c>
      <c r="P37" s="6" t="n">
        <v>96.8</v>
      </c>
      <c r="Q37" s="4" t="s">
        <v>198</v>
      </c>
      <c r="R37" s="8" t="n">
        <v>17</v>
      </c>
      <c r="S37" s="6" t="n">
        <v>195.7</v>
      </c>
      <c r="T37" s="7" t="n">
        <f aca="false">IFERROR(S37/R37,"")</f>
        <v>11.5117647058824</v>
      </c>
      <c r="U37" s="6" t="n">
        <v>164.2</v>
      </c>
      <c r="V37" s="6" t="n">
        <v>132.7</v>
      </c>
      <c r="W37" s="8" t="n">
        <v>23</v>
      </c>
      <c r="X37" s="7" t="n">
        <f aca="false">IFERROR(S37/AH37,"")</f>
        <v>1.51705426356589</v>
      </c>
      <c r="Y37" s="9" t="n">
        <f aca="false">IFERROR(S37/AF37,"")</f>
        <v>0.220880361173815</v>
      </c>
      <c r="Z37" s="6" t="n">
        <v>5</v>
      </c>
      <c r="AA37" s="6" t="n">
        <v>9</v>
      </c>
      <c r="AB37" s="6" t="n">
        <v>22.14</v>
      </c>
      <c r="AC37" s="10" t="n">
        <v>0.235</v>
      </c>
      <c r="AD37" s="10" t="n">
        <v>0</v>
      </c>
      <c r="AE37" s="7" t="n">
        <v>0.936</v>
      </c>
      <c r="AF37" s="8" t="n">
        <v>886</v>
      </c>
      <c r="AG37" s="10" t="n">
        <v>0.776</v>
      </c>
      <c r="AH37" s="8" t="n">
        <v>129</v>
      </c>
      <c r="AI37" s="8" t="n">
        <v>127</v>
      </c>
      <c r="AJ37" s="6" t="n">
        <f aca="false">IFERROR(AI37/R37,"")</f>
        <v>7.47058823529412</v>
      </c>
      <c r="AK37" s="10" t="n">
        <v>0.2348</v>
      </c>
      <c r="AL37" s="10" t="n">
        <v>0.3625</v>
      </c>
      <c r="AM37" s="9" t="n">
        <v>0.606</v>
      </c>
      <c r="AN37" s="8" t="n">
        <v>63</v>
      </c>
      <c r="AO37" s="10" t="n">
        <f aca="false">IFERROR(AN37/AI37,"")</f>
        <v>0.496062992125984</v>
      </c>
      <c r="AP37" s="8" t="n">
        <v>938</v>
      </c>
      <c r="AQ37" s="7" t="n">
        <f aca="false">IFERROR(AP37/AI37,"")</f>
        <v>7.38582677165354</v>
      </c>
      <c r="AR37" s="6" t="n">
        <v>12.378</v>
      </c>
      <c r="AS37" s="7" t="n">
        <v>5.317</v>
      </c>
      <c r="AT37" s="7" t="n">
        <v>0.597</v>
      </c>
      <c r="AU37" s="7" t="n">
        <v>2.58266381761159</v>
      </c>
      <c r="AV37" s="7" t="n">
        <v>6.22984</v>
      </c>
      <c r="AW37" s="7" t="n">
        <v>0.680138021406879</v>
      </c>
      <c r="AX37" s="10" t="n">
        <v>0.0709</v>
      </c>
      <c r="AY37" s="8" t="n">
        <v>2</v>
      </c>
      <c r="AZ37" s="6" t="n">
        <f aca="false">IFERROR(AY37/R37,"")</f>
        <v>0.117647058823529</v>
      </c>
      <c r="BA37" s="10" t="n">
        <v>0.0042</v>
      </c>
      <c r="BB37" s="8" t="n">
        <v>9</v>
      </c>
      <c r="BC37" s="7"/>
      <c r="BD37" s="7"/>
      <c r="BE37" s="7"/>
      <c r="BF37" s="8" t="n">
        <v>0</v>
      </c>
      <c r="BG37" s="7"/>
      <c r="BH37" s="6"/>
      <c r="BI37" s="7"/>
      <c r="BJ37" s="8" t="n">
        <v>14</v>
      </c>
      <c r="BK37" s="8" t="n">
        <v>4</v>
      </c>
      <c r="BL37" s="8" t="n">
        <v>2</v>
      </c>
      <c r="BM37" s="8" t="n">
        <v>6</v>
      </c>
      <c r="BN37" s="7" t="n">
        <v>4.58</v>
      </c>
      <c r="BO37" s="7" t="n">
        <f aca="false">IFERROR(BM37-BN37,"")</f>
        <v>1.42</v>
      </c>
      <c r="BP37" s="9" t="n">
        <f aca="false">IFERROR(BM37/AH37,"")</f>
        <v>0.0465116279069767</v>
      </c>
      <c r="BQ37" s="6" t="n">
        <v>57.4</v>
      </c>
      <c r="BR37" s="6" t="n">
        <v>46.3</v>
      </c>
      <c r="BS37" s="6" t="n">
        <v>65.4</v>
      </c>
      <c r="BT37" s="7" t="n">
        <v>2.736</v>
      </c>
      <c r="BU37" s="10" t="n">
        <v>0.1938</v>
      </c>
      <c r="BV37" s="10" t="n">
        <v>0.708333333333333</v>
      </c>
      <c r="BW37" s="7" t="n">
        <v>2.699</v>
      </c>
      <c r="BX37" s="10" t="n">
        <v>0.172</v>
      </c>
      <c r="BY37" s="10" t="n">
        <v>0.0571</v>
      </c>
      <c r="BZ37" s="7" t="n">
        <v>2.292</v>
      </c>
      <c r="CA37" s="10" t="n">
        <v>0.791</v>
      </c>
      <c r="CB37" s="8" t="n">
        <v>4</v>
      </c>
      <c r="CC37" s="10" t="n">
        <v>-0.0347</v>
      </c>
      <c r="CD37" s="10" t="n">
        <v>0.5148</v>
      </c>
      <c r="CE37" s="6" t="n">
        <v>62.65</v>
      </c>
      <c r="CF37" s="6" t="n">
        <v>41</v>
      </c>
      <c r="CG37" s="7" t="n">
        <v>3.12</v>
      </c>
      <c r="CH37" s="6" t="n">
        <v>22.4</v>
      </c>
      <c r="CI37" s="9" t="n">
        <v>0.0138</v>
      </c>
      <c r="CJ37" s="9" t="n">
        <v>-0.0264</v>
      </c>
      <c r="CK37" s="8" t="n">
        <v>111</v>
      </c>
      <c r="CL37" s="10" t="n">
        <v>0.205</v>
      </c>
      <c r="CM37" s="8" t="n">
        <v>138</v>
      </c>
      <c r="CN37" s="10" t="n">
        <v>0.292</v>
      </c>
      <c r="CO37" s="8" t="n">
        <v>38</v>
      </c>
      <c r="CP37" s="7" t="n">
        <v>-0.264</v>
      </c>
      <c r="CQ37" s="7" t="n">
        <v>-0.834</v>
      </c>
      <c r="CR37" s="4" t="s">
        <v>102</v>
      </c>
      <c r="CS37" s="4"/>
    </row>
    <row r="38" customFormat="false" ht="15" hidden="false" customHeight="false" outlineLevel="0" collapsed="false">
      <c r="A38" s="3" t="n">
        <v>36</v>
      </c>
      <c r="B38" s="4" t="s">
        <v>199</v>
      </c>
      <c r="C38" s="11" t="s">
        <v>104</v>
      </c>
      <c r="D38" s="4" t="s">
        <v>200</v>
      </c>
      <c r="E38" s="4" t="s">
        <v>183</v>
      </c>
      <c r="F38" s="4" t="s">
        <v>104</v>
      </c>
      <c r="G38" s="3" t="n">
        <v>1</v>
      </c>
      <c r="H38" s="6" t="n">
        <v>32.6</v>
      </c>
      <c r="I38" s="3" t="n">
        <v>11</v>
      </c>
      <c r="J38" s="3" t="n">
        <v>13</v>
      </c>
      <c r="K38" s="7" t="n">
        <v>37.78</v>
      </c>
      <c r="L38" s="7" t="n">
        <v>8.23</v>
      </c>
      <c r="M38" s="8" t="n">
        <v>17</v>
      </c>
      <c r="N38" s="8" t="n">
        <v>56</v>
      </c>
      <c r="O38" s="7" t="n">
        <v>37.78</v>
      </c>
      <c r="P38" s="6" t="n">
        <v>99.2</v>
      </c>
      <c r="Q38" s="4" t="s">
        <v>183</v>
      </c>
      <c r="R38" s="8" t="n">
        <v>17</v>
      </c>
      <c r="S38" s="6" t="n">
        <v>279.5</v>
      </c>
      <c r="T38" s="7" t="n">
        <f aca="false">IFERROR(S38/R38,"")</f>
        <v>16.4411764705882</v>
      </c>
      <c r="U38" s="6" t="n">
        <v>272</v>
      </c>
      <c r="V38" s="6" t="n">
        <v>264.5</v>
      </c>
      <c r="W38" s="8" t="n">
        <v>8</v>
      </c>
      <c r="X38" s="7" t="n">
        <f aca="false">IFERROR(S38/AH38,"")</f>
        <v>0.852134146341463</v>
      </c>
      <c r="Y38" s="9" t="n">
        <f aca="false">IFERROR(S38/AF38,"")</f>
        <v>0.503603603603604</v>
      </c>
      <c r="Z38" s="6" t="n">
        <v>10.7</v>
      </c>
      <c r="AA38" s="6" t="n">
        <v>13.1</v>
      </c>
      <c r="AB38" s="6" t="n">
        <v>22.8</v>
      </c>
      <c r="AC38" s="10" t="n">
        <v>0.412</v>
      </c>
      <c r="AD38" s="10" t="n">
        <v>0.059</v>
      </c>
      <c r="AE38" s="7" t="n">
        <v>0.764</v>
      </c>
      <c r="AF38" s="8" t="n">
        <v>555</v>
      </c>
      <c r="AG38" s="10" t="n">
        <v>0.545</v>
      </c>
      <c r="AH38" s="8" t="n">
        <v>328</v>
      </c>
      <c r="AI38" s="8" t="n">
        <v>21</v>
      </c>
      <c r="AJ38" s="6" t="n">
        <f aca="false">IFERROR(AI38/R38,"")</f>
        <v>1.23529411764706</v>
      </c>
      <c r="AK38" s="10" t="n">
        <v>0.0516</v>
      </c>
      <c r="AL38" s="10" t="n">
        <v>0.0036</v>
      </c>
      <c r="AM38" s="9" t="n">
        <v>0.0799</v>
      </c>
      <c r="AN38" s="8" t="n">
        <v>15</v>
      </c>
      <c r="AO38" s="10" t="n">
        <f aca="false">IFERROR(AN38/AI38,"")</f>
        <v>0.714285714285714</v>
      </c>
      <c r="AP38" s="8" t="n">
        <v>150</v>
      </c>
      <c r="AQ38" s="7" t="n">
        <f aca="false">IFERROR(AP38/AI38,"")</f>
        <v>7.14285714285714</v>
      </c>
      <c r="AR38" s="6" t="n">
        <v>0.571</v>
      </c>
      <c r="AS38" s="7" t="n">
        <v>9</v>
      </c>
      <c r="AT38" s="7" t="n">
        <v>12.5</v>
      </c>
      <c r="AU38" s="7"/>
      <c r="AV38" s="7"/>
      <c r="AW38" s="7"/>
      <c r="AX38" s="10" t="n">
        <v>0.0476</v>
      </c>
      <c r="AY38" s="8" t="n">
        <v>307</v>
      </c>
      <c r="AZ38" s="6" t="n">
        <f aca="false">IFERROR(AY38/R38,"")</f>
        <v>18.0588235294118</v>
      </c>
      <c r="BA38" s="10" t="n">
        <v>0.6055</v>
      </c>
      <c r="BB38" s="8" t="n">
        <v>1595</v>
      </c>
      <c r="BC38" s="7" t="n">
        <f aca="false">IFERROR(BB38/AY38,"")</f>
        <v>5.19543973941368</v>
      </c>
      <c r="BD38" s="7" t="n">
        <v>2.821</v>
      </c>
      <c r="BE38" s="7" t="n">
        <v>2.375</v>
      </c>
      <c r="BF38" s="8" t="n">
        <v>13</v>
      </c>
      <c r="BG38" s="7" t="n">
        <v>1.11873502444215</v>
      </c>
      <c r="BH38" s="6" t="n">
        <v>39.0879478827362</v>
      </c>
      <c r="BI38" s="7" t="n">
        <v>3.28435736677116</v>
      </c>
      <c r="BJ38" s="8" t="n">
        <v>65</v>
      </c>
      <c r="BK38" s="8" t="n">
        <v>40</v>
      </c>
      <c r="BL38" s="8" t="n">
        <v>27</v>
      </c>
      <c r="BM38" s="8" t="n">
        <v>16</v>
      </c>
      <c r="BN38" s="7" t="n">
        <v>15.46</v>
      </c>
      <c r="BO38" s="7" t="n">
        <f aca="false">IFERROR(BM38-BN38,"")</f>
        <v>0.539999999999999</v>
      </c>
      <c r="BP38" s="9" t="n">
        <f aca="false">IFERROR(BM38/AH38,"")</f>
        <v>0.0487804878048781</v>
      </c>
      <c r="BQ38" s="6" t="n">
        <v>53.2</v>
      </c>
      <c r="BR38" s="6" t="n">
        <v>64.1</v>
      </c>
      <c r="BS38" s="6" t="n">
        <v>41</v>
      </c>
      <c r="BT38" s="7" t="n">
        <v>3.032</v>
      </c>
      <c r="BU38" s="10" t="n">
        <v>0.1574</v>
      </c>
      <c r="BV38" s="10" t="n">
        <v>0.648648648648649</v>
      </c>
      <c r="BW38" s="7" t="n">
        <v>3.144</v>
      </c>
      <c r="BX38" s="10" t="n">
        <v>0.2725</v>
      </c>
      <c r="BY38" s="10" t="n">
        <v>0.0849</v>
      </c>
      <c r="BZ38" s="7" t="n">
        <v>2.454</v>
      </c>
      <c r="CA38" s="10" t="n">
        <v>0.572</v>
      </c>
      <c r="CB38" s="8" t="n">
        <v>2</v>
      </c>
      <c r="CC38" s="10" t="n">
        <v>-0.0884</v>
      </c>
      <c r="CD38" s="10" t="n">
        <v>0.4667</v>
      </c>
      <c r="CE38" s="6" t="n">
        <v>56.24</v>
      </c>
      <c r="CF38" s="6" t="n">
        <v>39</v>
      </c>
      <c r="CG38" s="7" t="n">
        <v>3.59</v>
      </c>
      <c r="CH38" s="6" t="n">
        <v>24.9</v>
      </c>
      <c r="CI38" s="9" t="n">
        <v>0.0996</v>
      </c>
      <c r="CJ38" s="9" t="n">
        <v>-0.035</v>
      </c>
      <c r="CK38" s="8" t="n">
        <v>75</v>
      </c>
      <c r="CL38" s="10" t="n">
        <v>0.184</v>
      </c>
      <c r="CM38" s="8" t="n">
        <v>64</v>
      </c>
      <c r="CN38" s="10" t="n">
        <v>0.126</v>
      </c>
      <c r="CO38" s="8" t="n">
        <v>26</v>
      </c>
      <c r="CP38" s="7" t="n">
        <v>0.11</v>
      </c>
      <c r="CQ38" s="7" t="n">
        <v>0.109</v>
      </c>
      <c r="CR38" s="4" t="s">
        <v>102</v>
      </c>
      <c r="CS38" s="4"/>
    </row>
    <row r="39" customFormat="false" ht="15" hidden="false" customHeight="false" outlineLevel="0" collapsed="false">
      <c r="A39" s="3" t="n">
        <v>37</v>
      </c>
      <c r="B39" s="4" t="s">
        <v>201</v>
      </c>
      <c r="C39" s="12" t="s">
        <v>149</v>
      </c>
      <c r="D39" s="4" t="s">
        <v>202</v>
      </c>
      <c r="E39" s="4" t="s">
        <v>203</v>
      </c>
      <c r="F39" s="4" t="s">
        <v>149</v>
      </c>
      <c r="G39" s="3" t="n">
        <v>1</v>
      </c>
      <c r="H39" s="6" t="n">
        <v>22.4</v>
      </c>
      <c r="I39" s="3" t="n">
        <v>2</v>
      </c>
      <c r="J39" s="3" t="n">
        <v>10</v>
      </c>
      <c r="K39" s="7" t="n">
        <v>37.97</v>
      </c>
      <c r="L39" s="7" t="n">
        <v>14.42</v>
      </c>
      <c r="M39" s="8" t="n">
        <v>22</v>
      </c>
      <c r="N39" s="8" t="n">
        <v>97</v>
      </c>
      <c r="O39" s="7" t="n">
        <v>37.97</v>
      </c>
      <c r="P39" s="6" t="n">
        <v>99.1</v>
      </c>
      <c r="Q39" s="4" t="s">
        <v>203</v>
      </c>
      <c r="R39" s="8" t="n">
        <v>16</v>
      </c>
      <c r="S39" s="6" t="n">
        <v>165.1</v>
      </c>
      <c r="T39" s="7" t="n">
        <f aca="false">IFERROR(S39/R39,"")</f>
        <v>10.31875</v>
      </c>
      <c r="U39" s="6" t="n">
        <v>136.1</v>
      </c>
      <c r="V39" s="6" t="n">
        <v>107.1</v>
      </c>
      <c r="W39" s="8" t="n">
        <v>12</v>
      </c>
      <c r="X39" s="7" t="n">
        <f aca="false">IFERROR(S39/AH39,"")</f>
        <v>1.98915662650602</v>
      </c>
      <c r="Y39" s="9" t="n">
        <f aca="false">IFERROR(S39/AF39,"")</f>
        <v>0.235520684736091</v>
      </c>
      <c r="Z39" s="6" t="n">
        <v>5.08</v>
      </c>
      <c r="AA39" s="6" t="n">
        <v>6.9</v>
      </c>
      <c r="AB39" s="6" t="n">
        <v>19.77</v>
      </c>
      <c r="AC39" s="10" t="n">
        <v>0.25</v>
      </c>
      <c r="AD39" s="10" t="n">
        <v>0.062</v>
      </c>
      <c r="AE39" s="7" t="n">
        <v>1.232</v>
      </c>
      <c r="AF39" s="8" t="n">
        <v>701</v>
      </c>
      <c r="AG39" s="10" t="n">
        <v>0.645</v>
      </c>
      <c r="AH39" s="8" t="n">
        <v>83</v>
      </c>
      <c r="AI39" s="8" t="n">
        <v>82</v>
      </c>
      <c r="AJ39" s="6" t="n">
        <f aca="false">IFERROR(AI39/R39,"")</f>
        <v>5.125</v>
      </c>
      <c r="AK39" s="10" t="n">
        <v>0.1653</v>
      </c>
      <c r="AL39" s="10" t="n">
        <v>0.1728</v>
      </c>
      <c r="AM39" s="9" t="n">
        <v>0.3689</v>
      </c>
      <c r="AN39" s="8" t="n">
        <v>58</v>
      </c>
      <c r="AO39" s="10" t="n">
        <f aca="false">IFERROR(AN39/AI39,"")</f>
        <v>0.707317073170732</v>
      </c>
      <c r="AP39" s="8" t="n">
        <v>713</v>
      </c>
      <c r="AQ39" s="7" t="n">
        <f aca="false">IFERROR(AP39/AI39,"")</f>
        <v>8.69512195121951</v>
      </c>
      <c r="AR39" s="6" t="n">
        <v>9.098</v>
      </c>
      <c r="AS39" s="7" t="n">
        <v>4.31</v>
      </c>
      <c r="AT39" s="7" t="n">
        <v>0.956</v>
      </c>
      <c r="AU39" s="7" t="n">
        <v>3.6848323272703</v>
      </c>
      <c r="AV39" s="7" t="n">
        <v>5.38375</v>
      </c>
      <c r="AW39" s="7" t="n">
        <v>0.742548228414731</v>
      </c>
      <c r="AX39" s="10" t="n">
        <v>0.0122</v>
      </c>
      <c r="AY39" s="8" t="n">
        <v>1</v>
      </c>
      <c r="AZ39" s="6" t="n">
        <f aca="false">IFERROR(AY39/R39,"")</f>
        <v>0.0625</v>
      </c>
      <c r="BA39" s="10" t="n">
        <v>0.0021</v>
      </c>
      <c r="BB39" s="8" t="n">
        <v>-2</v>
      </c>
      <c r="BC39" s="7"/>
      <c r="BD39" s="7"/>
      <c r="BE39" s="7"/>
      <c r="BF39" s="8" t="n">
        <v>0</v>
      </c>
      <c r="BG39" s="7"/>
      <c r="BH39" s="6"/>
      <c r="BI39" s="7"/>
      <c r="BJ39" s="8" t="n">
        <v>15</v>
      </c>
      <c r="BK39" s="8" t="n">
        <v>7</v>
      </c>
      <c r="BL39" s="8" t="n">
        <v>4</v>
      </c>
      <c r="BM39" s="8" t="n">
        <v>6</v>
      </c>
      <c r="BN39" s="7" t="n">
        <v>5.13</v>
      </c>
      <c r="BO39" s="7" t="n">
        <f aca="false">IFERROR(BM39-BN39,"")</f>
        <v>0.87</v>
      </c>
      <c r="BP39" s="9" t="n">
        <f aca="false">IFERROR(BM39/AH39,"")</f>
        <v>0.072289156626506</v>
      </c>
      <c r="BQ39" s="6" t="n">
        <v>76.3</v>
      </c>
      <c r="BR39" s="6" t="n">
        <v>80.3</v>
      </c>
      <c r="BS39" s="6" t="n">
        <v>61.1</v>
      </c>
      <c r="BT39" s="7" t="n">
        <v>3.337</v>
      </c>
      <c r="BU39" s="10" t="n">
        <v>0.1354</v>
      </c>
      <c r="BV39" s="10" t="n">
        <v>0.794117647058824</v>
      </c>
      <c r="BW39" s="7" t="n">
        <v>3.125</v>
      </c>
      <c r="BX39" s="10" t="n">
        <v>0.2787</v>
      </c>
      <c r="BY39" s="10" t="n">
        <v>0.0358</v>
      </c>
      <c r="BZ39" s="7" t="n">
        <v>2.496</v>
      </c>
      <c r="CA39" s="10" t="n">
        <v>0.802</v>
      </c>
      <c r="CB39" s="8" t="n">
        <v>4</v>
      </c>
      <c r="CC39" s="10" t="n">
        <v>-0.039</v>
      </c>
      <c r="CD39" s="10" t="n">
        <v>0.5233</v>
      </c>
      <c r="CE39" s="6" t="n">
        <v>64.47</v>
      </c>
      <c r="CF39" s="6" t="n">
        <v>37</v>
      </c>
      <c r="CG39" s="7" t="n">
        <v>3.41</v>
      </c>
      <c r="CH39" s="6" t="n">
        <v>25.9</v>
      </c>
      <c r="CI39" s="9" t="n">
        <v>0.0786</v>
      </c>
      <c r="CJ39" s="9" t="n">
        <v>0.0802</v>
      </c>
      <c r="CK39" s="8" t="n">
        <v>161</v>
      </c>
      <c r="CL39" s="10" t="n">
        <v>0.303</v>
      </c>
      <c r="CM39" s="8" t="n">
        <v>20</v>
      </c>
      <c r="CN39" s="10" t="n">
        <v>0.04</v>
      </c>
      <c r="CO39" s="8" t="n">
        <v>26</v>
      </c>
      <c r="CP39" s="7" t="n">
        <v>-0.384</v>
      </c>
      <c r="CQ39" s="7" t="n">
        <v>-0.56</v>
      </c>
      <c r="CR39" s="4" t="s">
        <v>121</v>
      </c>
      <c r="CS39" s="4"/>
    </row>
    <row r="40" customFormat="false" ht="15" hidden="false" customHeight="false" outlineLevel="0" collapsed="false">
      <c r="A40" s="3" t="n">
        <v>38</v>
      </c>
      <c r="B40" s="4" t="s">
        <v>204</v>
      </c>
      <c r="C40" s="11" t="s">
        <v>104</v>
      </c>
      <c r="D40" s="4" t="s">
        <v>205</v>
      </c>
      <c r="E40" s="4" t="s">
        <v>151</v>
      </c>
      <c r="F40" s="4" t="s">
        <v>104</v>
      </c>
      <c r="G40" s="3" t="n">
        <v>1</v>
      </c>
      <c r="H40" s="6" t="n">
        <v>21.2</v>
      </c>
      <c r="I40" s="3" t="n">
        <v>0</v>
      </c>
      <c r="J40" s="3" t="n">
        <v>14</v>
      </c>
      <c r="K40" s="7" t="n">
        <v>38.13</v>
      </c>
      <c r="L40" s="7" t="n">
        <v>7.09</v>
      </c>
      <c r="M40" s="8" t="n">
        <v>22</v>
      </c>
      <c r="N40" s="8" t="n">
        <v>65</v>
      </c>
      <c r="O40" s="7" t="n">
        <v>38.13</v>
      </c>
      <c r="P40" s="6" t="n">
        <v>98.3</v>
      </c>
      <c r="Q40" s="4"/>
      <c r="R40" s="8"/>
      <c r="S40" s="6"/>
      <c r="T40" s="7"/>
      <c r="U40" s="6"/>
      <c r="V40" s="6"/>
      <c r="W40" s="8"/>
      <c r="X40" s="7"/>
      <c r="Y40" s="9"/>
      <c r="Z40" s="6"/>
      <c r="AA40" s="6"/>
      <c r="AB40" s="6"/>
      <c r="AC40" s="10"/>
      <c r="AD40" s="10"/>
      <c r="AE40" s="7"/>
      <c r="AF40" s="8"/>
      <c r="AG40" s="10"/>
      <c r="AH40" s="8"/>
      <c r="AI40" s="8"/>
      <c r="AJ40" s="6"/>
      <c r="AK40" s="10"/>
      <c r="AL40" s="10"/>
      <c r="AM40" s="9"/>
      <c r="AN40" s="8"/>
      <c r="AO40" s="10"/>
      <c r="AP40" s="8"/>
      <c r="AQ40" s="7"/>
      <c r="AR40" s="6"/>
      <c r="AS40" s="7"/>
      <c r="AT40" s="7"/>
      <c r="AU40" s="7"/>
      <c r="AV40" s="7"/>
      <c r="AW40" s="7"/>
      <c r="AX40" s="10"/>
      <c r="AY40" s="8"/>
      <c r="AZ40" s="6"/>
      <c r="BA40" s="10"/>
      <c r="BB40" s="8"/>
      <c r="BC40" s="7"/>
      <c r="BD40" s="7"/>
      <c r="BE40" s="7"/>
      <c r="BF40" s="8"/>
      <c r="BG40" s="7"/>
      <c r="BH40" s="6"/>
      <c r="BI40" s="7"/>
      <c r="BJ40" s="8"/>
      <c r="BK40" s="8"/>
      <c r="BL40" s="8"/>
      <c r="BM40" s="8"/>
      <c r="BN40" s="7"/>
      <c r="BO40" s="7"/>
      <c r="BP40" s="9"/>
      <c r="BQ40" s="6" t="n">
        <v>36.9</v>
      </c>
      <c r="BR40" s="6" t="n">
        <v>43.8</v>
      </c>
      <c r="BS40" s="6" t="n">
        <v>35.6</v>
      </c>
      <c r="BT40" s="7" t="n">
        <v>2.771</v>
      </c>
      <c r="BU40" s="10" t="n">
        <v>0.2005</v>
      </c>
      <c r="BV40" s="10" t="n">
        <v>0.65625</v>
      </c>
      <c r="BW40" s="7" t="n">
        <v>2.593</v>
      </c>
      <c r="BX40" s="10" t="n">
        <v>0.282</v>
      </c>
      <c r="BY40" s="10" t="n">
        <v>0.0839</v>
      </c>
      <c r="BZ40" s="7" t="n">
        <v>2.373</v>
      </c>
      <c r="CA40" s="10" t="n">
        <v>0.686</v>
      </c>
      <c r="CB40" s="8" t="n">
        <v>3</v>
      </c>
      <c r="CC40" s="10" t="n">
        <v>0.0399</v>
      </c>
      <c r="CD40" s="10" t="n">
        <v>0.6204</v>
      </c>
      <c r="CE40" s="6" t="n">
        <v>63.18</v>
      </c>
      <c r="CF40" s="6" t="n">
        <v>39</v>
      </c>
      <c r="CG40" s="7" t="n">
        <v>3.59</v>
      </c>
      <c r="CH40" s="6" t="n">
        <v>20.9</v>
      </c>
      <c r="CI40" s="9" t="n">
        <v>-0.0591</v>
      </c>
      <c r="CJ40" s="9" t="n">
        <v>0.0023</v>
      </c>
      <c r="CK40" s="8" t="n">
        <v>106</v>
      </c>
      <c r="CL40" s="10" t="n">
        <v>0.172</v>
      </c>
      <c r="CM40" s="8" t="n">
        <v>173</v>
      </c>
      <c r="CN40" s="10" t="n">
        <v>0.473</v>
      </c>
      <c r="CO40" s="8" t="n">
        <v>41</v>
      </c>
      <c r="CP40" s="7"/>
      <c r="CQ40" s="7"/>
      <c r="CR40" s="4"/>
      <c r="CS40" s="4" t="s">
        <v>206</v>
      </c>
    </row>
    <row r="41" customFormat="false" ht="15" hidden="false" customHeight="false" outlineLevel="0" collapsed="false">
      <c r="A41" s="3" t="n">
        <v>39</v>
      </c>
      <c r="B41" s="4" t="s">
        <v>207</v>
      </c>
      <c r="C41" s="5" t="s">
        <v>99</v>
      </c>
      <c r="D41" s="4" t="s">
        <v>208</v>
      </c>
      <c r="E41" s="4" t="s">
        <v>209</v>
      </c>
      <c r="F41" s="4" t="s">
        <v>99</v>
      </c>
      <c r="G41" s="3" t="n">
        <v>2</v>
      </c>
      <c r="H41" s="6" t="n">
        <v>27.7</v>
      </c>
      <c r="I41" s="3" t="n">
        <v>6</v>
      </c>
      <c r="J41" s="3" t="n">
        <v>10</v>
      </c>
      <c r="K41" s="7" t="n">
        <v>38.17</v>
      </c>
      <c r="L41" s="7" t="n">
        <v>7.48</v>
      </c>
      <c r="M41" s="8" t="n">
        <v>18</v>
      </c>
      <c r="N41" s="8" t="n">
        <v>59</v>
      </c>
      <c r="O41" s="7" t="n">
        <v>38.17</v>
      </c>
      <c r="P41" s="6" t="n">
        <v>95.7</v>
      </c>
      <c r="Q41" s="4" t="s">
        <v>161</v>
      </c>
      <c r="R41" s="8" t="n">
        <v>16</v>
      </c>
      <c r="S41" s="6" t="n">
        <v>194.12</v>
      </c>
      <c r="T41" s="7" t="n">
        <f aca="false">IFERROR(S41/R41,"")</f>
        <v>12.1325</v>
      </c>
      <c r="U41" s="6" t="n">
        <v>162.12</v>
      </c>
      <c r="V41" s="6" t="n">
        <v>130.12</v>
      </c>
      <c r="W41" s="8" t="n">
        <v>24</v>
      </c>
      <c r="X41" s="7" t="n">
        <f aca="false">IFERROR(S41/AH41,"")</f>
        <v>1.90313725490196</v>
      </c>
      <c r="Y41" s="9" t="n">
        <f aca="false">IFERROR(S41/AF41,"")</f>
        <v>0.268864265927978</v>
      </c>
      <c r="Z41" s="6" t="n">
        <v>7</v>
      </c>
      <c r="AA41" s="6" t="n">
        <v>13.2</v>
      </c>
      <c r="AB41" s="6" t="n">
        <v>19.08</v>
      </c>
      <c r="AC41" s="10" t="n">
        <v>0.188</v>
      </c>
      <c r="AD41" s="10" t="n">
        <v>0.062</v>
      </c>
      <c r="AE41" s="7" t="n">
        <v>0.521</v>
      </c>
      <c r="AF41" s="8" t="n">
        <v>722</v>
      </c>
      <c r="AG41" s="10" t="n">
        <v>0.776</v>
      </c>
      <c r="AH41" s="8" t="n">
        <v>102</v>
      </c>
      <c r="AI41" s="8" t="n">
        <v>100</v>
      </c>
      <c r="AJ41" s="6" t="n">
        <f aca="false">IFERROR(AI41/R41,"")</f>
        <v>6.25</v>
      </c>
      <c r="AK41" s="10" t="n">
        <v>0.2283</v>
      </c>
      <c r="AL41" s="10" t="n">
        <v>0.417</v>
      </c>
      <c r="AM41" s="9" t="n">
        <v>0.6344</v>
      </c>
      <c r="AN41" s="8" t="n">
        <v>64</v>
      </c>
      <c r="AO41" s="10" t="n">
        <f aca="false">IFERROR(AN41/AI41,"")</f>
        <v>0.64</v>
      </c>
      <c r="AP41" s="8" t="n">
        <v>910</v>
      </c>
      <c r="AQ41" s="7" t="n">
        <f aca="false">IFERROR(AP41/AI41,"")</f>
        <v>9.1</v>
      </c>
      <c r="AR41" s="6" t="n">
        <v>13.06</v>
      </c>
      <c r="AS41" s="7" t="n">
        <v>3.562</v>
      </c>
      <c r="AT41" s="7" t="n">
        <v>0.697</v>
      </c>
      <c r="AU41" s="7" t="n">
        <v>2.73433420229969</v>
      </c>
      <c r="AV41" s="7" t="n">
        <v>6.18673469387755</v>
      </c>
      <c r="AW41" s="7" t="n">
        <v>0.145745365037632</v>
      </c>
      <c r="AX41" s="10" t="n">
        <v>0.04</v>
      </c>
      <c r="AY41" s="8" t="n">
        <v>2</v>
      </c>
      <c r="AZ41" s="6" t="n">
        <f aca="false">IFERROR(AY41/R41,"")</f>
        <v>0.125</v>
      </c>
      <c r="BA41" s="10" t="n">
        <v>0.0049</v>
      </c>
      <c r="BB41" s="8" t="n">
        <v>28</v>
      </c>
      <c r="BC41" s="7"/>
      <c r="BD41" s="7"/>
      <c r="BE41" s="7"/>
      <c r="BF41" s="8" t="n">
        <v>0</v>
      </c>
      <c r="BG41" s="7"/>
      <c r="BH41" s="6"/>
      <c r="BI41" s="7"/>
      <c r="BJ41" s="8" t="n">
        <v>11</v>
      </c>
      <c r="BK41" s="8" t="n">
        <v>5</v>
      </c>
      <c r="BL41" s="8" t="n">
        <v>4</v>
      </c>
      <c r="BM41" s="8" t="n">
        <v>6</v>
      </c>
      <c r="BN41" s="7" t="n">
        <v>4.3</v>
      </c>
      <c r="BO41" s="7" t="n">
        <f aca="false">IFERROR(BM41-BN41,"")</f>
        <v>1.7</v>
      </c>
      <c r="BP41" s="9" t="n">
        <f aca="false">IFERROR(BM41/AH41,"")</f>
        <v>0.0588235294117647</v>
      </c>
      <c r="BQ41" s="6" t="n">
        <v>63.2</v>
      </c>
      <c r="BR41" s="6" t="n">
        <v>50</v>
      </c>
      <c r="BS41" s="6" t="n">
        <v>70.8</v>
      </c>
      <c r="BT41" s="7" t="n">
        <v>2.952</v>
      </c>
      <c r="BU41" s="10" t="n">
        <v>0.1682</v>
      </c>
      <c r="BV41" s="10" t="n">
        <v>0.551724137931035</v>
      </c>
      <c r="BW41" s="7" t="n">
        <v>2.592</v>
      </c>
      <c r="BX41" s="10" t="n">
        <v>0.2088</v>
      </c>
      <c r="BY41" s="10" t="n">
        <v>0.037</v>
      </c>
      <c r="BZ41" s="7" t="n">
        <v>2.401</v>
      </c>
      <c r="CA41" s="10" t="n">
        <v>0.999</v>
      </c>
      <c r="CB41" s="8" t="n">
        <v>5</v>
      </c>
      <c r="CC41" s="10" t="n">
        <v>0.0157</v>
      </c>
      <c r="CD41" s="10" t="n">
        <v>0.59</v>
      </c>
      <c r="CE41" s="6" t="n">
        <v>63.47</v>
      </c>
      <c r="CF41" s="6" t="n">
        <v>38</v>
      </c>
      <c r="CG41" s="7" t="n">
        <v>3.47</v>
      </c>
      <c r="CH41" s="6" t="n">
        <v>23.6</v>
      </c>
      <c r="CI41" s="9" t="n">
        <v>0.0004</v>
      </c>
      <c r="CJ41" s="9" t="n">
        <v>0.0835</v>
      </c>
      <c r="CK41" s="8" t="n">
        <v>4</v>
      </c>
      <c r="CL41" s="10" t="n">
        <v>0.007</v>
      </c>
      <c r="CM41" s="8" t="n">
        <v>0</v>
      </c>
      <c r="CN41" s="10" t="n">
        <v>0</v>
      </c>
      <c r="CO41" s="8" t="n">
        <v>1</v>
      </c>
      <c r="CP41" s="7" t="n">
        <v>-0.273</v>
      </c>
      <c r="CQ41" s="7" t="n">
        <v>-0.492</v>
      </c>
      <c r="CR41" s="4" t="s">
        <v>102</v>
      </c>
      <c r="CS41" s="4"/>
    </row>
    <row r="42" customFormat="false" ht="15" hidden="false" customHeight="false" outlineLevel="0" collapsed="false">
      <c r="A42" s="3" t="n">
        <v>40</v>
      </c>
      <c r="B42" s="4" t="s">
        <v>210</v>
      </c>
      <c r="C42" s="13" t="s">
        <v>172</v>
      </c>
      <c r="D42" s="4" t="s">
        <v>211</v>
      </c>
      <c r="E42" s="4" t="s">
        <v>135</v>
      </c>
      <c r="F42" s="4" t="s">
        <v>172</v>
      </c>
      <c r="G42" s="3" t="n">
        <v>1</v>
      </c>
      <c r="H42" s="6" t="n">
        <v>24</v>
      </c>
      <c r="I42" s="3" t="n">
        <v>3</v>
      </c>
      <c r="J42" s="3" t="n">
        <v>11</v>
      </c>
      <c r="K42" s="7" t="n">
        <v>39.19</v>
      </c>
      <c r="L42" s="7" t="n">
        <v>14.57</v>
      </c>
      <c r="M42" s="8" t="n">
        <v>26</v>
      </c>
      <c r="N42" s="8" t="n">
        <v>92</v>
      </c>
      <c r="O42" s="7" t="n">
        <v>39.19</v>
      </c>
      <c r="P42" s="6" t="n">
        <v>98.6</v>
      </c>
      <c r="Q42" s="4" t="s">
        <v>135</v>
      </c>
      <c r="R42" s="8" t="n">
        <v>17</v>
      </c>
      <c r="S42" s="6" t="n">
        <v>351.96</v>
      </c>
      <c r="T42" s="7" t="n">
        <f aca="false">IFERROR(S42/R42,"")</f>
        <v>20.7035294117647</v>
      </c>
      <c r="U42" s="6" t="n">
        <v>351.46</v>
      </c>
      <c r="V42" s="6" t="n">
        <v>350.96</v>
      </c>
      <c r="W42" s="8" t="n">
        <v>2</v>
      </c>
      <c r="X42" s="7" t="n">
        <f aca="false">IFERROR(S42/AH42,"")</f>
        <v>3.38423076923077</v>
      </c>
      <c r="Y42" s="9" t="n">
        <f aca="false">IFERROR(S42/AF42,"")</f>
        <v>0.3352</v>
      </c>
      <c r="Z42" s="6" t="n">
        <v>15.96</v>
      </c>
      <c r="AA42" s="6" t="n">
        <v>20.48</v>
      </c>
      <c r="AB42" s="6" t="n">
        <v>26.29</v>
      </c>
      <c r="AC42" s="10" t="n">
        <v>0.588</v>
      </c>
      <c r="AD42" s="10" t="n">
        <v>0</v>
      </c>
      <c r="AE42" s="7" t="n">
        <v>0.263</v>
      </c>
      <c r="AF42" s="8" t="n">
        <v>1050</v>
      </c>
      <c r="AG42" s="10" t="n">
        <v>0.958</v>
      </c>
      <c r="AH42" s="8" t="n">
        <v>104</v>
      </c>
      <c r="AI42" s="8" t="n">
        <v>1</v>
      </c>
      <c r="AJ42" s="6" t="n">
        <f aca="false">IFERROR(AI42/R42,"")</f>
        <v>0.0588235294117647</v>
      </c>
      <c r="AK42" s="10" t="n">
        <v>0.0021</v>
      </c>
      <c r="AL42" s="10" t="n">
        <v>-0.0018</v>
      </c>
      <c r="AM42" s="9" t="n">
        <v>0.0019</v>
      </c>
      <c r="AN42" s="8" t="n">
        <v>1</v>
      </c>
      <c r="AO42" s="10"/>
      <c r="AP42" s="8" t="n">
        <v>2</v>
      </c>
      <c r="AQ42" s="7"/>
      <c r="AR42" s="6"/>
      <c r="AS42" s="7"/>
      <c r="AT42" s="7"/>
      <c r="AU42" s="7"/>
      <c r="AV42" s="7"/>
      <c r="AW42" s="7"/>
      <c r="AX42" s="10"/>
      <c r="AY42" s="8" t="n">
        <v>103</v>
      </c>
      <c r="AZ42" s="6" t="n">
        <f aca="false">IFERROR(AY42/R42,"")</f>
        <v>6.05882352941176</v>
      </c>
      <c r="BA42" s="10" t="n">
        <v>0.2085</v>
      </c>
      <c r="BB42" s="8" t="n">
        <v>450</v>
      </c>
      <c r="BC42" s="7" t="n">
        <f aca="false">IFERROR(BB42/AY42,"")</f>
        <v>4.36893203883495</v>
      </c>
      <c r="BD42" s="7" t="n">
        <v>3.252</v>
      </c>
      <c r="BE42" s="7" t="n">
        <v>1.117</v>
      </c>
      <c r="BF42" s="8" t="n">
        <v>2</v>
      </c>
      <c r="BG42" s="7"/>
      <c r="BH42" s="6"/>
      <c r="BI42" s="7"/>
      <c r="BJ42" s="8" t="n">
        <v>17</v>
      </c>
      <c r="BK42" s="8" t="n">
        <v>12</v>
      </c>
      <c r="BL42" s="8" t="n">
        <v>3</v>
      </c>
      <c r="BM42" s="8" t="n">
        <v>4</v>
      </c>
      <c r="BN42" s="7" t="n">
        <v>3.25</v>
      </c>
      <c r="BO42" s="7" t="n">
        <f aca="false">IFERROR(BM42-BN42,"")</f>
        <v>0.75</v>
      </c>
      <c r="BP42" s="9" t="n">
        <f aca="false">IFERROR(BM42/AH42,"")</f>
        <v>0.0384615384615385</v>
      </c>
      <c r="BQ42" s="6" t="n">
        <v>41.6</v>
      </c>
      <c r="BR42" s="6" t="n">
        <v>43.3</v>
      </c>
      <c r="BS42" s="6" t="n">
        <v>43.5</v>
      </c>
      <c r="BT42" s="7" t="n">
        <v>2.802</v>
      </c>
      <c r="BU42" s="10" t="n">
        <v>0.1883</v>
      </c>
      <c r="BV42" s="10" t="n">
        <v>0.575757575757576</v>
      </c>
      <c r="BW42" s="7" t="n">
        <v>2.561</v>
      </c>
      <c r="BX42" s="10" t="n">
        <v>0.261</v>
      </c>
      <c r="BY42" s="10" t="n">
        <v>0.0789</v>
      </c>
      <c r="BZ42" s="7" t="n">
        <v>2.406</v>
      </c>
      <c r="CA42" s="10" t="n">
        <v>0.533</v>
      </c>
      <c r="CB42" s="8" t="n">
        <v>3</v>
      </c>
      <c r="CC42" s="10" t="n">
        <v>0.0242</v>
      </c>
      <c r="CD42" s="10" t="n">
        <v>0.5691</v>
      </c>
      <c r="CE42" s="6" t="n">
        <v>59.82</v>
      </c>
      <c r="CF42" s="6" t="n">
        <v>38</v>
      </c>
      <c r="CG42" s="7" t="n">
        <v>3.76</v>
      </c>
      <c r="CH42" s="6" t="n">
        <v>28.8</v>
      </c>
      <c r="CI42" s="9" t="n">
        <v>0.0077</v>
      </c>
      <c r="CJ42" s="9" t="n">
        <v>0.2873</v>
      </c>
      <c r="CK42" s="8" t="n">
        <v>128</v>
      </c>
      <c r="CL42" s="10" t="n">
        <v>0.266</v>
      </c>
      <c r="CM42" s="8" t="n">
        <v>10</v>
      </c>
      <c r="CN42" s="10" t="n">
        <v>0.02</v>
      </c>
      <c r="CO42" s="8" t="n">
        <v>17</v>
      </c>
      <c r="CP42" s="7" t="n">
        <v>0.054</v>
      </c>
      <c r="CQ42" s="7" t="n">
        <v>0.053</v>
      </c>
      <c r="CR42" s="4" t="s">
        <v>102</v>
      </c>
      <c r="CS42" s="4"/>
    </row>
    <row r="43" customFormat="false" ht="15" hidden="false" customHeight="false" outlineLevel="0" collapsed="false">
      <c r="A43" s="3" t="n">
        <v>41</v>
      </c>
      <c r="B43" s="4" t="s">
        <v>212</v>
      </c>
      <c r="C43" s="11" t="s">
        <v>104</v>
      </c>
      <c r="D43" s="4" t="s">
        <v>213</v>
      </c>
      <c r="E43" s="4" t="s">
        <v>186</v>
      </c>
      <c r="F43" s="4" t="s">
        <v>104</v>
      </c>
      <c r="G43" s="3" t="n">
        <v>1</v>
      </c>
      <c r="H43" s="6" t="n">
        <v>25.2</v>
      </c>
      <c r="I43" s="3" t="n">
        <v>5</v>
      </c>
      <c r="J43" s="3" t="n">
        <v>13</v>
      </c>
      <c r="K43" s="7" t="n">
        <v>40.83</v>
      </c>
      <c r="L43" s="7" t="n">
        <v>6.55</v>
      </c>
      <c r="M43" s="8" t="n">
        <v>26</v>
      </c>
      <c r="N43" s="8" t="n">
        <v>67</v>
      </c>
      <c r="O43" s="7" t="n">
        <v>40.83</v>
      </c>
      <c r="P43" s="6" t="n">
        <v>97</v>
      </c>
      <c r="Q43" s="4" t="s">
        <v>186</v>
      </c>
      <c r="R43" s="8" t="n">
        <v>16</v>
      </c>
      <c r="S43" s="6" t="n">
        <v>207.66</v>
      </c>
      <c r="T43" s="7" t="n">
        <f aca="false">IFERROR(S43/R43,"")</f>
        <v>12.97875</v>
      </c>
      <c r="U43" s="6" t="n">
        <v>189.66</v>
      </c>
      <c r="V43" s="6" t="n">
        <v>171.66</v>
      </c>
      <c r="W43" s="8" t="n">
        <v>19</v>
      </c>
      <c r="X43" s="7" t="n">
        <f aca="false">IFERROR(S43/AH43,"")</f>
        <v>0.71360824742268</v>
      </c>
      <c r="Y43" s="9" t="n">
        <f aca="false">IFERROR(S43/AF43,"")</f>
        <v>0.32446875</v>
      </c>
      <c r="Z43" s="6" t="n">
        <v>6.88</v>
      </c>
      <c r="AA43" s="6" t="n">
        <v>11.55</v>
      </c>
      <c r="AB43" s="6" t="n">
        <v>19</v>
      </c>
      <c r="AC43" s="10" t="n">
        <v>0.312</v>
      </c>
      <c r="AD43" s="10" t="n">
        <v>0</v>
      </c>
      <c r="AE43" s="7" t="n">
        <v>0.66</v>
      </c>
      <c r="AF43" s="8" t="n">
        <v>640</v>
      </c>
      <c r="AG43" s="10" t="n">
        <v>0.644</v>
      </c>
      <c r="AH43" s="8" t="n">
        <v>291</v>
      </c>
      <c r="AI43" s="8" t="n">
        <v>48</v>
      </c>
      <c r="AJ43" s="6" t="n">
        <f aca="false">IFERROR(AI43/R43,"")</f>
        <v>3</v>
      </c>
      <c r="AK43" s="10" t="n">
        <v>0.1067</v>
      </c>
      <c r="AL43" s="10" t="n">
        <v>0.0045</v>
      </c>
      <c r="AM43" s="9" t="n">
        <v>0.1632</v>
      </c>
      <c r="AN43" s="8" t="n">
        <v>36</v>
      </c>
      <c r="AO43" s="10" t="n">
        <f aca="false">IFERROR(AN43/AI43,"")</f>
        <v>0.75</v>
      </c>
      <c r="AP43" s="8" t="n">
        <v>350</v>
      </c>
      <c r="AQ43" s="7" t="n">
        <f aca="false">IFERROR(AP43/AI43,"")</f>
        <v>7.29166666666667</v>
      </c>
      <c r="AR43" s="6" t="n">
        <v>0.292</v>
      </c>
      <c r="AS43" s="7" t="n">
        <v>8.917</v>
      </c>
      <c r="AT43" s="7" t="n">
        <v>25</v>
      </c>
      <c r="AU43" s="7"/>
      <c r="AV43" s="7"/>
      <c r="AW43" s="7"/>
      <c r="AX43" s="10" t="n">
        <v>0.0417</v>
      </c>
      <c r="AY43" s="8" t="n">
        <v>243</v>
      </c>
      <c r="AZ43" s="6" t="n">
        <f aca="false">IFERROR(AY43/R43,"")</f>
        <v>15.1875</v>
      </c>
      <c r="BA43" s="10" t="n">
        <v>0.5612</v>
      </c>
      <c r="BB43" s="8" t="n">
        <v>1065</v>
      </c>
      <c r="BC43" s="7" t="n">
        <f aca="false">IFERROR(BB43/AY43,"")</f>
        <v>4.38271604938272</v>
      </c>
      <c r="BD43" s="7" t="n">
        <v>2.543</v>
      </c>
      <c r="BE43" s="7" t="n">
        <v>1.84</v>
      </c>
      <c r="BF43" s="8" t="n">
        <v>12</v>
      </c>
      <c r="BG43" s="7" t="n">
        <v>0.588526802832064</v>
      </c>
      <c r="BH43" s="6" t="n">
        <v>27.2727272727273</v>
      </c>
      <c r="BI43" s="7" t="n">
        <v>3.88369360902256</v>
      </c>
      <c r="BJ43" s="8" t="n">
        <v>33</v>
      </c>
      <c r="BK43" s="8" t="n">
        <v>13</v>
      </c>
      <c r="BL43" s="8" t="n">
        <v>5</v>
      </c>
      <c r="BM43" s="8" t="n">
        <v>5</v>
      </c>
      <c r="BN43" s="7" t="n">
        <v>6.47</v>
      </c>
      <c r="BO43" s="7" t="n">
        <f aca="false">IFERROR(BM43-BN43,"")</f>
        <v>-1.47</v>
      </c>
      <c r="BP43" s="9" t="n">
        <f aca="false">IFERROR(BM43/AH43,"")</f>
        <v>0.0171821305841924</v>
      </c>
      <c r="BQ43" s="6" t="n">
        <v>38.6</v>
      </c>
      <c r="BR43" s="6" t="n">
        <v>56.3</v>
      </c>
      <c r="BS43" s="6" t="n">
        <v>25.8</v>
      </c>
      <c r="BT43" s="7" t="n">
        <v>2.892</v>
      </c>
      <c r="BU43" s="10" t="n">
        <v>0.1813</v>
      </c>
      <c r="BV43" s="10" t="n">
        <v>0.739130434782609</v>
      </c>
      <c r="BW43" s="7" t="n">
        <v>2.899</v>
      </c>
      <c r="BX43" s="10" t="n">
        <v>0.3117</v>
      </c>
      <c r="BY43" s="10" t="n">
        <v>0.0989</v>
      </c>
      <c r="BZ43" s="7" t="n">
        <v>2.423</v>
      </c>
      <c r="CA43" s="10" t="n">
        <v>0.808</v>
      </c>
      <c r="CB43" s="8" t="n">
        <v>3</v>
      </c>
      <c r="CC43" s="10" t="n">
        <v>-0.0877</v>
      </c>
      <c r="CD43" s="10" t="n">
        <v>0.4319</v>
      </c>
      <c r="CE43" s="6" t="n">
        <v>59.35</v>
      </c>
      <c r="CF43" s="6" t="n">
        <v>38</v>
      </c>
      <c r="CG43" s="7" t="n">
        <v>2.47</v>
      </c>
      <c r="CH43" s="6" t="n">
        <v>17.6</v>
      </c>
      <c r="CI43" s="9" t="n">
        <v>-0.061</v>
      </c>
      <c r="CJ43" s="9" t="n">
        <v>-0.1799</v>
      </c>
      <c r="CK43" s="8" t="n">
        <v>76</v>
      </c>
      <c r="CL43" s="10" t="n">
        <v>0.161</v>
      </c>
      <c r="CM43" s="8" t="n">
        <v>117</v>
      </c>
      <c r="CN43" s="10" t="n">
        <v>0.257</v>
      </c>
      <c r="CO43" s="8" t="n">
        <v>27</v>
      </c>
      <c r="CP43" s="7" t="n">
        <v>-0.302</v>
      </c>
      <c r="CQ43" s="7" t="n">
        <v>-0.39</v>
      </c>
      <c r="CR43" s="4" t="s">
        <v>102</v>
      </c>
      <c r="CS43" s="4"/>
    </row>
    <row r="44" customFormat="false" ht="15" hidden="false" customHeight="false" outlineLevel="0" collapsed="false">
      <c r="A44" s="3" t="n">
        <v>42</v>
      </c>
      <c r="B44" s="4" t="s">
        <v>214</v>
      </c>
      <c r="C44" s="11" t="s">
        <v>104</v>
      </c>
      <c r="D44" s="4" t="s">
        <v>215</v>
      </c>
      <c r="E44" s="4" t="s">
        <v>109</v>
      </c>
      <c r="F44" s="4" t="s">
        <v>104</v>
      </c>
      <c r="G44" s="3" t="n">
        <v>1</v>
      </c>
      <c r="H44" s="6" t="n">
        <v>26</v>
      </c>
      <c r="I44" s="3" t="n">
        <v>5</v>
      </c>
      <c r="J44" s="3" t="n">
        <v>11</v>
      </c>
      <c r="K44" s="7" t="n">
        <v>41.87</v>
      </c>
      <c r="L44" s="7" t="n">
        <v>6.68</v>
      </c>
      <c r="M44" s="8" t="n">
        <v>23</v>
      </c>
      <c r="N44" s="8" t="n">
        <v>56</v>
      </c>
      <c r="O44" s="7" t="n">
        <v>41.87</v>
      </c>
      <c r="P44" s="6" t="n">
        <v>97.8</v>
      </c>
      <c r="Q44" s="4" t="s">
        <v>109</v>
      </c>
      <c r="R44" s="8" t="n">
        <v>17</v>
      </c>
      <c r="S44" s="6" t="n">
        <v>263.3</v>
      </c>
      <c r="T44" s="7" t="n">
        <f aca="false">IFERROR(S44/R44,"")</f>
        <v>15.4882352941176</v>
      </c>
      <c r="U44" s="6" t="n">
        <v>245.3</v>
      </c>
      <c r="V44" s="6" t="n">
        <v>227.3</v>
      </c>
      <c r="W44" s="8" t="n">
        <v>9</v>
      </c>
      <c r="X44" s="7" t="n">
        <f aca="false">IFERROR(S44/AH44,"")</f>
        <v>0.85210355987055</v>
      </c>
      <c r="Y44" s="9" t="n">
        <f aca="false">IFERROR(S44/AF44,"")</f>
        <v>0.341062176165803</v>
      </c>
      <c r="Z44" s="6" t="n">
        <v>11.1</v>
      </c>
      <c r="AA44" s="6" t="n">
        <v>16</v>
      </c>
      <c r="AB44" s="6" t="n">
        <v>20.76</v>
      </c>
      <c r="AC44" s="10" t="n">
        <v>0.412</v>
      </c>
      <c r="AD44" s="10" t="n">
        <v>0</v>
      </c>
      <c r="AE44" s="7" t="n">
        <v>0.382</v>
      </c>
      <c r="AF44" s="8" t="n">
        <v>772</v>
      </c>
      <c r="AG44" s="10" t="n">
        <v>0.683</v>
      </c>
      <c r="AH44" s="8" t="n">
        <v>309</v>
      </c>
      <c r="AI44" s="8" t="n">
        <v>50</v>
      </c>
      <c r="AJ44" s="6" t="n">
        <f aca="false">IFERROR(AI44/R44,"")</f>
        <v>2.94117647058824</v>
      </c>
      <c r="AK44" s="10" t="n">
        <v>0.0861</v>
      </c>
      <c r="AL44" s="10" t="n">
        <v>0.0232</v>
      </c>
      <c r="AM44" s="9" t="n">
        <v>0.1454</v>
      </c>
      <c r="AN44" s="8" t="n">
        <v>36</v>
      </c>
      <c r="AO44" s="10" t="n">
        <f aca="false">IFERROR(AN44/AI44,"")</f>
        <v>0.72</v>
      </c>
      <c r="AP44" s="8" t="n">
        <v>281</v>
      </c>
      <c r="AQ44" s="7" t="n">
        <f aca="false">IFERROR(AP44/AI44,"")</f>
        <v>5.62</v>
      </c>
      <c r="AR44" s="6" t="n">
        <v>2.5</v>
      </c>
      <c r="AS44" s="7" t="n">
        <v>4.306</v>
      </c>
      <c r="AT44" s="7" t="n">
        <v>2.248</v>
      </c>
      <c r="AU44" s="7"/>
      <c r="AV44" s="7"/>
      <c r="AW44" s="7"/>
      <c r="AX44" s="10" t="n">
        <v>0.04</v>
      </c>
      <c r="AY44" s="8" t="n">
        <v>259</v>
      </c>
      <c r="AZ44" s="6" t="n">
        <f aca="false">IFERROR(AY44/R44,"")</f>
        <v>15.2352941176471</v>
      </c>
      <c r="BA44" s="10" t="n">
        <v>0.557</v>
      </c>
      <c r="BB44" s="8" t="n">
        <v>1252</v>
      </c>
      <c r="BC44" s="7" t="n">
        <f aca="false">IFERROR(BB44/AY44,"")</f>
        <v>4.83397683397683</v>
      </c>
      <c r="BD44" s="7" t="n">
        <v>2.846</v>
      </c>
      <c r="BE44" s="7" t="n">
        <v>1.988</v>
      </c>
      <c r="BF44" s="8" t="n">
        <v>22</v>
      </c>
      <c r="BG44" s="7" t="n">
        <v>0.569877192152412</v>
      </c>
      <c r="BH44" s="6" t="n">
        <v>22.3938223938224</v>
      </c>
      <c r="BI44" s="7" t="n">
        <v>3.3179552715655</v>
      </c>
      <c r="BJ44" s="8" t="n">
        <v>63</v>
      </c>
      <c r="BK44" s="8" t="n">
        <v>33</v>
      </c>
      <c r="BL44" s="8" t="n">
        <v>18</v>
      </c>
      <c r="BM44" s="8" t="n">
        <v>13</v>
      </c>
      <c r="BN44" s="7" t="n">
        <v>14.2</v>
      </c>
      <c r="BO44" s="7" t="n">
        <f aca="false">IFERROR(BM44-BN44,"")</f>
        <v>-1.2</v>
      </c>
      <c r="BP44" s="9" t="n">
        <f aca="false">IFERROR(BM44/AH44,"")</f>
        <v>0.0420711974110032</v>
      </c>
      <c r="BQ44" s="6" t="n">
        <v>80.4</v>
      </c>
      <c r="BR44" s="6" t="n">
        <v>76.4</v>
      </c>
      <c r="BS44" s="6" t="n">
        <v>71.5</v>
      </c>
      <c r="BT44" s="7" t="n">
        <v>3.462</v>
      </c>
      <c r="BU44" s="10" t="n">
        <v>0.1266</v>
      </c>
      <c r="BV44" s="10" t="n">
        <v>0.638297872340426</v>
      </c>
      <c r="BW44" s="7" t="n">
        <v>2.811</v>
      </c>
      <c r="BX44" s="10" t="n">
        <v>0.194</v>
      </c>
      <c r="BY44" s="10" t="n">
        <v>0.0424</v>
      </c>
      <c r="BZ44" s="7" t="n">
        <v>2.396</v>
      </c>
      <c r="CA44" s="10" t="n">
        <v>0.904</v>
      </c>
      <c r="CB44" s="8" t="n">
        <v>5</v>
      </c>
      <c r="CC44" s="10" t="n">
        <v>0.0296</v>
      </c>
      <c r="CD44" s="10" t="n">
        <v>0.6185</v>
      </c>
      <c r="CE44" s="6" t="n">
        <v>62.12</v>
      </c>
      <c r="CF44" s="6" t="n">
        <v>37</v>
      </c>
      <c r="CG44" s="7" t="n">
        <v>4.47</v>
      </c>
      <c r="CH44" s="6" t="n">
        <v>30.5</v>
      </c>
      <c r="CI44" s="9" t="n">
        <v>0.0262</v>
      </c>
      <c r="CJ44" s="9" t="n">
        <v>0.2292</v>
      </c>
      <c r="CK44" s="8" t="n">
        <v>15</v>
      </c>
      <c r="CL44" s="10" t="n">
        <v>0.026</v>
      </c>
      <c r="CM44" s="8" t="n">
        <v>0</v>
      </c>
      <c r="CN44" s="10" t="n">
        <v>0</v>
      </c>
      <c r="CO44" s="8" t="n">
        <v>1</v>
      </c>
      <c r="CP44" s="7" t="n">
        <v>0.172</v>
      </c>
      <c r="CQ44" s="7" t="n">
        <v>0.084</v>
      </c>
      <c r="CR44" s="4" t="s">
        <v>102</v>
      </c>
      <c r="CS44" s="4"/>
    </row>
    <row r="45" customFormat="false" ht="15" hidden="false" customHeight="false" outlineLevel="0" collapsed="false">
      <c r="A45" s="3" t="n">
        <v>43</v>
      </c>
      <c r="B45" s="4" t="s">
        <v>216</v>
      </c>
      <c r="C45" s="11" t="s">
        <v>104</v>
      </c>
      <c r="D45" s="4" t="s">
        <v>217</v>
      </c>
      <c r="E45" s="4" t="s">
        <v>218</v>
      </c>
      <c r="F45" s="4" t="s">
        <v>104</v>
      </c>
      <c r="G45" s="3" t="n">
        <v>1</v>
      </c>
      <c r="H45" s="6" t="n">
        <v>28.5</v>
      </c>
      <c r="I45" s="3" t="n">
        <v>8</v>
      </c>
      <c r="J45" s="3" t="n">
        <v>11</v>
      </c>
      <c r="K45" s="7" t="n">
        <v>44.17</v>
      </c>
      <c r="L45" s="7" t="n">
        <v>7.16</v>
      </c>
      <c r="M45" s="8" t="n">
        <v>29</v>
      </c>
      <c r="N45" s="8" t="n">
        <v>61</v>
      </c>
      <c r="O45" s="7" t="n">
        <v>44.17</v>
      </c>
      <c r="P45" s="6" t="n">
        <v>98.3</v>
      </c>
      <c r="Q45" s="4" t="s">
        <v>218</v>
      </c>
      <c r="R45" s="8" t="n">
        <v>15</v>
      </c>
      <c r="S45" s="6" t="n">
        <v>237.1</v>
      </c>
      <c r="T45" s="7" t="n">
        <f aca="false">IFERROR(S45/R45,"")</f>
        <v>15.8066666666667</v>
      </c>
      <c r="U45" s="6" t="n">
        <v>219.1</v>
      </c>
      <c r="V45" s="6" t="n">
        <v>201.1</v>
      </c>
      <c r="W45" s="8" t="n">
        <v>13</v>
      </c>
      <c r="X45" s="7" t="n">
        <f aca="false">IFERROR(S45/AH45,"")</f>
        <v>0.852877697841727</v>
      </c>
      <c r="Y45" s="9" t="n">
        <f aca="false">IFERROR(S45/AF45,"")</f>
        <v>0.427978339350181</v>
      </c>
      <c r="Z45" s="6" t="n">
        <v>11.25</v>
      </c>
      <c r="AA45" s="6" t="n">
        <v>14.4</v>
      </c>
      <c r="AB45" s="6" t="n">
        <v>22.88</v>
      </c>
      <c r="AC45" s="10" t="n">
        <v>0.467</v>
      </c>
      <c r="AD45" s="10" t="n">
        <v>0.067</v>
      </c>
      <c r="AE45" s="7" t="n">
        <v>0.626</v>
      </c>
      <c r="AF45" s="8" t="n">
        <v>554</v>
      </c>
      <c r="AG45" s="10" t="n">
        <v>0.591</v>
      </c>
      <c r="AH45" s="8" t="n">
        <v>278</v>
      </c>
      <c r="AI45" s="8" t="n">
        <v>44</v>
      </c>
      <c r="AJ45" s="6" t="n">
        <f aca="false">IFERROR(AI45/R45,"")</f>
        <v>2.93333333333333</v>
      </c>
      <c r="AK45" s="10" t="n">
        <v>0.1026</v>
      </c>
      <c r="AL45" s="10" t="n">
        <v>-0.01</v>
      </c>
      <c r="AM45" s="9" t="n">
        <v>0.1469</v>
      </c>
      <c r="AN45" s="8" t="n">
        <v>36</v>
      </c>
      <c r="AO45" s="10" t="n">
        <f aca="false">IFERROR(AN45/AI45,"")</f>
        <v>0.818181818181818</v>
      </c>
      <c r="AP45" s="8" t="n">
        <v>282</v>
      </c>
      <c r="AQ45" s="7" t="n">
        <f aca="false">IFERROR(AP45/AI45,"")</f>
        <v>6.40909090909091</v>
      </c>
      <c r="AR45" s="6" t="n">
        <v>-0.886</v>
      </c>
      <c r="AS45" s="7" t="n">
        <v>8.444</v>
      </c>
      <c r="AT45" s="7" t="n">
        <v>-7.231</v>
      </c>
      <c r="AU45" s="7"/>
      <c r="AV45" s="7"/>
      <c r="AW45" s="7"/>
      <c r="AX45" s="10" t="n">
        <v>0.0227</v>
      </c>
      <c r="AY45" s="8" t="n">
        <v>234</v>
      </c>
      <c r="AZ45" s="6" t="n">
        <f aca="false">IFERROR(AY45/R45,"")</f>
        <v>15.6</v>
      </c>
      <c r="BA45" s="10" t="n">
        <v>0.5639</v>
      </c>
      <c r="BB45" s="8" t="n">
        <v>929</v>
      </c>
      <c r="BC45" s="7" t="n">
        <f aca="false">IFERROR(BB45/AY45,"")</f>
        <v>3.97008547008547</v>
      </c>
      <c r="BD45" s="7" t="n">
        <v>1.962</v>
      </c>
      <c r="BE45" s="7" t="n">
        <v>2.009</v>
      </c>
      <c r="BF45" s="8" t="n">
        <v>16</v>
      </c>
      <c r="BG45" s="7" t="n">
        <v>-0.0314780227602759</v>
      </c>
      <c r="BH45" s="6" t="n">
        <v>17.5213675213675</v>
      </c>
      <c r="BI45" s="7" t="n">
        <v>3.74994617868676</v>
      </c>
      <c r="BJ45" s="8" t="n">
        <v>58</v>
      </c>
      <c r="BK45" s="8" t="n">
        <v>32</v>
      </c>
      <c r="BL45" s="8" t="n">
        <v>20</v>
      </c>
      <c r="BM45" s="8" t="n">
        <v>14</v>
      </c>
      <c r="BN45" s="7" t="n">
        <v>12.59</v>
      </c>
      <c r="BO45" s="7" t="n">
        <f aca="false">IFERROR(BM45-BN45,"")</f>
        <v>1.41</v>
      </c>
      <c r="BP45" s="9" t="n">
        <f aca="false">IFERROR(BM45/AH45,"")</f>
        <v>0.0503597122302158</v>
      </c>
      <c r="BQ45" s="6" t="n">
        <v>52.5</v>
      </c>
      <c r="BR45" s="6" t="n">
        <v>45.3</v>
      </c>
      <c r="BS45" s="6" t="n">
        <v>58.7</v>
      </c>
      <c r="BT45" s="7" t="n">
        <v>2.905</v>
      </c>
      <c r="BU45" s="10" t="n">
        <v>0.1629</v>
      </c>
      <c r="BV45" s="10" t="n">
        <v>0.604651162790698</v>
      </c>
      <c r="BW45" s="7" t="n">
        <v>2.199</v>
      </c>
      <c r="BX45" s="10" t="n">
        <v>0.2454</v>
      </c>
      <c r="BY45" s="10" t="n">
        <v>0.0493</v>
      </c>
      <c r="BZ45" s="7" t="n">
        <v>2.41</v>
      </c>
      <c r="CA45" s="10" t="n">
        <v>0.704</v>
      </c>
      <c r="CB45" s="8" t="n">
        <v>4</v>
      </c>
      <c r="CC45" s="10" t="n">
        <v>-0.0441</v>
      </c>
      <c r="CD45" s="10" t="n">
        <v>0.5063</v>
      </c>
      <c r="CE45" s="6" t="n">
        <v>58.41</v>
      </c>
      <c r="CF45" s="6" t="n">
        <v>39</v>
      </c>
      <c r="CG45" s="7" t="n">
        <v>3.47</v>
      </c>
      <c r="CH45" s="6" t="n">
        <v>23</v>
      </c>
      <c r="CI45" s="9" t="n">
        <v>-0.0102</v>
      </c>
      <c r="CJ45" s="9" t="n">
        <v>0.229</v>
      </c>
      <c r="CK45" s="8" t="n">
        <v>155</v>
      </c>
      <c r="CL45" s="10" t="n">
        <v>0.337</v>
      </c>
      <c r="CM45" s="8" t="n">
        <v>148</v>
      </c>
      <c r="CN45" s="10" t="n">
        <v>0.301</v>
      </c>
      <c r="CO45" s="8" t="n">
        <v>52</v>
      </c>
      <c r="CP45" s="7" t="n">
        <v>0.032</v>
      </c>
      <c r="CQ45" s="7" t="n">
        <v>0.163</v>
      </c>
      <c r="CR45" s="4" t="s">
        <v>102</v>
      </c>
      <c r="CS45" s="4"/>
    </row>
    <row r="46" customFormat="false" ht="15" hidden="false" customHeight="false" outlineLevel="0" collapsed="false">
      <c r="A46" s="3" t="n">
        <v>44</v>
      </c>
      <c r="B46" s="4" t="s">
        <v>219</v>
      </c>
      <c r="C46" s="5" t="s">
        <v>99</v>
      </c>
      <c r="D46" s="4" t="s">
        <v>220</v>
      </c>
      <c r="E46" s="4" t="s">
        <v>221</v>
      </c>
      <c r="F46" s="4" t="s">
        <v>99</v>
      </c>
      <c r="G46" s="3" t="n">
        <v>1</v>
      </c>
      <c r="H46" s="6" t="n">
        <v>30.9</v>
      </c>
      <c r="I46" s="3" t="n">
        <v>8</v>
      </c>
      <c r="J46" s="3" t="n">
        <v>7</v>
      </c>
      <c r="K46" s="7" t="n">
        <v>44.65</v>
      </c>
      <c r="L46" s="7" t="n">
        <v>5.89</v>
      </c>
      <c r="M46" s="8" t="n">
        <v>26</v>
      </c>
      <c r="N46" s="8" t="n">
        <v>68</v>
      </c>
      <c r="O46" s="7" t="n">
        <v>44.65</v>
      </c>
      <c r="P46" s="6" t="n">
        <v>93.9</v>
      </c>
      <c r="Q46" s="4" t="s">
        <v>221</v>
      </c>
      <c r="R46" s="8" t="n">
        <v>10</v>
      </c>
      <c r="S46" s="6" t="n">
        <v>114.2</v>
      </c>
      <c r="T46" s="7" t="n">
        <f aca="false">IFERROR(S46/R46,"")</f>
        <v>11.42</v>
      </c>
      <c r="U46" s="6" t="n">
        <v>95.2</v>
      </c>
      <c r="V46" s="6" t="n">
        <v>76.2</v>
      </c>
      <c r="W46" s="8" t="n">
        <v>55</v>
      </c>
      <c r="X46" s="7" t="n">
        <f aca="false">IFERROR(S46/AH46,"")</f>
        <v>1.90333333333333</v>
      </c>
      <c r="Y46" s="9" t="n">
        <f aca="false">IFERROR(S46/AF46,"")</f>
        <v>0.263741339491917</v>
      </c>
      <c r="Z46" s="6" t="n">
        <v>8.65</v>
      </c>
      <c r="AA46" s="6" t="n">
        <v>10.1</v>
      </c>
      <c r="AB46" s="6" t="n">
        <v>15.38</v>
      </c>
      <c r="AC46" s="10" t="n">
        <v>0.1</v>
      </c>
      <c r="AD46" s="10" t="n">
        <v>0</v>
      </c>
      <c r="AE46" s="7" t="n">
        <v>0.505</v>
      </c>
      <c r="AF46" s="8" t="n">
        <v>433</v>
      </c>
      <c r="AG46" s="10" t="n">
        <v>0.704</v>
      </c>
      <c r="AH46" s="8" t="n">
        <v>60</v>
      </c>
      <c r="AI46" s="8" t="n">
        <v>60</v>
      </c>
      <c r="AJ46" s="6" t="n">
        <f aca="false">IFERROR(AI46/R46,"")</f>
        <v>6</v>
      </c>
      <c r="AK46" s="10" t="n">
        <v>0.2326</v>
      </c>
      <c r="AL46" s="10" t="n">
        <v>0.3919</v>
      </c>
      <c r="AM46" s="9" t="n">
        <v>0.6232</v>
      </c>
      <c r="AN46" s="8" t="n">
        <v>38</v>
      </c>
      <c r="AO46" s="10" t="n">
        <f aca="false">IFERROR(AN46/AI46,"")</f>
        <v>0.633333333333333</v>
      </c>
      <c r="AP46" s="8" t="n">
        <v>582</v>
      </c>
      <c r="AQ46" s="7" t="n">
        <f aca="false">IFERROR(AP46/AI46,"")</f>
        <v>9.7</v>
      </c>
      <c r="AR46" s="6" t="n">
        <v>13.983</v>
      </c>
      <c r="AS46" s="7" t="n">
        <v>2.447</v>
      </c>
      <c r="AT46" s="7" t="n">
        <v>0.694</v>
      </c>
      <c r="AU46" s="7" t="n">
        <v>2.37805308909099</v>
      </c>
      <c r="AV46" s="7" t="n">
        <v>6.69183333333333</v>
      </c>
      <c r="AW46" s="7" t="n">
        <v>0.0836003990610936</v>
      </c>
      <c r="AX46" s="10" t="n">
        <v>0.0167</v>
      </c>
      <c r="AY46" s="8" t="n">
        <v>0</v>
      </c>
      <c r="AZ46" s="6" t="n">
        <f aca="false">IFERROR(AY46/R46,"")</f>
        <v>0</v>
      </c>
      <c r="BA46" s="10" t="n">
        <v>0</v>
      </c>
      <c r="BB46" s="8" t="n">
        <v>0</v>
      </c>
      <c r="BC46" s="7"/>
      <c r="BD46" s="7"/>
      <c r="BE46" s="7"/>
      <c r="BF46" s="8"/>
      <c r="BG46" s="7"/>
      <c r="BH46" s="6"/>
      <c r="BI46" s="7"/>
      <c r="BJ46" s="8" t="n">
        <v>8</v>
      </c>
      <c r="BK46" s="8" t="n">
        <v>3</v>
      </c>
      <c r="BL46" s="8" t="n">
        <v>3</v>
      </c>
      <c r="BM46" s="8" t="n">
        <v>3</v>
      </c>
      <c r="BN46" s="7" t="n">
        <v>2.77</v>
      </c>
      <c r="BO46" s="7" t="n">
        <f aca="false">IFERROR(BM46-BN46,"")</f>
        <v>0.23</v>
      </c>
      <c r="BP46" s="9" t="n">
        <f aca="false">IFERROR(BM46/AH46,"")</f>
        <v>0.05</v>
      </c>
      <c r="BQ46" s="6" t="n">
        <v>54.8</v>
      </c>
      <c r="BR46" s="6" t="n">
        <v>50.7</v>
      </c>
      <c r="BS46" s="6" t="n">
        <v>56.8</v>
      </c>
      <c r="BT46" s="7" t="n">
        <v>2.998</v>
      </c>
      <c r="BU46" s="10" t="n">
        <v>0.1651</v>
      </c>
      <c r="BV46" s="10" t="n">
        <v>0.548387096774194</v>
      </c>
      <c r="BW46" s="7" t="n">
        <v>2.512</v>
      </c>
      <c r="BX46" s="10" t="n">
        <v>0.2217</v>
      </c>
      <c r="BY46" s="10" t="n">
        <v>0.0606</v>
      </c>
      <c r="BZ46" s="7" t="n">
        <v>2.36</v>
      </c>
      <c r="CA46" s="10" t="n">
        <v>0.706</v>
      </c>
      <c r="CB46" s="8" t="n">
        <v>4</v>
      </c>
      <c r="CC46" s="10" t="n">
        <v>-0.0427</v>
      </c>
      <c r="CD46" s="10" t="n">
        <v>0.4747</v>
      </c>
      <c r="CE46" s="6" t="n">
        <v>57.59</v>
      </c>
      <c r="CF46" s="6" t="n">
        <v>38</v>
      </c>
      <c r="CG46" s="7" t="n">
        <v>2.94</v>
      </c>
      <c r="CH46" s="6" t="n">
        <v>20.9</v>
      </c>
      <c r="CI46" s="9" t="n">
        <v>0.0192</v>
      </c>
      <c r="CJ46" s="9" t="n">
        <v>-0.0055</v>
      </c>
      <c r="CK46" s="8" t="n">
        <v>138</v>
      </c>
      <c r="CL46" s="10" t="n">
        <v>0.319</v>
      </c>
      <c r="CM46" s="8" t="n">
        <v>142</v>
      </c>
      <c r="CN46" s="10" t="n">
        <v>0.293</v>
      </c>
      <c r="CO46" s="8" t="n">
        <v>56</v>
      </c>
      <c r="CP46" s="7" t="n">
        <v>-1.596</v>
      </c>
      <c r="CQ46" s="7" t="n">
        <v>-0.807</v>
      </c>
      <c r="CR46" s="4" t="s">
        <v>165</v>
      </c>
      <c r="CS46" s="4"/>
    </row>
    <row r="47" customFormat="false" ht="15" hidden="false" customHeight="false" outlineLevel="0" collapsed="false">
      <c r="A47" s="3" t="n">
        <v>45</v>
      </c>
      <c r="B47" s="4" t="s">
        <v>222</v>
      </c>
      <c r="C47" s="11" t="s">
        <v>104</v>
      </c>
      <c r="D47" s="4" t="s">
        <v>223</v>
      </c>
      <c r="E47" s="4" t="s">
        <v>120</v>
      </c>
      <c r="F47" s="4" t="s">
        <v>104</v>
      </c>
      <c r="G47" s="3" t="n">
        <v>1</v>
      </c>
      <c r="H47" s="6" t="n">
        <v>26.3</v>
      </c>
      <c r="I47" s="3" t="n">
        <v>6</v>
      </c>
      <c r="J47" s="3" t="n">
        <v>14</v>
      </c>
      <c r="K47" s="7" t="n">
        <v>45.66</v>
      </c>
      <c r="L47" s="7" t="n">
        <v>6.3</v>
      </c>
      <c r="M47" s="8" t="n">
        <v>31</v>
      </c>
      <c r="N47" s="8" t="n">
        <v>61</v>
      </c>
      <c r="O47" s="7" t="n">
        <v>45.66</v>
      </c>
      <c r="P47" s="6" t="n">
        <v>96.9</v>
      </c>
      <c r="Q47" s="4" t="s">
        <v>120</v>
      </c>
      <c r="R47" s="8" t="n">
        <v>16</v>
      </c>
      <c r="S47" s="6" t="n">
        <v>242.8</v>
      </c>
      <c r="T47" s="7" t="n">
        <f aca="false">IFERROR(S47/R47,"")</f>
        <v>15.175</v>
      </c>
      <c r="U47" s="6" t="n">
        <v>225.3</v>
      </c>
      <c r="V47" s="6" t="n">
        <v>207.8</v>
      </c>
      <c r="W47" s="8" t="n">
        <v>12</v>
      </c>
      <c r="X47" s="7" t="n">
        <f aca="false">IFERROR(S47/AH47,"")</f>
        <v>0.801320132013201</v>
      </c>
      <c r="Y47" s="9" t="n">
        <f aca="false">IFERROR(S47/AF47,"")</f>
        <v>0.315734720416125</v>
      </c>
      <c r="Z47" s="6" t="n">
        <v>11.12</v>
      </c>
      <c r="AA47" s="6" t="n">
        <v>14.9</v>
      </c>
      <c r="AB47" s="6" t="n">
        <v>20.05</v>
      </c>
      <c r="AC47" s="10" t="n">
        <v>0.312</v>
      </c>
      <c r="AD47" s="10" t="n">
        <v>0</v>
      </c>
      <c r="AE47" s="7" t="n">
        <v>0.404</v>
      </c>
      <c r="AF47" s="8" t="n">
        <v>769</v>
      </c>
      <c r="AG47" s="10" t="n">
        <v>0.69</v>
      </c>
      <c r="AH47" s="8" t="n">
        <v>303</v>
      </c>
      <c r="AI47" s="8" t="n">
        <v>51</v>
      </c>
      <c r="AJ47" s="6" t="n">
        <f aca="false">IFERROR(AI47/R47,"")</f>
        <v>3.1875</v>
      </c>
      <c r="AK47" s="10" t="n">
        <v>0.0873</v>
      </c>
      <c r="AL47" s="10" t="n">
        <v>-0.014</v>
      </c>
      <c r="AM47" s="9" t="n">
        <v>0.1212</v>
      </c>
      <c r="AN47" s="8" t="n">
        <v>35</v>
      </c>
      <c r="AO47" s="10" t="n">
        <f aca="false">IFERROR(AN47/AI47,"")</f>
        <v>0.686274509803922</v>
      </c>
      <c r="AP47" s="8" t="n">
        <v>137</v>
      </c>
      <c r="AQ47" s="7" t="n">
        <f aca="false">IFERROR(AP47/AI47,"")</f>
        <v>2.68627450980392</v>
      </c>
      <c r="AR47" s="6" t="n">
        <v>-1.314</v>
      </c>
      <c r="AS47" s="7" t="n">
        <v>5.886</v>
      </c>
      <c r="AT47" s="7" t="n">
        <v>-2.045</v>
      </c>
      <c r="AU47" s="7"/>
      <c r="AV47" s="7"/>
      <c r="AW47" s="7"/>
      <c r="AX47" s="10" t="n">
        <v>0</v>
      </c>
      <c r="AY47" s="8" t="n">
        <v>252</v>
      </c>
      <c r="AZ47" s="6" t="n">
        <f aca="false">IFERROR(AY47/R47,"")</f>
        <v>15.75</v>
      </c>
      <c r="BA47" s="10" t="n">
        <v>0.5793</v>
      </c>
      <c r="BB47" s="8" t="n">
        <v>1201</v>
      </c>
      <c r="BC47" s="7" t="n">
        <f aca="false">IFERROR(BB47/AY47,"")</f>
        <v>4.76587301587302</v>
      </c>
      <c r="BD47" s="7" t="n">
        <v>2.278</v>
      </c>
      <c r="BE47" s="7" t="n">
        <v>2.488</v>
      </c>
      <c r="BF47" s="8" t="n">
        <v>25</v>
      </c>
      <c r="BG47" s="7" t="n">
        <v>0.623310307217925</v>
      </c>
      <c r="BH47" s="6" t="n">
        <v>22.6190476190476</v>
      </c>
      <c r="BI47" s="7" t="n">
        <v>3.18264779350541</v>
      </c>
      <c r="BJ47" s="8" t="n">
        <v>66</v>
      </c>
      <c r="BK47" s="8" t="n">
        <v>33</v>
      </c>
      <c r="BL47" s="8" t="n">
        <v>24</v>
      </c>
      <c r="BM47" s="8" t="n">
        <v>13</v>
      </c>
      <c r="BN47" s="7" t="n">
        <v>15.74</v>
      </c>
      <c r="BO47" s="7" t="n">
        <f aca="false">IFERROR(BM47-BN47,"")</f>
        <v>-2.74</v>
      </c>
      <c r="BP47" s="9" t="n">
        <f aca="false">IFERROR(BM47/AH47,"")</f>
        <v>0.0429042904290429</v>
      </c>
      <c r="BQ47" s="6" t="n">
        <v>65.1</v>
      </c>
      <c r="BR47" s="6" t="n">
        <v>61.6</v>
      </c>
      <c r="BS47" s="6" t="n">
        <v>62.2</v>
      </c>
      <c r="BT47" s="7" t="n">
        <v>3.074</v>
      </c>
      <c r="BU47" s="10" t="n">
        <v>0.1352</v>
      </c>
      <c r="BV47" s="10" t="n">
        <v>0.705882352941177</v>
      </c>
      <c r="BW47" s="7" t="n">
        <v>2.563</v>
      </c>
      <c r="BX47" s="10" t="n">
        <v>0.2356</v>
      </c>
      <c r="BY47" s="10" t="n">
        <v>0.044</v>
      </c>
      <c r="BZ47" s="7" t="n">
        <v>2.396</v>
      </c>
      <c r="CA47" s="10" t="n">
        <v>0.848</v>
      </c>
      <c r="CB47" s="8" t="n">
        <v>5</v>
      </c>
      <c r="CC47" s="10" t="n">
        <v>-0.0098</v>
      </c>
      <c r="CD47" s="10" t="n">
        <v>0.5628</v>
      </c>
      <c r="CE47" s="6" t="n">
        <v>64.94</v>
      </c>
      <c r="CF47" s="6" t="n">
        <v>36</v>
      </c>
      <c r="CG47" s="7" t="n">
        <v>3.82</v>
      </c>
      <c r="CH47" s="6" t="n">
        <v>27.7</v>
      </c>
      <c r="CI47" s="9" t="n">
        <v>0.005</v>
      </c>
      <c r="CJ47" s="9" t="n">
        <v>0.1615</v>
      </c>
      <c r="CK47" s="8" t="n">
        <v>34</v>
      </c>
      <c r="CL47" s="10" t="n">
        <v>0.056</v>
      </c>
      <c r="CM47" s="8" t="n">
        <v>0</v>
      </c>
      <c r="CN47" s="10" t="n">
        <v>0</v>
      </c>
      <c r="CO47" s="8" t="n">
        <v>4</v>
      </c>
      <c r="CP47" s="7" t="n">
        <v>0.111</v>
      </c>
      <c r="CQ47" s="7" t="n">
        <v>0.111</v>
      </c>
      <c r="CR47" s="4" t="s">
        <v>102</v>
      </c>
      <c r="CS47" s="4"/>
    </row>
    <row r="48" customFormat="false" ht="15" hidden="false" customHeight="false" outlineLevel="0" collapsed="false">
      <c r="A48" s="3" t="n">
        <v>46</v>
      </c>
      <c r="B48" s="4" t="s">
        <v>224</v>
      </c>
      <c r="C48" s="13" t="s">
        <v>172</v>
      </c>
      <c r="D48" s="4" t="s">
        <v>225</v>
      </c>
      <c r="E48" s="4" t="s">
        <v>101</v>
      </c>
      <c r="F48" s="4" t="s">
        <v>172</v>
      </c>
      <c r="G48" s="3" t="n">
        <v>1</v>
      </c>
      <c r="H48" s="6" t="n">
        <v>29.7</v>
      </c>
      <c r="I48" s="3" t="n">
        <v>7</v>
      </c>
      <c r="J48" s="3" t="n">
        <v>6</v>
      </c>
      <c r="K48" s="7" t="n">
        <v>45.77</v>
      </c>
      <c r="L48" s="7" t="n">
        <v>12.34</v>
      </c>
      <c r="M48" s="8" t="n">
        <v>27</v>
      </c>
      <c r="N48" s="8" t="n">
        <v>72</v>
      </c>
      <c r="O48" s="7" t="n">
        <v>45.77</v>
      </c>
      <c r="P48" s="6" t="n">
        <v>97.8</v>
      </c>
      <c r="Q48" s="4" t="s">
        <v>101</v>
      </c>
      <c r="R48" s="8" t="n">
        <v>8</v>
      </c>
      <c r="S48" s="6" t="n">
        <v>134.46</v>
      </c>
      <c r="T48" s="7" t="n">
        <f aca="false">IFERROR(S48/R48,"")</f>
        <v>16.8075</v>
      </c>
      <c r="U48" s="6" t="n">
        <v>134.46</v>
      </c>
      <c r="V48" s="6" t="n">
        <v>134.46</v>
      </c>
      <c r="W48" s="8" t="n">
        <v>27</v>
      </c>
      <c r="X48" s="7" t="n">
        <f aca="false">IFERROR(S48/AH48,"")</f>
        <v>9.60428571428571</v>
      </c>
      <c r="Y48" s="9" t="n">
        <f aca="false">IFERROR(S48/AF48,"")</f>
        <v>0.281297071129707</v>
      </c>
      <c r="Z48" s="6" t="n">
        <v>8.38</v>
      </c>
      <c r="AA48" s="6" t="n">
        <v>19.82</v>
      </c>
      <c r="AB48" s="6" t="n">
        <v>23.25</v>
      </c>
      <c r="AC48" s="10" t="n">
        <v>0.625</v>
      </c>
      <c r="AD48" s="10" t="n">
        <v>0.25</v>
      </c>
      <c r="AE48" s="7" t="n">
        <v>0.433</v>
      </c>
      <c r="AF48" s="8" t="n">
        <v>478</v>
      </c>
      <c r="AG48" s="10" t="n">
        <v>0.878</v>
      </c>
      <c r="AH48" s="8" t="n">
        <v>14</v>
      </c>
      <c r="AI48" s="8" t="n">
        <v>0</v>
      </c>
      <c r="AJ48" s="6" t="n">
        <f aca="false">IFERROR(AI48/R48,"")</f>
        <v>0</v>
      </c>
      <c r="AK48" s="10" t="n">
        <v>0</v>
      </c>
      <c r="AL48" s="10" t="n">
        <v>0</v>
      </c>
      <c r="AM48" s="9" t="n">
        <v>0</v>
      </c>
      <c r="AN48" s="8" t="n">
        <v>0</v>
      </c>
      <c r="AO48" s="10"/>
      <c r="AP48" s="8" t="n">
        <v>0</v>
      </c>
      <c r="AQ48" s="7"/>
      <c r="AR48" s="6"/>
      <c r="AS48" s="7"/>
      <c r="AT48" s="7"/>
      <c r="AU48" s="7"/>
      <c r="AV48" s="7"/>
      <c r="AW48" s="7"/>
      <c r="AX48" s="10"/>
      <c r="AY48" s="8" t="n">
        <v>14</v>
      </c>
      <c r="AZ48" s="6" t="n">
        <f aca="false">IFERROR(AY48/R48,"")</f>
        <v>1.75</v>
      </c>
      <c r="BA48" s="10" t="n">
        <v>0.0676</v>
      </c>
      <c r="BB48" s="8" t="n">
        <v>41</v>
      </c>
      <c r="BC48" s="7"/>
      <c r="BD48" s="7"/>
      <c r="BE48" s="7"/>
      <c r="BF48" s="8" t="n">
        <v>0</v>
      </c>
      <c r="BG48" s="7"/>
      <c r="BH48" s="6"/>
      <c r="BI48" s="7"/>
      <c r="BJ48" s="8" t="n">
        <v>2</v>
      </c>
      <c r="BK48" s="8" t="n">
        <v>1</v>
      </c>
      <c r="BL48" s="8" t="n">
        <v>1</v>
      </c>
      <c r="BM48" s="8" t="n">
        <v>0</v>
      </c>
      <c r="BN48" s="7" t="n">
        <v>0.64</v>
      </c>
      <c r="BO48" s="7" t="n">
        <f aca="false">IFERROR(BM48-BN48,"")</f>
        <v>-0.64</v>
      </c>
      <c r="BP48" s="9" t="n">
        <f aca="false">IFERROR(BM48/AH48,"")</f>
        <v>0</v>
      </c>
      <c r="BQ48" s="6" t="n">
        <v>60.4</v>
      </c>
      <c r="BR48" s="6" t="n">
        <v>63.4</v>
      </c>
      <c r="BS48" s="6" t="n">
        <v>53</v>
      </c>
      <c r="BT48" s="7" t="n">
        <v>3.212</v>
      </c>
      <c r="BU48" s="10" t="n">
        <v>0.1072</v>
      </c>
      <c r="BV48" s="10" t="n">
        <v>0.657142857142857</v>
      </c>
      <c r="BW48" s="7" t="n">
        <v>2.249</v>
      </c>
      <c r="BX48" s="10" t="n">
        <v>0.2234</v>
      </c>
      <c r="BY48" s="10" t="n">
        <v>0.0527</v>
      </c>
      <c r="BZ48" s="7" t="n">
        <v>2.22</v>
      </c>
      <c r="CA48" s="10" t="n">
        <v>0.996</v>
      </c>
      <c r="CB48" s="8" t="n">
        <v>5</v>
      </c>
      <c r="CC48" s="10" t="n">
        <v>0.0172</v>
      </c>
      <c r="CD48" s="10" t="n">
        <v>0.6322</v>
      </c>
      <c r="CE48" s="6" t="n">
        <v>61.71</v>
      </c>
      <c r="CF48" s="6" t="n">
        <v>38</v>
      </c>
      <c r="CG48" s="7" t="n">
        <v>3.29</v>
      </c>
      <c r="CH48" s="6" t="n">
        <v>24.4</v>
      </c>
      <c r="CI48" s="9" t="n">
        <v>0.0246</v>
      </c>
      <c r="CJ48" s="9" t="n">
        <v>-0.0266</v>
      </c>
      <c r="CK48" s="8" t="n">
        <v>41</v>
      </c>
      <c r="CL48" s="10" t="n">
        <v>0.067</v>
      </c>
      <c r="CM48" s="8" t="n">
        <v>9</v>
      </c>
      <c r="CN48" s="10" t="n">
        <v>0.024</v>
      </c>
      <c r="CO48" s="8" t="n">
        <v>6</v>
      </c>
      <c r="CP48" s="7" t="n">
        <v>-1.006</v>
      </c>
      <c r="CQ48" s="7" t="n">
        <v>-0.481</v>
      </c>
      <c r="CR48" s="4" t="s">
        <v>165</v>
      </c>
      <c r="CS48" s="4"/>
    </row>
    <row r="49" customFormat="false" ht="15" hidden="false" customHeight="false" outlineLevel="0" collapsed="false">
      <c r="A49" s="3" t="n">
        <v>47</v>
      </c>
      <c r="B49" s="4" t="s">
        <v>226</v>
      </c>
      <c r="C49" s="5" t="s">
        <v>99</v>
      </c>
      <c r="D49" s="4" t="s">
        <v>227</v>
      </c>
      <c r="E49" s="4" t="s">
        <v>203</v>
      </c>
      <c r="F49" s="4" t="s">
        <v>99</v>
      </c>
      <c r="G49" s="3" t="n">
        <v>2</v>
      </c>
      <c r="H49" s="6" t="n">
        <v>22.7</v>
      </c>
      <c r="I49" s="3" t="n">
        <v>2</v>
      </c>
      <c r="J49" s="3" t="n">
        <v>10</v>
      </c>
      <c r="K49" s="7" t="n">
        <v>46.29</v>
      </c>
      <c r="L49" s="7" t="n">
        <v>7.39</v>
      </c>
      <c r="M49" s="8" t="n">
        <v>28</v>
      </c>
      <c r="N49" s="8" t="n">
        <v>83</v>
      </c>
      <c r="O49" s="7" t="n">
        <v>46.29</v>
      </c>
      <c r="P49" s="6" t="n">
        <v>93.2</v>
      </c>
      <c r="Q49" s="4" t="s">
        <v>203</v>
      </c>
      <c r="R49" s="8" t="n">
        <v>15</v>
      </c>
      <c r="S49" s="6" t="n">
        <v>127.9</v>
      </c>
      <c r="T49" s="7" t="n">
        <f aca="false">IFERROR(S49/R49,"")</f>
        <v>8.52666666666667</v>
      </c>
      <c r="U49" s="6" t="n">
        <v>104.4</v>
      </c>
      <c r="V49" s="6" t="n">
        <v>80.9</v>
      </c>
      <c r="W49" s="8" t="n">
        <v>48</v>
      </c>
      <c r="X49" s="7" t="n">
        <f aca="false">IFERROR(S49/AH49,"")</f>
        <v>1.93787878787879</v>
      </c>
      <c r="Y49" s="9" t="n">
        <f aca="false">IFERROR(S49/AF49,"")</f>
        <v>0.3181592039801</v>
      </c>
      <c r="Z49" s="6" t="n">
        <v>2.35</v>
      </c>
      <c r="AA49" s="6" t="n">
        <v>7.6</v>
      </c>
      <c r="AB49" s="6" t="n">
        <v>14.06</v>
      </c>
      <c r="AC49" s="10" t="n">
        <v>0.133</v>
      </c>
      <c r="AD49" s="10" t="n">
        <v>0.267</v>
      </c>
      <c r="AE49" s="7" t="n">
        <v>0.992</v>
      </c>
      <c r="AF49" s="8" t="n">
        <v>402</v>
      </c>
      <c r="AG49" s="10" t="n">
        <v>0.397</v>
      </c>
      <c r="AH49" s="8" t="n">
        <v>66</v>
      </c>
      <c r="AI49" s="8" t="n">
        <v>60</v>
      </c>
      <c r="AJ49" s="6" t="n">
        <f aca="false">IFERROR(AI49/R49,"")</f>
        <v>4</v>
      </c>
      <c r="AK49" s="10" t="n">
        <v>0.1279</v>
      </c>
      <c r="AL49" s="10" t="n">
        <v>0.1152</v>
      </c>
      <c r="AM49" s="9" t="n">
        <v>0.2725</v>
      </c>
      <c r="AN49" s="8" t="n">
        <v>47</v>
      </c>
      <c r="AO49" s="10" t="n">
        <f aca="false">IFERROR(AN49/AI49,"")</f>
        <v>0.783333333333333</v>
      </c>
      <c r="AP49" s="8" t="n">
        <v>652</v>
      </c>
      <c r="AQ49" s="7" t="n">
        <f aca="false">IFERROR(AP49/AI49,"")</f>
        <v>10.8666666666667</v>
      </c>
      <c r="AR49" s="6" t="n">
        <v>7.667</v>
      </c>
      <c r="AS49" s="7" t="n">
        <v>7.106</v>
      </c>
      <c r="AT49" s="7" t="n">
        <v>1.417</v>
      </c>
      <c r="AU49" s="7" t="n">
        <v>4.63045457645756</v>
      </c>
      <c r="AV49" s="7" t="n">
        <v>7.42519230769231</v>
      </c>
      <c r="AW49" s="7" t="n">
        <v>0.926781505824081</v>
      </c>
      <c r="AX49" s="10" t="n">
        <v>0.0667</v>
      </c>
      <c r="AY49" s="8" t="n">
        <v>6</v>
      </c>
      <c r="AZ49" s="6" t="n">
        <f aca="false">IFERROR(AY49/R49,"")</f>
        <v>0.4</v>
      </c>
      <c r="BA49" s="10" t="n">
        <v>0.0136</v>
      </c>
      <c r="BB49" s="8" t="n">
        <v>37</v>
      </c>
      <c r="BC49" s="7"/>
      <c r="BD49" s="7"/>
      <c r="BE49" s="7"/>
      <c r="BF49" s="8" t="n">
        <v>1</v>
      </c>
      <c r="BG49" s="7"/>
      <c r="BH49" s="6"/>
      <c r="BI49" s="7"/>
      <c r="BJ49" s="8" t="n">
        <v>4</v>
      </c>
      <c r="BK49" s="8" t="n">
        <v>0</v>
      </c>
      <c r="BL49" s="8" t="n">
        <v>0</v>
      </c>
      <c r="BM49" s="8" t="n">
        <v>2</v>
      </c>
      <c r="BN49" s="7" t="n">
        <v>1.55</v>
      </c>
      <c r="BO49" s="7" t="n">
        <f aca="false">IFERROR(BM49-BN49,"")</f>
        <v>0.45</v>
      </c>
      <c r="BP49" s="9" t="n">
        <f aca="false">IFERROR(BM49/AH49,"")</f>
        <v>0.0303030303030303</v>
      </c>
      <c r="BQ49" s="6" t="n">
        <v>76.3</v>
      </c>
      <c r="BR49" s="6" t="n">
        <v>80.3</v>
      </c>
      <c r="BS49" s="6" t="n">
        <v>61.1</v>
      </c>
      <c r="BT49" s="7" t="n">
        <v>3.337</v>
      </c>
      <c r="BU49" s="10" t="n">
        <v>0.1354</v>
      </c>
      <c r="BV49" s="10" t="n">
        <v>0.794117647058824</v>
      </c>
      <c r="BW49" s="7" t="n">
        <v>3.125</v>
      </c>
      <c r="BX49" s="10" t="n">
        <v>0.2787</v>
      </c>
      <c r="BY49" s="10" t="n">
        <v>0.0358</v>
      </c>
      <c r="BZ49" s="7" t="n">
        <v>2.496</v>
      </c>
      <c r="CA49" s="10" t="n">
        <v>0.802</v>
      </c>
      <c r="CB49" s="8" t="n">
        <v>4</v>
      </c>
      <c r="CC49" s="10" t="n">
        <v>-0.039</v>
      </c>
      <c r="CD49" s="10" t="n">
        <v>0.5233</v>
      </c>
      <c r="CE49" s="6" t="n">
        <v>64.47</v>
      </c>
      <c r="CF49" s="6" t="n">
        <v>37</v>
      </c>
      <c r="CG49" s="7" t="n">
        <v>3.41</v>
      </c>
      <c r="CH49" s="6" t="n">
        <v>25.9</v>
      </c>
      <c r="CI49" s="9" t="n">
        <v>0.0786</v>
      </c>
      <c r="CJ49" s="9" t="n">
        <v>0.0802</v>
      </c>
      <c r="CK49" s="8" t="n">
        <v>161</v>
      </c>
      <c r="CL49" s="10" t="n">
        <v>0.303</v>
      </c>
      <c r="CM49" s="8" t="n">
        <v>20</v>
      </c>
      <c r="CN49" s="10" t="n">
        <v>0.04</v>
      </c>
      <c r="CO49" s="8" t="n">
        <v>26</v>
      </c>
      <c r="CP49" s="7" t="n">
        <v>-1.254</v>
      </c>
      <c r="CQ49" s="7" t="n">
        <v>-1.648</v>
      </c>
      <c r="CR49" s="4" t="s">
        <v>165</v>
      </c>
      <c r="CS49" s="4"/>
    </row>
    <row r="50" customFormat="false" ht="15" hidden="false" customHeight="false" outlineLevel="0" collapsed="false">
      <c r="A50" s="3" t="n">
        <v>48</v>
      </c>
      <c r="B50" s="4" t="s">
        <v>228</v>
      </c>
      <c r="C50" s="13" t="s">
        <v>172</v>
      </c>
      <c r="D50" s="4" t="s">
        <v>229</v>
      </c>
      <c r="E50" s="4" t="s">
        <v>221</v>
      </c>
      <c r="F50" s="4" t="s">
        <v>172</v>
      </c>
      <c r="G50" s="3" t="n">
        <v>1</v>
      </c>
      <c r="H50" s="6" t="n">
        <v>25.7</v>
      </c>
      <c r="I50" s="3" t="n">
        <v>3</v>
      </c>
      <c r="J50" s="3" t="n">
        <v>7</v>
      </c>
      <c r="K50" s="7" t="n">
        <v>49.78</v>
      </c>
      <c r="L50" s="7" t="n">
        <v>14.77</v>
      </c>
      <c r="M50" s="8" t="n">
        <v>27</v>
      </c>
      <c r="N50" s="8" t="n">
        <v>92</v>
      </c>
      <c r="O50" s="7" t="n">
        <v>49.78</v>
      </c>
      <c r="P50" s="6" t="n">
        <v>97.7</v>
      </c>
      <c r="Q50" s="4" t="s">
        <v>221</v>
      </c>
      <c r="R50" s="8" t="n">
        <v>7</v>
      </c>
      <c r="S50" s="6" t="n">
        <v>114.28</v>
      </c>
      <c r="T50" s="7" t="n">
        <f aca="false">IFERROR(S50/R50,"")</f>
        <v>16.3257142857143</v>
      </c>
      <c r="U50" s="6" t="n">
        <v>114.28</v>
      </c>
      <c r="V50" s="6" t="n">
        <v>114.28</v>
      </c>
      <c r="W50" s="8" t="n">
        <v>28</v>
      </c>
      <c r="X50" s="7" t="n">
        <f aca="false">IFERROR(S50/AH50,"")</f>
        <v>1.97034482758621</v>
      </c>
      <c r="Y50" s="9" t="n">
        <f aca="false">IFERROR(S50/AF50,"")</f>
        <v>0.282172839506173</v>
      </c>
      <c r="Z50" s="6" t="n">
        <v>16.18</v>
      </c>
      <c r="AA50" s="6" t="n">
        <v>17.74</v>
      </c>
      <c r="AB50" s="6" t="n">
        <v>20.27</v>
      </c>
      <c r="AC50" s="10" t="n">
        <v>0.143</v>
      </c>
      <c r="AD50" s="10" t="n">
        <v>0.143</v>
      </c>
      <c r="AE50" s="7" t="n">
        <v>0.359</v>
      </c>
      <c r="AF50" s="8" t="n">
        <v>405</v>
      </c>
      <c r="AG50" s="10" t="n">
        <v>0.903</v>
      </c>
      <c r="AH50" s="8" t="n">
        <v>58</v>
      </c>
      <c r="AI50" s="8" t="n">
        <v>0</v>
      </c>
      <c r="AJ50" s="6" t="n">
        <f aca="false">IFERROR(AI50/R50,"")</f>
        <v>0</v>
      </c>
      <c r="AK50" s="10" t="n">
        <v>0</v>
      </c>
      <c r="AL50" s="10" t="n">
        <v>0</v>
      </c>
      <c r="AM50" s="9" t="n">
        <v>0</v>
      </c>
      <c r="AN50" s="8" t="n">
        <v>0</v>
      </c>
      <c r="AO50" s="10"/>
      <c r="AP50" s="8" t="n">
        <v>0</v>
      </c>
      <c r="AQ50" s="7"/>
      <c r="AR50" s="6"/>
      <c r="AS50" s="7"/>
      <c r="AT50" s="7"/>
      <c r="AU50" s="7"/>
      <c r="AV50" s="7"/>
      <c r="AW50" s="7"/>
      <c r="AX50" s="10"/>
      <c r="AY50" s="8" t="n">
        <v>58</v>
      </c>
      <c r="AZ50" s="6" t="n">
        <f aca="false">IFERROR(AY50/R50,"")</f>
        <v>8.28571428571429</v>
      </c>
      <c r="BA50" s="10" t="n">
        <v>0.2944</v>
      </c>
      <c r="BB50" s="8" t="n">
        <v>278</v>
      </c>
      <c r="BC50" s="7" t="n">
        <f aca="false">IFERROR(BB50/AY50,"")</f>
        <v>4.79310344827586</v>
      </c>
      <c r="BD50" s="7" t="n">
        <v>2.879</v>
      </c>
      <c r="BE50" s="7" t="n">
        <v>1.914</v>
      </c>
      <c r="BF50" s="8" t="n">
        <v>4</v>
      </c>
      <c r="BG50" s="7"/>
      <c r="BH50" s="6"/>
      <c r="BI50" s="7"/>
      <c r="BJ50" s="8" t="n">
        <v>6</v>
      </c>
      <c r="BK50" s="8" t="n">
        <v>2</v>
      </c>
      <c r="BL50" s="8" t="n">
        <v>2</v>
      </c>
      <c r="BM50" s="8" t="n">
        <v>2</v>
      </c>
      <c r="BN50" s="7" t="n">
        <v>1.52</v>
      </c>
      <c r="BO50" s="7" t="n">
        <f aca="false">IFERROR(BM50-BN50,"")</f>
        <v>0.48</v>
      </c>
      <c r="BP50" s="9" t="n">
        <f aca="false">IFERROR(BM50/AH50,"")</f>
        <v>0.0344827586206897</v>
      </c>
      <c r="BQ50" s="6" t="n">
        <v>54.8</v>
      </c>
      <c r="BR50" s="6" t="n">
        <v>50.7</v>
      </c>
      <c r="BS50" s="6" t="n">
        <v>56.8</v>
      </c>
      <c r="BT50" s="7" t="n">
        <v>2.998</v>
      </c>
      <c r="BU50" s="10" t="n">
        <v>0.1651</v>
      </c>
      <c r="BV50" s="10" t="n">
        <v>0.548387096774194</v>
      </c>
      <c r="BW50" s="7" t="n">
        <v>2.512</v>
      </c>
      <c r="BX50" s="10" t="n">
        <v>0.2217</v>
      </c>
      <c r="BY50" s="10" t="n">
        <v>0.0606</v>
      </c>
      <c r="BZ50" s="7" t="n">
        <v>2.36</v>
      </c>
      <c r="CA50" s="10" t="n">
        <v>0.706</v>
      </c>
      <c r="CB50" s="8" t="n">
        <v>4</v>
      </c>
      <c r="CC50" s="10" t="n">
        <v>-0.0427</v>
      </c>
      <c r="CD50" s="10" t="n">
        <v>0.4747</v>
      </c>
      <c r="CE50" s="6" t="n">
        <v>57.59</v>
      </c>
      <c r="CF50" s="6" t="n">
        <v>38</v>
      </c>
      <c r="CG50" s="7" t="n">
        <v>2.94</v>
      </c>
      <c r="CH50" s="6" t="n">
        <v>20.9</v>
      </c>
      <c r="CI50" s="9" t="n">
        <v>0.0192</v>
      </c>
      <c r="CJ50" s="9" t="n">
        <v>-0.0055</v>
      </c>
      <c r="CK50" s="8" t="n">
        <v>138</v>
      </c>
      <c r="CL50" s="10" t="n">
        <v>0.319</v>
      </c>
      <c r="CM50" s="8" t="n">
        <v>142</v>
      </c>
      <c r="CN50" s="10" t="n">
        <v>0.293</v>
      </c>
      <c r="CO50" s="8" t="n">
        <v>56</v>
      </c>
      <c r="CP50" s="7" t="n">
        <v>-1.015</v>
      </c>
      <c r="CQ50" s="7" t="n">
        <v>-0.533</v>
      </c>
      <c r="CR50" s="4" t="s">
        <v>165</v>
      </c>
      <c r="CS50" s="4"/>
    </row>
    <row r="51" customFormat="false" ht="15" hidden="false" customHeight="false" outlineLevel="0" collapsed="false">
      <c r="A51" s="3" t="n">
        <v>49</v>
      </c>
      <c r="B51" s="4" t="s">
        <v>230</v>
      </c>
      <c r="C51" s="5" t="s">
        <v>99</v>
      </c>
      <c r="D51" s="4" t="s">
        <v>231</v>
      </c>
      <c r="E51" s="4" t="s">
        <v>109</v>
      </c>
      <c r="F51" s="4" t="s">
        <v>99</v>
      </c>
      <c r="G51" s="3" t="n">
        <v>2</v>
      </c>
      <c r="H51" s="6" t="n">
        <v>33.6</v>
      </c>
      <c r="I51" s="3" t="n">
        <v>13</v>
      </c>
      <c r="J51" s="3" t="n">
        <v>11</v>
      </c>
      <c r="K51" s="7" t="n">
        <v>50.67</v>
      </c>
      <c r="L51" s="7" t="n">
        <v>8.08</v>
      </c>
      <c r="M51" s="8" t="n">
        <v>36</v>
      </c>
      <c r="N51" s="8" t="n">
        <v>81</v>
      </c>
      <c r="O51" s="7" t="n">
        <v>50.67</v>
      </c>
      <c r="P51" s="6" t="n">
        <v>96.1</v>
      </c>
      <c r="Q51" s="4" t="s">
        <v>109</v>
      </c>
      <c r="R51" s="8" t="n">
        <v>14</v>
      </c>
      <c r="S51" s="6" t="n">
        <v>222.9</v>
      </c>
      <c r="T51" s="7" t="n">
        <f aca="false">IFERROR(S51/R51,"")</f>
        <v>15.9214285714286</v>
      </c>
      <c r="U51" s="6" t="n">
        <v>192.9</v>
      </c>
      <c r="V51" s="6" t="n">
        <v>162.9</v>
      </c>
      <c r="W51" s="8" t="n">
        <v>9</v>
      </c>
      <c r="X51" s="7" t="n">
        <f aca="false">IFERROR(S51/AH51,"")</f>
        <v>1.95526315789474</v>
      </c>
      <c r="Y51" s="9" t="n">
        <f aca="false">IFERROR(S51/AF51,"")</f>
        <v>0.351023622047244</v>
      </c>
      <c r="Z51" s="6" t="n">
        <v>9.6</v>
      </c>
      <c r="AA51" s="6" t="n">
        <v>15.1</v>
      </c>
      <c r="AB51" s="6" t="n">
        <v>23.01</v>
      </c>
      <c r="AC51" s="10" t="n">
        <v>0.429</v>
      </c>
      <c r="AD51" s="10" t="n">
        <v>0</v>
      </c>
      <c r="AE51" s="7" t="n">
        <v>0.453</v>
      </c>
      <c r="AF51" s="8" t="n">
        <v>635</v>
      </c>
      <c r="AG51" s="10" t="n">
        <v>0.714</v>
      </c>
      <c r="AH51" s="8" t="n">
        <v>114</v>
      </c>
      <c r="AI51" s="8" t="n">
        <v>114</v>
      </c>
      <c r="AJ51" s="6" t="n">
        <f aca="false">IFERROR(AI51/R51,"")</f>
        <v>8.14285714285714</v>
      </c>
      <c r="AK51" s="10" t="n">
        <v>0.2478</v>
      </c>
      <c r="AL51" s="10" t="n">
        <v>0.3487</v>
      </c>
      <c r="AM51" s="9" t="n">
        <v>0.6158</v>
      </c>
      <c r="AN51" s="8" t="n">
        <v>60</v>
      </c>
      <c r="AO51" s="10" t="n">
        <f aca="false">IFERROR(AN51/AI51,"")</f>
        <v>0.526315789473684</v>
      </c>
      <c r="AP51" s="8" t="n">
        <v>789</v>
      </c>
      <c r="AQ51" s="7" t="n">
        <f aca="false">IFERROR(AP51/AI51,"")</f>
        <v>6.92105263157895</v>
      </c>
      <c r="AR51" s="6" t="n">
        <v>12.667</v>
      </c>
      <c r="AS51" s="7" t="n">
        <v>1.95</v>
      </c>
      <c r="AT51" s="7" t="n">
        <v>0.546</v>
      </c>
      <c r="AU51" s="7" t="n">
        <v>2.16740885275771</v>
      </c>
      <c r="AV51" s="7" t="n">
        <v>5.16159292035398</v>
      </c>
      <c r="AW51" s="7" t="n">
        <v>-0.61022967545809</v>
      </c>
      <c r="AX51" s="10" t="n">
        <v>0.0439</v>
      </c>
      <c r="AY51" s="8" t="n">
        <v>0</v>
      </c>
      <c r="AZ51" s="6" t="n">
        <f aca="false">IFERROR(AY51/R51,"")</f>
        <v>0</v>
      </c>
      <c r="BA51" s="10" t="n">
        <v>0</v>
      </c>
      <c r="BB51" s="8" t="n">
        <v>0</v>
      </c>
      <c r="BC51" s="7"/>
      <c r="BD51" s="7"/>
      <c r="BE51" s="7"/>
      <c r="BF51" s="8"/>
      <c r="BG51" s="7"/>
      <c r="BH51" s="6"/>
      <c r="BI51" s="7"/>
      <c r="BJ51" s="8" t="n">
        <v>32</v>
      </c>
      <c r="BK51" s="8" t="n">
        <v>23</v>
      </c>
      <c r="BL51" s="8" t="n">
        <v>16</v>
      </c>
      <c r="BM51" s="8" t="n">
        <v>14</v>
      </c>
      <c r="BN51" s="7" t="n">
        <v>12.58</v>
      </c>
      <c r="BO51" s="7" t="n">
        <f aca="false">IFERROR(BM51-BN51,"")</f>
        <v>1.42</v>
      </c>
      <c r="BP51" s="9" t="n">
        <f aca="false">IFERROR(BM51/AH51,"")</f>
        <v>0.12280701754386</v>
      </c>
      <c r="BQ51" s="6" t="n">
        <v>80.4</v>
      </c>
      <c r="BR51" s="6" t="n">
        <v>76.4</v>
      </c>
      <c r="BS51" s="6" t="n">
        <v>71.5</v>
      </c>
      <c r="BT51" s="7" t="n">
        <v>3.462</v>
      </c>
      <c r="BU51" s="10" t="n">
        <v>0.1266</v>
      </c>
      <c r="BV51" s="10" t="n">
        <v>0.638297872340426</v>
      </c>
      <c r="BW51" s="7" t="n">
        <v>2.811</v>
      </c>
      <c r="BX51" s="10" t="n">
        <v>0.194</v>
      </c>
      <c r="BY51" s="10" t="n">
        <v>0.0424</v>
      </c>
      <c r="BZ51" s="7" t="n">
        <v>2.396</v>
      </c>
      <c r="CA51" s="10" t="n">
        <v>0.904</v>
      </c>
      <c r="CB51" s="8" t="n">
        <v>5</v>
      </c>
      <c r="CC51" s="10" t="n">
        <v>0.0296</v>
      </c>
      <c r="CD51" s="10" t="n">
        <v>0.6185</v>
      </c>
      <c r="CE51" s="6" t="n">
        <v>62.12</v>
      </c>
      <c r="CF51" s="6" t="n">
        <v>37</v>
      </c>
      <c r="CG51" s="7" t="n">
        <v>4.47</v>
      </c>
      <c r="CH51" s="6" t="n">
        <v>30.5</v>
      </c>
      <c r="CI51" s="9" t="n">
        <v>0.0262</v>
      </c>
      <c r="CJ51" s="9" t="n">
        <v>0.2292</v>
      </c>
      <c r="CK51" s="8" t="n">
        <v>15</v>
      </c>
      <c r="CL51" s="10" t="n">
        <v>0.026</v>
      </c>
      <c r="CM51" s="8" t="n">
        <v>0</v>
      </c>
      <c r="CN51" s="10" t="n">
        <v>0</v>
      </c>
      <c r="CO51" s="8" t="n">
        <v>1</v>
      </c>
      <c r="CP51" s="7" t="n">
        <v>0.491</v>
      </c>
      <c r="CQ51" s="7" t="n">
        <v>0.49</v>
      </c>
      <c r="CR51" s="4" t="s">
        <v>232</v>
      </c>
      <c r="CS51" s="4"/>
    </row>
    <row r="52" customFormat="false" ht="15" hidden="false" customHeight="false" outlineLevel="0" collapsed="false">
      <c r="A52" s="3" t="n">
        <v>50</v>
      </c>
      <c r="B52" s="4" t="s">
        <v>233</v>
      </c>
      <c r="C52" s="11" t="s">
        <v>104</v>
      </c>
      <c r="D52" s="4" t="s">
        <v>234</v>
      </c>
      <c r="E52" s="4" t="s">
        <v>158</v>
      </c>
      <c r="F52" s="4" t="s">
        <v>104</v>
      </c>
      <c r="G52" s="3" t="n">
        <v>1</v>
      </c>
      <c r="H52" s="6" t="n">
        <v>27.6</v>
      </c>
      <c r="I52" s="3" t="n">
        <v>6</v>
      </c>
      <c r="J52" s="3" t="n">
        <v>8</v>
      </c>
      <c r="K52" s="7" t="n">
        <v>50.99</v>
      </c>
      <c r="L52" s="7" t="n">
        <v>7.98</v>
      </c>
      <c r="M52" s="8" t="n">
        <v>34</v>
      </c>
      <c r="N52" s="8" t="n">
        <v>72</v>
      </c>
      <c r="O52" s="7" t="n">
        <v>50.99</v>
      </c>
      <c r="P52" s="6" t="n">
        <v>95.9</v>
      </c>
      <c r="Q52" s="4" t="s">
        <v>235</v>
      </c>
      <c r="R52" s="8" t="n">
        <v>17</v>
      </c>
      <c r="S52" s="6" t="n">
        <v>253.9</v>
      </c>
      <c r="T52" s="7" t="n">
        <f aca="false">IFERROR(S52/R52,"")</f>
        <v>14.9352941176471</v>
      </c>
      <c r="U52" s="6" t="n">
        <v>235.9</v>
      </c>
      <c r="V52" s="6" t="n">
        <v>217.9</v>
      </c>
      <c r="W52" s="8" t="n">
        <v>10</v>
      </c>
      <c r="X52" s="7" t="n">
        <f aca="false">IFERROR(S52/AH52,"")</f>
        <v>0.813782051282051</v>
      </c>
      <c r="Y52" s="9" t="n">
        <f aca="false">IFERROR(S52/AF52,"")</f>
        <v>0.367438494934877</v>
      </c>
      <c r="Z52" s="6" t="n">
        <v>9.5</v>
      </c>
      <c r="AA52" s="6" t="n">
        <v>16.5</v>
      </c>
      <c r="AB52" s="6" t="n">
        <v>20.16</v>
      </c>
      <c r="AC52" s="10" t="n">
        <v>0.353</v>
      </c>
      <c r="AD52" s="10" t="n">
        <v>0</v>
      </c>
      <c r="AE52" s="7" t="n">
        <v>0.421</v>
      </c>
      <c r="AF52" s="8" t="n">
        <v>691</v>
      </c>
      <c r="AG52" s="10" t="n">
        <v>0.601</v>
      </c>
      <c r="AH52" s="8" t="n">
        <v>312</v>
      </c>
      <c r="AI52" s="8" t="n">
        <v>52</v>
      </c>
      <c r="AJ52" s="6" t="n">
        <f aca="false">IFERROR(AI52/R52,"")</f>
        <v>3.05882352941176</v>
      </c>
      <c r="AK52" s="10" t="n">
        <v>0.0951</v>
      </c>
      <c r="AL52" s="10" t="n">
        <v>-0.0156</v>
      </c>
      <c r="AM52" s="9" t="n">
        <v>0.1317</v>
      </c>
      <c r="AN52" s="8" t="n">
        <v>36</v>
      </c>
      <c r="AO52" s="10" t="n">
        <f aca="false">IFERROR(AN52/AI52,"")</f>
        <v>0.692307692307692</v>
      </c>
      <c r="AP52" s="8" t="n">
        <v>292</v>
      </c>
      <c r="AQ52" s="7" t="n">
        <f aca="false">IFERROR(AP52/AI52,"")</f>
        <v>5.61538461538462</v>
      </c>
      <c r="AR52" s="6" t="n">
        <v>-1.462</v>
      </c>
      <c r="AS52" s="7" t="n">
        <v>9.417</v>
      </c>
      <c r="AT52" s="7" t="n">
        <v>-3.842</v>
      </c>
      <c r="AU52" s="7"/>
      <c r="AV52" s="7"/>
      <c r="AW52" s="7"/>
      <c r="AX52" s="10" t="n">
        <v>0.0962</v>
      </c>
      <c r="AY52" s="8" t="n">
        <v>260</v>
      </c>
      <c r="AZ52" s="6" t="n">
        <f aca="false">IFERROR(AY52/R52,"")</f>
        <v>15.2941176470588</v>
      </c>
      <c r="BA52" s="10" t="n">
        <v>0.5317</v>
      </c>
      <c r="BB52" s="8" t="n">
        <v>1107</v>
      </c>
      <c r="BC52" s="7" t="n">
        <f aca="false">IFERROR(BB52/AY52,"")</f>
        <v>4.25769230769231</v>
      </c>
      <c r="BD52" s="7" t="n">
        <v>2.162</v>
      </c>
      <c r="BE52" s="7" t="n">
        <v>2.096</v>
      </c>
      <c r="BF52" s="8" t="n">
        <v>10</v>
      </c>
      <c r="BG52" s="7" t="n">
        <v>0.172743719951274</v>
      </c>
      <c r="BH52" s="6" t="n">
        <v>22.6923076923077</v>
      </c>
      <c r="BI52" s="7" t="n">
        <v>3.91090334236676</v>
      </c>
      <c r="BJ52" s="8" t="n">
        <v>64</v>
      </c>
      <c r="BK52" s="8" t="n">
        <v>32</v>
      </c>
      <c r="BL52" s="8" t="n">
        <v>13</v>
      </c>
      <c r="BM52" s="8" t="n">
        <v>13</v>
      </c>
      <c r="BN52" s="7" t="n">
        <v>11.64</v>
      </c>
      <c r="BO52" s="7" t="n">
        <f aca="false">IFERROR(BM52-BN52,"")</f>
        <v>1.36</v>
      </c>
      <c r="BP52" s="9" t="n">
        <f aca="false">IFERROR(BM52/AH52,"")</f>
        <v>0.0416666666666667</v>
      </c>
      <c r="BQ52" s="6" t="n">
        <v>41.9</v>
      </c>
      <c r="BR52" s="6" t="n">
        <v>42.4</v>
      </c>
      <c r="BS52" s="6" t="n">
        <v>44.9</v>
      </c>
      <c r="BT52" s="7" t="n">
        <v>2.883</v>
      </c>
      <c r="BU52" s="10" t="n">
        <v>0.1505</v>
      </c>
      <c r="BV52" s="10" t="n">
        <v>0.55</v>
      </c>
      <c r="BW52" s="7" t="n">
        <v>2.057</v>
      </c>
      <c r="BX52" s="10" t="n">
        <v>0.2132</v>
      </c>
      <c r="BY52" s="10" t="n">
        <v>0.0763</v>
      </c>
      <c r="BZ52" s="7" t="n">
        <v>2.2</v>
      </c>
      <c r="CA52" s="10" t="n">
        <v>0.784</v>
      </c>
      <c r="CB52" s="8" t="n">
        <v>4</v>
      </c>
      <c r="CC52" s="10" t="n">
        <v>-0.0301</v>
      </c>
      <c r="CD52" s="10" t="n">
        <v>0.5383</v>
      </c>
      <c r="CE52" s="6" t="n">
        <v>62.59</v>
      </c>
      <c r="CF52" s="6" t="n">
        <v>35</v>
      </c>
      <c r="CG52" s="7" t="n">
        <v>2.82</v>
      </c>
      <c r="CH52" s="6" t="n">
        <v>18</v>
      </c>
      <c r="CI52" s="9" t="n">
        <v>-0.1008</v>
      </c>
      <c r="CJ52" s="9" t="n">
        <v>-0.0795</v>
      </c>
      <c r="CK52" s="8" t="n">
        <v>127</v>
      </c>
      <c r="CL52" s="10" t="n">
        <v>0.225</v>
      </c>
      <c r="CM52" s="8" t="n">
        <v>21</v>
      </c>
      <c r="CN52" s="10" t="n">
        <v>0.048</v>
      </c>
      <c r="CO52" s="8" t="n">
        <v>15</v>
      </c>
      <c r="CP52" s="7" t="n">
        <v>0.234</v>
      </c>
      <c r="CQ52" s="7" t="n">
        <v>0.059</v>
      </c>
      <c r="CR52" s="4" t="s">
        <v>102</v>
      </c>
      <c r="CS52" s="4"/>
    </row>
    <row r="53" customFormat="false" ht="15" hidden="false" customHeight="false" outlineLevel="0" collapsed="false">
      <c r="A53" s="3" t="n">
        <v>51</v>
      </c>
      <c r="B53" s="4" t="s">
        <v>236</v>
      </c>
      <c r="C53" s="5" t="s">
        <v>99</v>
      </c>
      <c r="D53" s="4" t="s">
        <v>237</v>
      </c>
      <c r="E53" s="4" t="s">
        <v>147</v>
      </c>
      <c r="F53" s="4" t="s">
        <v>99</v>
      </c>
      <c r="G53" s="3" t="n">
        <v>1</v>
      </c>
      <c r="H53" s="6" t="n">
        <v>29.3</v>
      </c>
      <c r="I53" s="3" t="n">
        <v>9</v>
      </c>
      <c r="J53" s="3" t="n">
        <v>7</v>
      </c>
      <c r="K53" s="7" t="n">
        <v>52.14</v>
      </c>
      <c r="L53" s="7" t="n">
        <v>9.31</v>
      </c>
      <c r="M53" s="8" t="n">
        <v>28</v>
      </c>
      <c r="N53" s="8" t="n">
        <v>76</v>
      </c>
      <c r="O53" s="7" t="n">
        <v>52.14</v>
      </c>
      <c r="P53" s="6" t="n">
        <v>92.5</v>
      </c>
      <c r="Q53" s="4" t="s">
        <v>203</v>
      </c>
      <c r="R53" s="8" t="n">
        <v>17</v>
      </c>
      <c r="S53" s="6" t="n">
        <v>172.18</v>
      </c>
      <c r="T53" s="7" t="n">
        <f aca="false">IFERROR(S53/R53,"")</f>
        <v>10.1282352941176</v>
      </c>
      <c r="U53" s="6" t="n">
        <v>147.18</v>
      </c>
      <c r="V53" s="6" t="n">
        <v>122.18</v>
      </c>
      <c r="W53" s="8" t="n">
        <v>34</v>
      </c>
      <c r="X53" s="7" t="n">
        <f aca="false">IFERROR(S53/AH53,"")</f>
        <v>1.7218</v>
      </c>
      <c r="Y53" s="9" t="n">
        <f aca="false">IFERROR(S53/AF53,"")</f>
        <v>0.175873340143003</v>
      </c>
      <c r="Z53" s="6" t="n">
        <v>3.1</v>
      </c>
      <c r="AA53" s="6" t="n">
        <v>8.2</v>
      </c>
      <c r="AB53" s="6" t="n">
        <v>22.5</v>
      </c>
      <c r="AC53" s="10" t="n">
        <v>0.235</v>
      </c>
      <c r="AD53" s="10" t="n">
        <v>0.176</v>
      </c>
      <c r="AE53" s="7" t="n">
        <v>0.999</v>
      </c>
      <c r="AF53" s="8" t="n">
        <v>979</v>
      </c>
      <c r="AG53" s="10" t="n">
        <v>0.848</v>
      </c>
      <c r="AH53" s="8" t="n">
        <v>100</v>
      </c>
      <c r="AI53" s="8" t="n">
        <v>85</v>
      </c>
      <c r="AJ53" s="6" t="n">
        <f aca="false">IFERROR(AI53/R53,"")</f>
        <v>5</v>
      </c>
      <c r="AK53" s="10" t="n">
        <v>0.1598</v>
      </c>
      <c r="AL53" s="10" t="n">
        <v>0.2178</v>
      </c>
      <c r="AM53" s="9" t="n">
        <v>0.3922</v>
      </c>
      <c r="AN53" s="8" t="n">
        <v>50</v>
      </c>
      <c r="AO53" s="10" t="n">
        <f aca="false">IFERROR(AN53/AI53,"")</f>
        <v>0.588235294117647</v>
      </c>
      <c r="AP53" s="8" t="n">
        <v>682</v>
      </c>
      <c r="AQ53" s="7" t="n">
        <f aca="false">IFERROR(AP53/AI53,"")</f>
        <v>8.02352941176471</v>
      </c>
      <c r="AR53" s="6" t="n">
        <v>11.624</v>
      </c>
      <c r="AS53" s="7" t="n">
        <v>4.44</v>
      </c>
      <c r="AT53" s="7" t="n">
        <v>0.69</v>
      </c>
      <c r="AU53" s="7" t="n">
        <v>3.27176519102965</v>
      </c>
      <c r="AV53" s="7" t="n">
        <v>6.81285714285714</v>
      </c>
      <c r="AW53" s="7" t="n">
        <v>0.609919475583935</v>
      </c>
      <c r="AX53" s="10" t="n">
        <v>0.0353</v>
      </c>
      <c r="AY53" s="8" t="n">
        <v>15</v>
      </c>
      <c r="AZ53" s="6" t="n">
        <f aca="false">IFERROR(AY53/R53,"")</f>
        <v>0.882352941176471</v>
      </c>
      <c r="BA53" s="10" t="n">
        <v>0.0297</v>
      </c>
      <c r="BB53" s="8" t="n">
        <v>79</v>
      </c>
      <c r="BC53" s="7"/>
      <c r="BD53" s="7"/>
      <c r="BE53" s="7"/>
      <c r="BF53" s="8" t="n">
        <v>2</v>
      </c>
      <c r="BG53" s="7"/>
      <c r="BH53" s="6"/>
      <c r="BI53" s="7"/>
      <c r="BJ53" s="8" t="n">
        <v>13</v>
      </c>
      <c r="BK53" s="8" t="n">
        <v>7</v>
      </c>
      <c r="BL53" s="8" t="n">
        <v>5</v>
      </c>
      <c r="BM53" s="8" t="n">
        <v>7</v>
      </c>
      <c r="BN53" s="7" t="n">
        <v>5.38</v>
      </c>
      <c r="BO53" s="7" t="n">
        <f aca="false">IFERROR(BM53-BN53,"")</f>
        <v>1.62</v>
      </c>
      <c r="BP53" s="9" t="n">
        <f aca="false">IFERROR(BM53/AH53,"")</f>
        <v>0.07</v>
      </c>
      <c r="BQ53" s="6" t="n">
        <v>73.6</v>
      </c>
      <c r="BR53" s="6" t="n">
        <v>72.8</v>
      </c>
      <c r="BS53" s="6" t="n">
        <v>64.4</v>
      </c>
      <c r="BT53" s="7" t="n">
        <v>3.397</v>
      </c>
      <c r="BU53" s="10" t="n">
        <v>0.1265</v>
      </c>
      <c r="BV53" s="10" t="n">
        <v>0.540540540540541</v>
      </c>
      <c r="BW53" s="7" t="n">
        <v>2.905</v>
      </c>
      <c r="BX53" s="10" t="n">
        <v>0.2</v>
      </c>
      <c r="BY53" s="10" t="n">
        <v>0.0702</v>
      </c>
      <c r="BZ53" s="7" t="n">
        <v>2.507</v>
      </c>
      <c r="CA53" s="10" t="n">
        <v>0.763</v>
      </c>
      <c r="CB53" s="8" t="n">
        <v>4</v>
      </c>
      <c r="CC53" s="10" t="n">
        <v>-0.0352</v>
      </c>
      <c r="CD53" s="10" t="n">
        <v>0.5028</v>
      </c>
      <c r="CE53" s="6" t="n">
        <v>62.65</v>
      </c>
      <c r="CF53" s="6" t="n">
        <v>40</v>
      </c>
      <c r="CG53" s="7" t="n">
        <v>4</v>
      </c>
      <c r="CH53" s="6" t="n">
        <v>28.3</v>
      </c>
      <c r="CI53" s="9" t="n">
        <v>0.1102</v>
      </c>
      <c r="CJ53" s="9" t="n">
        <v>0.1599</v>
      </c>
      <c r="CK53" s="8" t="n">
        <v>19</v>
      </c>
      <c r="CL53" s="10" t="n">
        <v>0.04</v>
      </c>
      <c r="CM53" s="8" t="n">
        <v>17</v>
      </c>
      <c r="CN53" s="10" t="n">
        <v>0.031</v>
      </c>
      <c r="CO53" s="8" t="n">
        <v>2</v>
      </c>
      <c r="CP53" s="7" t="n">
        <v>-0.569</v>
      </c>
      <c r="CQ53" s="7" t="n">
        <v>-1.096</v>
      </c>
      <c r="CR53" s="4" t="s">
        <v>121</v>
      </c>
      <c r="CS53" s="4"/>
    </row>
    <row r="54" customFormat="false" ht="15" hidden="false" customHeight="false" outlineLevel="0" collapsed="false">
      <c r="A54" s="3" t="n">
        <v>52</v>
      </c>
      <c r="B54" s="4" t="s">
        <v>238</v>
      </c>
      <c r="C54" s="12" t="s">
        <v>149</v>
      </c>
      <c r="D54" s="4" t="s">
        <v>239</v>
      </c>
      <c r="E54" s="4" t="s">
        <v>130</v>
      </c>
      <c r="F54" s="4" t="s">
        <v>149</v>
      </c>
      <c r="G54" s="3" t="n">
        <v>1</v>
      </c>
      <c r="H54" s="6" t="n">
        <v>24.2</v>
      </c>
      <c r="I54" s="3" t="n">
        <v>2</v>
      </c>
      <c r="J54" s="3" t="n">
        <v>13</v>
      </c>
      <c r="K54" s="7" t="n">
        <v>53.48</v>
      </c>
      <c r="L54" s="7" t="n">
        <v>10.41</v>
      </c>
      <c r="M54" s="8" t="n">
        <v>22</v>
      </c>
      <c r="N54" s="8" t="n">
        <v>87</v>
      </c>
      <c r="O54" s="7" t="n">
        <v>53.48</v>
      </c>
      <c r="P54" s="6" t="n">
        <v>98.5</v>
      </c>
      <c r="Q54" s="4" t="s">
        <v>130</v>
      </c>
      <c r="R54" s="8" t="n">
        <v>17</v>
      </c>
      <c r="S54" s="6" t="n">
        <v>188.5</v>
      </c>
      <c r="T54" s="7" t="n">
        <f aca="false">IFERROR(S54/R54,"")</f>
        <v>11.0882352941176</v>
      </c>
      <c r="U54" s="6" t="n">
        <v>150.5</v>
      </c>
      <c r="V54" s="6" t="n">
        <v>112.5</v>
      </c>
      <c r="W54" s="8" t="n">
        <v>4</v>
      </c>
      <c r="X54" s="7" t="n">
        <f aca="false">IFERROR(S54/AH54,"")</f>
        <v>1.59745762711864</v>
      </c>
      <c r="Y54" s="9" t="n">
        <f aca="false">IFERROR(S54/AF54,"")</f>
        <v>0.209677419354839</v>
      </c>
      <c r="Z54" s="6" t="n">
        <v>7.6</v>
      </c>
      <c r="AA54" s="6" t="n">
        <v>9.5</v>
      </c>
      <c r="AB54" s="6" t="n">
        <v>17.5</v>
      </c>
      <c r="AC54" s="10" t="n">
        <v>0.235</v>
      </c>
      <c r="AD54" s="10" t="n">
        <v>0</v>
      </c>
      <c r="AE54" s="7" t="n">
        <v>0.514</v>
      </c>
      <c r="AF54" s="8" t="n">
        <v>899</v>
      </c>
      <c r="AG54" s="10" t="n">
        <v>0.838</v>
      </c>
      <c r="AH54" s="8" t="n">
        <v>118</v>
      </c>
      <c r="AI54" s="8" t="n">
        <v>112</v>
      </c>
      <c r="AJ54" s="6" t="n">
        <f aca="false">IFERROR(AI54/R54,"")</f>
        <v>6.58823529411765</v>
      </c>
      <c r="AK54" s="10" t="n">
        <v>0.2113</v>
      </c>
      <c r="AL54" s="10" t="n">
        <v>0.1408</v>
      </c>
      <c r="AM54" s="9" t="n">
        <v>0.4155</v>
      </c>
      <c r="AN54" s="8" t="n">
        <v>76</v>
      </c>
      <c r="AO54" s="10" t="n">
        <f aca="false">IFERROR(AN54/AI54,"")</f>
        <v>0.678571428571429</v>
      </c>
      <c r="AP54" s="8" t="n">
        <v>817</v>
      </c>
      <c r="AQ54" s="7" t="n">
        <f aca="false">IFERROR(AP54/AI54,"")</f>
        <v>7.29464285714286</v>
      </c>
      <c r="AR54" s="6" t="n">
        <v>5.375</v>
      </c>
      <c r="AS54" s="7" t="n">
        <v>6.237</v>
      </c>
      <c r="AT54" s="7" t="n">
        <v>1.357</v>
      </c>
      <c r="AU54" s="7" t="n">
        <v>3.3098936455412</v>
      </c>
      <c r="AV54" s="7" t="n">
        <v>5.91195402298851</v>
      </c>
      <c r="AW54" s="7" t="n">
        <v>0.619173877050571</v>
      </c>
      <c r="AX54" s="10" t="n">
        <v>0.0179</v>
      </c>
      <c r="AY54" s="8" t="n">
        <v>6</v>
      </c>
      <c r="AZ54" s="6" t="n">
        <f aca="false">IFERROR(AY54/R54,"")</f>
        <v>0.352941176470588</v>
      </c>
      <c r="BA54" s="10" t="n">
        <v>0.0136</v>
      </c>
      <c r="BB54" s="8" t="n">
        <v>8</v>
      </c>
      <c r="BC54" s="7"/>
      <c r="BD54" s="7"/>
      <c r="BE54" s="7"/>
      <c r="BF54" s="8" t="n">
        <v>0</v>
      </c>
      <c r="BG54" s="7"/>
      <c r="BH54" s="6"/>
      <c r="BI54" s="7"/>
      <c r="BJ54" s="8" t="n">
        <v>25</v>
      </c>
      <c r="BK54" s="8" t="n">
        <v>15</v>
      </c>
      <c r="BL54" s="8" t="n">
        <v>7</v>
      </c>
      <c r="BM54" s="8" t="n">
        <v>5</v>
      </c>
      <c r="BN54" s="7" t="n">
        <v>8.44</v>
      </c>
      <c r="BO54" s="7" t="n">
        <f aca="false">IFERROR(BM54-BN54,"")</f>
        <v>-3.44</v>
      </c>
      <c r="BP54" s="9" t="n">
        <f aca="false">IFERROR(BM54/AH54,"")</f>
        <v>0.0423728813559322</v>
      </c>
      <c r="BQ54" s="6" t="n">
        <v>60.3</v>
      </c>
      <c r="BR54" s="6" t="n">
        <v>57.7</v>
      </c>
      <c r="BS54" s="6" t="n">
        <v>58.5</v>
      </c>
      <c r="BT54" s="7" t="n">
        <v>3.072</v>
      </c>
      <c r="BU54" s="10" t="n">
        <v>0.1487</v>
      </c>
      <c r="BV54" s="10" t="n">
        <v>0.6875</v>
      </c>
      <c r="BW54" s="7" t="n">
        <v>2.428</v>
      </c>
      <c r="BX54" s="10" t="n">
        <v>0.2121</v>
      </c>
      <c r="BY54" s="10" t="n">
        <v>0.047</v>
      </c>
      <c r="BZ54" s="7" t="n">
        <v>2.237</v>
      </c>
      <c r="CA54" s="10" t="n">
        <v>0.832</v>
      </c>
      <c r="CB54" s="8" t="n">
        <v>5</v>
      </c>
      <c r="CC54" s="10" t="n">
        <v>-0.0091</v>
      </c>
      <c r="CD54" s="10" t="n">
        <v>0.5637</v>
      </c>
      <c r="CE54" s="6" t="n">
        <v>59.47</v>
      </c>
      <c r="CF54" s="6" t="n">
        <v>39</v>
      </c>
      <c r="CG54" s="7" t="n">
        <v>4.12</v>
      </c>
      <c r="CH54" s="6" t="n">
        <v>27.4</v>
      </c>
      <c r="CI54" s="9" t="n">
        <v>0.094</v>
      </c>
      <c r="CJ54" s="9" t="n">
        <v>0.0558</v>
      </c>
      <c r="CK54" s="8" t="n">
        <v>147</v>
      </c>
      <c r="CL54" s="10" t="n">
        <v>0.277</v>
      </c>
      <c r="CM54" s="8" t="n">
        <v>24</v>
      </c>
      <c r="CN54" s="10" t="n">
        <v>0.054</v>
      </c>
      <c r="CO54" s="8" t="n">
        <v>20</v>
      </c>
      <c r="CP54" s="7" t="n">
        <v>0.002</v>
      </c>
      <c r="CQ54" s="7" t="n">
        <v>-0.262</v>
      </c>
      <c r="CR54" s="4" t="s">
        <v>102</v>
      </c>
      <c r="CS54" s="4"/>
    </row>
    <row r="55" customFormat="false" ht="15" hidden="false" customHeight="false" outlineLevel="0" collapsed="false">
      <c r="A55" s="3" t="n">
        <v>53</v>
      </c>
      <c r="B55" s="4" t="s">
        <v>240</v>
      </c>
      <c r="C55" s="5" t="s">
        <v>99</v>
      </c>
      <c r="D55" s="4" t="s">
        <v>241</v>
      </c>
      <c r="E55" s="4" t="s">
        <v>124</v>
      </c>
      <c r="F55" s="4" t="s">
        <v>99</v>
      </c>
      <c r="G55" s="3" t="n">
        <v>1</v>
      </c>
      <c r="H55" s="6" t="n">
        <v>33</v>
      </c>
      <c r="I55" s="3" t="n">
        <v>13</v>
      </c>
      <c r="J55" s="3" t="n">
        <v>8</v>
      </c>
      <c r="K55" s="7" t="n">
        <v>54.06</v>
      </c>
      <c r="L55" s="7" t="n">
        <v>9.53</v>
      </c>
      <c r="M55" s="8" t="n">
        <v>38</v>
      </c>
      <c r="N55" s="8" t="n">
        <v>82</v>
      </c>
      <c r="O55" s="7" t="n">
        <v>54.06</v>
      </c>
      <c r="P55" s="6" t="n">
        <v>90.6</v>
      </c>
      <c r="Q55" s="4" t="s">
        <v>198</v>
      </c>
      <c r="R55" s="8" t="n">
        <v>8</v>
      </c>
      <c r="S55" s="6" t="n">
        <v>84.8</v>
      </c>
      <c r="T55" s="7" t="n">
        <f aca="false">IFERROR(S55/R55,"")</f>
        <v>10.6</v>
      </c>
      <c r="U55" s="6" t="n">
        <v>69.8</v>
      </c>
      <c r="V55" s="6" t="n">
        <v>54.8</v>
      </c>
      <c r="W55" s="8" t="n">
        <v>66</v>
      </c>
      <c r="X55" s="7" t="n">
        <f aca="false">IFERROR(S55/AH55,"")</f>
        <v>1.36774193548387</v>
      </c>
      <c r="Y55" s="9" t="n">
        <f aca="false">IFERROR(S55/AF55,"")</f>
        <v>0.237535014005602</v>
      </c>
      <c r="Z55" s="6" t="n">
        <v>8.93</v>
      </c>
      <c r="AA55" s="6" t="n">
        <v>11.35</v>
      </c>
      <c r="AB55" s="6" t="n">
        <v>14.06</v>
      </c>
      <c r="AC55" s="10" t="n">
        <v>0.125</v>
      </c>
      <c r="AD55" s="10" t="n">
        <v>0.125</v>
      </c>
      <c r="AE55" s="7" t="n">
        <v>0.511</v>
      </c>
      <c r="AF55" s="8" t="n">
        <v>357</v>
      </c>
      <c r="AG55" s="10" t="n">
        <v>0.656</v>
      </c>
      <c r="AH55" s="8" t="n">
        <v>62</v>
      </c>
      <c r="AI55" s="8" t="n">
        <v>62</v>
      </c>
      <c r="AJ55" s="6" t="n">
        <f aca="false">IFERROR(AI55/R55,"")</f>
        <v>7.75</v>
      </c>
      <c r="AK55" s="10" t="n">
        <v>0.2313</v>
      </c>
      <c r="AL55" s="10" t="n">
        <v>0.3523</v>
      </c>
      <c r="AM55" s="9" t="n">
        <v>0.5936</v>
      </c>
      <c r="AN55" s="8" t="n">
        <v>30</v>
      </c>
      <c r="AO55" s="10" t="n">
        <f aca="false">IFERROR(AN55/AI55,"")</f>
        <v>0.483870967741936</v>
      </c>
      <c r="AP55" s="8" t="n">
        <v>368</v>
      </c>
      <c r="AQ55" s="7" t="n">
        <f aca="false">IFERROR(AP55/AI55,"")</f>
        <v>5.93548387096774</v>
      </c>
      <c r="AR55" s="6" t="n">
        <v>13.29</v>
      </c>
      <c r="AS55" s="7" t="n">
        <v>1.233</v>
      </c>
      <c r="AT55" s="7" t="n">
        <v>0.447</v>
      </c>
      <c r="AU55" s="7" t="n">
        <v>1.92025651621461</v>
      </c>
      <c r="AV55" s="7" t="n">
        <v>5.43129032258065</v>
      </c>
      <c r="AW55" s="7" t="n">
        <v>-0.618479592727009</v>
      </c>
      <c r="AX55" s="10" t="n">
        <v>0.0323</v>
      </c>
      <c r="AY55" s="8" t="n">
        <v>0</v>
      </c>
      <c r="AZ55" s="6" t="n">
        <f aca="false">IFERROR(AY55/R55,"")</f>
        <v>0</v>
      </c>
      <c r="BA55" s="10" t="n">
        <v>0</v>
      </c>
      <c r="BB55" s="8" t="n">
        <v>0</v>
      </c>
      <c r="BC55" s="7"/>
      <c r="BD55" s="7"/>
      <c r="BE55" s="7"/>
      <c r="BF55" s="8"/>
      <c r="BG55" s="7"/>
      <c r="BH55" s="6"/>
      <c r="BI55" s="7"/>
      <c r="BJ55" s="8" t="n">
        <v>9</v>
      </c>
      <c r="BK55" s="8" t="n">
        <v>5</v>
      </c>
      <c r="BL55" s="8" t="n">
        <v>5</v>
      </c>
      <c r="BM55" s="8" t="n">
        <v>3</v>
      </c>
      <c r="BN55" s="7" t="n">
        <v>3.99</v>
      </c>
      <c r="BO55" s="7" t="n">
        <f aca="false">IFERROR(BM55-BN55,"")</f>
        <v>-0.99</v>
      </c>
      <c r="BP55" s="9" t="n">
        <f aca="false">IFERROR(BM55/AH55,"")</f>
        <v>0.0483870967741936</v>
      </c>
      <c r="BQ55" s="6" t="n">
        <v>63.3</v>
      </c>
      <c r="BR55" s="6" t="n">
        <v>46.4</v>
      </c>
      <c r="BS55" s="6" t="n">
        <v>74.5</v>
      </c>
      <c r="BT55" s="7" t="n">
        <v>2.906</v>
      </c>
      <c r="BU55" s="10" t="n">
        <v>0.1848</v>
      </c>
      <c r="BV55" s="10" t="n">
        <v>0.655172413793103</v>
      </c>
      <c r="BW55" s="7" t="n">
        <v>2.349</v>
      </c>
      <c r="BX55" s="10" t="n">
        <v>0.2125</v>
      </c>
      <c r="BY55" s="10" t="n">
        <v>0.0428</v>
      </c>
      <c r="BZ55" s="7" t="n">
        <v>2.547</v>
      </c>
      <c r="CA55" s="10" t="n">
        <v>0.852</v>
      </c>
      <c r="CB55" s="8" t="n">
        <v>4</v>
      </c>
      <c r="CC55" s="10" t="n">
        <v>-0.0088</v>
      </c>
      <c r="CD55" s="10" t="n">
        <v>0.5521</v>
      </c>
      <c r="CE55" s="6" t="n">
        <v>62.65</v>
      </c>
      <c r="CF55" s="6" t="n">
        <v>38</v>
      </c>
      <c r="CG55" s="7" t="n">
        <v>3.88</v>
      </c>
      <c r="CH55" s="6" t="n">
        <v>25.7</v>
      </c>
      <c r="CI55" s="9" t="n">
        <v>-0.0044</v>
      </c>
      <c r="CJ55" s="9" t="n">
        <v>0.1587</v>
      </c>
      <c r="CK55" s="8" t="n">
        <v>170</v>
      </c>
      <c r="CL55" s="10" t="n">
        <v>0.309</v>
      </c>
      <c r="CM55" s="8" t="n">
        <v>94</v>
      </c>
      <c r="CN55" s="10" t="n">
        <v>0.195</v>
      </c>
      <c r="CO55" s="8" t="n">
        <v>38</v>
      </c>
      <c r="CP55" s="7" t="n">
        <v>-1.936</v>
      </c>
      <c r="CQ55" s="7" t="n">
        <v>-0.885</v>
      </c>
      <c r="CR55" s="4" t="s">
        <v>165</v>
      </c>
      <c r="CS55" s="4"/>
    </row>
    <row r="56" customFormat="false" ht="15" hidden="false" customHeight="false" outlineLevel="0" collapsed="false">
      <c r="A56" s="3" t="n">
        <v>54</v>
      </c>
      <c r="B56" s="4" t="s">
        <v>242</v>
      </c>
      <c r="C56" s="11" t="s">
        <v>104</v>
      </c>
      <c r="D56" s="4" t="s">
        <v>243</v>
      </c>
      <c r="E56" s="4" t="s">
        <v>178</v>
      </c>
      <c r="F56" s="4" t="s">
        <v>104</v>
      </c>
      <c r="G56" s="3" t="n">
        <v>1</v>
      </c>
      <c r="H56" s="6" t="n">
        <v>24.5</v>
      </c>
      <c r="I56" s="3" t="n">
        <v>2</v>
      </c>
      <c r="J56" s="3" t="n">
        <v>8</v>
      </c>
      <c r="K56" s="7" t="n">
        <v>54.84</v>
      </c>
      <c r="L56" s="7" t="n">
        <v>8.9</v>
      </c>
      <c r="M56" s="8" t="n">
        <v>39</v>
      </c>
      <c r="N56" s="8" t="n">
        <v>86</v>
      </c>
      <c r="O56" s="7" t="n">
        <v>54.84</v>
      </c>
      <c r="P56" s="6" t="n">
        <v>96.8</v>
      </c>
      <c r="Q56" s="4" t="s">
        <v>178</v>
      </c>
      <c r="R56" s="8" t="n">
        <v>8</v>
      </c>
      <c r="S56" s="6" t="n">
        <v>127.7</v>
      </c>
      <c r="T56" s="7" t="n">
        <f aca="false">IFERROR(S56/R56,"")</f>
        <v>15.9625</v>
      </c>
      <c r="U56" s="6" t="n">
        <v>115.7</v>
      </c>
      <c r="V56" s="6" t="n">
        <v>103.7</v>
      </c>
      <c r="W56" s="8" t="n">
        <v>36</v>
      </c>
      <c r="X56" s="7" t="n">
        <f aca="false">IFERROR(S56/AH56,"")</f>
        <v>0.96015037593985</v>
      </c>
      <c r="Y56" s="9" t="n">
        <f aca="false">IFERROR(S56/AF56,"")</f>
        <v>0.432881355932203</v>
      </c>
      <c r="Z56" s="6" t="n">
        <v>12.25</v>
      </c>
      <c r="AA56" s="6" t="n">
        <v>14.15</v>
      </c>
      <c r="AB56" s="6" t="n">
        <v>23.82</v>
      </c>
      <c r="AC56" s="10" t="n">
        <v>0.375</v>
      </c>
      <c r="AD56" s="10" t="n">
        <v>0</v>
      </c>
      <c r="AE56" s="7" t="n">
        <v>0.609</v>
      </c>
      <c r="AF56" s="8" t="n">
        <v>295</v>
      </c>
      <c r="AG56" s="10" t="n">
        <v>0.522</v>
      </c>
      <c r="AH56" s="8" t="n">
        <v>133</v>
      </c>
      <c r="AI56" s="8" t="n">
        <v>32</v>
      </c>
      <c r="AJ56" s="6" t="n">
        <f aca="false">IFERROR(AI56/R56,"")</f>
        <v>4</v>
      </c>
      <c r="AK56" s="10" t="n">
        <v>0.1322</v>
      </c>
      <c r="AL56" s="10" t="n">
        <v>-0.0022</v>
      </c>
      <c r="AM56" s="9" t="n">
        <v>0.1968</v>
      </c>
      <c r="AN56" s="8" t="n">
        <v>24</v>
      </c>
      <c r="AO56" s="10" t="n">
        <f aca="false">IFERROR(AN56/AI56,"")</f>
        <v>0.75</v>
      </c>
      <c r="AP56" s="8" t="n">
        <v>207</v>
      </c>
      <c r="AQ56" s="7" t="n">
        <f aca="false">IFERROR(AP56/AI56,"")</f>
        <v>6.46875</v>
      </c>
      <c r="AR56" s="6" t="n">
        <v>-0.156</v>
      </c>
      <c r="AS56" s="7" t="n">
        <v>8.708</v>
      </c>
      <c r="AT56" s="7" t="n">
        <v>-41.4</v>
      </c>
      <c r="AU56" s="7"/>
      <c r="AV56" s="7"/>
      <c r="AW56" s="7"/>
      <c r="AX56" s="10" t="n">
        <v>0</v>
      </c>
      <c r="AY56" s="8" t="n">
        <v>101</v>
      </c>
      <c r="AZ56" s="6" t="n">
        <f aca="false">IFERROR(AY56/R56,"")</f>
        <v>12.625</v>
      </c>
      <c r="BA56" s="10" t="n">
        <v>0.4316</v>
      </c>
      <c r="BB56" s="8" t="n">
        <v>410</v>
      </c>
      <c r="BC56" s="7" t="n">
        <f aca="false">IFERROR(BB56/AY56,"")</f>
        <v>4.05940594059406</v>
      </c>
      <c r="BD56" s="7" t="n">
        <v>2.158</v>
      </c>
      <c r="BE56" s="7" t="n">
        <v>1.901</v>
      </c>
      <c r="BF56" s="8" t="n">
        <v>7</v>
      </c>
      <c r="BG56" s="7" t="n">
        <v>0.430127827917362</v>
      </c>
      <c r="BH56" s="6" t="n">
        <v>23.7623762376238</v>
      </c>
      <c r="BI56" s="7" t="n">
        <v>3.73960975609756</v>
      </c>
      <c r="BJ56" s="8" t="n">
        <v>27</v>
      </c>
      <c r="BK56" s="8" t="n">
        <v>13</v>
      </c>
      <c r="BL56" s="8" t="n">
        <v>9</v>
      </c>
      <c r="BM56" s="8" t="n">
        <v>7</v>
      </c>
      <c r="BN56" s="7" t="n">
        <v>6.17</v>
      </c>
      <c r="BO56" s="7" t="n">
        <f aca="false">IFERROR(BM56-BN56,"")</f>
        <v>0.83</v>
      </c>
      <c r="BP56" s="9" t="n">
        <f aca="false">IFERROR(BM56/AH56,"")</f>
        <v>0.0526315789473684</v>
      </c>
      <c r="BQ56" s="6" t="n">
        <v>45.9</v>
      </c>
      <c r="BR56" s="6" t="n">
        <v>56.8</v>
      </c>
      <c r="BS56" s="6" t="n">
        <v>36.8</v>
      </c>
      <c r="BT56" s="7" t="n">
        <v>2.974</v>
      </c>
      <c r="BU56" s="10" t="n">
        <v>0.1475</v>
      </c>
      <c r="BV56" s="10" t="n">
        <v>0.625</v>
      </c>
      <c r="BW56" s="7" t="n">
        <v>2.714</v>
      </c>
      <c r="BX56" s="10" t="n">
        <v>0.2947</v>
      </c>
      <c r="BY56" s="10" t="n">
        <v>0.076</v>
      </c>
      <c r="BZ56" s="7" t="n">
        <v>2.388</v>
      </c>
      <c r="CA56" s="10" t="n">
        <v>0.723</v>
      </c>
      <c r="CB56" s="8" t="n">
        <v>4</v>
      </c>
      <c r="CC56" s="10" t="n">
        <v>-0.0466</v>
      </c>
      <c r="CD56" s="10" t="n">
        <v>0.494</v>
      </c>
      <c r="CE56" s="6" t="n">
        <v>63.47</v>
      </c>
      <c r="CF56" s="6" t="n">
        <v>36</v>
      </c>
      <c r="CG56" s="7" t="n">
        <v>3.59</v>
      </c>
      <c r="CH56" s="6" t="n">
        <v>22.4</v>
      </c>
      <c r="CI56" s="9" t="n">
        <v>0.0356</v>
      </c>
      <c r="CJ56" s="9" t="n">
        <v>-0.008</v>
      </c>
      <c r="CK56" s="8" t="n">
        <v>177</v>
      </c>
      <c r="CL56" s="10" t="n">
        <v>0.352</v>
      </c>
      <c r="CM56" s="8" t="n">
        <v>3</v>
      </c>
      <c r="CN56" s="10" t="n">
        <v>0.006</v>
      </c>
      <c r="CO56" s="8" t="n">
        <v>21</v>
      </c>
      <c r="CP56" s="7" t="n">
        <v>-0.87</v>
      </c>
      <c r="CQ56" s="7" t="n">
        <v>0.313</v>
      </c>
      <c r="CR56" s="4" t="s">
        <v>121</v>
      </c>
      <c r="CS56" s="4"/>
    </row>
    <row r="57" customFormat="false" ht="15" hidden="false" customHeight="false" outlineLevel="0" collapsed="false">
      <c r="A57" s="3" t="n">
        <v>55</v>
      </c>
      <c r="B57" s="4" t="s">
        <v>244</v>
      </c>
      <c r="C57" s="5" t="s">
        <v>99</v>
      </c>
      <c r="D57" s="4" t="s">
        <v>245</v>
      </c>
      <c r="E57" s="4" t="s">
        <v>106</v>
      </c>
      <c r="F57" s="4" t="s">
        <v>99</v>
      </c>
      <c r="G57" s="3" t="n">
        <v>2</v>
      </c>
      <c r="H57" s="6" t="n">
        <v>25.4</v>
      </c>
      <c r="I57" s="3" t="n">
        <v>5</v>
      </c>
      <c r="J57" s="3" t="n">
        <v>6</v>
      </c>
      <c r="K57" s="7" t="n">
        <v>56.01</v>
      </c>
      <c r="L57" s="7" t="n">
        <v>9.85</v>
      </c>
      <c r="M57" s="8" t="n">
        <v>42</v>
      </c>
      <c r="N57" s="8" t="n">
        <v>100</v>
      </c>
      <c r="O57" s="7" t="n">
        <v>56.01</v>
      </c>
      <c r="P57" s="6" t="n">
        <v>93.5</v>
      </c>
      <c r="Q57" s="4" t="s">
        <v>106</v>
      </c>
      <c r="R57" s="8" t="n">
        <v>17</v>
      </c>
      <c r="S57" s="6" t="n">
        <v>219.9</v>
      </c>
      <c r="T57" s="7" t="n">
        <f aca="false">IFERROR(S57/R57,"")</f>
        <v>12.9352941176471</v>
      </c>
      <c r="U57" s="6" t="n">
        <v>187.4</v>
      </c>
      <c r="V57" s="6" t="n">
        <v>154.9</v>
      </c>
      <c r="W57" s="8" t="n">
        <v>12</v>
      </c>
      <c r="X57" s="7" t="n">
        <f aca="false">IFERROR(S57/AH57,"")</f>
        <v>2.03611111111111</v>
      </c>
      <c r="Y57" s="9" t="n">
        <f aca="false">IFERROR(S57/AF57,"")</f>
        <v>0.221673387096774</v>
      </c>
      <c r="Z57" s="6" t="n">
        <v>5.7</v>
      </c>
      <c r="AA57" s="6" t="n">
        <v>13.4</v>
      </c>
      <c r="AB57" s="6" t="n">
        <v>22.22</v>
      </c>
      <c r="AC57" s="10" t="n">
        <v>0.412</v>
      </c>
      <c r="AD57" s="10" t="n">
        <v>0.176</v>
      </c>
      <c r="AE57" s="7" t="n">
        <v>0.669</v>
      </c>
      <c r="AF57" s="8" t="n">
        <v>992</v>
      </c>
      <c r="AG57" s="10" t="n">
        <v>0.902</v>
      </c>
      <c r="AH57" s="8" t="n">
        <v>108</v>
      </c>
      <c r="AI57" s="8" t="n">
        <v>102</v>
      </c>
      <c r="AJ57" s="6" t="n">
        <f aca="false">IFERROR(AI57/R57,"")</f>
        <v>6</v>
      </c>
      <c r="AK57" s="10" t="n">
        <v>0.1855</v>
      </c>
      <c r="AL57" s="10" t="n">
        <v>0.3509</v>
      </c>
      <c r="AM57" s="9" t="n">
        <v>0.5239</v>
      </c>
      <c r="AN57" s="8" t="n">
        <v>65</v>
      </c>
      <c r="AO57" s="10" t="n">
        <f aca="false">IFERROR(AN57/AI57,"")</f>
        <v>0.637254901960784</v>
      </c>
      <c r="AP57" s="8" t="n">
        <v>1117</v>
      </c>
      <c r="AQ57" s="7" t="n">
        <f aca="false">IFERROR(AP57/AI57,"")</f>
        <v>10.9509803921569</v>
      </c>
      <c r="AR57" s="6" t="n">
        <v>12.637</v>
      </c>
      <c r="AS57" s="7" t="n">
        <v>6.785</v>
      </c>
      <c r="AT57" s="7" t="n">
        <v>0.867</v>
      </c>
      <c r="AU57" s="7" t="n">
        <v>3.18467772579633</v>
      </c>
      <c r="AV57" s="7" t="n">
        <v>6.05530612244898</v>
      </c>
      <c r="AW57" s="7" t="n">
        <v>1.8409826626013</v>
      </c>
      <c r="AX57" s="10" t="n">
        <v>0.1176</v>
      </c>
      <c r="AY57" s="8" t="n">
        <v>6</v>
      </c>
      <c r="AZ57" s="6" t="n">
        <f aca="false">IFERROR(AY57/R57,"")</f>
        <v>0.352941176470588</v>
      </c>
      <c r="BA57" s="10" t="n">
        <v>0.0136</v>
      </c>
      <c r="BB57" s="8" t="n">
        <v>12</v>
      </c>
      <c r="BC57" s="7"/>
      <c r="BD57" s="7"/>
      <c r="BE57" s="7"/>
      <c r="BF57" s="8" t="n">
        <v>1</v>
      </c>
      <c r="BG57" s="7"/>
      <c r="BH57" s="6"/>
      <c r="BI57" s="7"/>
      <c r="BJ57" s="8" t="n">
        <v>10</v>
      </c>
      <c r="BK57" s="8" t="n">
        <v>5</v>
      </c>
      <c r="BL57" s="8" t="n">
        <v>1</v>
      </c>
      <c r="BM57" s="8" t="n">
        <v>7</v>
      </c>
      <c r="BN57" s="7" t="n">
        <v>4.16</v>
      </c>
      <c r="BO57" s="7" t="n">
        <f aca="false">IFERROR(BM57-BN57,"")</f>
        <v>2.84</v>
      </c>
      <c r="BP57" s="9" t="n">
        <f aca="false">IFERROR(BM57/AH57,"")</f>
        <v>0.0648148148148148</v>
      </c>
      <c r="BQ57" s="6" t="n">
        <v>46.7</v>
      </c>
      <c r="BR57" s="6" t="n">
        <v>50</v>
      </c>
      <c r="BS57" s="6" t="n">
        <v>44.8</v>
      </c>
      <c r="BT57" s="7" t="n">
        <v>2.796</v>
      </c>
      <c r="BU57" s="10" t="n">
        <v>0.1795</v>
      </c>
      <c r="BV57" s="10" t="n">
        <v>0.645161290322581</v>
      </c>
      <c r="BW57" s="7" t="n">
        <v>2.844</v>
      </c>
      <c r="BX57" s="10" t="n">
        <v>0.2646</v>
      </c>
      <c r="BY57" s="10" t="n">
        <v>0.0608</v>
      </c>
      <c r="BZ57" s="7" t="n">
        <v>2.297</v>
      </c>
      <c r="CA57" s="10" t="n">
        <v>0.521</v>
      </c>
      <c r="CB57" s="8" t="n">
        <v>3</v>
      </c>
      <c r="CC57" s="10" t="n">
        <v>-0.0456</v>
      </c>
      <c r="CD57" s="10" t="n">
        <v>0.5469</v>
      </c>
      <c r="CE57" s="6" t="n">
        <v>61.82</v>
      </c>
      <c r="CF57" s="6" t="n">
        <v>38</v>
      </c>
      <c r="CG57" s="7" t="n">
        <v>3.82</v>
      </c>
      <c r="CH57" s="6" t="n">
        <v>28.3</v>
      </c>
      <c r="CI57" s="9" t="n">
        <v>-0.0408</v>
      </c>
      <c r="CJ57" s="9" t="n">
        <v>0.1681</v>
      </c>
      <c r="CK57" s="8" t="n">
        <v>79</v>
      </c>
      <c r="CL57" s="10" t="n">
        <v>0.144</v>
      </c>
      <c r="CM57" s="8" t="n">
        <v>167</v>
      </c>
      <c r="CN57" s="10" t="n">
        <v>0.378</v>
      </c>
      <c r="CO57" s="8" t="n">
        <v>45</v>
      </c>
      <c r="CP57" s="7" t="n">
        <v>0.466</v>
      </c>
      <c r="CQ57" s="7" t="n">
        <v>0.027</v>
      </c>
      <c r="CR57" s="4" t="s">
        <v>232</v>
      </c>
      <c r="CS57" s="4"/>
    </row>
    <row r="58" customFormat="false" ht="15" hidden="false" customHeight="false" outlineLevel="0" collapsed="false">
      <c r="A58" s="3" t="n">
        <v>56</v>
      </c>
      <c r="B58" s="4" t="s">
        <v>246</v>
      </c>
      <c r="C58" s="5" t="s">
        <v>99</v>
      </c>
      <c r="D58" s="4" t="s">
        <v>247</v>
      </c>
      <c r="E58" s="4" t="s">
        <v>218</v>
      </c>
      <c r="F58" s="4" t="s">
        <v>99</v>
      </c>
      <c r="G58" s="3" t="n">
        <v>1</v>
      </c>
      <c r="H58" s="6" t="n">
        <v>27.3</v>
      </c>
      <c r="I58" s="3" t="n">
        <v>5</v>
      </c>
      <c r="J58" s="3" t="n">
        <v>11</v>
      </c>
      <c r="K58" s="7" t="n">
        <v>56.57</v>
      </c>
      <c r="L58" s="7" t="n">
        <v>12.34</v>
      </c>
      <c r="M58" s="8" t="n">
        <v>40</v>
      </c>
      <c r="N58" s="8" t="n">
        <v>115</v>
      </c>
      <c r="O58" s="7" t="n">
        <v>56.57</v>
      </c>
      <c r="P58" s="6" t="n">
        <v>88.9</v>
      </c>
      <c r="Q58" s="4" t="s">
        <v>218</v>
      </c>
      <c r="R58" s="8" t="n">
        <v>10</v>
      </c>
      <c r="S58" s="6" t="n">
        <v>132.4</v>
      </c>
      <c r="T58" s="7" t="n">
        <f aca="false">IFERROR(S58/R58,"")</f>
        <v>13.24</v>
      </c>
      <c r="U58" s="6" t="n">
        <v>114.9</v>
      </c>
      <c r="V58" s="6" t="n">
        <v>97.4</v>
      </c>
      <c r="W58" s="8" t="n">
        <v>45</v>
      </c>
      <c r="X58" s="7" t="n">
        <f aca="false">IFERROR(S58/AH58,"")</f>
        <v>2.36428571428571</v>
      </c>
      <c r="Y58" s="9" t="n">
        <f aca="false">IFERROR(S58/AF58,"")</f>
        <v>0.316746411483254</v>
      </c>
      <c r="Z58" s="6" t="n">
        <v>6.82</v>
      </c>
      <c r="AA58" s="6" t="n">
        <v>11.2</v>
      </c>
      <c r="AB58" s="6" t="n">
        <v>21.7</v>
      </c>
      <c r="AC58" s="10" t="n">
        <v>0.4</v>
      </c>
      <c r="AD58" s="10" t="n">
        <v>0</v>
      </c>
      <c r="AE58" s="7" t="n">
        <v>0.685</v>
      </c>
      <c r="AF58" s="8" t="n">
        <v>418</v>
      </c>
      <c r="AG58" s="10" t="n">
        <v>0.677</v>
      </c>
      <c r="AH58" s="8" t="n">
        <v>56</v>
      </c>
      <c r="AI58" s="8" t="n">
        <v>55</v>
      </c>
      <c r="AJ58" s="6" t="n">
        <f aca="false">IFERROR(AI58/R58,"")</f>
        <v>5.5</v>
      </c>
      <c r="AK58" s="10" t="n">
        <v>0.1923</v>
      </c>
      <c r="AL58" s="10" t="n">
        <v>0.358</v>
      </c>
      <c r="AM58" s="9" t="n">
        <v>0.539</v>
      </c>
      <c r="AN58" s="8" t="n">
        <v>35</v>
      </c>
      <c r="AO58" s="10" t="n">
        <f aca="false">IFERROR(AN58/AI58,"")</f>
        <v>0.636363636363636</v>
      </c>
      <c r="AP58" s="8" t="n">
        <v>611</v>
      </c>
      <c r="AQ58" s="7" t="n">
        <f aca="false">IFERROR(AP58/AI58,"")</f>
        <v>11.1090909090909</v>
      </c>
      <c r="AR58" s="6" t="n">
        <v>17.764</v>
      </c>
      <c r="AS58" s="7" t="n">
        <v>3.371</v>
      </c>
      <c r="AT58" s="7" t="n">
        <v>0.625</v>
      </c>
      <c r="AU58" s="7" t="n">
        <v>2.00446053806061</v>
      </c>
      <c r="AV58" s="7" t="n">
        <v>6.37927272727273</v>
      </c>
      <c r="AW58" s="7" t="n">
        <v>0.744969567726137</v>
      </c>
      <c r="AX58" s="10" t="n">
        <v>0.0182</v>
      </c>
      <c r="AY58" s="8" t="n">
        <v>1</v>
      </c>
      <c r="AZ58" s="6" t="n">
        <f aca="false">IFERROR(AY58/R58,"")</f>
        <v>0.1</v>
      </c>
      <c r="BA58" s="10" t="n">
        <v>0.0036</v>
      </c>
      <c r="BB58" s="8" t="n">
        <v>3</v>
      </c>
      <c r="BC58" s="7"/>
      <c r="BD58" s="7"/>
      <c r="BE58" s="7"/>
      <c r="BF58" s="8" t="n">
        <v>0</v>
      </c>
      <c r="BG58" s="7"/>
      <c r="BH58" s="6"/>
      <c r="BI58" s="7"/>
      <c r="BJ58" s="8" t="n">
        <v>7</v>
      </c>
      <c r="BK58" s="8" t="n">
        <v>4</v>
      </c>
      <c r="BL58" s="8" t="n">
        <v>2</v>
      </c>
      <c r="BM58" s="8" t="n">
        <v>6</v>
      </c>
      <c r="BN58" s="7" t="n">
        <v>2.54</v>
      </c>
      <c r="BO58" s="7" t="n">
        <f aca="false">IFERROR(BM58-BN58,"")</f>
        <v>3.46</v>
      </c>
      <c r="BP58" s="9" t="n">
        <f aca="false">IFERROR(BM58/AH58,"")</f>
        <v>0.107142857142857</v>
      </c>
      <c r="BQ58" s="6" t="n">
        <v>52.5</v>
      </c>
      <c r="BR58" s="6" t="n">
        <v>45.3</v>
      </c>
      <c r="BS58" s="6" t="n">
        <v>58.7</v>
      </c>
      <c r="BT58" s="7" t="n">
        <v>2.905</v>
      </c>
      <c r="BU58" s="10" t="n">
        <v>0.1629</v>
      </c>
      <c r="BV58" s="10" t="n">
        <v>0.604651162790698</v>
      </c>
      <c r="BW58" s="7" t="n">
        <v>2.199</v>
      </c>
      <c r="BX58" s="10" t="n">
        <v>0.2454</v>
      </c>
      <c r="BY58" s="10" t="n">
        <v>0.0493</v>
      </c>
      <c r="BZ58" s="7" t="n">
        <v>2.41</v>
      </c>
      <c r="CA58" s="10" t="n">
        <v>0.704</v>
      </c>
      <c r="CB58" s="8" t="n">
        <v>4</v>
      </c>
      <c r="CC58" s="10" t="n">
        <v>-0.0441</v>
      </c>
      <c r="CD58" s="10" t="n">
        <v>0.5063</v>
      </c>
      <c r="CE58" s="6" t="n">
        <v>58.41</v>
      </c>
      <c r="CF58" s="6" t="n">
        <v>39</v>
      </c>
      <c r="CG58" s="7" t="n">
        <v>3.47</v>
      </c>
      <c r="CH58" s="6" t="n">
        <v>23</v>
      </c>
      <c r="CI58" s="9" t="n">
        <v>-0.0102</v>
      </c>
      <c r="CJ58" s="9" t="n">
        <v>0.229</v>
      </c>
      <c r="CK58" s="8" t="n">
        <v>155</v>
      </c>
      <c r="CL58" s="10" t="n">
        <v>0.337</v>
      </c>
      <c r="CM58" s="8" t="n">
        <v>148</v>
      </c>
      <c r="CN58" s="10" t="n">
        <v>0.301</v>
      </c>
      <c r="CO58" s="8" t="n">
        <v>52</v>
      </c>
      <c r="CP58" s="7" t="n">
        <v>-0.945</v>
      </c>
      <c r="CQ58" s="7" t="n">
        <v>0.194</v>
      </c>
      <c r="CR58" s="4" t="s">
        <v>121</v>
      </c>
      <c r="CS58" s="4"/>
    </row>
    <row r="59" customFormat="false" ht="15" hidden="false" customHeight="false" outlineLevel="0" collapsed="false">
      <c r="A59" s="3" t="n">
        <v>57</v>
      </c>
      <c r="B59" s="4" t="s">
        <v>248</v>
      </c>
      <c r="C59" s="13" t="s">
        <v>172</v>
      </c>
      <c r="D59" s="4" t="s">
        <v>249</v>
      </c>
      <c r="E59" s="4" t="s">
        <v>136</v>
      </c>
      <c r="F59" s="4" t="s">
        <v>172</v>
      </c>
      <c r="G59" s="3" t="n">
        <v>1</v>
      </c>
      <c r="H59" s="6" t="n">
        <v>28</v>
      </c>
      <c r="I59" s="3" t="n">
        <v>7</v>
      </c>
      <c r="J59" s="3" t="n">
        <v>10</v>
      </c>
      <c r="K59" s="7" t="n">
        <v>56.94</v>
      </c>
      <c r="L59" s="7" t="n">
        <v>11.02</v>
      </c>
      <c r="M59" s="8" t="n">
        <v>27</v>
      </c>
      <c r="N59" s="8" t="n">
        <v>79</v>
      </c>
      <c r="O59" s="7" t="n">
        <v>56.94</v>
      </c>
      <c r="P59" s="6" t="n">
        <v>97.1</v>
      </c>
      <c r="Q59" s="4" t="s">
        <v>136</v>
      </c>
      <c r="R59" s="8" t="n">
        <v>16</v>
      </c>
      <c r="S59" s="6" t="n">
        <v>301.06</v>
      </c>
      <c r="T59" s="7" t="n">
        <f aca="false">IFERROR(S59/R59,"")</f>
        <v>18.81625</v>
      </c>
      <c r="U59" s="6" t="n">
        <v>301.06</v>
      </c>
      <c r="V59" s="6" t="n">
        <v>301.06</v>
      </c>
      <c r="W59" s="8" t="n">
        <v>8</v>
      </c>
      <c r="X59" s="7" t="n">
        <f aca="false">IFERROR(S59/AH59,"")</f>
        <v>2.8672380952381</v>
      </c>
      <c r="Y59" s="9" t="n">
        <f aca="false">IFERROR(S59/AF59,"")</f>
        <v>0.311979274611399</v>
      </c>
      <c r="Z59" s="6" t="n">
        <v>13.88</v>
      </c>
      <c r="AA59" s="6" t="n">
        <v>19.45</v>
      </c>
      <c r="AB59" s="6" t="n">
        <v>25.09</v>
      </c>
      <c r="AC59" s="10" t="n">
        <v>0.625</v>
      </c>
      <c r="AD59" s="10" t="n">
        <v>0.062</v>
      </c>
      <c r="AE59" s="7" t="n">
        <v>0.39</v>
      </c>
      <c r="AF59" s="8" t="n">
        <v>965</v>
      </c>
      <c r="AG59" s="10" t="n">
        <v>0.976</v>
      </c>
      <c r="AH59" s="8" t="n">
        <v>105</v>
      </c>
      <c r="AI59" s="8" t="n">
        <v>0</v>
      </c>
      <c r="AJ59" s="6" t="n">
        <f aca="false">IFERROR(AI59/R59,"")</f>
        <v>0</v>
      </c>
      <c r="AK59" s="10" t="n">
        <v>0</v>
      </c>
      <c r="AL59" s="10" t="n">
        <v>0</v>
      </c>
      <c r="AM59" s="9" t="n">
        <v>0</v>
      </c>
      <c r="AN59" s="8" t="n">
        <v>0</v>
      </c>
      <c r="AO59" s="10"/>
      <c r="AP59" s="8" t="n">
        <v>0</v>
      </c>
      <c r="AQ59" s="7"/>
      <c r="AR59" s="6"/>
      <c r="AS59" s="7"/>
      <c r="AT59" s="7"/>
      <c r="AU59" s="7"/>
      <c r="AV59" s="7"/>
      <c r="AW59" s="7"/>
      <c r="AX59" s="10"/>
      <c r="AY59" s="8" t="n">
        <v>105</v>
      </c>
      <c r="AZ59" s="6" t="n">
        <f aca="false">IFERROR(AY59/R59,"")</f>
        <v>6.5625</v>
      </c>
      <c r="BA59" s="10" t="n">
        <v>0.2288</v>
      </c>
      <c r="BB59" s="8" t="n">
        <v>421</v>
      </c>
      <c r="BC59" s="7" t="n">
        <f aca="false">IFERROR(BB59/AY59,"")</f>
        <v>4.00952380952381</v>
      </c>
      <c r="BD59" s="7" t="n">
        <v>3.305</v>
      </c>
      <c r="BE59" s="7" t="n">
        <v>0.705</v>
      </c>
      <c r="BF59" s="8" t="n">
        <v>3</v>
      </c>
      <c r="BG59" s="7"/>
      <c r="BH59" s="6"/>
      <c r="BI59" s="7"/>
      <c r="BJ59" s="8" t="n">
        <v>27</v>
      </c>
      <c r="BK59" s="8" t="n">
        <v>15</v>
      </c>
      <c r="BL59" s="8" t="n">
        <v>12</v>
      </c>
      <c r="BM59" s="8" t="n">
        <v>8</v>
      </c>
      <c r="BN59" s="7" t="n">
        <v>6.68</v>
      </c>
      <c r="BO59" s="7" t="n">
        <f aca="false">IFERROR(BM59-BN59,"")</f>
        <v>1.32</v>
      </c>
      <c r="BP59" s="9" t="n">
        <f aca="false">IFERROR(BM59/AH59,"")</f>
        <v>0.0761904761904762</v>
      </c>
      <c r="BQ59" s="6" t="n">
        <v>48.2</v>
      </c>
      <c r="BR59" s="6" t="n">
        <v>35.6</v>
      </c>
      <c r="BS59" s="6" t="n">
        <v>61.6</v>
      </c>
      <c r="BT59" s="7" t="n">
        <v>2.749</v>
      </c>
      <c r="BU59" s="10" t="n">
        <v>0.2192</v>
      </c>
      <c r="BV59" s="10" t="n">
        <v>0.466666666666667</v>
      </c>
      <c r="BW59" s="7" t="n">
        <v>2.6</v>
      </c>
      <c r="BX59" s="10" t="n">
        <v>0.2334</v>
      </c>
      <c r="BY59" s="10" t="n">
        <v>0.0577</v>
      </c>
      <c r="BZ59" s="7" t="n">
        <v>2.491</v>
      </c>
      <c r="CA59" s="10" t="n">
        <v>0.909</v>
      </c>
      <c r="CB59" s="8" t="n">
        <v>5</v>
      </c>
      <c r="CC59" s="10" t="n">
        <v>-0.0248</v>
      </c>
      <c r="CD59" s="10" t="n">
        <v>0.5347</v>
      </c>
      <c r="CE59" s="6" t="n">
        <v>58.53</v>
      </c>
      <c r="CF59" s="6" t="n">
        <v>39</v>
      </c>
      <c r="CG59" s="7" t="n">
        <v>2.76</v>
      </c>
      <c r="CH59" s="6" t="n">
        <v>22.3</v>
      </c>
      <c r="CI59" s="9" t="n">
        <v>0.0054</v>
      </c>
      <c r="CJ59" s="9" t="n">
        <v>0.0436</v>
      </c>
      <c r="CK59" s="8" t="n">
        <v>175</v>
      </c>
      <c r="CL59" s="10" t="n">
        <v>0.377</v>
      </c>
      <c r="CM59" s="8" t="n">
        <v>12</v>
      </c>
      <c r="CN59" s="10" t="n">
        <v>0.025</v>
      </c>
      <c r="CO59" s="8" t="n">
        <v>23</v>
      </c>
      <c r="CP59" s="7" t="n">
        <v>-0.103</v>
      </c>
      <c r="CQ59" s="7" t="n">
        <v>-0.059</v>
      </c>
      <c r="CR59" s="4" t="s">
        <v>102</v>
      </c>
      <c r="CS59" s="4"/>
    </row>
    <row r="60" customFormat="false" ht="15" hidden="false" customHeight="false" outlineLevel="0" collapsed="false">
      <c r="A60" s="3" t="n">
        <v>58</v>
      </c>
      <c r="B60" s="4" t="s">
        <v>250</v>
      </c>
      <c r="C60" s="11" t="s">
        <v>104</v>
      </c>
      <c r="D60" s="4" t="s">
        <v>251</v>
      </c>
      <c r="E60" s="4" t="s">
        <v>198</v>
      </c>
      <c r="F60" s="4" t="s">
        <v>104</v>
      </c>
      <c r="G60" s="3" t="n">
        <v>1</v>
      </c>
      <c r="H60" s="6" t="n">
        <v>24</v>
      </c>
      <c r="I60" s="3" t="n">
        <v>3</v>
      </c>
      <c r="J60" s="3" t="n">
        <v>10</v>
      </c>
      <c r="K60" s="7" t="n">
        <v>57.86</v>
      </c>
      <c r="L60" s="7" t="n">
        <v>8.33</v>
      </c>
      <c r="M60" s="8" t="n">
        <v>33</v>
      </c>
      <c r="N60" s="8" t="n">
        <v>77</v>
      </c>
      <c r="O60" s="7" t="n">
        <v>57.86</v>
      </c>
      <c r="P60" s="6" t="n">
        <v>95.1</v>
      </c>
      <c r="Q60" s="4" t="s">
        <v>198</v>
      </c>
      <c r="R60" s="8" t="n">
        <v>10</v>
      </c>
      <c r="S60" s="6" t="n">
        <v>138.5</v>
      </c>
      <c r="T60" s="7" t="n">
        <f aca="false">IFERROR(S60/R60,"")</f>
        <v>13.85</v>
      </c>
      <c r="U60" s="6" t="n">
        <v>123.5</v>
      </c>
      <c r="V60" s="6" t="n">
        <v>108.5</v>
      </c>
      <c r="W60" s="8" t="n">
        <v>33</v>
      </c>
      <c r="X60" s="7" t="n">
        <f aca="false">IFERROR(S60/AH60,"")</f>
        <v>0.665865384615385</v>
      </c>
      <c r="Y60" s="9" t="n">
        <f aca="false">IFERROR(S60/AF60,"")</f>
        <v>0.328978622327791</v>
      </c>
      <c r="Z60" s="6" t="n">
        <v>8.93</v>
      </c>
      <c r="AA60" s="6" t="n">
        <v>14.2</v>
      </c>
      <c r="AB60" s="6" t="n">
        <v>17.4</v>
      </c>
      <c r="AC60" s="10" t="n">
        <v>0.2</v>
      </c>
      <c r="AD60" s="10" t="n">
        <v>0</v>
      </c>
      <c r="AE60" s="7" t="n">
        <v>0.395</v>
      </c>
      <c r="AF60" s="8" t="n">
        <v>421</v>
      </c>
      <c r="AG60" s="10" t="n">
        <v>0.616</v>
      </c>
      <c r="AH60" s="8" t="n">
        <v>208</v>
      </c>
      <c r="AI60" s="8" t="n">
        <v>35</v>
      </c>
      <c r="AJ60" s="6" t="n">
        <f aca="false">IFERROR(AI60/R60,"")</f>
        <v>3.5</v>
      </c>
      <c r="AK60" s="10" t="n">
        <v>0.1125</v>
      </c>
      <c r="AL60" s="10" t="n">
        <v>-0.0219</v>
      </c>
      <c r="AM60" s="9" t="n">
        <v>0.1534</v>
      </c>
      <c r="AN60" s="8" t="n">
        <v>30</v>
      </c>
      <c r="AO60" s="10" t="n">
        <f aca="false">IFERROR(AN60/AI60,"")</f>
        <v>0.857142857142857</v>
      </c>
      <c r="AP60" s="8" t="n">
        <v>277</v>
      </c>
      <c r="AQ60" s="7" t="n">
        <f aca="false">IFERROR(AP60/AI60,"")</f>
        <v>7.91428571428572</v>
      </c>
      <c r="AR60" s="6" t="n">
        <v>-1.6</v>
      </c>
      <c r="AS60" s="7" t="n">
        <v>12</v>
      </c>
      <c r="AT60" s="7" t="n">
        <v>-4.946</v>
      </c>
      <c r="AU60" s="7"/>
      <c r="AV60" s="7"/>
      <c r="AW60" s="7"/>
      <c r="AX60" s="10" t="n">
        <v>0</v>
      </c>
      <c r="AY60" s="8" t="n">
        <v>173</v>
      </c>
      <c r="AZ60" s="6" t="n">
        <f aca="false">IFERROR(AY60/R60,"")</f>
        <v>17.3</v>
      </c>
      <c r="BA60" s="10" t="n">
        <v>0.5925</v>
      </c>
      <c r="BB60" s="8" t="n">
        <v>588</v>
      </c>
      <c r="BC60" s="7" t="n">
        <f aca="false">IFERROR(BB60/AY60,"")</f>
        <v>3.39884393063584</v>
      </c>
      <c r="BD60" s="7" t="n">
        <v>1.763</v>
      </c>
      <c r="BE60" s="7" t="n">
        <v>1.636</v>
      </c>
      <c r="BF60" s="8" t="n">
        <v>10</v>
      </c>
      <c r="BG60" s="7" t="n">
        <v>-0.741448580010564</v>
      </c>
      <c r="BH60" s="6" t="n">
        <v>17.3410404624278</v>
      </c>
      <c r="BI60" s="7" t="n">
        <v>4.43295918367347</v>
      </c>
      <c r="BJ60" s="8" t="n">
        <v>22</v>
      </c>
      <c r="BK60" s="8" t="n">
        <v>7</v>
      </c>
      <c r="BL60" s="8" t="n">
        <v>0</v>
      </c>
      <c r="BM60" s="8" t="n">
        <v>4</v>
      </c>
      <c r="BN60" s="7" t="n">
        <v>3.51</v>
      </c>
      <c r="BO60" s="7" t="n">
        <f aca="false">IFERROR(BM60-BN60,"")</f>
        <v>0.49</v>
      </c>
      <c r="BP60" s="9" t="n">
        <f aca="false">IFERROR(BM60/AH60,"")</f>
        <v>0.0192307692307692</v>
      </c>
      <c r="BQ60" s="6" t="n">
        <v>57.4</v>
      </c>
      <c r="BR60" s="6" t="n">
        <v>46.3</v>
      </c>
      <c r="BS60" s="6" t="n">
        <v>65.4</v>
      </c>
      <c r="BT60" s="7" t="n">
        <v>2.736</v>
      </c>
      <c r="BU60" s="10" t="n">
        <v>0.1938</v>
      </c>
      <c r="BV60" s="10" t="n">
        <v>0.708333333333333</v>
      </c>
      <c r="BW60" s="7" t="n">
        <v>2.699</v>
      </c>
      <c r="BX60" s="10" t="n">
        <v>0.172</v>
      </c>
      <c r="BY60" s="10" t="n">
        <v>0.0571</v>
      </c>
      <c r="BZ60" s="7" t="n">
        <v>2.292</v>
      </c>
      <c r="CA60" s="10" t="n">
        <v>0.791</v>
      </c>
      <c r="CB60" s="8" t="n">
        <v>4</v>
      </c>
      <c r="CC60" s="10" t="n">
        <v>-0.0347</v>
      </c>
      <c r="CD60" s="10" t="n">
        <v>0.5148</v>
      </c>
      <c r="CE60" s="6" t="n">
        <v>62.65</v>
      </c>
      <c r="CF60" s="6" t="n">
        <v>41</v>
      </c>
      <c r="CG60" s="7" t="n">
        <v>3.12</v>
      </c>
      <c r="CH60" s="6" t="n">
        <v>22.4</v>
      </c>
      <c r="CI60" s="9" t="n">
        <v>0.0138</v>
      </c>
      <c r="CJ60" s="9" t="n">
        <v>-0.0264</v>
      </c>
      <c r="CK60" s="8" t="n">
        <v>111</v>
      </c>
      <c r="CL60" s="10" t="n">
        <v>0.205</v>
      </c>
      <c r="CM60" s="8" t="n">
        <v>138</v>
      </c>
      <c r="CN60" s="10" t="n">
        <v>0.292</v>
      </c>
      <c r="CO60" s="8" t="n">
        <v>38</v>
      </c>
      <c r="CP60" s="7" t="n">
        <v>-0.703</v>
      </c>
      <c r="CQ60" s="7" t="n">
        <v>-0.046</v>
      </c>
      <c r="CR60" s="4" t="s">
        <v>121</v>
      </c>
      <c r="CS60" s="4"/>
    </row>
    <row r="61" customFormat="false" ht="15" hidden="false" customHeight="false" outlineLevel="0" collapsed="false">
      <c r="A61" s="3" t="n">
        <v>59</v>
      </c>
      <c r="B61" s="4" t="s">
        <v>252</v>
      </c>
      <c r="C61" s="5" t="s">
        <v>99</v>
      </c>
      <c r="D61" s="4" t="s">
        <v>253</v>
      </c>
      <c r="E61" s="4" t="s">
        <v>203</v>
      </c>
      <c r="F61" s="4" t="s">
        <v>99</v>
      </c>
      <c r="G61" s="3" t="n">
        <v>1</v>
      </c>
      <c r="H61" s="6" t="n">
        <v>24.2</v>
      </c>
      <c r="I61" s="3" t="n">
        <v>3</v>
      </c>
      <c r="J61" s="3" t="n">
        <v>10</v>
      </c>
      <c r="K61" s="7" t="n">
        <v>59.12</v>
      </c>
      <c r="L61" s="7" t="n">
        <v>8.06</v>
      </c>
      <c r="M61" s="8" t="n">
        <v>42</v>
      </c>
      <c r="N61" s="8" t="n">
        <v>82</v>
      </c>
      <c r="O61" s="7" t="n">
        <v>59.12</v>
      </c>
      <c r="P61" s="6" t="n">
        <v>91.9</v>
      </c>
      <c r="Q61" s="4" t="s">
        <v>203</v>
      </c>
      <c r="R61" s="8" t="n">
        <v>12</v>
      </c>
      <c r="S61" s="6" t="n">
        <v>146.1</v>
      </c>
      <c r="T61" s="7" t="n">
        <f aca="false">IFERROR(S61/R61,"")</f>
        <v>12.175</v>
      </c>
      <c r="U61" s="6" t="n">
        <v>124.1</v>
      </c>
      <c r="V61" s="6" t="n">
        <v>102.1</v>
      </c>
      <c r="W61" s="8" t="n">
        <v>41</v>
      </c>
      <c r="X61" s="7" t="n">
        <f aca="false">IFERROR(S61/AH61,"")</f>
        <v>1.62333333333333</v>
      </c>
      <c r="Y61" s="9" t="n">
        <f aca="false">IFERROR(S61/AF61,"")</f>
        <v>0.199317871759891</v>
      </c>
      <c r="Z61" s="6" t="n">
        <v>5.18</v>
      </c>
      <c r="AA61" s="6" t="n">
        <v>11.75</v>
      </c>
      <c r="AB61" s="6" t="n">
        <v>19.17</v>
      </c>
      <c r="AC61" s="10" t="n">
        <v>0.25</v>
      </c>
      <c r="AD61" s="10" t="n">
        <v>0.083</v>
      </c>
      <c r="AE61" s="7" t="n">
        <v>0.781</v>
      </c>
      <c r="AF61" s="8" t="n">
        <v>733</v>
      </c>
      <c r="AG61" s="10" t="n">
        <v>0.881</v>
      </c>
      <c r="AH61" s="8" t="n">
        <v>90</v>
      </c>
      <c r="AI61" s="8" t="n">
        <v>90</v>
      </c>
      <c r="AJ61" s="6" t="n">
        <f aca="false">IFERROR(AI61/R61,"")</f>
        <v>7.5</v>
      </c>
      <c r="AK61" s="10" t="n">
        <v>0.2368</v>
      </c>
      <c r="AL61" s="10" t="n">
        <v>0.3818</v>
      </c>
      <c r="AM61" s="9" t="n">
        <v>0.6225</v>
      </c>
      <c r="AN61" s="8" t="n">
        <v>44</v>
      </c>
      <c r="AO61" s="10" t="n">
        <f aca="false">IFERROR(AN61/AI61,"")</f>
        <v>0.488888888888889</v>
      </c>
      <c r="AP61" s="8" t="n">
        <v>661</v>
      </c>
      <c r="AQ61" s="7" t="n">
        <f aca="false">IFERROR(AP61/AI61,"")</f>
        <v>7.34444444444444</v>
      </c>
      <c r="AR61" s="6" t="n">
        <v>13.911</v>
      </c>
      <c r="AS61" s="7" t="n">
        <v>4.864</v>
      </c>
      <c r="AT61" s="7" t="n">
        <v>0.528</v>
      </c>
      <c r="AU61" s="7" t="n">
        <v>2.98158031007651</v>
      </c>
      <c r="AV61" s="7" t="n">
        <v>6.43952941176471</v>
      </c>
      <c r="AW61" s="7" t="n">
        <v>0.974928948980017</v>
      </c>
      <c r="AX61" s="10" t="n">
        <v>0.0222</v>
      </c>
      <c r="AY61" s="8" t="n">
        <v>0</v>
      </c>
      <c r="AZ61" s="6" t="n">
        <f aca="false">IFERROR(AY61/R61,"")</f>
        <v>0</v>
      </c>
      <c r="BA61" s="10" t="n">
        <v>0</v>
      </c>
      <c r="BB61" s="8" t="n">
        <v>0</v>
      </c>
      <c r="BC61" s="7"/>
      <c r="BD61" s="7"/>
      <c r="BE61" s="7"/>
      <c r="BF61" s="8"/>
      <c r="BG61" s="7"/>
      <c r="BH61" s="6"/>
      <c r="BI61" s="7"/>
      <c r="BJ61" s="8" t="n">
        <v>12</v>
      </c>
      <c r="BK61" s="8" t="n">
        <v>5</v>
      </c>
      <c r="BL61" s="8" t="n">
        <v>4</v>
      </c>
      <c r="BM61" s="8" t="n">
        <v>6</v>
      </c>
      <c r="BN61" s="7" t="n">
        <v>4.78</v>
      </c>
      <c r="BO61" s="7" t="n">
        <f aca="false">IFERROR(BM61-BN61,"")</f>
        <v>1.22</v>
      </c>
      <c r="BP61" s="9" t="n">
        <f aca="false">IFERROR(BM61/AH61,"")</f>
        <v>0.0666666666666667</v>
      </c>
      <c r="BQ61" s="6" t="n">
        <v>76.3</v>
      </c>
      <c r="BR61" s="6" t="n">
        <v>80.3</v>
      </c>
      <c r="BS61" s="6" t="n">
        <v>61.1</v>
      </c>
      <c r="BT61" s="7" t="n">
        <v>3.337</v>
      </c>
      <c r="BU61" s="10" t="n">
        <v>0.1354</v>
      </c>
      <c r="BV61" s="10" t="n">
        <v>0.794117647058824</v>
      </c>
      <c r="BW61" s="7" t="n">
        <v>3.125</v>
      </c>
      <c r="BX61" s="10" t="n">
        <v>0.2787</v>
      </c>
      <c r="BY61" s="10" t="n">
        <v>0.0358</v>
      </c>
      <c r="BZ61" s="7" t="n">
        <v>2.496</v>
      </c>
      <c r="CA61" s="10" t="n">
        <v>0.802</v>
      </c>
      <c r="CB61" s="8" t="n">
        <v>4</v>
      </c>
      <c r="CC61" s="10" t="n">
        <v>-0.039</v>
      </c>
      <c r="CD61" s="10" t="n">
        <v>0.5233</v>
      </c>
      <c r="CE61" s="6" t="n">
        <v>64.47</v>
      </c>
      <c r="CF61" s="6" t="n">
        <v>37</v>
      </c>
      <c r="CG61" s="7" t="n">
        <v>3.41</v>
      </c>
      <c r="CH61" s="6" t="n">
        <v>25.9</v>
      </c>
      <c r="CI61" s="9" t="n">
        <v>0.0786</v>
      </c>
      <c r="CJ61" s="9" t="n">
        <v>0.0802</v>
      </c>
      <c r="CK61" s="8" t="n">
        <v>161</v>
      </c>
      <c r="CL61" s="10" t="n">
        <v>0.303</v>
      </c>
      <c r="CM61" s="8" t="n">
        <v>20</v>
      </c>
      <c r="CN61" s="10" t="n">
        <v>0.04</v>
      </c>
      <c r="CO61" s="8" t="n">
        <v>26</v>
      </c>
      <c r="CP61" s="7" t="n">
        <v>-0.734</v>
      </c>
      <c r="CQ61" s="7" t="n">
        <v>-0.165</v>
      </c>
      <c r="CR61" s="4" t="s">
        <v>121</v>
      </c>
      <c r="CS61" s="4"/>
    </row>
    <row r="62" customFormat="false" ht="15" hidden="false" customHeight="false" outlineLevel="0" collapsed="false">
      <c r="A62" s="3" t="n">
        <v>60</v>
      </c>
      <c r="B62" s="4" t="s">
        <v>254</v>
      </c>
      <c r="C62" s="11" t="s">
        <v>104</v>
      </c>
      <c r="D62" s="4" t="s">
        <v>255</v>
      </c>
      <c r="E62" s="4" t="s">
        <v>203</v>
      </c>
      <c r="F62" s="4" t="s">
        <v>104</v>
      </c>
      <c r="G62" s="3" t="n">
        <v>1</v>
      </c>
      <c r="H62" s="6" t="n">
        <v>27.6</v>
      </c>
      <c r="I62" s="3" t="n">
        <v>7</v>
      </c>
      <c r="J62" s="3" t="n">
        <v>10</v>
      </c>
      <c r="K62" s="7" t="n">
        <v>59.55</v>
      </c>
      <c r="L62" s="7" t="n">
        <v>7.42</v>
      </c>
      <c r="M62" s="8" t="n">
        <v>43</v>
      </c>
      <c r="N62" s="8" t="n">
        <v>80</v>
      </c>
      <c r="O62" s="7" t="n">
        <v>59.55</v>
      </c>
      <c r="P62" s="6" t="n">
        <v>92.3</v>
      </c>
      <c r="Q62" s="4" t="s">
        <v>203</v>
      </c>
      <c r="R62" s="8" t="n">
        <v>16</v>
      </c>
      <c r="S62" s="6" t="n">
        <v>228.6</v>
      </c>
      <c r="T62" s="7" t="n">
        <f aca="false">IFERROR(S62/R62,"")</f>
        <v>14.2875</v>
      </c>
      <c r="U62" s="6" t="n">
        <v>211.6</v>
      </c>
      <c r="V62" s="6" t="n">
        <v>194.6</v>
      </c>
      <c r="W62" s="8" t="n">
        <v>15</v>
      </c>
      <c r="X62" s="7" t="n">
        <f aca="false">IFERROR(S62/AH62,"")</f>
        <v>0.843542435424354</v>
      </c>
      <c r="Y62" s="9" t="n">
        <f aca="false">IFERROR(S62/AF62,"")</f>
        <v>0.368115942028986</v>
      </c>
      <c r="Z62" s="6" t="n">
        <v>9.38</v>
      </c>
      <c r="AA62" s="6" t="n">
        <v>14.35</v>
      </c>
      <c r="AB62" s="6" t="n">
        <v>21.62</v>
      </c>
      <c r="AC62" s="10" t="n">
        <v>0.312</v>
      </c>
      <c r="AD62" s="10" t="n">
        <v>0.062</v>
      </c>
      <c r="AE62" s="7" t="n">
        <v>0.465</v>
      </c>
      <c r="AF62" s="8" t="n">
        <v>621</v>
      </c>
      <c r="AG62" s="10" t="n">
        <v>0.579</v>
      </c>
      <c r="AH62" s="8" t="n">
        <v>271</v>
      </c>
      <c r="AI62" s="8" t="n">
        <v>48</v>
      </c>
      <c r="AJ62" s="6" t="n">
        <f aca="false">IFERROR(AI62/R62,"")</f>
        <v>3</v>
      </c>
      <c r="AK62" s="10" t="n">
        <v>0.0964</v>
      </c>
      <c r="AL62" s="10" t="n">
        <v>-0.0058</v>
      </c>
      <c r="AM62" s="9" t="n">
        <v>0.1405</v>
      </c>
      <c r="AN62" s="8" t="n">
        <v>34</v>
      </c>
      <c r="AO62" s="10" t="n">
        <f aca="false">IFERROR(AN62/AI62,"")</f>
        <v>0.708333333333333</v>
      </c>
      <c r="AP62" s="8" t="n">
        <v>299</v>
      </c>
      <c r="AQ62" s="7" t="n">
        <f aca="false">IFERROR(AP62/AI62,"")</f>
        <v>6.22916666666667</v>
      </c>
      <c r="AR62" s="6" t="n">
        <v>-0.521</v>
      </c>
      <c r="AS62" s="7" t="n">
        <v>10.5</v>
      </c>
      <c r="AT62" s="7" t="n">
        <v>-11.96</v>
      </c>
      <c r="AU62" s="7"/>
      <c r="AV62" s="7"/>
      <c r="AW62" s="7"/>
      <c r="AX62" s="10" t="n">
        <v>0.0833</v>
      </c>
      <c r="AY62" s="8" t="n">
        <v>223</v>
      </c>
      <c r="AZ62" s="6" t="n">
        <f aca="false">IFERROR(AY62/R62,"")</f>
        <v>13.9375</v>
      </c>
      <c r="BA62" s="10" t="n">
        <v>0.4765</v>
      </c>
      <c r="BB62" s="8" t="n">
        <v>1087</v>
      </c>
      <c r="BC62" s="7" t="n">
        <f aca="false">IFERROR(BB62/AY62,"")</f>
        <v>4.87443946188341</v>
      </c>
      <c r="BD62" s="7" t="n">
        <v>2.987</v>
      </c>
      <c r="BE62" s="7" t="n">
        <v>1.888</v>
      </c>
      <c r="BF62" s="8" t="n">
        <v>11</v>
      </c>
      <c r="BG62" s="7" t="n">
        <v>0.582798917816368</v>
      </c>
      <c r="BH62" s="6" t="n">
        <v>20.627802690583</v>
      </c>
      <c r="BI62" s="7" t="n">
        <v>3.64673413063478</v>
      </c>
      <c r="BJ62" s="8" t="n">
        <v>41</v>
      </c>
      <c r="BK62" s="8" t="n">
        <v>24</v>
      </c>
      <c r="BL62" s="8" t="n">
        <v>14</v>
      </c>
      <c r="BM62" s="8" t="n">
        <v>10</v>
      </c>
      <c r="BN62" s="7" t="n">
        <v>9.14</v>
      </c>
      <c r="BO62" s="7" t="n">
        <f aca="false">IFERROR(BM62-BN62,"")</f>
        <v>0.859999999999999</v>
      </c>
      <c r="BP62" s="9" t="n">
        <f aca="false">IFERROR(BM62/AH62,"")</f>
        <v>0.03690036900369</v>
      </c>
      <c r="BQ62" s="6" t="n">
        <v>76.3</v>
      </c>
      <c r="BR62" s="6" t="n">
        <v>80.3</v>
      </c>
      <c r="BS62" s="6" t="n">
        <v>61.1</v>
      </c>
      <c r="BT62" s="7" t="n">
        <v>3.337</v>
      </c>
      <c r="BU62" s="10" t="n">
        <v>0.1354</v>
      </c>
      <c r="BV62" s="10" t="n">
        <v>0.794117647058824</v>
      </c>
      <c r="BW62" s="7" t="n">
        <v>3.125</v>
      </c>
      <c r="BX62" s="10" t="n">
        <v>0.2787</v>
      </c>
      <c r="BY62" s="10" t="n">
        <v>0.0358</v>
      </c>
      <c r="BZ62" s="7" t="n">
        <v>2.496</v>
      </c>
      <c r="CA62" s="10" t="n">
        <v>0.802</v>
      </c>
      <c r="CB62" s="8" t="n">
        <v>4</v>
      </c>
      <c r="CC62" s="10" t="n">
        <v>-0.039</v>
      </c>
      <c r="CD62" s="10" t="n">
        <v>0.5233</v>
      </c>
      <c r="CE62" s="6" t="n">
        <v>64.47</v>
      </c>
      <c r="CF62" s="6" t="n">
        <v>37</v>
      </c>
      <c r="CG62" s="7" t="n">
        <v>3.41</v>
      </c>
      <c r="CH62" s="6" t="n">
        <v>25.9</v>
      </c>
      <c r="CI62" s="9" t="n">
        <v>0.0786</v>
      </c>
      <c r="CJ62" s="9" t="n">
        <v>0.0802</v>
      </c>
      <c r="CK62" s="8" t="n">
        <v>161</v>
      </c>
      <c r="CL62" s="10" t="n">
        <v>0.303</v>
      </c>
      <c r="CM62" s="8" t="n">
        <v>20</v>
      </c>
      <c r="CN62" s="10" t="n">
        <v>0.04</v>
      </c>
      <c r="CO62" s="8" t="n">
        <v>26</v>
      </c>
      <c r="CP62" s="7" t="n">
        <v>0.122</v>
      </c>
      <c r="CQ62" s="7" t="n">
        <v>0.034</v>
      </c>
      <c r="CR62" s="4" t="s">
        <v>102</v>
      </c>
      <c r="CS62" s="4"/>
    </row>
    <row r="63" customFormat="false" ht="15" hidden="false" customHeight="false" outlineLevel="0" collapsed="false">
      <c r="A63" s="3" t="n">
        <v>61</v>
      </c>
      <c r="B63" s="4" t="s">
        <v>256</v>
      </c>
      <c r="C63" s="11" t="s">
        <v>104</v>
      </c>
      <c r="D63" s="4" t="s">
        <v>257</v>
      </c>
      <c r="E63" s="4" t="s">
        <v>258</v>
      </c>
      <c r="F63" s="4" t="s">
        <v>104</v>
      </c>
      <c r="G63" s="3" t="n">
        <v>1</v>
      </c>
      <c r="H63" s="6" t="n">
        <v>22.8</v>
      </c>
      <c r="I63" s="3" t="n">
        <v>2</v>
      </c>
      <c r="J63" s="3" t="n">
        <v>11</v>
      </c>
      <c r="K63" s="7" t="n">
        <v>60.99</v>
      </c>
      <c r="L63" s="7" t="n">
        <v>8.96</v>
      </c>
      <c r="M63" s="8" t="n">
        <v>41</v>
      </c>
      <c r="N63" s="8" t="n">
        <v>78</v>
      </c>
      <c r="O63" s="7" t="n">
        <v>60.99</v>
      </c>
      <c r="P63" s="6" t="n">
        <v>93.8</v>
      </c>
      <c r="Q63" s="4" t="s">
        <v>258</v>
      </c>
      <c r="R63" s="8" t="n">
        <v>14</v>
      </c>
      <c r="S63" s="6" t="n">
        <v>169.8</v>
      </c>
      <c r="T63" s="7" t="n">
        <f aca="false">IFERROR(S63/R63,"")</f>
        <v>12.1285714285714</v>
      </c>
      <c r="U63" s="6" t="n">
        <v>156.8</v>
      </c>
      <c r="V63" s="6" t="n">
        <v>143.8</v>
      </c>
      <c r="W63" s="8" t="n">
        <v>26</v>
      </c>
      <c r="X63" s="7" t="n">
        <f aca="false">IFERROR(S63/AH63,"")</f>
        <v>0.638345864661654</v>
      </c>
      <c r="Y63" s="9" t="n">
        <f aca="false">IFERROR(S63/AF63,"")</f>
        <v>0.375663716814159</v>
      </c>
      <c r="Z63" s="6" t="n">
        <v>6.78</v>
      </c>
      <c r="AA63" s="6" t="n">
        <v>10.3</v>
      </c>
      <c r="AB63" s="6" t="n">
        <v>16.94</v>
      </c>
      <c r="AC63" s="10" t="n">
        <v>0.286</v>
      </c>
      <c r="AD63" s="10" t="n">
        <v>0</v>
      </c>
      <c r="AE63" s="7" t="n">
        <v>0.653</v>
      </c>
      <c r="AF63" s="8" t="n">
        <v>452</v>
      </c>
      <c r="AG63" s="10" t="n">
        <v>0.505</v>
      </c>
      <c r="AH63" s="8" t="n">
        <v>266</v>
      </c>
      <c r="AI63" s="8" t="n">
        <v>36</v>
      </c>
      <c r="AJ63" s="6" t="n">
        <f aca="false">IFERROR(AI63/R63,"")</f>
        <v>2.57142857142857</v>
      </c>
      <c r="AK63" s="10" t="n">
        <v>0.0826</v>
      </c>
      <c r="AL63" s="10" t="n">
        <v>-0.0051</v>
      </c>
      <c r="AM63" s="9" t="n">
        <v>0.1203</v>
      </c>
      <c r="AN63" s="8" t="n">
        <v>26</v>
      </c>
      <c r="AO63" s="10" t="n">
        <f aca="false">IFERROR(AN63/AI63,"")</f>
        <v>0.722222222222222</v>
      </c>
      <c r="AP63" s="8" t="n">
        <v>171</v>
      </c>
      <c r="AQ63" s="7" t="n">
        <f aca="false">IFERROR(AP63/AI63,"")</f>
        <v>4.75</v>
      </c>
      <c r="AR63" s="6" t="n">
        <v>-0.417</v>
      </c>
      <c r="AS63" s="7" t="n">
        <v>7.462</v>
      </c>
      <c r="AT63" s="7" t="n">
        <v>-11.4</v>
      </c>
      <c r="AU63" s="7"/>
      <c r="AV63" s="7"/>
      <c r="AW63" s="7"/>
      <c r="AX63" s="10" t="n">
        <v>0.0278</v>
      </c>
      <c r="AY63" s="8" t="n">
        <v>230</v>
      </c>
      <c r="AZ63" s="6" t="n">
        <f aca="false">IFERROR(AY63/R63,"")</f>
        <v>16.4285714285714</v>
      </c>
      <c r="BA63" s="10" t="n">
        <v>0.6609</v>
      </c>
      <c r="BB63" s="8" t="n">
        <v>827</v>
      </c>
      <c r="BC63" s="7" t="n">
        <f aca="false">IFERROR(BB63/AY63,"")</f>
        <v>3.59565217391304</v>
      </c>
      <c r="BD63" s="7" t="n">
        <v>1.4</v>
      </c>
      <c r="BE63" s="7" t="n">
        <v>2.196</v>
      </c>
      <c r="BF63" s="8" t="n">
        <v>11</v>
      </c>
      <c r="BG63" s="7" t="n">
        <v>0.303903490965227</v>
      </c>
      <c r="BH63" s="6" t="n">
        <v>45.2173913043478</v>
      </c>
      <c r="BI63" s="7" t="n">
        <v>4.18108827085852</v>
      </c>
      <c r="BJ63" s="8" t="n">
        <v>33</v>
      </c>
      <c r="BK63" s="8" t="n">
        <v>18</v>
      </c>
      <c r="BL63" s="8" t="n">
        <v>11</v>
      </c>
      <c r="BM63" s="8" t="n">
        <v>7</v>
      </c>
      <c r="BN63" s="7" t="n">
        <v>7.47</v>
      </c>
      <c r="BO63" s="7" t="n">
        <f aca="false">IFERROR(BM63-BN63,"")</f>
        <v>-0.47</v>
      </c>
      <c r="BP63" s="9" t="n">
        <f aca="false">IFERROR(BM63/AH63,"")</f>
        <v>0.0263157894736842</v>
      </c>
      <c r="BQ63" s="6" t="n">
        <v>15.1</v>
      </c>
      <c r="BR63" s="6" t="n">
        <v>18.5</v>
      </c>
      <c r="BS63" s="6" t="n">
        <v>26.5</v>
      </c>
      <c r="BT63" s="7" t="n">
        <v>2.392</v>
      </c>
      <c r="BU63" s="10" t="n">
        <v>0.225</v>
      </c>
      <c r="BV63" s="10" t="n">
        <v>0.666666666666667</v>
      </c>
      <c r="BW63" s="7" t="n">
        <v>1.808</v>
      </c>
      <c r="BX63" s="10" t="n">
        <v>0.3405</v>
      </c>
      <c r="BY63" s="10" t="n">
        <v>0.0842</v>
      </c>
      <c r="BZ63" s="7" t="n">
        <v>2.444</v>
      </c>
      <c r="CA63" s="10" t="n">
        <v>0.261</v>
      </c>
      <c r="CB63" s="8" t="n">
        <v>1</v>
      </c>
      <c r="CC63" s="10" t="n">
        <v>-0.0372</v>
      </c>
      <c r="CD63" s="10" t="n">
        <v>0.5161</v>
      </c>
      <c r="CE63" s="6" t="n">
        <v>60.47</v>
      </c>
      <c r="CF63" s="6" t="n">
        <v>39</v>
      </c>
      <c r="CG63" s="7" t="n">
        <v>2.47</v>
      </c>
      <c r="CH63" s="6" t="n">
        <v>16.4</v>
      </c>
      <c r="CI63" s="9" t="n">
        <v>-0.0478</v>
      </c>
      <c r="CJ63" s="9" t="n">
        <v>-0.2882</v>
      </c>
      <c r="CK63" s="8" t="n">
        <v>88</v>
      </c>
      <c r="CL63" s="10" t="n">
        <v>0.169</v>
      </c>
      <c r="CM63" s="8" t="n">
        <v>37</v>
      </c>
      <c r="CN63" s="10" t="n">
        <v>0.088</v>
      </c>
      <c r="CO63" s="8" t="n">
        <v>23</v>
      </c>
      <c r="CP63" s="7" t="n">
        <v>-0.325</v>
      </c>
      <c r="CQ63" s="7" t="n">
        <v>-0.282</v>
      </c>
      <c r="CR63" s="4" t="s">
        <v>102</v>
      </c>
      <c r="CS63" s="4"/>
    </row>
    <row r="64" customFormat="false" ht="15" hidden="false" customHeight="false" outlineLevel="0" collapsed="false">
      <c r="A64" s="3" t="n">
        <v>62</v>
      </c>
      <c r="B64" s="4" t="s">
        <v>259</v>
      </c>
      <c r="C64" s="11" t="s">
        <v>104</v>
      </c>
      <c r="D64" s="4" t="s">
        <v>260</v>
      </c>
      <c r="E64" s="4" t="s">
        <v>139</v>
      </c>
      <c r="F64" s="4" t="s">
        <v>104</v>
      </c>
      <c r="G64" s="3" t="n">
        <v>1</v>
      </c>
      <c r="H64" s="6" t="n">
        <v>29.2</v>
      </c>
      <c r="I64" s="3" t="n">
        <v>8</v>
      </c>
      <c r="J64" s="3" t="n">
        <v>8</v>
      </c>
      <c r="K64" s="7" t="n">
        <v>61.73</v>
      </c>
      <c r="L64" s="7" t="n">
        <v>9.12</v>
      </c>
      <c r="M64" s="8" t="n">
        <v>42</v>
      </c>
      <c r="N64" s="8" t="n">
        <v>84</v>
      </c>
      <c r="O64" s="7" t="n">
        <v>61.73</v>
      </c>
      <c r="P64" s="6" t="n">
        <v>92.6</v>
      </c>
      <c r="Q64" s="4" t="s">
        <v>106</v>
      </c>
      <c r="R64" s="8" t="n">
        <v>17</v>
      </c>
      <c r="S64" s="6" t="n">
        <v>166.92</v>
      </c>
      <c r="T64" s="7" t="n">
        <f aca="false">IFERROR(S64/R64,"")</f>
        <v>9.81882352941176</v>
      </c>
      <c r="U64" s="6" t="n">
        <v>154.92</v>
      </c>
      <c r="V64" s="6" t="n">
        <v>142.92</v>
      </c>
      <c r="W64" s="8" t="n">
        <v>27</v>
      </c>
      <c r="X64" s="7" t="n">
        <f aca="false">IFERROR(S64/AH64,"")</f>
        <v>0.892620320855615</v>
      </c>
      <c r="Y64" s="9" t="n">
        <f aca="false">IFERROR(S64/AF64,"")</f>
        <v>0.409117647058824</v>
      </c>
      <c r="Z64" s="6" t="n">
        <v>6</v>
      </c>
      <c r="AA64" s="6" t="n">
        <v>8.3</v>
      </c>
      <c r="AB64" s="6" t="n">
        <v>13.82</v>
      </c>
      <c r="AC64" s="10" t="n">
        <v>0.118</v>
      </c>
      <c r="AD64" s="10" t="n">
        <v>0.118</v>
      </c>
      <c r="AE64" s="7" t="n">
        <v>0.81</v>
      </c>
      <c r="AF64" s="8" t="n">
        <v>408</v>
      </c>
      <c r="AG64" s="10" t="n">
        <v>0.371</v>
      </c>
      <c r="AH64" s="8" t="n">
        <v>187</v>
      </c>
      <c r="AI64" s="8" t="n">
        <v>29</v>
      </c>
      <c r="AJ64" s="6" t="n">
        <f aca="false">IFERROR(AI64/R64,"")</f>
        <v>1.70588235294118</v>
      </c>
      <c r="AK64" s="10" t="n">
        <v>0.0527</v>
      </c>
      <c r="AL64" s="10" t="n">
        <v>0.0033</v>
      </c>
      <c r="AM64" s="9" t="n">
        <v>0.0814</v>
      </c>
      <c r="AN64" s="8" t="n">
        <v>24</v>
      </c>
      <c r="AO64" s="10" t="n">
        <f aca="false">IFERROR(AN64/AI64,"")</f>
        <v>0.827586206896552</v>
      </c>
      <c r="AP64" s="8" t="n">
        <v>192</v>
      </c>
      <c r="AQ64" s="7" t="n">
        <f aca="false">IFERROR(AP64/AI64,"")</f>
        <v>6.62068965517241</v>
      </c>
      <c r="AR64" s="6" t="n">
        <v>0.414</v>
      </c>
      <c r="AS64" s="7" t="n">
        <v>8.292</v>
      </c>
      <c r="AT64" s="7" t="n">
        <v>16</v>
      </c>
      <c r="AU64" s="7"/>
      <c r="AV64" s="7"/>
      <c r="AW64" s="7"/>
      <c r="AX64" s="10" t="n">
        <v>0</v>
      </c>
      <c r="AY64" s="8" t="n">
        <v>158</v>
      </c>
      <c r="AZ64" s="6" t="n">
        <f aca="false">IFERROR(AY64/R64,"")</f>
        <v>9.29411764705882</v>
      </c>
      <c r="BA64" s="10" t="n">
        <v>0.3575</v>
      </c>
      <c r="BB64" s="8" t="n">
        <v>716</v>
      </c>
      <c r="BC64" s="7" t="n">
        <f aca="false">IFERROR(BB64/AY64,"")</f>
        <v>4.53164556962025</v>
      </c>
      <c r="BD64" s="7" t="n">
        <v>2.342</v>
      </c>
      <c r="BE64" s="7" t="n">
        <v>2.19</v>
      </c>
      <c r="BF64" s="8" t="n">
        <v>3</v>
      </c>
      <c r="BG64" s="7" t="n">
        <v>0.799067464365751</v>
      </c>
      <c r="BH64" s="6" t="n">
        <v>34.1772151898734</v>
      </c>
      <c r="BI64" s="7" t="n">
        <v>3.53347765363129</v>
      </c>
      <c r="BJ64" s="8" t="n">
        <v>36</v>
      </c>
      <c r="BK64" s="8" t="n">
        <v>24</v>
      </c>
      <c r="BL64" s="8" t="n">
        <v>16</v>
      </c>
      <c r="BM64" s="8" t="n">
        <v>8</v>
      </c>
      <c r="BN64" s="7" t="n">
        <v>9.76</v>
      </c>
      <c r="BO64" s="7" t="n">
        <f aca="false">IFERROR(BM64-BN64,"")</f>
        <v>-1.76</v>
      </c>
      <c r="BP64" s="9" t="n">
        <f aca="false">IFERROR(BM64/AH64,"")</f>
        <v>0.0427807486631016</v>
      </c>
      <c r="BQ64" s="6" t="n">
        <v>45.8</v>
      </c>
      <c r="BR64" s="6" t="n">
        <v>34.1</v>
      </c>
      <c r="BS64" s="6" t="n">
        <v>59.3</v>
      </c>
      <c r="BT64" s="7" t="n">
        <v>2.812</v>
      </c>
      <c r="BU64" s="10" t="n">
        <v>0.1937</v>
      </c>
      <c r="BV64" s="10" t="n">
        <v>0.485714285714286</v>
      </c>
      <c r="BW64" s="7" t="n">
        <v>2.099</v>
      </c>
      <c r="BX64" s="10" t="n">
        <v>0.2216</v>
      </c>
      <c r="BY64" s="10" t="n">
        <v>0.0526</v>
      </c>
      <c r="BZ64" s="7" t="n">
        <v>2.345</v>
      </c>
      <c r="CA64" s="10" t="n">
        <v>0.713</v>
      </c>
      <c r="CB64" s="8" t="n">
        <v>2</v>
      </c>
      <c r="CC64" s="10" t="n">
        <v>-0.0098</v>
      </c>
      <c r="CD64" s="10" t="n">
        <v>0.5638</v>
      </c>
      <c r="CE64" s="6" t="n">
        <v>63.41</v>
      </c>
      <c r="CF64" s="6" t="n">
        <v>38</v>
      </c>
      <c r="CG64" s="7" t="n">
        <v>3.41</v>
      </c>
      <c r="CH64" s="6" t="n">
        <v>23.8</v>
      </c>
      <c r="CI64" s="9" t="n">
        <v>-0.0779</v>
      </c>
      <c r="CJ64" s="9" t="n">
        <v>0.036</v>
      </c>
      <c r="CK64" s="8" t="n">
        <v>82</v>
      </c>
      <c r="CL64" s="10" t="n">
        <v>0.148</v>
      </c>
      <c r="CM64" s="8" t="n">
        <v>21</v>
      </c>
      <c r="CN64" s="10" t="n">
        <v>0.044</v>
      </c>
      <c r="CO64" s="8" t="n">
        <v>18</v>
      </c>
      <c r="CP64" s="7" t="n">
        <v>-0.333</v>
      </c>
      <c r="CQ64" s="7" t="n">
        <v>-0.641</v>
      </c>
      <c r="CR64" s="4" t="s">
        <v>102</v>
      </c>
      <c r="CS64" s="4"/>
    </row>
    <row r="65" customFormat="false" ht="15" hidden="false" customHeight="false" outlineLevel="0" collapsed="false">
      <c r="A65" s="3" t="n">
        <v>63</v>
      </c>
      <c r="B65" s="4" t="s">
        <v>261</v>
      </c>
      <c r="C65" s="11" t="s">
        <v>104</v>
      </c>
      <c r="D65" s="4" t="s">
        <v>262</v>
      </c>
      <c r="E65" s="4" t="s">
        <v>135</v>
      </c>
      <c r="F65" s="4" t="s">
        <v>104</v>
      </c>
      <c r="G65" s="3" t="n">
        <v>2</v>
      </c>
      <c r="H65" s="6" t="n">
        <v>23.8</v>
      </c>
      <c r="I65" s="3" t="n">
        <v>2</v>
      </c>
      <c r="J65" s="3" t="n">
        <v>11</v>
      </c>
      <c r="K65" s="7" t="n">
        <v>64.21</v>
      </c>
      <c r="L65" s="7" t="n">
        <v>9.84</v>
      </c>
      <c r="M65" s="8" t="n">
        <v>41</v>
      </c>
      <c r="N65" s="8" t="n">
        <v>89</v>
      </c>
      <c r="O65" s="7" t="n">
        <v>64.21</v>
      </c>
      <c r="P65" s="6" t="n">
        <v>92.9</v>
      </c>
      <c r="Q65" s="4" t="s">
        <v>135</v>
      </c>
      <c r="R65" s="8" t="n">
        <v>17</v>
      </c>
      <c r="S65" s="6" t="n">
        <v>206.2</v>
      </c>
      <c r="T65" s="7" t="n">
        <f aca="false">IFERROR(S65/R65,"")</f>
        <v>12.1294117647059</v>
      </c>
      <c r="U65" s="6" t="n">
        <v>188.7</v>
      </c>
      <c r="V65" s="6" t="n">
        <v>171.2</v>
      </c>
      <c r="W65" s="8" t="n">
        <v>21</v>
      </c>
      <c r="X65" s="7" t="n">
        <f aca="false">IFERROR(S65/AH65,"")</f>
        <v>0.928828828828829</v>
      </c>
      <c r="Y65" s="9" t="n">
        <f aca="false">IFERROR(S65/AF65,"")</f>
        <v>0.411576846307385</v>
      </c>
      <c r="Z65" s="6" t="n">
        <v>5.5</v>
      </c>
      <c r="AA65" s="6" t="n">
        <v>11.1</v>
      </c>
      <c r="AB65" s="6" t="n">
        <v>23.72</v>
      </c>
      <c r="AC65" s="10" t="n">
        <v>0.235</v>
      </c>
      <c r="AD65" s="10" t="n">
        <v>0.118</v>
      </c>
      <c r="AE65" s="7" t="n">
        <v>0.865</v>
      </c>
      <c r="AF65" s="8" t="n">
        <v>501</v>
      </c>
      <c r="AG65" s="10" t="n">
        <v>0.459</v>
      </c>
      <c r="AH65" s="8" t="n">
        <v>222</v>
      </c>
      <c r="AI65" s="8" t="n">
        <v>42</v>
      </c>
      <c r="AJ65" s="6" t="n">
        <f aca="false">IFERROR(AI65/R65,"")</f>
        <v>2.47058823529412</v>
      </c>
      <c r="AK65" s="10" t="n">
        <v>0.0871</v>
      </c>
      <c r="AL65" s="10" t="n">
        <v>-0.0002</v>
      </c>
      <c r="AM65" s="9" t="n">
        <v>0.1305</v>
      </c>
      <c r="AN65" s="8" t="n">
        <v>35</v>
      </c>
      <c r="AO65" s="10" t="n">
        <f aca="false">IFERROR(AN65/AI65,"")</f>
        <v>0.833333333333333</v>
      </c>
      <c r="AP65" s="8" t="n">
        <v>221</v>
      </c>
      <c r="AQ65" s="7" t="n">
        <f aca="false">IFERROR(AP65/AI65,"")</f>
        <v>5.26190476190476</v>
      </c>
      <c r="AR65" s="6" t="n">
        <v>-0.024</v>
      </c>
      <c r="AS65" s="7" t="n">
        <v>6.971</v>
      </c>
      <c r="AT65" s="7" t="n">
        <v>-221</v>
      </c>
      <c r="AU65" s="7"/>
      <c r="AV65" s="7"/>
      <c r="AW65" s="7"/>
      <c r="AX65" s="10" t="n">
        <v>0.0476</v>
      </c>
      <c r="AY65" s="8" t="n">
        <v>180</v>
      </c>
      <c r="AZ65" s="6" t="n">
        <f aca="false">IFERROR(AY65/R65,"")</f>
        <v>10.5882352941176</v>
      </c>
      <c r="BA65" s="10" t="n">
        <v>0.3644</v>
      </c>
      <c r="BB65" s="8" t="n">
        <v>911</v>
      </c>
      <c r="BC65" s="7" t="n">
        <f aca="false">IFERROR(BB65/AY65,"")</f>
        <v>5.06111111111111</v>
      </c>
      <c r="BD65" s="7" t="n">
        <v>3.05</v>
      </c>
      <c r="BE65" s="7" t="n">
        <v>2.011</v>
      </c>
      <c r="BF65" s="8" t="n">
        <v>11</v>
      </c>
      <c r="BG65" s="7" t="n">
        <v>0.846341262551697</v>
      </c>
      <c r="BH65" s="6" t="n">
        <v>30.5555555555556</v>
      </c>
      <c r="BI65" s="7" t="n">
        <v>3.48935236004391</v>
      </c>
      <c r="BJ65" s="8" t="n">
        <v>40</v>
      </c>
      <c r="BK65" s="8" t="n">
        <v>24</v>
      </c>
      <c r="BL65" s="8" t="n">
        <v>9</v>
      </c>
      <c r="BM65" s="8" t="n">
        <v>10</v>
      </c>
      <c r="BN65" s="7" t="n">
        <v>8.32</v>
      </c>
      <c r="BO65" s="7" t="n">
        <f aca="false">IFERROR(BM65-BN65,"")</f>
        <v>1.68</v>
      </c>
      <c r="BP65" s="9" t="n">
        <f aca="false">IFERROR(BM65/AH65,"")</f>
        <v>0.045045045045045</v>
      </c>
      <c r="BQ65" s="6" t="n">
        <v>41.6</v>
      </c>
      <c r="BR65" s="6" t="n">
        <v>43.3</v>
      </c>
      <c r="BS65" s="6" t="n">
        <v>43.5</v>
      </c>
      <c r="BT65" s="7" t="n">
        <v>2.802</v>
      </c>
      <c r="BU65" s="10" t="n">
        <v>0.1883</v>
      </c>
      <c r="BV65" s="10" t="n">
        <v>0.575757575757576</v>
      </c>
      <c r="BW65" s="7" t="n">
        <v>2.561</v>
      </c>
      <c r="BX65" s="10" t="n">
        <v>0.261</v>
      </c>
      <c r="BY65" s="10" t="n">
        <v>0.0789</v>
      </c>
      <c r="BZ65" s="7" t="n">
        <v>2.406</v>
      </c>
      <c r="CA65" s="10" t="n">
        <v>0.533</v>
      </c>
      <c r="CB65" s="8" t="n">
        <v>3</v>
      </c>
      <c r="CC65" s="10" t="n">
        <v>0.0242</v>
      </c>
      <c r="CD65" s="10" t="n">
        <v>0.5691</v>
      </c>
      <c r="CE65" s="6" t="n">
        <v>59.82</v>
      </c>
      <c r="CF65" s="6" t="n">
        <v>38</v>
      </c>
      <c r="CG65" s="7" t="n">
        <v>3.76</v>
      </c>
      <c r="CH65" s="6" t="n">
        <v>28.8</v>
      </c>
      <c r="CI65" s="9" t="n">
        <v>0.0077</v>
      </c>
      <c r="CJ65" s="9" t="n">
        <v>0.2873</v>
      </c>
      <c r="CK65" s="8" t="n">
        <v>128</v>
      </c>
      <c r="CL65" s="10" t="n">
        <v>0.266</v>
      </c>
      <c r="CM65" s="8" t="n">
        <v>10</v>
      </c>
      <c r="CN65" s="10" t="n">
        <v>0.02</v>
      </c>
      <c r="CO65" s="8" t="n">
        <v>17</v>
      </c>
      <c r="CP65" s="7" t="n">
        <v>-0.035</v>
      </c>
      <c r="CQ65" s="7" t="n">
        <v>-0.211</v>
      </c>
      <c r="CR65" s="4" t="s">
        <v>102</v>
      </c>
      <c r="CS65" s="4"/>
    </row>
    <row r="66" customFormat="false" ht="15" hidden="false" customHeight="false" outlineLevel="0" collapsed="false">
      <c r="A66" s="3" t="n">
        <v>64</v>
      </c>
      <c r="B66" s="4" t="s">
        <v>263</v>
      </c>
      <c r="C66" s="5" t="s">
        <v>99</v>
      </c>
      <c r="D66" s="4" t="s">
        <v>264</v>
      </c>
      <c r="E66" s="4" t="s">
        <v>265</v>
      </c>
      <c r="F66" s="4" t="s">
        <v>99</v>
      </c>
      <c r="G66" s="3" t="n">
        <v>1</v>
      </c>
      <c r="H66" s="6" t="n">
        <v>21.6</v>
      </c>
      <c r="I66" s="3" t="n">
        <v>0</v>
      </c>
      <c r="J66" s="3" t="n">
        <v>9</v>
      </c>
      <c r="K66" s="7" t="n">
        <v>65.44</v>
      </c>
      <c r="L66" s="7" t="n">
        <v>18.21</v>
      </c>
      <c r="M66" s="8" t="n">
        <v>45</v>
      </c>
      <c r="N66" s="8" t="n">
        <v>176</v>
      </c>
      <c r="O66" s="7" t="n">
        <v>65.44</v>
      </c>
      <c r="P66" s="6" t="n">
        <v>91.9</v>
      </c>
      <c r="Q66" s="4"/>
      <c r="R66" s="8"/>
      <c r="S66" s="6"/>
      <c r="T66" s="7"/>
      <c r="U66" s="6"/>
      <c r="V66" s="6"/>
      <c r="W66" s="8"/>
      <c r="X66" s="7"/>
      <c r="Y66" s="9"/>
      <c r="Z66" s="6"/>
      <c r="AA66" s="6"/>
      <c r="AB66" s="6"/>
      <c r="AC66" s="10"/>
      <c r="AD66" s="10"/>
      <c r="AE66" s="7"/>
      <c r="AF66" s="8"/>
      <c r="AG66" s="10"/>
      <c r="AH66" s="8"/>
      <c r="AI66" s="8"/>
      <c r="AJ66" s="6"/>
      <c r="AK66" s="10"/>
      <c r="AL66" s="10"/>
      <c r="AM66" s="9"/>
      <c r="AN66" s="8"/>
      <c r="AO66" s="10"/>
      <c r="AP66" s="8"/>
      <c r="AQ66" s="7"/>
      <c r="AR66" s="6"/>
      <c r="AS66" s="7"/>
      <c r="AT66" s="7"/>
      <c r="AU66" s="7"/>
      <c r="AV66" s="7"/>
      <c r="AW66" s="7"/>
      <c r="AX66" s="10"/>
      <c r="AY66" s="8"/>
      <c r="AZ66" s="6"/>
      <c r="BA66" s="10"/>
      <c r="BB66" s="8"/>
      <c r="BC66" s="7"/>
      <c r="BD66" s="7"/>
      <c r="BE66" s="7"/>
      <c r="BF66" s="8"/>
      <c r="BG66" s="7"/>
      <c r="BH66" s="6"/>
      <c r="BI66" s="7"/>
      <c r="BJ66" s="8"/>
      <c r="BK66" s="8"/>
      <c r="BL66" s="8"/>
      <c r="BM66" s="8"/>
      <c r="BN66" s="7"/>
      <c r="BO66" s="7"/>
      <c r="BP66" s="9"/>
      <c r="BQ66" s="6" t="n">
        <v>41.1</v>
      </c>
      <c r="BR66" s="6" t="n">
        <v>58.4</v>
      </c>
      <c r="BS66" s="6" t="n">
        <v>27.6</v>
      </c>
      <c r="BT66" s="7" t="n">
        <v>3.085</v>
      </c>
      <c r="BU66" s="10" t="n">
        <v>0.1549</v>
      </c>
      <c r="BV66" s="10" t="n">
        <v>0.666666666666667</v>
      </c>
      <c r="BW66" s="7" t="n">
        <v>2.54</v>
      </c>
      <c r="BX66" s="10" t="n">
        <v>0.3175</v>
      </c>
      <c r="BY66" s="10" t="n">
        <v>0.0872</v>
      </c>
      <c r="BZ66" s="7" t="n">
        <v>2.389</v>
      </c>
      <c r="CA66" s="10" t="n">
        <v>0.527</v>
      </c>
      <c r="CB66" s="8" t="n">
        <v>3</v>
      </c>
      <c r="CC66" s="10" t="n">
        <v>-0.0385</v>
      </c>
      <c r="CD66" s="10" t="n">
        <v>0.5401</v>
      </c>
      <c r="CE66" s="6" t="n">
        <v>58.53</v>
      </c>
      <c r="CF66" s="6" t="n">
        <v>40</v>
      </c>
      <c r="CG66" s="7" t="n">
        <v>2.06</v>
      </c>
      <c r="CH66" s="6" t="n">
        <v>16.7</v>
      </c>
      <c r="CI66" s="9" t="n">
        <v>-0.0573</v>
      </c>
      <c r="CJ66" s="9" t="n">
        <v>-0.2208</v>
      </c>
      <c r="CK66" s="8" t="n">
        <v>152</v>
      </c>
      <c r="CL66" s="10" t="n">
        <v>0.287</v>
      </c>
      <c r="CM66" s="8" t="n">
        <v>0</v>
      </c>
      <c r="CN66" s="10" t="n">
        <v>0</v>
      </c>
      <c r="CO66" s="8" t="n">
        <v>8</v>
      </c>
      <c r="CP66" s="7"/>
      <c r="CQ66" s="7"/>
      <c r="CR66" s="4"/>
      <c r="CS66" s="4" t="s">
        <v>206</v>
      </c>
    </row>
    <row r="67" customFormat="false" ht="15" hidden="false" customHeight="false" outlineLevel="0" collapsed="false">
      <c r="A67" s="3" t="n">
        <v>65</v>
      </c>
      <c r="B67" s="4" t="s">
        <v>266</v>
      </c>
      <c r="C67" s="13" t="s">
        <v>172</v>
      </c>
      <c r="D67" s="4" t="s">
        <v>267</v>
      </c>
      <c r="E67" s="4" t="s">
        <v>203</v>
      </c>
      <c r="F67" s="4" t="s">
        <v>172</v>
      </c>
      <c r="G67" s="3" t="n">
        <v>1</v>
      </c>
      <c r="H67" s="6" t="n">
        <v>24.7</v>
      </c>
      <c r="I67" s="3" t="n">
        <v>3</v>
      </c>
      <c r="J67" s="3" t="n">
        <v>10</v>
      </c>
      <c r="K67" s="7" t="n">
        <v>68.07</v>
      </c>
      <c r="L67" s="7" t="n">
        <v>10.9</v>
      </c>
      <c r="M67" s="8" t="n">
        <v>37</v>
      </c>
      <c r="N67" s="8" t="n">
        <v>98</v>
      </c>
      <c r="O67" s="7" t="n">
        <v>68.07</v>
      </c>
      <c r="P67" s="6" t="n">
        <v>93</v>
      </c>
      <c r="Q67" s="4" t="s">
        <v>203</v>
      </c>
      <c r="R67" s="8" t="n">
        <v>17</v>
      </c>
      <c r="S67" s="6" t="n">
        <v>318.68</v>
      </c>
      <c r="T67" s="7" t="n">
        <f aca="false">IFERROR(S67/R67,"")</f>
        <v>18.7458823529412</v>
      </c>
      <c r="U67" s="6" t="n">
        <v>317.68</v>
      </c>
      <c r="V67" s="6" t="n">
        <v>316.68</v>
      </c>
      <c r="W67" s="8" t="n">
        <v>5</v>
      </c>
      <c r="X67" s="7" t="n">
        <f aca="false">IFERROR(S67/AH67,"")</f>
        <v>4.03392405063291</v>
      </c>
      <c r="Y67" s="9" t="n">
        <f aca="false">IFERROR(S67/AF67,"")</f>
        <v>0.278810148731409</v>
      </c>
      <c r="Z67" s="6" t="n">
        <v>11.8</v>
      </c>
      <c r="AA67" s="6" t="n">
        <v>18.98</v>
      </c>
      <c r="AB67" s="6" t="n">
        <v>24.74</v>
      </c>
      <c r="AC67" s="10" t="n">
        <v>0.529</v>
      </c>
      <c r="AD67" s="10" t="n">
        <v>0.059</v>
      </c>
      <c r="AE67" s="7" t="n">
        <v>0.434</v>
      </c>
      <c r="AF67" s="8" t="n">
        <v>1143</v>
      </c>
      <c r="AG67" s="10" t="n">
        <v>0.991</v>
      </c>
      <c r="AH67" s="8" t="n">
        <v>79</v>
      </c>
      <c r="AI67" s="8" t="n">
        <v>2</v>
      </c>
      <c r="AJ67" s="6" t="n">
        <f aca="false">IFERROR(AI67/R67,"")</f>
        <v>0.117647058823529</v>
      </c>
      <c r="AK67" s="10" t="n">
        <v>0.0038</v>
      </c>
      <c r="AL67" s="10" t="n">
        <v>-0.0007</v>
      </c>
      <c r="AM67" s="9" t="n">
        <v>0.0052</v>
      </c>
      <c r="AN67" s="8" t="n">
        <v>2</v>
      </c>
      <c r="AO67" s="10"/>
      <c r="AP67" s="8" t="n">
        <v>22</v>
      </c>
      <c r="AQ67" s="7"/>
      <c r="AR67" s="6"/>
      <c r="AS67" s="7"/>
      <c r="AT67" s="7"/>
      <c r="AU67" s="7"/>
      <c r="AV67" s="7"/>
      <c r="AW67" s="7"/>
      <c r="AX67" s="10"/>
      <c r="AY67" s="8" t="n">
        <v>77</v>
      </c>
      <c r="AZ67" s="6" t="n">
        <f aca="false">IFERROR(AY67/R67,"")</f>
        <v>4.52941176470588</v>
      </c>
      <c r="BA67" s="10" t="n">
        <v>0.1525</v>
      </c>
      <c r="BB67" s="8" t="n">
        <v>388</v>
      </c>
      <c r="BC67" s="7" t="n">
        <f aca="false">IFERROR(BB67/AY67,"")</f>
        <v>5.03896103896104</v>
      </c>
      <c r="BD67" s="7" t="n">
        <v>4.26</v>
      </c>
      <c r="BE67" s="7" t="n">
        <v>0.779</v>
      </c>
      <c r="BF67" s="8" t="n">
        <v>5</v>
      </c>
      <c r="BG67" s="7"/>
      <c r="BH67" s="6"/>
      <c r="BI67" s="7"/>
      <c r="BJ67" s="8" t="n">
        <v>18</v>
      </c>
      <c r="BK67" s="8" t="n">
        <v>8</v>
      </c>
      <c r="BL67" s="8" t="n">
        <v>3</v>
      </c>
      <c r="BM67" s="8" t="n">
        <v>4</v>
      </c>
      <c r="BN67" s="7" t="n">
        <v>3.07</v>
      </c>
      <c r="BO67" s="7" t="n">
        <f aca="false">IFERROR(BM67-BN67,"")</f>
        <v>0.93</v>
      </c>
      <c r="BP67" s="9" t="n">
        <f aca="false">IFERROR(BM67/AH67,"")</f>
        <v>0.0506329113924051</v>
      </c>
      <c r="BQ67" s="6" t="n">
        <v>76.3</v>
      </c>
      <c r="BR67" s="6" t="n">
        <v>80.3</v>
      </c>
      <c r="BS67" s="6" t="n">
        <v>61.1</v>
      </c>
      <c r="BT67" s="7" t="n">
        <v>3.337</v>
      </c>
      <c r="BU67" s="10" t="n">
        <v>0.1354</v>
      </c>
      <c r="BV67" s="10" t="n">
        <v>0.794117647058824</v>
      </c>
      <c r="BW67" s="7" t="n">
        <v>3.125</v>
      </c>
      <c r="BX67" s="10" t="n">
        <v>0.2787</v>
      </c>
      <c r="BY67" s="10" t="n">
        <v>0.0358</v>
      </c>
      <c r="BZ67" s="7" t="n">
        <v>2.496</v>
      </c>
      <c r="CA67" s="10" t="n">
        <v>0.802</v>
      </c>
      <c r="CB67" s="8" t="n">
        <v>4</v>
      </c>
      <c r="CC67" s="10" t="n">
        <v>-0.039</v>
      </c>
      <c r="CD67" s="10" t="n">
        <v>0.5233</v>
      </c>
      <c r="CE67" s="6" t="n">
        <v>64.47</v>
      </c>
      <c r="CF67" s="6" t="n">
        <v>37</v>
      </c>
      <c r="CG67" s="7" t="n">
        <v>3.41</v>
      </c>
      <c r="CH67" s="6" t="n">
        <v>25.9</v>
      </c>
      <c r="CI67" s="9" t="n">
        <v>0.0786</v>
      </c>
      <c r="CJ67" s="9" t="n">
        <v>0.0802</v>
      </c>
      <c r="CK67" s="8" t="n">
        <v>161</v>
      </c>
      <c r="CL67" s="10" t="n">
        <v>0.303</v>
      </c>
      <c r="CM67" s="8" t="n">
        <v>20</v>
      </c>
      <c r="CN67" s="10" t="n">
        <v>0.04</v>
      </c>
      <c r="CO67" s="8" t="n">
        <v>26</v>
      </c>
      <c r="CP67" s="7" t="n">
        <v>0.064</v>
      </c>
      <c r="CQ67" s="7" t="n">
        <v>-0.068</v>
      </c>
      <c r="CR67" s="4" t="s">
        <v>102</v>
      </c>
      <c r="CS67" s="4"/>
    </row>
    <row r="68" customFormat="false" ht="15" hidden="false" customHeight="false" outlineLevel="0" collapsed="false">
      <c r="A68" s="3" t="n">
        <v>66</v>
      </c>
      <c r="B68" s="4" t="s">
        <v>268</v>
      </c>
      <c r="C68" s="5" t="s">
        <v>99</v>
      </c>
      <c r="D68" s="4" t="s">
        <v>269</v>
      </c>
      <c r="E68" s="4" t="s">
        <v>235</v>
      </c>
      <c r="F68" s="4" t="s">
        <v>270</v>
      </c>
      <c r="G68" s="3" t="n">
        <v>1</v>
      </c>
      <c r="H68" s="6" t="n">
        <v>24.4</v>
      </c>
      <c r="I68" s="3" t="n">
        <v>4</v>
      </c>
      <c r="J68" s="3" t="n">
        <v>7</v>
      </c>
      <c r="K68" s="7" t="n">
        <v>69.78</v>
      </c>
      <c r="L68" s="7" t="n">
        <v>18.03</v>
      </c>
      <c r="M68" s="8" t="n">
        <v>45</v>
      </c>
      <c r="N68" s="8" t="n">
        <v>126</v>
      </c>
      <c r="O68" s="7" t="n">
        <v>69.78</v>
      </c>
      <c r="P68" s="6" t="n">
        <v>85.6</v>
      </c>
      <c r="Q68" s="4" t="s">
        <v>235</v>
      </c>
      <c r="R68" s="8" t="n">
        <v>16</v>
      </c>
      <c r="S68" s="6" t="n">
        <v>184.7</v>
      </c>
      <c r="T68" s="7" t="n">
        <f aca="false">IFERROR(S68/R68,"")</f>
        <v>11.54375</v>
      </c>
      <c r="U68" s="6" t="n">
        <v>155.7</v>
      </c>
      <c r="V68" s="6" t="n">
        <v>126.7</v>
      </c>
      <c r="W68" s="8" t="n">
        <v>27</v>
      </c>
      <c r="X68" s="7" t="n">
        <f aca="false">IFERROR(S68/AH68,"")</f>
        <v>1.81078431372549</v>
      </c>
      <c r="Y68" s="9" t="n">
        <f aca="false">IFERROR(S68/AF68,"")</f>
        <v>0.27485119047619</v>
      </c>
      <c r="Z68" s="6" t="n">
        <v>5.65</v>
      </c>
      <c r="AA68" s="6" t="n">
        <v>9.9</v>
      </c>
      <c r="AB68" s="6" t="n">
        <v>18.77</v>
      </c>
      <c r="AC68" s="10" t="n">
        <v>0.25</v>
      </c>
      <c r="AD68" s="10" t="n">
        <v>0.062</v>
      </c>
      <c r="AE68" s="7" t="n">
        <v>0.748</v>
      </c>
      <c r="AF68" s="8" t="n">
        <v>672</v>
      </c>
      <c r="AG68" s="10" t="n">
        <v>0.614</v>
      </c>
      <c r="AH68" s="8" t="n">
        <v>102</v>
      </c>
      <c r="AI68" s="8" t="n">
        <v>95</v>
      </c>
      <c r="AJ68" s="6" t="n">
        <f aca="false">IFERROR(AI68/R68,"")</f>
        <v>5.9375</v>
      </c>
      <c r="AK68" s="10" t="n">
        <v>0.1841</v>
      </c>
      <c r="AL68" s="10" t="n">
        <v>0.2611</v>
      </c>
      <c r="AM68" s="9" t="n">
        <v>0.4589</v>
      </c>
      <c r="AN68" s="8" t="n">
        <v>58</v>
      </c>
      <c r="AO68" s="10" t="n">
        <f aca="false">IFERROR(AN68/AI68,"")</f>
        <v>0.610526315789474</v>
      </c>
      <c r="AP68" s="8" t="n">
        <v>847</v>
      </c>
      <c r="AQ68" s="7" t="n">
        <f aca="false">IFERROR(AP68/AI68,"")</f>
        <v>8.91578947368421</v>
      </c>
      <c r="AR68" s="6" t="n">
        <v>12.495</v>
      </c>
      <c r="AS68" s="7" t="n">
        <v>4.569</v>
      </c>
      <c r="AT68" s="7" t="n">
        <v>0.714</v>
      </c>
      <c r="AU68" s="7" t="n">
        <v>2.39095224318154</v>
      </c>
      <c r="AV68" s="7" t="n">
        <v>6.4245652173913</v>
      </c>
      <c r="AW68" s="7" t="n">
        <v>1.73018754269504</v>
      </c>
      <c r="AX68" s="10" t="n">
        <v>0.0737</v>
      </c>
      <c r="AY68" s="8" t="n">
        <v>7</v>
      </c>
      <c r="AZ68" s="6" t="n">
        <f aca="false">IFERROR(AY68/R68,"")</f>
        <v>0.4375</v>
      </c>
      <c r="BA68" s="10" t="n">
        <v>0.0153</v>
      </c>
      <c r="BB68" s="8" t="n">
        <v>0</v>
      </c>
      <c r="BC68" s="7"/>
      <c r="BD68" s="7"/>
      <c r="BE68" s="7"/>
      <c r="BF68" s="8" t="n">
        <v>0</v>
      </c>
      <c r="BG68" s="7"/>
      <c r="BH68" s="6"/>
      <c r="BI68" s="7"/>
      <c r="BJ68" s="8" t="n">
        <v>15</v>
      </c>
      <c r="BK68" s="8" t="n">
        <v>5</v>
      </c>
      <c r="BL68" s="8" t="n">
        <v>2</v>
      </c>
      <c r="BM68" s="8" t="n">
        <v>5</v>
      </c>
      <c r="BN68" s="7" t="n">
        <v>4.38</v>
      </c>
      <c r="BO68" s="7" t="n">
        <f aca="false">IFERROR(BM68-BN68,"")</f>
        <v>0.62</v>
      </c>
      <c r="BP68" s="9" t="n">
        <f aca="false">IFERROR(BM68/AH68,"")</f>
        <v>0.0490196078431373</v>
      </c>
      <c r="BQ68" s="6" t="n">
        <v>44.3</v>
      </c>
      <c r="BR68" s="6" t="n">
        <v>40.2</v>
      </c>
      <c r="BS68" s="6" t="n">
        <v>50.8</v>
      </c>
      <c r="BT68" s="7" t="n">
        <v>2.885</v>
      </c>
      <c r="BU68" s="10" t="n">
        <v>0.1784</v>
      </c>
      <c r="BV68" s="10" t="n">
        <v>0.5</v>
      </c>
      <c r="BW68" s="7" t="n">
        <v>2.219</v>
      </c>
      <c r="BX68" s="10" t="n">
        <v>0.2504</v>
      </c>
      <c r="BY68" s="10" t="n">
        <v>0.0647</v>
      </c>
      <c r="BZ68" s="7" t="n">
        <v>2.395</v>
      </c>
      <c r="CA68" s="10" t="n">
        <v>1</v>
      </c>
      <c r="CB68" s="8" t="n">
        <v>5</v>
      </c>
      <c r="CC68" s="10" t="n">
        <v>0.0164</v>
      </c>
      <c r="CD68" s="10" t="n">
        <v>0.5756</v>
      </c>
      <c r="CE68" s="6" t="n">
        <v>63.18</v>
      </c>
      <c r="CF68" s="6" t="n">
        <v>40</v>
      </c>
      <c r="CG68" s="7" t="n">
        <v>4.24</v>
      </c>
      <c r="CH68" s="6" t="n">
        <v>27.9</v>
      </c>
      <c r="CI68" s="9" t="n">
        <v>-0.0041</v>
      </c>
      <c r="CJ68" s="9" t="n">
        <v>0.0592</v>
      </c>
      <c r="CK68" s="8" t="n">
        <v>132</v>
      </c>
      <c r="CL68" s="10" t="n">
        <v>0.241</v>
      </c>
      <c r="CM68" s="8" t="n">
        <v>271</v>
      </c>
      <c r="CN68" s="10" t="n">
        <v>0.554</v>
      </c>
      <c r="CO68" s="8" t="n">
        <v>85</v>
      </c>
      <c r="CP68" s="7" t="n">
        <v>-0.05</v>
      </c>
      <c r="CQ68" s="7" t="n">
        <v>-0.401</v>
      </c>
      <c r="CR68" s="4" t="s">
        <v>102</v>
      </c>
      <c r="CS68" s="4"/>
    </row>
    <row r="69" customFormat="false" ht="15" hidden="false" customHeight="false" outlineLevel="0" collapsed="false">
      <c r="A69" s="3" t="n">
        <v>67</v>
      </c>
      <c r="B69" s="4" t="s">
        <v>271</v>
      </c>
      <c r="C69" s="5" t="s">
        <v>99</v>
      </c>
      <c r="D69" s="4" t="s">
        <v>272</v>
      </c>
      <c r="E69" s="4" t="s">
        <v>151</v>
      </c>
      <c r="F69" s="4" t="s">
        <v>99</v>
      </c>
      <c r="G69" s="3" t="n">
        <v>1</v>
      </c>
      <c r="H69" s="6" t="n">
        <v>24</v>
      </c>
      <c r="I69" s="3" t="n">
        <v>3</v>
      </c>
      <c r="J69" s="3" t="n">
        <v>14</v>
      </c>
      <c r="K69" s="7" t="n">
        <v>69.8</v>
      </c>
      <c r="L69" s="7" t="n">
        <v>11.64</v>
      </c>
      <c r="M69" s="8" t="n">
        <v>45</v>
      </c>
      <c r="N69" s="8" t="n">
        <v>100</v>
      </c>
      <c r="O69" s="7" t="n">
        <v>69.8</v>
      </c>
      <c r="P69" s="6" t="n">
        <v>88.2</v>
      </c>
      <c r="Q69" s="4" t="s">
        <v>151</v>
      </c>
      <c r="R69" s="8" t="n">
        <v>12</v>
      </c>
      <c r="S69" s="6" t="n">
        <v>127.8</v>
      </c>
      <c r="T69" s="7" t="n">
        <f aca="false">IFERROR(S69/R69,"")</f>
        <v>10.65</v>
      </c>
      <c r="U69" s="6" t="n">
        <v>107.3</v>
      </c>
      <c r="V69" s="6" t="n">
        <v>86.8</v>
      </c>
      <c r="W69" s="8" t="n">
        <v>49</v>
      </c>
      <c r="X69" s="7" t="n">
        <f aca="false">IFERROR(S69/AH69,"")</f>
        <v>1.75068493150685</v>
      </c>
      <c r="Y69" s="9" t="n">
        <f aca="false">IFERROR(S69/AF69,"")</f>
        <v>0.225795053003534</v>
      </c>
      <c r="Z69" s="6" t="n">
        <v>5.08</v>
      </c>
      <c r="AA69" s="6" t="n">
        <v>10.35</v>
      </c>
      <c r="AB69" s="6" t="n">
        <v>18.28</v>
      </c>
      <c r="AC69" s="10" t="n">
        <v>0.167</v>
      </c>
      <c r="AD69" s="10" t="n">
        <v>0.083</v>
      </c>
      <c r="AE69" s="7" t="n">
        <v>0.686</v>
      </c>
      <c r="AF69" s="8" t="n">
        <v>566</v>
      </c>
      <c r="AG69" s="10" t="n">
        <v>0.712</v>
      </c>
      <c r="AH69" s="8" t="n">
        <v>73</v>
      </c>
      <c r="AI69" s="8" t="n">
        <v>73</v>
      </c>
      <c r="AJ69" s="6" t="n">
        <f aca="false">IFERROR(AI69/R69,"")</f>
        <v>6.08333333333333</v>
      </c>
      <c r="AK69" s="10" t="n">
        <v>0.1802</v>
      </c>
      <c r="AL69" s="10" t="n">
        <v>0.3254</v>
      </c>
      <c r="AM69" s="9" t="n">
        <v>0.4981</v>
      </c>
      <c r="AN69" s="8" t="n">
        <v>41</v>
      </c>
      <c r="AO69" s="10" t="n">
        <f aca="false">IFERROR(AN69/AI69,"")</f>
        <v>0.561643835616438</v>
      </c>
      <c r="AP69" s="8" t="n">
        <v>608</v>
      </c>
      <c r="AQ69" s="7" t="n">
        <f aca="false">IFERROR(AP69/AI69,"")</f>
        <v>8.32876712328767</v>
      </c>
      <c r="AR69" s="6" t="n">
        <v>12.959</v>
      </c>
      <c r="AS69" s="7" t="n">
        <v>2.902</v>
      </c>
      <c r="AT69" s="7" t="n">
        <v>0.643</v>
      </c>
      <c r="AU69" s="7" t="n">
        <v>2.4199826142948</v>
      </c>
      <c r="AV69" s="7" t="n">
        <v>4.94194444444444</v>
      </c>
      <c r="AW69" s="7" t="n">
        <v>0.637288525822476</v>
      </c>
      <c r="AX69" s="10" t="n">
        <v>0.0548</v>
      </c>
      <c r="AY69" s="8" t="n">
        <v>0</v>
      </c>
      <c r="AZ69" s="6" t="n">
        <f aca="false">IFERROR(AY69/R69,"")</f>
        <v>0</v>
      </c>
      <c r="BA69" s="10" t="n">
        <v>0</v>
      </c>
      <c r="BB69" s="8" t="n">
        <v>0</v>
      </c>
      <c r="BC69" s="7"/>
      <c r="BD69" s="7"/>
      <c r="BE69" s="7"/>
      <c r="BF69" s="8"/>
      <c r="BG69" s="7"/>
      <c r="BH69" s="6"/>
      <c r="BI69" s="7"/>
      <c r="BJ69" s="8" t="n">
        <v>10</v>
      </c>
      <c r="BK69" s="8" t="n">
        <v>5</v>
      </c>
      <c r="BL69" s="8" t="n">
        <v>3</v>
      </c>
      <c r="BM69" s="8" t="n">
        <v>4</v>
      </c>
      <c r="BN69" s="7" t="n">
        <v>3.93</v>
      </c>
      <c r="BO69" s="7" t="n">
        <f aca="false">IFERROR(BM69-BN69,"")</f>
        <v>0.0699999999999998</v>
      </c>
      <c r="BP69" s="9" t="n">
        <f aca="false">IFERROR(BM69/AH69,"")</f>
        <v>0.0547945205479452</v>
      </c>
      <c r="BQ69" s="6" t="n">
        <v>36.9</v>
      </c>
      <c r="BR69" s="6" t="n">
        <v>43.8</v>
      </c>
      <c r="BS69" s="6" t="n">
        <v>35.6</v>
      </c>
      <c r="BT69" s="7" t="n">
        <v>2.771</v>
      </c>
      <c r="BU69" s="10" t="n">
        <v>0.2005</v>
      </c>
      <c r="BV69" s="10" t="n">
        <v>0.65625</v>
      </c>
      <c r="BW69" s="7" t="n">
        <v>2.593</v>
      </c>
      <c r="BX69" s="10" t="n">
        <v>0.282</v>
      </c>
      <c r="BY69" s="10" t="n">
        <v>0.0839</v>
      </c>
      <c r="BZ69" s="7" t="n">
        <v>2.373</v>
      </c>
      <c r="CA69" s="10" t="n">
        <v>0.686</v>
      </c>
      <c r="CB69" s="8" t="n">
        <v>3</v>
      </c>
      <c r="CC69" s="10" t="n">
        <v>0.0399</v>
      </c>
      <c r="CD69" s="10" t="n">
        <v>0.6204</v>
      </c>
      <c r="CE69" s="6" t="n">
        <v>63.18</v>
      </c>
      <c r="CF69" s="6" t="n">
        <v>39</v>
      </c>
      <c r="CG69" s="7" t="n">
        <v>3.59</v>
      </c>
      <c r="CH69" s="6" t="n">
        <v>20.9</v>
      </c>
      <c r="CI69" s="9" t="n">
        <v>-0.0591</v>
      </c>
      <c r="CJ69" s="9" t="n">
        <v>0.0023</v>
      </c>
      <c r="CK69" s="8" t="n">
        <v>106</v>
      </c>
      <c r="CL69" s="10" t="n">
        <v>0.172</v>
      </c>
      <c r="CM69" s="8" t="n">
        <v>173</v>
      </c>
      <c r="CN69" s="10" t="n">
        <v>0.473</v>
      </c>
      <c r="CO69" s="8" t="n">
        <v>41</v>
      </c>
      <c r="CP69" s="7" t="n">
        <v>-0.979</v>
      </c>
      <c r="CQ69" s="7" t="n">
        <v>-0.629</v>
      </c>
      <c r="CR69" s="4" t="s">
        <v>121</v>
      </c>
      <c r="CS69" s="4"/>
    </row>
    <row r="70" customFormat="false" ht="15" hidden="false" customHeight="false" outlineLevel="0" collapsed="false">
      <c r="A70" s="3" t="n">
        <v>68</v>
      </c>
      <c r="B70" s="4" t="s">
        <v>273</v>
      </c>
      <c r="C70" s="13" t="s">
        <v>172</v>
      </c>
      <c r="D70" s="4" t="s">
        <v>274</v>
      </c>
      <c r="E70" s="4" t="s">
        <v>170</v>
      </c>
      <c r="F70" s="4" t="s">
        <v>172</v>
      </c>
      <c r="G70" s="3" t="n">
        <v>1</v>
      </c>
      <c r="H70" s="6" t="n">
        <v>28.4</v>
      </c>
      <c r="I70" s="3" t="n">
        <v>7</v>
      </c>
      <c r="J70" s="3" t="n">
        <v>7</v>
      </c>
      <c r="K70" s="7" t="n">
        <v>70</v>
      </c>
      <c r="L70" s="7" t="n">
        <v>11.18</v>
      </c>
      <c r="M70" s="8" t="n">
        <v>37</v>
      </c>
      <c r="N70" s="8" t="n">
        <v>101</v>
      </c>
      <c r="O70" s="7" t="n">
        <v>70</v>
      </c>
      <c r="P70" s="6" t="n">
        <v>91.1</v>
      </c>
      <c r="Q70" s="4" t="s">
        <v>170</v>
      </c>
      <c r="R70" s="8" t="n">
        <v>16</v>
      </c>
      <c r="S70" s="6" t="n">
        <v>286.88</v>
      </c>
      <c r="T70" s="7" t="n">
        <f aca="false">IFERROR(S70/R70,"")</f>
        <v>17.93</v>
      </c>
      <c r="U70" s="6" t="n">
        <v>286.88</v>
      </c>
      <c r="V70" s="6" t="n">
        <v>286.88</v>
      </c>
      <c r="W70" s="8" t="n">
        <v>10</v>
      </c>
      <c r="X70" s="7" t="n">
        <f aca="false">IFERROR(S70/AH70,"")</f>
        <v>3.45638554216867</v>
      </c>
      <c r="Y70" s="9" t="n">
        <f aca="false">IFERROR(S70/AF70,"")</f>
        <v>0.275052732502397</v>
      </c>
      <c r="Z70" s="6" t="n">
        <v>12.76</v>
      </c>
      <c r="AA70" s="6" t="n">
        <v>14.92</v>
      </c>
      <c r="AB70" s="6" t="n">
        <v>27.85</v>
      </c>
      <c r="AC70" s="10" t="n">
        <v>0.312</v>
      </c>
      <c r="AD70" s="10" t="n">
        <v>0.062</v>
      </c>
      <c r="AE70" s="7" t="n">
        <v>0.519</v>
      </c>
      <c r="AF70" s="8" t="n">
        <v>1043</v>
      </c>
      <c r="AG70" s="10" t="n">
        <v>0.968</v>
      </c>
      <c r="AH70" s="8" t="n">
        <v>83</v>
      </c>
      <c r="AI70" s="8" t="n">
        <v>0</v>
      </c>
      <c r="AJ70" s="6" t="n">
        <f aca="false">IFERROR(AI70/R70,"")</f>
        <v>0</v>
      </c>
      <c r="AK70" s="10" t="n">
        <v>0</v>
      </c>
      <c r="AL70" s="10" t="n">
        <v>0</v>
      </c>
      <c r="AM70" s="9" t="n">
        <v>0</v>
      </c>
      <c r="AN70" s="8" t="n">
        <v>0</v>
      </c>
      <c r="AO70" s="10"/>
      <c r="AP70" s="8" t="n">
        <v>0</v>
      </c>
      <c r="AQ70" s="7"/>
      <c r="AR70" s="6"/>
      <c r="AS70" s="7"/>
      <c r="AT70" s="7"/>
      <c r="AU70" s="7"/>
      <c r="AV70" s="7"/>
      <c r="AW70" s="7"/>
      <c r="AX70" s="10"/>
      <c r="AY70" s="8" t="n">
        <v>83</v>
      </c>
      <c r="AZ70" s="6" t="n">
        <f aca="false">IFERROR(AY70/R70,"")</f>
        <v>5.1875</v>
      </c>
      <c r="BA70" s="10" t="n">
        <v>0.1865</v>
      </c>
      <c r="BB70" s="8" t="n">
        <v>498</v>
      </c>
      <c r="BC70" s="7" t="n">
        <f aca="false">IFERROR(BB70/AY70,"")</f>
        <v>6</v>
      </c>
      <c r="BD70" s="7" t="n">
        <v>4.904</v>
      </c>
      <c r="BE70" s="7" t="n">
        <v>1.096</v>
      </c>
      <c r="BF70" s="8" t="n">
        <v>3</v>
      </c>
      <c r="BG70" s="7"/>
      <c r="BH70" s="6"/>
      <c r="BI70" s="7"/>
      <c r="BJ70" s="8" t="n">
        <v>11</v>
      </c>
      <c r="BK70" s="8" t="n">
        <v>6</v>
      </c>
      <c r="BL70" s="8" t="n">
        <v>3</v>
      </c>
      <c r="BM70" s="8" t="n">
        <v>2</v>
      </c>
      <c r="BN70" s="7" t="n">
        <v>2.38</v>
      </c>
      <c r="BO70" s="7" t="n">
        <f aca="false">IFERROR(BM70-BN70,"")</f>
        <v>-0.38</v>
      </c>
      <c r="BP70" s="9" t="n">
        <f aca="false">IFERROR(BM70/AH70,"")</f>
        <v>0.0240963855421687</v>
      </c>
      <c r="BQ70" s="6" t="n">
        <v>26.9</v>
      </c>
      <c r="BR70" s="6" t="n">
        <v>40.7</v>
      </c>
      <c r="BS70" s="6" t="n">
        <v>23</v>
      </c>
      <c r="BT70" s="7" t="n">
        <v>2.77</v>
      </c>
      <c r="BU70" s="10" t="n">
        <v>0.2195</v>
      </c>
      <c r="BV70" s="10" t="n">
        <v>0.611111111111111</v>
      </c>
      <c r="BW70" s="7" t="n">
        <v>2.614</v>
      </c>
      <c r="BX70" s="10" t="n">
        <v>0.3427</v>
      </c>
      <c r="BY70" s="10" t="n">
        <v>0.0832</v>
      </c>
      <c r="BZ70" s="7" t="n">
        <v>2.37</v>
      </c>
      <c r="CA70" s="10" t="n">
        <v>0.205</v>
      </c>
      <c r="CB70" s="8" t="n">
        <v>1</v>
      </c>
      <c r="CC70" s="10" t="n">
        <v>0.0064</v>
      </c>
      <c r="CD70" s="10" t="n">
        <v>0.579</v>
      </c>
      <c r="CE70" s="6" t="n">
        <v>63.53</v>
      </c>
      <c r="CF70" s="6" t="n">
        <v>39</v>
      </c>
      <c r="CG70" s="7" t="n">
        <v>3.47</v>
      </c>
      <c r="CH70" s="6" t="n">
        <v>21.6</v>
      </c>
      <c r="CI70" s="9" t="n">
        <v>0.0187</v>
      </c>
      <c r="CJ70" s="9" t="n">
        <v>-0.0542</v>
      </c>
      <c r="CK70" s="8" t="n">
        <v>15</v>
      </c>
      <c r="CL70" s="10" t="n">
        <v>0.028</v>
      </c>
      <c r="CM70" s="8" t="n">
        <v>23</v>
      </c>
      <c r="CN70" s="10" t="n">
        <v>0.049</v>
      </c>
      <c r="CO70" s="8" t="n">
        <v>2</v>
      </c>
      <c r="CP70" s="7" t="n">
        <v>-0.12</v>
      </c>
      <c r="CQ70" s="7" t="n">
        <v>-0.164</v>
      </c>
      <c r="CR70" s="4" t="s">
        <v>102</v>
      </c>
      <c r="CS70" s="4"/>
    </row>
    <row r="71" customFormat="false" ht="15" hidden="false" customHeight="false" outlineLevel="0" collapsed="false">
      <c r="A71" s="3" t="n">
        <v>69</v>
      </c>
      <c r="B71" s="4" t="s">
        <v>275</v>
      </c>
      <c r="C71" s="11" t="s">
        <v>104</v>
      </c>
      <c r="D71" s="4" t="s">
        <v>276</v>
      </c>
      <c r="E71" s="4" t="s">
        <v>235</v>
      </c>
      <c r="F71" s="4" t="s">
        <v>104</v>
      </c>
      <c r="G71" s="3" t="n">
        <v>1</v>
      </c>
      <c r="H71" s="6" t="n">
        <v>24.5</v>
      </c>
      <c r="I71" s="3" t="n">
        <v>2</v>
      </c>
      <c r="J71" s="3" t="n">
        <v>7</v>
      </c>
      <c r="K71" s="7" t="n">
        <v>70.03</v>
      </c>
      <c r="L71" s="7" t="n">
        <v>10.68</v>
      </c>
      <c r="M71" s="8" t="n">
        <v>47</v>
      </c>
      <c r="N71" s="8" t="n">
        <v>99</v>
      </c>
      <c r="O71" s="7" t="n">
        <v>70.03</v>
      </c>
      <c r="P71" s="6" t="n">
        <v>90.1</v>
      </c>
      <c r="Q71" s="4" t="s">
        <v>235</v>
      </c>
      <c r="R71" s="8" t="n">
        <v>15</v>
      </c>
      <c r="S71" s="6" t="n">
        <v>88.6</v>
      </c>
      <c r="T71" s="7" t="n">
        <f aca="false">IFERROR(S71/R71,"")</f>
        <v>5.90666666666667</v>
      </c>
      <c r="U71" s="6" t="n">
        <v>83.6</v>
      </c>
      <c r="V71" s="6" t="n">
        <v>78.6</v>
      </c>
      <c r="W71" s="8" t="n">
        <v>49</v>
      </c>
      <c r="X71" s="7" t="n">
        <f aca="false">IFERROR(S71/AH71,"")</f>
        <v>0.91340206185567</v>
      </c>
      <c r="Y71" s="9" t="n">
        <f aca="false">IFERROR(S71/AF71,"")</f>
        <v>0.412093023255814</v>
      </c>
      <c r="Z71" s="6" t="n">
        <v>2.05</v>
      </c>
      <c r="AA71" s="6" t="n">
        <v>4.8</v>
      </c>
      <c r="AB71" s="6" t="n">
        <v>9.57</v>
      </c>
      <c r="AC71" s="10" t="n">
        <v>0</v>
      </c>
      <c r="AD71" s="10" t="n">
        <v>0.333</v>
      </c>
      <c r="AE71" s="7" t="n">
        <v>1.025</v>
      </c>
      <c r="AF71" s="8" t="n">
        <v>215</v>
      </c>
      <c r="AG71" s="10" t="n">
        <v>0.211</v>
      </c>
      <c r="AH71" s="8" t="n">
        <v>97</v>
      </c>
      <c r="AI71" s="8" t="n">
        <v>14</v>
      </c>
      <c r="AJ71" s="6" t="n">
        <f aca="false">IFERROR(AI71/R71,"")</f>
        <v>0.933333333333333</v>
      </c>
      <c r="AK71" s="10" t="n">
        <v>0.0295</v>
      </c>
      <c r="AL71" s="10" t="n">
        <v>0.0019</v>
      </c>
      <c r="AM71" s="9" t="n">
        <v>0.0456</v>
      </c>
      <c r="AN71" s="8" t="n">
        <v>10</v>
      </c>
      <c r="AO71" s="10" t="n">
        <f aca="false">IFERROR(AN71/AI71,"")</f>
        <v>0.714285714285714</v>
      </c>
      <c r="AP71" s="8" t="n">
        <v>79</v>
      </c>
      <c r="AQ71" s="7" t="n">
        <f aca="false">IFERROR(AP71/AI71,"")</f>
        <v>5.64285714285714</v>
      </c>
      <c r="AR71" s="6" t="n">
        <v>0.571</v>
      </c>
      <c r="AS71" s="7" t="n">
        <v>8</v>
      </c>
      <c r="AT71" s="7" t="n">
        <v>9.875</v>
      </c>
      <c r="AU71" s="7"/>
      <c r="AV71" s="7"/>
      <c r="AW71" s="7"/>
      <c r="AX71" s="10" t="n">
        <v>0</v>
      </c>
      <c r="AY71" s="8" t="n">
        <v>83</v>
      </c>
      <c r="AZ71" s="6" t="n">
        <f aca="false">IFERROR(AY71/R71,"")</f>
        <v>5.53333333333333</v>
      </c>
      <c r="BA71" s="10" t="n">
        <v>0.1917</v>
      </c>
      <c r="BB71" s="8" t="n">
        <v>307</v>
      </c>
      <c r="BC71" s="7" t="n">
        <f aca="false">IFERROR(BB71/AY71,"")</f>
        <v>3.69879518072289</v>
      </c>
      <c r="BD71" s="7" t="n">
        <v>1.651</v>
      </c>
      <c r="BE71" s="7" t="n">
        <v>2.048</v>
      </c>
      <c r="BF71" s="8" t="n">
        <v>5</v>
      </c>
      <c r="BG71" s="7"/>
      <c r="BH71" s="6"/>
      <c r="BI71" s="7"/>
      <c r="BJ71" s="8" t="n">
        <v>27</v>
      </c>
      <c r="BK71" s="8" t="n">
        <v>9</v>
      </c>
      <c r="BL71" s="8" t="n">
        <v>7</v>
      </c>
      <c r="BM71" s="8" t="n">
        <v>7</v>
      </c>
      <c r="BN71" s="7" t="n">
        <v>4.76</v>
      </c>
      <c r="BO71" s="7" t="n">
        <f aca="false">IFERROR(BM71-BN71,"")</f>
        <v>2.24</v>
      </c>
      <c r="BP71" s="9" t="n">
        <f aca="false">IFERROR(BM71/AH71,"")</f>
        <v>0.0721649484536082</v>
      </c>
      <c r="BQ71" s="6" t="n">
        <v>44.3</v>
      </c>
      <c r="BR71" s="6" t="n">
        <v>40.2</v>
      </c>
      <c r="BS71" s="6" t="n">
        <v>50.8</v>
      </c>
      <c r="BT71" s="7" t="n">
        <v>2.885</v>
      </c>
      <c r="BU71" s="10" t="n">
        <v>0.1784</v>
      </c>
      <c r="BV71" s="10" t="n">
        <v>0.5</v>
      </c>
      <c r="BW71" s="7" t="n">
        <v>2.219</v>
      </c>
      <c r="BX71" s="10" t="n">
        <v>0.2504</v>
      </c>
      <c r="BY71" s="10" t="n">
        <v>0.0647</v>
      </c>
      <c r="BZ71" s="7" t="n">
        <v>2.395</v>
      </c>
      <c r="CA71" s="10" t="n">
        <v>1</v>
      </c>
      <c r="CB71" s="8" t="n">
        <v>5</v>
      </c>
      <c r="CC71" s="10" t="n">
        <v>0.0164</v>
      </c>
      <c r="CD71" s="10" t="n">
        <v>0.5756</v>
      </c>
      <c r="CE71" s="6" t="n">
        <v>63.18</v>
      </c>
      <c r="CF71" s="6" t="n">
        <v>40</v>
      </c>
      <c r="CG71" s="7" t="n">
        <v>4.24</v>
      </c>
      <c r="CH71" s="6" t="n">
        <v>27.9</v>
      </c>
      <c r="CI71" s="9" t="n">
        <v>-0.0041</v>
      </c>
      <c r="CJ71" s="9" t="n">
        <v>0.0592</v>
      </c>
      <c r="CK71" s="8" t="n">
        <v>132</v>
      </c>
      <c r="CL71" s="10" t="n">
        <v>0.241</v>
      </c>
      <c r="CM71" s="8" t="n">
        <v>271</v>
      </c>
      <c r="CN71" s="10" t="n">
        <v>0.554</v>
      </c>
      <c r="CO71" s="8" t="n">
        <v>85</v>
      </c>
      <c r="CP71" s="7" t="n">
        <v>-1.227</v>
      </c>
      <c r="CQ71" s="7" t="n">
        <v>-1.271</v>
      </c>
      <c r="CR71" s="4" t="s">
        <v>165</v>
      </c>
      <c r="CS71" s="4"/>
    </row>
    <row r="72" customFormat="false" ht="15" hidden="false" customHeight="false" outlineLevel="0" collapsed="false">
      <c r="A72" s="3" t="n">
        <v>70</v>
      </c>
      <c r="B72" s="4" t="s">
        <v>277</v>
      </c>
      <c r="C72" s="12" t="s">
        <v>149</v>
      </c>
      <c r="D72" s="4" t="s">
        <v>278</v>
      </c>
      <c r="E72" s="4" t="s">
        <v>218</v>
      </c>
      <c r="F72" s="4" t="s">
        <v>149</v>
      </c>
      <c r="G72" s="3" t="n">
        <v>1</v>
      </c>
      <c r="H72" s="6" t="n">
        <v>25.8</v>
      </c>
      <c r="I72" s="3" t="n">
        <v>4</v>
      </c>
      <c r="J72" s="3" t="n">
        <v>11</v>
      </c>
      <c r="K72" s="7" t="n">
        <v>72.87</v>
      </c>
      <c r="L72" s="7" t="n">
        <v>12.62</v>
      </c>
      <c r="M72" s="8" t="n">
        <v>32</v>
      </c>
      <c r="N72" s="8" t="n">
        <v>111</v>
      </c>
      <c r="O72" s="7" t="n">
        <v>72.87</v>
      </c>
      <c r="P72" s="6" t="n">
        <v>92.5</v>
      </c>
      <c r="Q72" s="4" t="s">
        <v>218</v>
      </c>
      <c r="R72" s="8" t="n">
        <v>8</v>
      </c>
      <c r="S72" s="6" t="n">
        <v>117.2</v>
      </c>
      <c r="T72" s="7" t="n">
        <f aca="false">IFERROR(S72/R72,"")</f>
        <v>14.65</v>
      </c>
      <c r="U72" s="6" t="n">
        <v>101.2</v>
      </c>
      <c r="V72" s="6" t="n">
        <v>85.2</v>
      </c>
      <c r="W72" s="8" t="n">
        <v>22</v>
      </c>
      <c r="X72" s="7" t="n">
        <f aca="false">IFERROR(S72/AH72,"")</f>
        <v>2.60444444444444</v>
      </c>
      <c r="Y72" s="9" t="n">
        <f aca="false">IFERROR(S72/AF72,"")</f>
        <v>0.266970387243736</v>
      </c>
      <c r="Z72" s="6" t="n">
        <v>8.9</v>
      </c>
      <c r="AA72" s="6" t="n">
        <v>11.45</v>
      </c>
      <c r="AB72" s="6" t="n">
        <v>24.02</v>
      </c>
      <c r="AC72" s="10" t="n">
        <v>0.25</v>
      </c>
      <c r="AD72" s="10" t="n">
        <v>0</v>
      </c>
      <c r="AE72" s="7" t="n">
        <v>0.862</v>
      </c>
      <c r="AF72" s="8" t="n">
        <v>439</v>
      </c>
      <c r="AG72" s="10" t="n">
        <v>0.86</v>
      </c>
      <c r="AH72" s="8" t="n">
        <v>45</v>
      </c>
      <c r="AI72" s="8" t="n">
        <v>44</v>
      </c>
      <c r="AJ72" s="6" t="n">
        <f aca="false">IFERROR(AI72/R72,"")</f>
        <v>5.5</v>
      </c>
      <c r="AK72" s="10" t="n">
        <v>0.188</v>
      </c>
      <c r="AL72" s="10" t="n">
        <v>0.1089</v>
      </c>
      <c r="AM72" s="9" t="n">
        <v>0.3582</v>
      </c>
      <c r="AN72" s="8" t="n">
        <v>32</v>
      </c>
      <c r="AO72" s="10" t="n">
        <f aca="false">IFERROR(AN72/AI72,"")</f>
        <v>0.727272727272727</v>
      </c>
      <c r="AP72" s="8" t="n">
        <v>489</v>
      </c>
      <c r="AQ72" s="7" t="n">
        <f aca="false">IFERROR(AP72/AI72,"")</f>
        <v>11.1136363636364</v>
      </c>
      <c r="AR72" s="6" t="n">
        <v>4.568</v>
      </c>
      <c r="AS72" s="7" t="n">
        <v>10.75</v>
      </c>
      <c r="AT72" s="7" t="n">
        <v>2.433</v>
      </c>
      <c r="AU72" s="7"/>
      <c r="AV72" s="7"/>
      <c r="AW72" s="7"/>
      <c r="AX72" s="10" t="n">
        <v>0.0682</v>
      </c>
      <c r="AY72" s="8" t="n">
        <v>1</v>
      </c>
      <c r="AZ72" s="6" t="n">
        <f aca="false">IFERROR(AY72/R72,"")</f>
        <v>0.125</v>
      </c>
      <c r="BA72" s="10" t="n">
        <v>0.0044</v>
      </c>
      <c r="BB72" s="8" t="n">
        <v>3</v>
      </c>
      <c r="BC72" s="7"/>
      <c r="BD72" s="7"/>
      <c r="BE72" s="7"/>
      <c r="BF72" s="8" t="n">
        <v>0</v>
      </c>
      <c r="BG72" s="7"/>
      <c r="BH72" s="6"/>
      <c r="BI72" s="7"/>
      <c r="BJ72" s="8" t="n">
        <v>12</v>
      </c>
      <c r="BK72" s="8" t="n">
        <v>3</v>
      </c>
      <c r="BL72" s="8" t="n">
        <v>0</v>
      </c>
      <c r="BM72" s="8" t="n">
        <v>6</v>
      </c>
      <c r="BN72" s="7" t="n">
        <v>2.86</v>
      </c>
      <c r="BO72" s="7" t="n">
        <f aca="false">IFERROR(BM72-BN72,"")</f>
        <v>3.14</v>
      </c>
      <c r="BP72" s="9" t="n">
        <f aca="false">IFERROR(BM72/AH72,"")</f>
        <v>0.133333333333333</v>
      </c>
      <c r="BQ72" s="6" t="n">
        <v>52.5</v>
      </c>
      <c r="BR72" s="6" t="n">
        <v>45.3</v>
      </c>
      <c r="BS72" s="6" t="n">
        <v>58.7</v>
      </c>
      <c r="BT72" s="7" t="n">
        <v>2.905</v>
      </c>
      <c r="BU72" s="10" t="n">
        <v>0.1629</v>
      </c>
      <c r="BV72" s="10" t="n">
        <v>0.604651162790698</v>
      </c>
      <c r="BW72" s="7" t="n">
        <v>2.199</v>
      </c>
      <c r="BX72" s="10" t="n">
        <v>0.2454</v>
      </c>
      <c r="BY72" s="10" t="n">
        <v>0.0493</v>
      </c>
      <c r="BZ72" s="7" t="n">
        <v>2.41</v>
      </c>
      <c r="CA72" s="10" t="n">
        <v>0.704</v>
      </c>
      <c r="CB72" s="8" t="n">
        <v>4</v>
      </c>
      <c r="CC72" s="10" t="n">
        <v>-0.0441</v>
      </c>
      <c r="CD72" s="10" t="n">
        <v>0.5063</v>
      </c>
      <c r="CE72" s="6" t="n">
        <v>58.41</v>
      </c>
      <c r="CF72" s="6" t="n">
        <v>39</v>
      </c>
      <c r="CG72" s="7" t="n">
        <v>3.47</v>
      </c>
      <c r="CH72" s="6" t="n">
        <v>23</v>
      </c>
      <c r="CI72" s="9" t="n">
        <v>-0.0102</v>
      </c>
      <c r="CJ72" s="9" t="n">
        <v>0.229</v>
      </c>
      <c r="CK72" s="8" t="n">
        <v>155</v>
      </c>
      <c r="CL72" s="10" t="n">
        <v>0.337</v>
      </c>
      <c r="CM72" s="8" t="n">
        <v>148</v>
      </c>
      <c r="CN72" s="10" t="n">
        <v>0.301</v>
      </c>
      <c r="CO72" s="8" t="n">
        <v>52</v>
      </c>
      <c r="CP72" s="7" t="n">
        <v>-0.752</v>
      </c>
      <c r="CQ72" s="7" t="n">
        <v>0.037</v>
      </c>
      <c r="CR72" s="4" t="s">
        <v>121</v>
      </c>
      <c r="CS72" s="4"/>
    </row>
    <row r="73" customFormat="false" ht="15" hidden="false" customHeight="false" outlineLevel="0" collapsed="false">
      <c r="A73" s="3" t="n">
        <v>71</v>
      </c>
      <c r="B73" s="4" t="s">
        <v>279</v>
      </c>
      <c r="C73" s="11" t="s">
        <v>104</v>
      </c>
      <c r="D73" s="4" t="s">
        <v>280</v>
      </c>
      <c r="E73" s="4" t="s">
        <v>115</v>
      </c>
      <c r="F73" s="4" t="s">
        <v>281</v>
      </c>
      <c r="G73" s="3" t="n">
        <v>2</v>
      </c>
      <c r="H73" s="6" t="n">
        <v>22.9</v>
      </c>
      <c r="I73" s="3" t="n">
        <v>0</v>
      </c>
      <c r="J73" s="3" t="n">
        <v>11</v>
      </c>
      <c r="K73" s="7" t="n">
        <v>75.71</v>
      </c>
      <c r="L73" s="7" t="n">
        <v>8.56</v>
      </c>
      <c r="M73" s="8" t="n">
        <v>43</v>
      </c>
      <c r="N73" s="8" t="n">
        <v>89</v>
      </c>
      <c r="O73" s="7" t="n">
        <v>75.71</v>
      </c>
      <c r="P73" s="6" t="n">
        <v>89.2</v>
      </c>
      <c r="Q73" s="4"/>
      <c r="R73" s="8"/>
      <c r="S73" s="6"/>
      <c r="T73" s="7"/>
      <c r="U73" s="6"/>
      <c r="V73" s="6"/>
      <c r="W73" s="8"/>
      <c r="X73" s="7"/>
      <c r="Y73" s="9"/>
      <c r="Z73" s="6"/>
      <c r="AA73" s="6"/>
      <c r="AB73" s="6"/>
      <c r="AC73" s="10"/>
      <c r="AD73" s="10"/>
      <c r="AE73" s="7"/>
      <c r="AF73" s="8"/>
      <c r="AG73" s="10"/>
      <c r="AH73" s="8"/>
      <c r="AI73" s="8"/>
      <c r="AJ73" s="6"/>
      <c r="AK73" s="10"/>
      <c r="AL73" s="10"/>
      <c r="AM73" s="9"/>
      <c r="AN73" s="8"/>
      <c r="AO73" s="10"/>
      <c r="AP73" s="8"/>
      <c r="AQ73" s="7"/>
      <c r="AR73" s="6"/>
      <c r="AS73" s="7"/>
      <c r="AT73" s="7"/>
      <c r="AU73" s="7"/>
      <c r="AV73" s="7"/>
      <c r="AW73" s="7"/>
      <c r="AX73" s="10"/>
      <c r="AY73" s="8"/>
      <c r="AZ73" s="6"/>
      <c r="BA73" s="10"/>
      <c r="BB73" s="8"/>
      <c r="BC73" s="7"/>
      <c r="BD73" s="7"/>
      <c r="BE73" s="7"/>
      <c r="BF73" s="8"/>
      <c r="BG73" s="7"/>
      <c r="BH73" s="6"/>
      <c r="BI73" s="7"/>
      <c r="BJ73" s="8"/>
      <c r="BK73" s="8"/>
      <c r="BL73" s="8"/>
      <c r="BM73" s="8"/>
      <c r="BN73" s="7"/>
      <c r="BO73" s="7"/>
      <c r="BP73" s="9"/>
      <c r="BQ73" s="6" t="n">
        <v>49.9</v>
      </c>
      <c r="BR73" s="6" t="n">
        <v>39.3</v>
      </c>
      <c r="BS73" s="6" t="n">
        <v>60.5</v>
      </c>
      <c r="BT73" s="7" t="n">
        <v>2.758</v>
      </c>
      <c r="BU73" s="10" t="n">
        <v>0.2121</v>
      </c>
      <c r="BV73" s="10" t="n">
        <v>0.612903225806452</v>
      </c>
      <c r="BW73" s="7" t="n">
        <v>2.477</v>
      </c>
      <c r="BX73" s="10" t="n">
        <v>0.2266</v>
      </c>
      <c r="BY73" s="10" t="n">
        <v>0.0535</v>
      </c>
      <c r="BZ73" s="7" t="n">
        <v>2.4</v>
      </c>
      <c r="CA73" s="10" t="n">
        <v>0.942</v>
      </c>
      <c r="CB73" s="8" t="n">
        <v>5</v>
      </c>
      <c r="CC73" s="10" t="n">
        <v>-0.0677</v>
      </c>
      <c r="CD73" s="10" t="n">
        <v>0.5204</v>
      </c>
      <c r="CE73" s="6" t="n">
        <v>58.65</v>
      </c>
      <c r="CF73" s="6" t="n">
        <v>39</v>
      </c>
      <c r="CG73" s="7" t="n">
        <v>3.53</v>
      </c>
      <c r="CH73" s="6" t="n">
        <v>28.4</v>
      </c>
      <c r="CI73" s="9" t="n">
        <v>-0.0491</v>
      </c>
      <c r="CJ73" s="9" t="n">
        <v>0.1122</v>
      </c>
      <c r="CK73" s="8" t="n">
        <v>39</v>
      </c>
      <c r="CL73" s="10" t="n">
        <v>0.086</v>
      </c>
      <c r="CM73" s="8" t="n">
        <v>221</v>
      </c>
      <c r="CN73" s="10" t="n">
        <v>0.436</v>
      </c>
      <c r="CO73" s="8" t="n">
        <v>37</v>
      </c>
      <c r="CP73" s="7"/>
      <c r="CQ73" s="7"/>
      <c r="CR73" s="4"/>
      <c r="CS73" s="4" t="s">
        <v>206</v>
      </c>
    </row>
    <row r="74" customFormat="false" ht="15" hidden="false" customHeight="false" outlineLevel="0" collapsed="false">
      <c r="A74" s="3" t="n">
        <v>72</v>
      </c>
      <c r="B74" s="4" t="s">
        <v>282</v>
      </c>
      <c r="C74" s="11" t="s">
        <v>104</v>
      </c>
      <c r="D74" s="4" t="s">
        <v>283</v>
      </c>
      <c r="E74" s="4" t="s">
        <v>284</v>
      </c>
      <c r="F74" s="4" t="s">
        <v>104</v>
      </c>
      <c r="G74" s="3" t="n">
        <v>1</v>
      </c>
      <c r="H74" s="6" t="n">
        <v>27.8</v>
      </c>
      <c r="I74" s="3" t="n">
        <v>5</v>
      </c>
      <c r="J74" s="3" t="n">
        <v>9</v>
      </c>
      <c r="K74" s="7" t="n">
        <v>75.93</v>
      </c>
      <c r="L74" s="7" t="n">
        <v>7.26</v>
      </c>
      <c r="M74" s="8" t="n">
        <v>63</v>
      </c>
      <c r="N74" s="8" t="n">
        <v>102</v>
      </c>
      <c r="O74" s="7" t="n">
        <v>75.93</v>
      </c>
      <c r="P74" s="6" t="n">
        <v>87.8</v>
      </c>
      <c r="Q74" s="4" t="s">
        <v>284</v>
      </c>
      <c r="R74" s="8" t="n">
        <v>16</v>
      </c>
      <c r="S74" s="6" t="n">
        <v>217.1</v>
      </c>
      <c r="T74" s="7" t="n">
        <f aca="false">IFERROR(S74/R74,"")</f>
        <v>13.56875</v>
      </c>
      <c r="U74" s="6" t="n">
        <v>197.1</v>
      </c>
      <c r="V74" s="6" t="n">
        <v>177.1</v>
      </c>
      <c r="W74" s="8" t="n">
        <v>17</v>
      </c>
      <c r="X74" s="7" t="n">
        <f aca="false">IFERROR(S74/AH74,"")</f>
        <v>0.848046875</v>
      </c>
      <c r="Y74" s="9" t="n">
        <f aca="false">IFERROR(S74/AF74,"")</f>
        <v>0.443967280163599</v>
      </c>
      <c r="Z74" s="6" t="n">
        <v>9.15</v>
      </c>
      <c r="AA74" s="6" t="n">
        <v>12.95</v>
      </c>
      <c r="AB74" s="6" t="n">
        <v>17.27</v>
      </c>
      <c r="AC74" s="10" t="n">
        <v>0.25</v>
      </c>
      <c r="AD74" s="10" t="n">
        <v>0</v>
      </c>
      <c r="AE74" s="7" t="n">
        <v>0.434</v>
      </c>
      <c r="AF74" s="8" t="n">
        <v>489</v>
      </c>
      <c r="AG74" s="10" t="n">
        <v>0.508</v>
      </c>
      <c r="AH74" s="8" t="n">
        <v>256</v>
      </c>
      <c r="AI74" s="8" t="n">
        <v>45</v>
      </c>
      <c r="AJ74" s="6" t="n">
        <f aca="false">IFERROR(AI74/R74,"")</f>
        <v>2.8125</v>
      </c>
      <c r="AK74" s="10" t="n">
        <v>0.09</v>
      </c>
      <c r="AL74" s="10" t="n">
        <v>-0.0365</v>
      </c>
      <c r="AM74" s="9" t="n">
        <v>0.1095</v>
      </c>
      <c r="AN74" s="8" t="n">
        <v>40</v>
      </c>
      <c r="AO74" s="10" t="n">
        <f aca="false">IFERROR(AN74/AI74,"")</f>
        <v>0.888888888888889</v>
      </c>
      <c r="AP74" s="8" t="n">
        <v>333</v>
      </c>
      <c r="AQ74" s="7" t="n">
        <f aca="false">IFERROR(AP74/AI74,"")</f>
        <v>7.4</v>
      </c>
      <c r="AR74" s="6" t="n">
        <v>-2.511</v>
      </c>
      <c r="AS74" s="7" t="n">
        <v>10.975</v>
      </c>
      <c r="AT74" s="7" t="n">
        <v>-2.947</v>
      </c>
      <c r="AU74" s="7"/>
      <c r="AV74" s="7"/>
      <c r="AW74" s="7"/>
      <c r="AX74" s="10" t="n">
        <v>0.0222</v>
      </c>
      <c r="AY74" s="8" t="n">
        <v>211</v>
      </c>
      <c r="AZ74" s="6" t="n">
        <f aca="false">IFERROR(AY74/R74,"")</f>
        <v>13.1875</v>
      </c>
      <c r="BA74" s="10" t="n">
        <v>0.5582</v>
      </c>
      <c r="BB74" s="8" t="n">
        <v>958</v>
      </c>
      <c r="BC74" s="7" t="n">
        <f aca="false">IFERROR(BB74/AY74,"")</f>
        <v>4.54028436018957</v>
      </c>
      <c r="BD74" s="7" t="n">
        <v>2.185</v>
      </c>
      <c r="BE74" s="7" t="n">
        <v>2.355</v>
      </c>
      <c r="BF74" s="8" t="n">
        <v>23</v>
      </c>
      <c r="BG74" s="7" t="n">
        <v>0.864088576234603</v>
      </c>
      <c r="BH74" s="6" t="n">
        <v>32.2274881516588</v>
      </c>
      <c r="BI74" s="7" t="n">
        <v>3.71838204592902</v>
      </c>
      <c r="BJ74" s="8" t="n">
        <v>45</v>
      </c>
      <c r="BK74" s="8" t="n">
        <v>26</v>
      </c>
      <c r="BL74" s="8" t="n">
        <v>15</v>
      </c>
      <c r="BM74" s="8" t="n">
        <v>8</v>
      </c>
      <c r="BN74" s="7" t="n">
        <v>11.07</v>
      </c>
      <c r="BO74" s="7" t="n">
        <f aca="false">IFERROR(BM74-BN74,"")</f>
        <v>-3.07</v>
      </c>
      <c r="BP74" s="9" t="n">
        <f aca="false">IFERROR(BM74/AH74,"")</f>
        <v>0.03125</v>
      </c>
      <c r="BQ74" s="6" t="n">
        <v>57.4</v>
      </c>
      <c r="BR74" s="6" t="n">
        <v>46.5</v>
      </c>
      <c r="BS74" s="6" t="n">
        <v>65.1</v>
      </c>
      <c r="BT74" s="7" t="n">
        <v>2.87</v>
      </c>
      <c r="BU74" s="10" t="n">
        <v>0.172</v>
      </c>
      <c r="BV74" s="10" t="n">
        <v>0.68</v>
      </c>
      <c r="BW74" s="7" t="n">
        <v>2.285</v>
      </c>
      <c r="BX74" s="10" t="n">
        <v>0.1636</v>
      </c>
      <c r="BY74" s="10" t="n">
        <v>0.0526</v>
      </c>
      <c r="BZ74" s="7" t="n">
        <v>2.209</v>
      </c>
      <c r="CA74" s="10" t="n">
        <v>0.824</v>
      </c>
      <c r="CB74" s="8" t="n">
        <v>5</v>
      </c>
      <c r="CC74" s="10" t="n">
        <v>-0.007</v>
      </c>
      <c r="CD74" s="10" t="n">
        <v>0.5795</v>
      </c>
      <c r="CE74" s="6" t="n">
        <v>57.35</v>
      </c>
      <c r="CF74" s="6" t="n">
        <v>40</v>
      </c>
      <c r="CG74" s="7" t="n">
        <v>3</v>
      </c>
      <c r="CH74" s="6" t="n">
        <v>23.4</v>
      </c>
      <c r="CI74" s="9" t="n">
        <v>0.0188</v>
      </c>
      <c r="CJ74" s="9" t="n">
        <v>0.0312</v>
      </c>
      <c r="CK74" s="8" t="n">
        <v>179</v>
      </c>
      <c r="CL74" s="10" t="n">
        <v>0.343</v>
      </c>
      <c r="CM74" s="8" t="n">
        <v>129</v>
      </c>
      <c r="CN74" s="10" t="n">
        <v>0.317</v>
      </c>
      <c r="CO74" s="8" t="n">
        <v>59</v>
      </c>
      <c r="CP74" s="7" t="n">
        <v>0.246</v>
      </c>
      <c r="CQ74" s="7" t="n">
        <v>0.158</v>
      </c>
      <c r="CR74" s="4" t="s">
        <v>102</v>
      </c>
      <c r="CS74" s="4"/>
    </row>
    <row r="75" customFormat="false" ht="15" hidden="false" customHeight="false" outlineLevel="0" collapsed="false">
      <c r="A75" s="3" t="n">
        <v>73</v>
      </c>
      <c r="B75" s="4" t="s">
        <v>285</v>
      </c>
      <c r="C75" s="12" t="s">
        <v>149</v>
      </c>
      <c r="D75" s="4" t="s">
        <v>286</v>
      </c>
      <c r="E75" s="4" t="s">
        <v>258</v>
      </c>
      <c r="F75" s="4" t="s">
        <v>149</v>
      </c>
      <c r="G75" s="3" t="n">
        <v>1</v>
      </c>
      <c r="H75" s="6" t="n">
        <v>22.1</v>
      </c>
      <c r="I75" s="3" t="n">
        <v>2</v>
      </c>
      <c r="J75" s="3" t="n">
        <v>11</v>
      </c>
      <c r="K75" s="7" t="n">
        <v>76.95</v>
      </c>
      <c r="L75" s="7" t="n">
        <v>15.73</v>
      </c>
      <c r="M75" s="8" t="n">
        <v>32</v>
      </c>
      <c r="N75" s="8" t="n">
        <v>173</v>
      </c>
      <c r="O75" s="7" t="n">
        <v>76.95</v>
      </c>
      <c r="P75" s="6" t="n">
        <v>94.2</v>
      </c>
      <c r="Q75" s="4" t="s">
        <v>258</v>
      </c>
      <c r="R75" s="8" t="n">
        <v>16</v>
      </c>
      <c r="S75" s="6" t="n">
        <v>186.4</v>
      </c>
      <c r="T75" s="7" t="n">
        <f aca="false">IFERROR(S75/R75,"")</f>
        <v>11.65</v>
      </c>
      <c r="U75" s="6" t="n">
        <v>150.4</v>
      </c>
      <c r="V75" s="6" t="n">
        <v>114.4</v>
      </c>
      <c r="W75" s="8" t="n">
        <v>6</v>
      </c>
      <c r="X75" s="7" t="n">
        <f aca="false">IFERROR(S75/AH75,"")</f>
        <v>1.63508771929825</v>
      </c>
      <c r="Y75" s="9" t="n">
        <f aca="false">IFERROR(S75/AF75,"")</f>
        <v>0.237150127226463</v>
      </c>
      <c r="Z75" s="6" t="n">
        <v>8.2</v>
      </c>
      <c r="AA75" s="6" t="n">
        <v>11.15</v>
      </c>
      <c r="AB75" s="6" t="n">
        <v>17.58</v>
      </c>
      <c r="AC75" s="10" t="n">
        <v>0.25</v>
      </c>
      <c r="AD75" s="10" t="n">
        <v>0</v>
      </c>
      <c r="AE75" s="7" t="n">
        <v>0.514</v>
      </c>
      <c r="AF75" s="8" t="n">
        <v>786</v>
      </c>
      <c r="AG75" s="10" t="n">
        <v>0.759</v>
      </c>
      <c r="AH75" s="8" t="n">
        <v>114</v>
      </c>
      <c r="AI75" s="8" t="n">
        <v>107</v>
      </c>
      <c r="AJ75" s="6" t="n">
        <f aca="false">IFERROR(AI75/R75,"")</f>
        <v>6.6875</v>
      </c>
      <c r="AK75" s="10" t="n">
        <v>0.2136</v>
      </c>
      <c r="AL75" s="10" t="n">
        <v>0.19</v>
      </c>
      <c r="AM75" s="9" t="n">
        <v>0.4534</v>
      </c>
      <c r="AN75" s="8" t="n">
        <v>72</v>
      </c>
      <c r="AO75" s="10" t="n">
        <f aca="false">IFERROR(AN75/AI75,"")</f>
        <v>0.672897196261682</v>
      </c>
      <c r="AP75" s="8" t="n">
        <v>731</v>
      </c>
      <c r="AQ75" s="7" t="n">
        <f aca="false">IFERROR(AP75/AI75,"")</f>
        <v>6.83177570093458</v>
      </c>
      <c r="AR75" s="6" t="n">
        <v>6.037</v>
      </c>
      <c r="AS75" s="7" t="n">
        <v>4.889</v>
      </c>
      <c r="AT75" s="7" t="n">
        <v>1.132</v>
      </c>
      <c r="AU75" s="7" t="n">
        <v>2.94057543117714</v>
      </c>
      <c r="AV75" s="7" t="n">
        <v>5.69824175824176</v>
      </c>
      <c r="AW75" s="7" t="n">
        <v>1.21517382711858</v>
      </c>
      <c r="AX75" s="10" t="n">
        <v>0.0374</v>
      </c>
      <c r="AY75" s="8" t="n">
        <v>7</v>
      </c>
      <c r="AZ75" s="6" t="n">
        <f aca="false">IFERROR(AY75/R75,"")</f>
        <v>0.4375</v>
      </c>
      <c r="BA75" s="10" t="n">
        <v>0.0176</v>
      </c>
      <c r="BB75" s="8" t="n">
        <v>13</v>
      </c>
      <c r="BC75" s="7"/>
      <c r="BD75" s="7"/>
      <c r="BE75" s="7"/>
      <c r="BF75" s="8" t="n">
        <v>1</v>
      </c>
      <c r="BG75" s="7"/>
      <c r="BH75" s="6"/>
      <c r="BI75" s="7"/>
      <c r="BJ75" s="8" t="n">
        <v>12</v>
      </c>
      <c r="BK75" s="8" t="n">
        <v>4</v>
      </c>
      <c r="BL75" s="8" t="n">
        <v>3</v>
      </c>
      <c r="BM75" s="8" t="n">
        <v>7</v>
      </c>
      <c r="BN75" s="7" t="n">
        <v>4.44</v>
      </c>
      <c r="BO75" s="7" t="n">
        <f aca="false">IFERROR(BM75-BN75,"")</f>
        <v>2.56</v>
      </c>
      <c r="BP75" s="9" t="n">
        <f aca="false">IFERROR(BM75/AH75,"")</f>
        <v>0.0614035087719298</v>
      </c>
      <c r="BQ75" s="6" t="n">
        <v>15.1</v>
      </c>
      <c r="BR75" s="6" t="n">
        <v>18.5</v>
      </c>
      <c r="BS75" s="6" t="n">
        <v>26.5</v>
      </c>
      <c r="BT75" s="7" t="n">
        <v>2.392</v>
      </c>
      <c r="BU75" s="10" t="n">
        <v>0.225</v>
      </c>
      <c r="BV75" s="10" t="n">
        <v>0.666666666666667</v>
      </c>
      <c r="BW75" s="7" t="n">
        <v>1.808</v>
      </c>
      <c r="BX75" s="10" t="n">
        <v>0.3405</v>
      </c>
      <c r="BY75" s="10" t="n">
        <v>0.0842</v>
      </c>
      <c r="BZ75" s="7" t="n">
        <v>2.444</v>
      </c>
      <c r="CA75" s="10" t="n">
        <v>0.261</v>
      </c>
      <c r="CB75" s="8" t="n">
        <v>1</v>
      </c>
      <c r="CC75" s="10" t="n">
        <v>-0.0372</v>
      </c>
      <c r="CD75" s="10" t="n">
        <v>0.5161</v>
      </c>
      <c r="CE75" s="6" t="n">
        <v>60.47</v>
      </c>
      <c r="CF75" s="6" t="n">
        <v>39</v>
      </c>
      <c r="CG75" s="7" t="n">
        <v>2.47</v>
      </c>
      <c r="CH75" s="6" t="n">
        <v>16.4</v>
      </c>
      <c r="CI75" s="9" t="n">
        <v>-0.0478</v>
      </c>
      <c r="CJ75" s="9" t="n">
        <v>-0.2882</v>
      </c>
      <c r="CK75" s="8" t="n">
        <v>88</v>
      </c>
      <c r="CL75" s="10" t="n">
        <v>0.169</v>
      </c>
      <c r="CM75" s="8" t="n">
        <v>37</v>
      </c>
      <c r="CN75" s="10" t="n">
        <v>0.088</v>
      </c>
      <c r="CO75" s="8" t="n">
        <v>23</v>
      </c>
      <c r="CP75" s="7" t="n">
        <v>-0.015</v>
      </c>
      <c r="CQ75" s="7" t="n">
        <v>-0.103</v>
      </c>
      <c r="CR75" s="4" t="s">
        <v>102</v>
      </c>
      <c r="CS75" s="4"/>
    </row>
    <row r="76" customFormat="false" ht="15" hidden="false" customHeight="false" outlineLevel="0" collapsed="false">
      <c r="A76" s="3" t="n">
        <v>74</v>
      </c>
      <c r="B76" s="4" t="s">
        <v>287</v>
      </c>
      <c r="C76" s="5" t="s">
        <v>99</v>
      </c>
      <c r="D76" s="4" t="s">
        <v>288</v>
      </c>
      <c r="E76" s="4" t="s">
        <v>235</v>
      </c>
      <c r="F76" s="4" t="s">
        <v>99</v>
      </c>
      <c r="G76" s="3" t="n">
        <v>1</v>
      </c>
      <c r="H76" s="6" t="n">
        <v>23.9</v>
      </c>
      <c r="I76" s="3" t="n">
        <v>3</v>
      </c>
      <c r="J76" s="3" t="n">
        <v>7</v>
      </c>
      <c r="K76" s="7" t="n">
        <v>77.84</v>
      </c>
      <c r="L76" s="7" t="n">
        <v>13</v>
      </c>
      <c r="M76" s="8" t="n">
        <v>48</v>
      </c>
      <c r="N76" s="8" t="n">
        <v>110</v>
      </c>
      <c r="O76" s="7" t="n">
        <v>77.84</v>
      </c>
      <c r="P76" s="6" t="n">
        <v>87.2</v>
      </c>
      <c r="Q76" s="4" t="s">
        <v>235</v>
      </c>
      <c r="R76" s="8" t="n">
        <v>14</v>
      </c>
      <c r="S76" s="6" t="n">
        <v>138.8</v>
      </c>
      <c r="T76" s="7" t="n">
        <f aca="false">IFERROR(S76/R76,"")</f>
        <v>9.91428571428572</v>
      </c>
      <c r="U76" s="6" t="n">
        <v>114.8</v>
      </c>
      <c r="V76" s="6" t="n">
        <v>90.8</v>
      </c>
      <c r="W76" s="8" t="n">
        <v>42</v>
      </c>
      <c r="X76" s="7" t="n">
        <f aca="false">IFERROR(S76/AH76,"")</f>
        <v>1.47659574468085</v>
      </c>
      <c r="Y76" s="9" t="n">
        <f aca="false">IFERROR(S76/AF76,"")</f>
        <v>0.187314439946019</v>
      </c>
      <c r="Z76" s="6" t="n">
        <v>7.6</v>
      </c>
      <c r="AA76" s="6" t="n">
        <v>8.7</v>
      </c>
      <c r="AB76" s="6" t="n">
        <v>12.25</v>
      </c>
      <c r="AC76" s="10" t="n">
        <v>0.071</v>
      </c>
      <c r="AD76" s="10" t="n">
        <v>0</v>
      </c>
      <c r="AE76" s="7" t="n">
        <v>0.576</v>
      </c>
      <c r="AF76" s="8" t="n">
        <v>741</v>
      </c>
      <c r="AG76" s="10" t="n">
        <v>0.776</v>
      </c>
      <c r="AH76" s="8" t="n">
        <v>94</v>
      </c>
      <c r="AI76" s="8" t="n">
        <v>91</v>
      </c>
      <c r="AJ76" s="6" t="n">
        <f aca="false">IFERROR(AI76/R76,"")</f>
        <v>6.5</v>
      </c>
      <c r="AK76" s="10" t="n">
        <v>0.1928</v>
      </c>
      <c r="AL76" s="10" t="n">
        <v>0.3081</v>
      </c>
      <c r="AM76" s="9" t="n">
        <v>0.5049</v>
      </c>
      <c r="AN76" s="8" t="n">
        <v>48</v>
      </c>
      <c r="AO76" s="10" t="n">
        <f aca="false">IFERROR(AN76/AI76,"")</f>
        <v>0.527472527472528</v>
      </c>
      <c r="AP76" s="8" t="n">
        <v>707</v>
      </c>
      <c r="AQ76" s="7" t="n">
        <f aca="false">IFERROR(AP76/AI76,"")</f>
        <v>7.76923076923077</v>
      </c>
      <c r="AR76" s="6" t="n">
        <v>14.451</v>
      </c>
      <c r="AS76" s="7" t="n">
        <v>3.312</v>
      </c>
      <c r="AT76" s="7" t="n">
        <v>0.538</v>
      </c>
      <c r="AU76" s="7" t="n">
        <v>2.6550007311033</v>
      </c>
      <c r="AV76" s="7" t="n">
        <v>5.52325842696629</v>
      </c>
      <c r="AW76" s="7" t="n">
        <v>0.25187264966749</v>
      </c>
      <c r="AX76" s="10" t="n">
        <v>0.1099</v>
      </c>
      <c r="AY76" s="8" t="n">
        <v>3</v>
      </c>
      <c r="AZ76" s="6" t="n">
        <f aca="false">IFERROR(AY76/R76,"")</f>
        <v>0.214285714285714</v>
      </c>
      <c r="BA76" s="10" t="n">
        <v>0.0078</v>
      </c>
      <c r="BB76" s="8" t="n">
        <v>21</v>
      </c>
      <c r="BC76" s="7"/>
      <c r="BD76" s="7"/>
      <c r="BE76" s="7"/>
      <c r="BF76" s="8" t="n">
        <v>0</v>
      </c>
      <c r="BG76" s="7"/>
      <c r="BH76" s="6"/>
      <c r="BI76" s="7"/>
      <c r="BJ76" s="8" t="n">
        <v>8</v>
      </c>
      <c r="BK76" s="8" t="n">
        <v>6</v>
      </c>
      <c r="BL76" s="8" t="n">
        <v>1</v>
      </c>
      <c r="BM76" s="8" t="n">
        <v>3</v>
      </c>
      <c r="BN76" s="7" t="n">
        <v>3.39</v>
      </c>
      <c r="BO76" s="7" t="n">
        <f aca="false">IFERROR(BM76-BN76,"")</f>
        <v>-0.39</v>
      </c>
      <c r="BP76" s="9" t="n">
        <f aca="false">IFERROR(BM76/AH76,"")</f>
        <v>0.0319148936170213</v>
      </c>
      <c r="BQ76" s="6" t="n">
        <v>44.3</v>
      </c>
      <c r="BR76" s="6" t="n">
        <v>40.2</v>
      </c>
      <c r="BS76" s="6" t="n">
        <v>50.8</v>
      </c>
      <c r="BT76" s="7" t="n">
        <v>2.885</v>
      </c>
      <c r="BU76" s="10" t="n">
        <v>0.1784</v>
      </c>
      <c r="BV76" s="10" t="n">
        <v>0.5</v>
      </c>
      <c r="BW76" s="7" t="n">
        <v>2.219</v>
      </c>
      <c r="BX76" s="10" t="n">
        <v>0.2504</v>
      </c>
      <c r="BY76" s="10" t="n">
        <v>0.0647</v>
      </c>
      <c r="BZ76" s="7" t="n">
        <v>2.395</v>
      </c>
      <c r="CA76" s="10" t="n">
        <v>1</v>
      </c>
      <c r="CB76" s="8" t="n">
        <v>5</v>
      </c>
      <c r="CC76" s="10" t="n">
        <v>0.0164</v>
      </c>
      <c r="CD76" s="10" t="n">
        <v>0.5756</v>
      </c>
      <c r="CE76" s="6" t="n">
        <v>63.18</v>
      </c>
      <c r="CF76" s="6" t="n">
        <v>40</v>
      </c>
      <c r="CG76" s="7" t="n">
        <v>4.24</v>
      </c>
      <c r="CH76" s="6" t="n">
        <v>27.9</v>
      </c>
      <c r="CI76" s="9" t="n">
        <v>-0.0041</v>
      </c>
      <c r="CJ76" s="9" t="n">
        <v>0.0592</v>
      </c>
      <c r="CK76" s="8" t="n">
        <v>132</v>
      </c>
      <c r="CL76" s="10" t="n">
        <v>0.241</v>
      </c>
      <c r="CM76" s="8" t="n">
        <v>271</v>
      </c>
      <c r="CN76" s="10" t="n">
        <v>0.554</v>
      </c>
      <c r="CO76" s="8" t="n">
        <v>85</v>
      </c>
      <c r="CP76" s="7" t="n">
        <v>-0.637</v>
      </c>
      <c r="CQ76" s="7" t="n">
        <v>-0.856</v>
      </c>
      <c r="CR76" s="4" t="s">
        <v>121</v>
      </c>
      <c r="CS76" s="4"/>
    </row>
    <row r="77" customFormat="false" ht="15" hidden="false" customHeight="false" outlineLevel="0" collapsed="false">
      <c r="A77" s="3" t="n">
        <v>75</v>
      </c>
      <c r="B77" s="4" t="s">
        <v>289</v>
      </c>
      <c r="C77" s="5" t="s">
        <v>99</v>
      </c>
      <c r="D77" s="4" t="s">
        <v>290</v>
      </c>
      <c r="E77" s="4" t="s">
        <v>284</v>
      </c>
      <c r="F77" s="4" t="s">
        <v>99</v>
      </c>
      <c r="G77" s="3" t="n">
        <v>1</v>
      </c>
      <c r="H77" s="6" t="n">
        <v>28.7</v>
      </c>
      <c r="I77" s="3" t="n">
        <v>8</v>
      </c>
      <c r="J77" s="3" t="n">
        <v>9</v>
      </c>
      <c r="K77" s="7" t="n">
        <v>78.2</v>
      </c>
      <c r="L77" s="7" t="n">
        <v>13.05</v>
      </c>
      <c r="M77" s="8" t="n">
        <v>48</v>
      </c>
      <c r="N77" s="8" t="n">
        <v>116</v>
      </c>
      <c r="O77" s="7" t="n">
        <v>78.2</v>
      </c>
      <c r="P77" s="6" t="n">
        <v>89.6</v>
      </c>
      <c r="Q77" s="4" t="s">
        <v>284</v>
      </c>
      <c r="R77" s="8" t="n">
        <v>15</v>
      </c>
      <c r="S77" s="6" t="n">
        <v>187.2</v>
      </c>
      <c r="T77" s="7" t="n">
        <f aca="false">IFERROR(S77/R77,"")</f>
        <v>12.48</v>
      </c>
      <c r="U77" s="6" t="n">
        <v>157.7</v>
      </c>
      <c r="V77" s="6" t="n">
        <v>128.2</v>
      </c>
      <c r="W77" s="8" t="n">
        <v>26</v>
      </c>
      <c r="X77" s="7" t="n">
        <f aca="false">IFERROR(S77/AH77,"")</f>
        <v>1.85346534653465</v>
      </c>
      <c r="Y77" s="9" t="n">
        <f aca="false">IFERROR(S77/AF77,"")</f>
        <v>0.241237113402062</v>
      </c>
      <c r="Z77" s="6" t="n">
        <v>8.1</v>
      </c>
      <c r="AA77" s="6" t="n">
        <v>12.2</v>
      </c>
      <c r="AB77" s="6" t="n">
        <v>19.2</v>
      </c>
      <c r="AC77" s="10" t="n">
        <v>0.267</v>
      </c>
      <c r="AD77" s="10" t="n">
        <v>0</v>
      </c>
      <c r="AE77" s="7" t="n">
        <v>0.492</v>
      </c>
      <c r="AF77" s="8" t="n">
        <v>776</v>
      </c>
      <c r="AG77" s="10" t="n">
        <v>0.873</v>
      </c>
      <c r="AH77" s="8" t="n">
        <v>101</v>
      </c>
      <c r="AI77" s="8" t="n">
        <v>99</v>
      </c>
      <c r="AJ77" s="6" t="n">
        <f aca="false">IFERROR(AI77/R77,"")</f>
        <v>6.6</v>
      </c>
      <c r="AK77" s="10" t="n">
        <v>0.2245</v>
      </c>
      <c r="AL77" s="10" t="n">
        <v>0.3965</v>
      </c>
      <c r="AM77" s="9" t="n">
        <v>0.6143</v>
      </c>
      <c r="AN77" s="8" t="n">
        <v>59</v>
      </c>
      <c r="AO77" s="10" t="n">
        <f aca="false">IFERROR(AN77/AI77,"")</f>
        <v>0.595959595959596</v>
      </c>
      <c r="AP77" s="8" t="n">
        <v>850</v>
      </c>
      <c r="AQ77" s="7" t="n">
        <f aca="false">IFERROR(AP77/AI77,"")</f>
        <v>8.58585858585859</v>
      </c>
      <c r="AR77" s="6" t="n">
        <v>10.545</v>
      </c>
      <c r="AS77" s="7" t="n">
        <v>7.017</v>
      </c>
      <c r="AT77" s="7" t="n">
        <v>0.814</v>
      </c>
      <c r="AU77" s="7" t="n">
        <v>2.62992150395031</v>
      </c>
      <c r="AV77" s="7" t="n">
        <v>4.49783505154639</v>
      </c>
      <c r="AW77" s="7" t="n">
        <v>2.80533125614789</v>
      </c>
      <c r="AX77" s="10" t="n">
        <v>0.0505</v>
      </c>
      <c r="AY77" s="8" t="n">
        <v>2</v>
      </c>
      <c r="AZ77" s="6" t="n">
        <f aca="false">IFERROR(AY77/R77,"")</f>
        <v>0.133333333333333</v>
      </c>
      <c r="BA77" s="10" t="n">
        <v>0.0056</v>
      </c>
      <c r="BB77" s="8" t="n">
        <v>12</v>
      </c>
      <c r="BC77" s="7"/>
      <c r="BD77" s="7"/>
      <c r="BE77" s="7"/>
      <c r="BF77" s="8" t="n">
        <v>0</v>
      </c>
      <c r="BG77" s="7"/>
      <c r="BH77" s="6"/>
      <c r="BI77" s="7"/>
      <c r="BJ77" s="8" t="n">
        <v>14</v>
      </c>
      <c r="BK77" s="8" t="n">
        <v>8</v>
      </c>
      <c r="BL77" s="8" t="n">
        <v>6</v>
      </c>
      <c r="BM77" s="8" t="n">
        <v>7</v>
      </c>
      <c r="BN77" s="7" t="n">
        <v>5.87</v>
      </c>
      <c r="BO77" s="7" t="n">
        <f aca="false">IFERROR(BM77-BN77,"")</f>
        <v>1.13</v>
      </c>
      <c r="BP77" s="9" t="n">
        <f aca="false">IFERROR(BM77/AH77,"")</f>
        <v>0.0693069306930693</v>
      </c>
      <c r="BQ77" s="6" t="n">
        <v>57.4</v>
      </c>
      <c r="BR77" s="6" t="n">
        <v>46.5</v>
      </c>
      <c r="BS77" s="6" t="n">
        <v>65.1</v>
      </c>
      <c r="BT77" s="7" t="n">
        <v>2.87</v>
      </c>
      <c r="BU77" s="10" t="n">
        <v>0.172</v>
      </c>
      <c r="BV77" s="10" t="n">
        <v>0.68</v>
      </c>
      <c r="BW77" s="7" t="n">
        <v>2.285</v>
      </c>
      <c r="BX77" s="10" t="n">
        <v>0.1636</v>
      </c>
      <c r="BY77" s="10" t="n">
        <v>0.0526</v>
      </c>
      <c r="BZ77" s="7" t="n">
        <v>2.209</v>
      </c>
      <c r="CA77" s="10" t="n">
        <v>0.824</v>
      </c>
      <c r="CB77" s="8" t="n">
        <v>5</v>
      </c>
      <c r="CC77" s="10" t="n">
        <v>-0.007</v>
      </c>
      <c r="CD77" s="10" t="n">
        <v>0.5795</v>
      </c>
      <c r="CE77" s="6" t="n">
        <v>57.35</v>
      </c>
      <c r="CF77" s="6" t="n">
        <v>40</v>
      </c>
      <c r="CG77" s="7" t="n">
        <v>3</v>
      </c>
      <c r="CH77" s="6" t="n">
        <v>23.4</v>
      </c>
      <c r="CI77" s="9" t="n">
        <v>0.0188</v>
      </c>
      <c r="CJ77" s="9" t="n">
        <v>0.0312</v>
      </c>
      <c r="CK77" s="8" t="n">
        <v>179</v>
      </c>
      <c r="CL77" s="10" t="n">
        <v>0.343</v>
      </c>
      <c r="CM77" s="8" t="n">
        <v>129</v>
      </c>
      <c r="CN77" s="10" t="n">
        <v>0.317</v>
      </c>
      <c r="CO77" s="8" t="n">
        <v>59</v>
      </c>
      <c r="CP77" s="7" t="n">
        <v>0.1</v>
      </c>
      <c r="CQ77" s="7" t="n">
        <v>0.143</v>
      </c>
      <c r="CR77" s="4" t="s">
        <v>102</v>
      </c>
      <c r="CS77" s="4"/>
    </row>
    <row r="78" customFormat="false" ht="15" hidden="false" customHeight="false" outlineLevel="0" collapsed="false">
      <c r="A78" s="3" t="n">
        <v>76</v>
      </c>
      <c r="B78" s="4" t="s">
        <v>291</v>
      </c>
      <c r="C78" s="13" t="s">
        <v>172</v>
      </c>
      <c r="D78" s="4" t="s">
        <v>292</v>
      </c>
      <c r="E78" s="4" t="s">
        <v>235</v>
      </c>
      <c r="F78" s="4" t="s">
        <v>172</v>
      </c>
      <c r="G78" s="3" t="n">
        <v>1</v>
      </c>
      <c r="H78" s="6" t="n">
        <v>26.9</v>
      </c>
      <c r="I78" s="3" t="n">
        <v>6</v>
      </c>
      <c r="J78" s="3" t="n">
        <v>7</v>
      </c>
      <c r="K78" s="7" t="n">
        <v>79.86</v>
      </c>
      <c r="L78" s="7" t="n">
        <v>12.48</v>
      </c>
      <c r="M78" s="8" t="n">
        <v>59</v>
      </c>
      <c r="N78" s="8" t="n">
        <v>108</v>
      </c>
      <c r="O78" s="7" t="n">
        <v>79.86</v>
      </c>
      <c r="P78" s="6" t="n">
        <v>88.6</v>
      </c>
      <c r="Q78" s="4" t="s">
        <v>235</v>
      </c>
      <c r="R78" s="8" t="n">
        <v>17</v>
      </c>
      <c r="S78" s="6" t="n">
        <v>338.18</v>
      </c>
      <c r="T78" s="7" t="n">
        <f aca="false">IFERROR(S78/R78,"")</f>
        <v>19.8929411764706</v>
      </c>
      <c r="U78" s="6" t="n">
        <v>338.18</v>
      </c>
      <c r="V78" s="6" t="n">
        <v>338.18</v>
      </c>
      <c r="W78" s="8" t="n">
        <v>4</v>
      </c>
      <c r="X78" s="7" t="n">
        <f aca="false">IFERROR(S78/AH78,"")</f>
        <v>4.12414634146341</v>
      </c>
      <c r="Y78" s="9" t="n">
        <f aca="false">IFERROR(S78/AF78,"")</f>
        <v>0.303572710951526</v>
      </c>
      <c r="Z78" s="6" t="n">
        <v>15.02</v>
      </c>
      <c r="AA78" s="6" t="n">
        <v>19.24</v>
      </c>
      <c r="AB78" s="6" t="n">
        <v>25.06</v>
      </c>
      <c r="AC78" s="10" t="n">
        <v>0.647</v>
      </c>
      <c r="AD78" s="10" t="n">
        <v>0</v>
      </c>
      <c r="AE78" s="7" t="n">
        <v>0.457</v>
      </c>
      <c r="AF78" s="8" t="n">
        <v>1114</v>
      </c>
      <c r="AG78" s="10" t="n">
        <v>0.967</v>
      </c>
      <c r="AH78" s="8" t="n">
        <v>82</v>
      </c>
      <c r="AI78" s="8" t="n">
        <v>0</v>
      </c>
      <c r="AJ78" s="6" t="n">
        <f aca="false">IFERROR(AI78/R78,"")</f>
        <v>0</v>
      </c>
      <c r="AK78" s="10" t="n">
        <v>0</v>
      </c>
      <c r="AL78" s="10" t="n">
        <v>0</v>
      </c>
      <c r="AM78" s="9" t="n">
        <v>0</v>
      </c>
      <c r="AN78" s="8" t="n">
        <v>0</v>
      </c>
      <c r="AO78" s="10"/>
      <c r="AP78" s="8" t="n">
        <v>0</v>
      </c>
      <c r="AQ78" s="7"/>
      <c r="AR78" s="6"/>
      <c r="AS78" s="7"/>
      <c r="AT78" s="7"/>
      <c r="AU78" s="7"/>
      <c r="AV78" s="7"/>
      <c r="AW78" s="7"/>
      <c r="AX78" s="10"/>
      <c r="AY78" s="8" t="n">
        <v>82</v>
      </c>
      <c r="AZ78" s="6" t="n">
        <f aca="false">IFERROR(AY78/R78,"")</f>
        <v>4.82352941176471</v>
      </c>
      <c r="BA78" s="10" t="n">
        <v>0.1677</v>
      </c>
      <c r="BB78" s="8" t="n">
        <v>359</v>
      </c>
      <c r="BC78" s="7" t="n">
        <f aca="false">IFERROR(BB78/AY78,"")</f>
        <v>4.37804878048781</v>
      </c>
      <c r="BD78" s="7" t="n">
        <v>3.317</v>
      </c>
      <c r="BE78" s="7" t="n">
        <v>1.061</v>
      </c>
      <c r="BF78" s="8" t="n">
        <v>5</v>
      </c>
      <c r="BG78" s="7"/>
      <c r="BH78" s="6"/>
      <c r="BI78" s="7"/>
      <c r="BJ78" s="8" t="n">
        <v>23</v>
      </c>
      <c r="BK78" s="8" t="n">
        <v>14</v>
      </c>
      <c r="BL78" s="8" t="n">
        <v>10</v>
      </c>
      <c r="BM78" s="8" t="n">
        <v>9</v>
      </c>
      <c r="BN78" s="7" t="n">
        <v>5.45</v>
      </c>
      <c r="BO78" s="7" t="n">
        <f aca="false">IFERROR(BM78-BN78,"")</f>
        <v>3.55</v>
      </c>
      <c r="BP78" s="9" t="n">
        <f aca="false">IFERROR(BM78/AH78,"")</f>
        <v>0.109756097560976</v>
      </c>
      <c r="BQ78" s="6" t="n">
        <v>44.3</v>
      </c>
      <c r="BR78" s="6" t="n">
        <v>40.2</v>
      </c>
      <c r="BS78" s="6" t="n">
        <v>50.8</v>
      </c>
      <c r="BT78" s="7" t="n">
        <v>2.885</v>
      </c>
      <c r="BU78" s="10" t="n">
        <v>0.1784</v>
      </c>
      <c r="BV78" s="10" t="n">
        <v>0.5</v>
      </c>
      <c r="BW78" s="7" t="n">
        <v>2.219</v>
      </c>
      <c r="BX78" s="10" t="n">
        <v>0.2504</v>
      </c>
      <c r="BY78" s="10" t="n">
        <v>0.0647</v>
      </c>
      <c r="BZ78" s="7" t="n">
        <v>2.395</v>
      </c>
      <c r="CA78" s="10" t="n">
        <v>1</v>
      </c>
      <c r="CB78" s="8" t="n">
        <v>5</v>
      </c>
      <c r="CC78" s="10" t="n">
        <v>0.0164</v>
      </c>
      <c r="CD78" s="10" t="n">
        <v>0.5756</v>
      </c>
      <c r="CE78" s="6" t="n">
        <v>63.18</v>
      </c>
      <c r="CF78" s="6" t="n">
        <v>40</v>
      </c>
      <c r="CG78" s="7" t="n">
        <v>4.24</v>
      </c>
      <c r="CH78" s="6" t="n">
        <v>27.9</v>
      </c>
      <c r="CI78" s="9" t="n">
        <v>-0.0041</v>
      </c>
      <c r="CJ78" s="9" t="n">
        <v>0.0592</v>
      </c>
      <c r="CK78" s="8" t="n">
        <v>132</v>
      </c>
      <c r="CL78" s="10" t="n">
        <v>0.241</v>
      </c>
      <c r="CM78" s="8" t="n">
        <v>271</v>
      </c>
      <c r="CN78" s="10" t="n">
        <v>0.554</v>
      </c>
      <c r="CO78" s="8" t="n">
        <v>85</v>
      </c>
      <c r="CP78" s="7" t="n">
        <v>0.179</v>
      </c>
      <c r="CQ78" s="7" t="n">
        <v>0.134</v>
      </c>
      <c r="CR78" s="4" t="s">
        <v>102</v>
      </c>
      <c r="CS78" s="4"/>
    </row>
    <row r="79" customFormat="false" ht="15" hidden="false" customHeight="false" outlineLevel="0" collapsed="false">
      <c r="A79" s="3" t="n">
        <v>77</v>
      </c>
      <c r="B79" s="4" t="s">
        <v>293</v>
      </c>
      <c r="C79" s="13" t="s">
        <v>172</v>
      </c>
      <c r="D79" s="4" t="s">
        <v>294</v>
      </c>
      <c r="E79" s="4" t="s">
        <v>120</v>
      </c>
      <c r="F79" s="4" t="s">
        <v>172</v>
      </c>
      <c r="G79" s="3" t="n">
        <v>1</v>
      </c>
      <c r="H79" s="6" t="n">
        <v>33.1</v>
      </c>
      <c r="I79" s="3" t="n">
        <v>11</v>
      </c>
      <c r="J79" s="3" t="n">
        <v>14</v>
      </c>
      <c r="K79" s="7" t="n">
        <v>80.01</v>
      </c>
      <c r="L79" s="7" t="n">
        <v>12.87</v>
      </c>
      <c r="M79" s="8" t="n">
        <v>37</v>
      </c>
      <c r="N79" s="8" t="n">
        <v>108</v>
      </c>
      <c r="O79" s="7" t="n">
        <v>80.01</v>
      </c>
      <c r="P79" s="6" t="n">
        <v>92.1</v>
      </c>
      <c r="Q79" s="4" t="s">
        <v>120</v>
      </c>
      <c r="R79" s="8" t="n">
        <v>17</v>
      </c>
      <c r="S79" s="6" t="n">
        <v>313.78</v>
      </c>
      <c r="T79" s="7" t="n">
        <f aca="false">IFERROR(S79/R79,"")</f>
        <v>18.4576470588235</v>
      </c>
      <c r="U79" s="6" t="n">
        <v>313.78</v>
      </c>
      <c r="V79" s="6" t="n">
        <v>313.78</v>
      </c>
      <c r="W79" s="8" t="n">
        <v>6</v>
      </c>
      <c r="X79" s="7" t="n">
        <f aca="false">IFERROR(S79/AH79,"")</f>
        <v>5.92037735849057</v>
      </c>
      <c r="Y79" s="9" t="n">
        <f aca="false">IFERROR(S79/AF79,"")</f>
        <v>0.276458149779736</v>
      </c>
      <c r="Z79" s="6" t="n">
        <v>12.04</v>
      </c>
      <c r="AA79" s="6" t="n">
        <v>20.6</v>
      </c>
      <c r="AB79" s="6" t="n">
        <v>25.96</v>
      </c>
      <c r="AC79" s="10" t="n">
        <v>0.588</v>
      </c>
      <c r="AD79" s="10" t="n">
        <v>0.118</v>
      </c>
      <c r="AE79" s="7" t="n">
        <v>0.402</v>
      </c>
      <c r="AF79" s="8" t="n">
        <v>1135</v>
      </c>
      <c r="AG79" s="10" t="n">
        <v>0.951</v>
      </c>
      <c r="AH79" s="8" t="n">
        <v>53</v>
      </c>
      <c r="AI79" s="8" t="n">
        <v>0</v>
      </c>
      <c r="AJ79" s="6" t="n">
        <f aca="false">IFERROR(AI79/R79,"")</f>
        <v>0</v>
      </c>
      <c r="AK79" s="10" t="n">
        <v>0</v>
      </c>
      <c r="AL79" s="10" t="n">
        <v>0</v>
      </c>
      <c r="AM79" s="9" t="n">
        <v>0</v>
      </c>
      <c r="AN79" s="8" t="n">
        <v>0</v>
      </c>
      <c r="AO79" s="10"/>
      <c r="AP79" s="8" t="n">
        <v>0</v>
      </c>
      <c r="AQ79" s="7"/>
      <c r="AR79" s="6"/>
      <c r="AS79" s="7"/>
      <c r="AT79" s="7"/>
      <c r="AU79" s="7"/>
      <c r="AV79" s="7"/>
      <c r="AW79" s="7"/>
      <c r="AX79" s="10"/>
      <c r="AY79" s="8" t="n">
        <v>53</v>
      </c>
      <c r="AZ79" s="6" t="n">
        <f aca="false">IFERROR(AY79/R79,"")</f>
        <v>3.11764705882353</v>
      </c>
      <c r="BA79" s="10" t="n">
        <v>0.114</v>
      </c>
      <c r="BB79" s="8" t="n">
        <v>177</v>
      </c>
      <c r="BC79" s="7" t="n">
        <f aca="false">IFERROR(BB79/AY79,"")</f>
        <v>3.33962264150943</v>
      </c>
      <c r="BD79" s="7" t="n">
        <v>2.642</v>
      </c>
      <c r="BE79" s="7" t="n">
        <v>0.698</v>
      </c>
      <c r="BF79" s="8" t="n">
        <v>3</v>
      </c>
      <c r="BG79" s="7"/>
      <c r="BH79" s="6"/>
      <c r="BI79" s="7"/>
      <c r="BJ79" s="8" t="n">
        <v>8</v>
      </c>
      <c r="BK79" s="8" t="n">
        <v>6</v>
      </c>
      <c r="BL79" s="8" t="n">
        <v>4</v>
      </c>
      <c r="BM79" s="8" t="n">
        <v>2</v>
      </c>
      <c r="BN79" s="7" t="n">
        <v>2.34</v>
      </c>
      <c r="BO79" s="7" t="n">
        <f aca="false">IFERROR(BM79-BN79,"")</f>
        <v>-0.34</v>
      </c>
      <c r="BP79" s="9" t="n">
        <f aca="false">IFERROR(BM79/AH79,"")</f>
        <v>0.0377358490566038</v>
      </c>
      <c r="BQ79" s="6" t="n">
        <v>65.1</v>
      </c>
      <c r="BR79" s="6" t="n">
        <v>61.6</v>
      </c>
      <c r="BS79" s="6" t="n">
        <v>62.2</v>
      </c>
      <c r="BT79" s="7" t="n">
        <v>3.074</v>
      </c>
      <c r="BU79" s="10" t="n">
        <v>0.1352</v>
      </c>
      <c r="BV79" s="10" t="n">
        <v>0.705882352941177</v>
      </c>
      <c r="BW79" s="7" t="n">
        <v>2.563</v>
      </c>
      <c r="BX79" s="10" t="n">
        <v>0.2356</v>
      </c>
      <c r="BY79" s="10" t="n">
        <v>0.044</v>
      </c>
      <c r="BZ79" s="7" t="n">
        <v>2.396</v>
      </c>
      <c r="CA79" s="10" t="n">
        <v>0.848</v>
      </c>
      <c r="CB79" s="8" t="n">
        <v>5</v>
      </c>
      <c r="CC79" s="10" t="n">
        <v>-0.0098</v>
      </c>
      <c r="CD79" s="10" t="n">
        <v>0.5628</v>
      </c>
      <c r="CE79" s="6" t="n">
        <v>64.94</v>
      </c>
      <c r="CF79" s="6" t="n">
        <v>36</v>
      </c>
      <c r="CG79" s="7" t="n">
        <v>3.82</v>
      </c>
      <c r="CH79" s="6" t="n">
        <v>27.7</v>
      </c>
      <c r="CI79" s="9" t="n">
        <v>0.005</v>
      </c>
      <c r="CJ79" s="9" t="n">
        <v>0.1615</v>
      </c>
      <c r="CK79" s="8" t="n">
        <v>34</v>
      </c>
      <c r="CL79" s="10" t="n">
        <v>0.056</v>
      </c>
      <c r="CM79" s="8" t="n">
        <v>0</v>
      </c>
      <c r="CN79" s="10" t="n">
        <v>0</v>
      </c>
      <c r="CO79" s="8" t="n">
        <v>4</v>
      </c>
      <c r="CP79" s="7" t="n">
        <v>0.126</v>
      </c>
      <c r="CQ79" s="7" t="n">
        <v>-0.005</v>
      </c>
      <c r="CR79" s="4" t="s">
        <v>102</v>
      </c>
      <c r="CS79" s="4"/>
    </row>
    <row r="80" customFormat="false" ht="15" hidden="false" customHeight="false" outlineLevel="0" collapsed="false">
      <c r="A80" s="3" t="n">
        <v>78</v>
      </c>
      <c r="B80" s="4" t="s">
        <v>295</v>
      </c>
      <c r="C80" s="11" t="s">
        <v>104</v>
      </c>
      <c r="D80" s="4" t="s">
        <v>296</v>
      </c>
      <c r="E80" s="4" t="s">
        <v>265</v>
      </c>
      <c r="F80" s="4" t="s">
        <v>104</v>
      </c>
      <c r="G80" s="3" t="n">
        <v>1</v>
      </c>
      <c r="H80" s="6" t="n">
        <v>29.3</v>
      </c>
      <c r="I80" s="3" t="n">
        <v>8</v>
      </c>
      <c r="J80" s="3" t="n">
        <v>9</v>
      </c>
      <c r="K80" s="7" t="n">
        <v>81.52</v>
      </c>
      <c r="L80" s="7" t="n">
        <v>8.37</v>
      </c>
      <c r="M80" s="8" t="n">
        <v>58</v>
      </c>
      <c r="N80" s="8" t="n">
        <v>102</v>
      </c>
      <c r="O80" s="7" t="n">
        <v>81.52</v>
      </c>
      <c r="P80" s="6" t="n">
        <v>86.5</v>
      </c>
      <c r="Q80" s="4" t="s">
        <v>265</v>
      </c>
      <c r="R80" s="8" t="n">
        <v>17</v>
      </c>
      <c r="S80" s="6" t="n">
        <v>185.8</v>
      </c>
      <c r="T80" s="7" t="n">
        <f aca="false">IFERROR(S80/R80,"")</f>
        <v>10.9294117647059</v>
      </c>
      <c r="U80" s="6" t="n">
        <v>169.3</v>
      </c>
      <c r="V80" s="6" t="n">
        <v>152.8</v>
      </c>
      <c r="W80" s="8" t="n">
        <v>23</v>
      </c>
      <c r="X80" s="7" t="n">
        <f aca="false">IFERROR(S80/AH80,"")</f>
        <v>0.656537102473498</v>
      </c>
      <c r="Y80" s="9" t="n">
        <f aca="false">IFERROR(S80/AF80,"")</f>
        <v>0.282800608828006</v>
      </c>
      <c r="Z80" s="6" t="n">
        <v>7.8</v>
      </c>
      <c r="AA80" s="6" t="n">
        <v>9.5</v>
      </c>
      <c r="AB80" s="6" t="n">
        <v>14.44</v>
      </c>
      <c r="AC80" s="10" t="n">
        <v>0.118</v>
      </c>
      <c r="AD80" s="10" t="n">
        <v>0</v>
      </c>
      <c r="AE80" s="7" t="n">
        <v>0.592</v>
      </c>
      <c r="AF80" s="8" t="n">
        <v>657</v>
      </c>
      <c r="AG80" s="10" t="n">
        <v>0.625</v>
      </c>
      <c r="AH80" s="8" t="n">
        <v>283</v>
      </c>
      <c r="AI80" s="8" t="n">
        <v>41</v>
      </c>
      <c r="AJ80" s="6" t="n">
        <f aca="false">IFERROR(AI80/R80,"")</f>
        <v>2.41176470588235</v>
      </c>
      <c r="AK80" s="10" t="n">
        <v>0.0774</v>
      </c>
      <c r="AL80" s="10" t="n">
        <v>0.0031</v>
      </c>
      <c r="AM80" s="9" t="n">
        <v>0.1183</v>
      </c>
      <c r="AN80" s="8" t="n">
        <v>33</v>
      </c>
      <c r="AO80" s="10" t="n">
        <f aca="false">IFERROR(AN80/AI80,"")</f>
        <v>0.804878048780488</v>
      </c>
      <c r="AP80" s="8" t="n">
        <v>206</v>
      </c>
      <c r="AQ80" s="7" t="n">
        <f aca="false">IFERROR(AP80/AI80,"")</f>
        <v>5.02439024390244</v>
      </c>
      <c r="AR80" s="6" t="n">
        <v>0.293</v>
      </c>
      <c r="AS80" s="7" t="n">
        <v>6.152</v>
      </c>
      <c r="AT80" s="7" t="n">
        <v>17.167</v>
      </c>
      <c r="AU80" s="7"/>
      <c r="AV80" s="7"/>
      <c r="AW80" s="7"/>
      <c r="AX80" s="10" t="n">
        <v>0.0488</v>
      </c>
      <c r="AY80" s="8" t="n">
        <v>242</v>
      </c>
      <c r="AZ80" s="6" t="n">
        <f aca="false">IFERROR(AY80/R80,"")</f>
        <v>14.2352941176471</v>
      </c>
      <c r="BA80" s="10" t="n">
        <v>0.6402</v>
      </c>
      <c r="BB80" s="8" t="n">
        <v>1082</v>
      </c>
      <c r="BC80" s="7" t="n">
        <f aca="false">IFERROR(BB80/AY80,"")</f>
        <v>4.47107438016529</v>
      </c>
      <c r="BD80" s="7" t="n">
        <v>2.645</v>
      </c>
      <c r="BE80" s="7" t="n">
        <v>1.826</v>
      </c>
      <c r="BF80" s="8" t="n">
        <v>16</v>
      </c>
      <c r="BG80" s="7" t="n">
        <v>0.467723623597291</v>
      </c>
      <c r="BH80" s="6" t="n">
        <v>23.1404958677686</v>
      </c>
      <c r="BI80" s="7" t="n">
        <v>3.74306839186691</v>
      </c>
      <c r="BJ80" s="8" t="n">
        <v>20</v>
      </c>
      <c r="BK80" s="8" t="n">
        <v>12</v>
      </c>
      <c r="BL80" s="8" t="n">
        <v>4</v>
      </c>
      <c r="BM80" s="8" t="n">
        <v>5</v>
      </c>
      <c r="BN80" s="7" t="n">
        <v>5.57</v>
      </c>
      <c r="BO80" s="7" t="n">
        <f aca="false">IFERROR(BM80-BN80,"")</f>
        <v>-0.57</v>
      </c>
      <c r="BP80" s="9" t="n">
        <f aca="false">IFERROR(BM80/AH80,"")</f>
        <v>0.0176678445229682</v>
      </c>
      <c r="BQ80" s="6" t="n">
        <v>41.1</v>
      </c>
      <c r="BR80" s="6" t="n">
        <v>58.4</v>
      </c>
      <c r="BS80" s="6" t="n">
        <v>27.6</v>
      </c>
      <c r="BT80" s="7" t="n">
        <v>3.085</v>
      </c>
      <c r="BU80" s="10" t="n">
        <v>0.1549</v>
      </c>
      <c r="BV80" s="10" t="n">
        <v>0.666666666666667</v>
      </c>
      <c r="BW80" s="7" t="n">
        <v>2.54</v>
      </c>
      <c r="BX80" s="10" t="n">
        <v>0.3175</v>
      </c>
      <c r="BY80" s="10" t="n">
        <v>0.0872</v>
      </c>
      <c r="BZ80" s="7" t="n">
        <v>2.389</v>
      </c>
      <c r="CA80" s="10" t="n">
        <v>0.527</v>
      </c>
      <c r="CB80" s="8" t="n">
        <v>3</v>
      </c>
      <c r="CC80" s="10" t="n">
        <v>-0.0385</v>
      </c>
      <c r="CD80" s="10" t="n">
        <v>0.5401</v>
      </c>
      <c r="CE80" s="6" t="n">
        <v>58.53</v>
      </c>
      <c r="CF80" s="6" t="n">
        <v>40</v>
      </c>
      <c r="CG80" s="7" t="n">
        <v>2.06</v>
      </c>
      <c r="CH80" s="6" t="n">
        <v>16.7</v>
      </c>
      <c r="CI80" s="9" t="n">
        <v>-0.0573</v>
      </c>
      <c r="CJ80" s="9" t="n">
        <v>-0.2208</v>
      </c>
      <c r="CK80" s="8" t="n">
        <v>152</v>
      </c>
      <c r="CL80" s="10" t="n">
        <v>0.287</v>
      </c>
      <c r="CM80" s="8" t="n">
        <v>0</v>
      </c>
      <c r="CN80" s="10" t="n">
        <v>0</v>
      </c>
      <c r="CO80" s="8" t="n">
        <v>8</v>
      </c>
      <c r="CP80" s="7" t="n">
        <v>0.019</v>
      </c>
      <c r="CQ80" s="7" t="n">
        <v>-0.332</v>
      </c>
      <c r="CR80" s="4" t="s">
        <v>102</v>
      </c>
      <c r="CS80" s="4"/>
    </row>
    <row r="81" customFormat="false" ht="15" hidden="false" customHeight="false" outlineLevel="0" collapsed="false">
      <c r="A81" s="3" t="n">
        <v>79</v>
      </c>
      <c r="B81" s="4" t="s">
        <v>297</v>
      </c>
      <c r="C81" s="5" t="s">
        <v>99</v>
      </c>
      <c r="D81" s="4" t="s">
        <v>298</v>
      </c>
      <c r="E81" s="4" t="s">
        <v>198</v>
      </c>
      <c r="F81" s="4" t="s">
        <v>99</v>
      </c>
      <c r="G81" s="3" t="n">
        <v>2</v>
      </c>
      <c r="H81" s="6" t="n">
        <v>30.5</v>
      </c>
      <c r="I81" s="3" t="n">
        <v>10</v>
      </c>
      <c r="J81" s="3" t="n">
        <v>10</v>
      </c>
      <c r="K81" s="7" t="n">
        <v>81.74</v>
      </c>
      <c r="L81" s="7" t="n">
        <v>12.65</v>
      </c>
      <c r="M81" s="8" t="n">
        <v>51</v>
      </c>
      <c r="N81" s="8" t="n">
        <v>123</v>
      </c>
      <c r="O81" s="7" t="n">
        <v>81.74</v>
      </c>
      <c r="P81" s="6" t="n">
        <v>80</v>
      </c>
      <c r="Q81" s="4" t="s">
        <v>198</v>
      </c>
      <c r="R81" s="8" t="n">
        <v>9</v>
      </c>
      <c r="S81" s="6" t="n">
        <v>83</v>
      </c>
      <c r="T81" s="7" t="n">
        <f aca="false">IFERROR(S81/R81,"")</f>
        <v>9.22222222222222</v>
      </c>
      <c r="U81" s="6" t="n">
        <v>66.5</v>
      </c>
      <c r="V81" s="6" t="n">
        <v>50</v>
      </c>
      <c r="W81" s="8" t="n">
        <v>67</v>
      </c>
      <c r="X81" s="7" t="n">
        <f aca="false">IFERROR(S81/AH81,"")</f>
        <v>1.62745098039216</v>
      </c>
      <c r="Y81" s="9" t="n">
        <f aca="false">IFERROR(S81/AF81,"")</f>
        <v>0.19392523364486</v>
      </c>
      <c r="Z81" s="6" t="n">
        <v>5.6</v>
      </c>
      <c r="AA81" s="6" t="n">
        <v>8</v>
      </c>
      <c r="AB81" s="6" t="n">
        <v>13.36</v>
      </c>
      <c r="AC81" s="10" t="n">
        <v>0.111</v>
      </c>
      <c r="AD81" s="10" t="n">
        <v>0</v>
      </c>
      <c r="AE81" s="7" t="n">
        <v>0.841</v>
      </c>
      <c r="AF81" s="8" t="n">
        <v>428</v>
      </c>
      <c r="AG81" s="10" t="n">
        <v>0.709</v>
      </c>
      <c r="AH81" s="8" t="n">
        <v>51</v>
      </c>
      <c r="AI81" s="8" t="n">
        <v>51</v>
      </c>
      <c r="AJ81" s="6" t="n">
        <f aca="false">IFERROR(AI81/R81,"")</f>
        <v>5.66666666666667</v>
      </c>
      <c r="AK81" s="10" t="n">
        <v>0.1828</v>
      </c>
      <c r="AL81" s="10" t="n">
        <v>0.1682</v>
      </c>
      <c r="AM81" s="9" t="n">
        <v>0.3919</v>
      </c>
      <c r="AN81" s="8" t="n">
        <v>33</v>
      </c>
      <c r="AO81" s="10" t="n">
        <f aca="false">IFERROR(AN81/AI81,"")</f>
        <v>0.647058823529412</v>
      </c>
      <c r="AP81" s="8" t="n">
        <v>360</v>
      </c>
      <c r="AQ81" s="7" t="n">
        <f aca="false">IFERROR(AP81/AI81,"")</f>
        <v>7.05882352941176</v>
      </c>
      <c r="AR81" s="6" t="n">
        <v>7.078</v>
      </c>
      <c r="AS81" s="7" t="n">
        <v>6.242</v>
      </c>
      <c r="AT81" s="7" t="n">
        <v>0.997</v>
      </c>
      <c r="AU81" s="7" t="n">
        <v>2.81786294099097</v>
      </c>
      <c r="AV81" s="7" t="n">
        <v>6.59708333333333</v>
      </c>
      <c r="AW81" s="7" t="n">
        <v>2.19816314197396</v>
      </c>
      <c r="AX81" s="10" t="n">
        <v>0.0196</v>
      </c>
      <c r="AY81" s="8" t="n">
        <v>0</v>
      </c>
      <c r="AZ81" s="6" t="n">
        <f aca="false">IFERROR(AY81/R81,"")</f>
        <v>0</v>
      </c>
      <c r="BA81" s="10" t="n">
        <v>0</v>
      </c>
      <c r="BB81" s="8" t="n">
        <v>0</v>
      </c>
      <c r="BC81" s="7"/>
      <c r="BD81" s="7"/>
      <c r="BE81" s="7"/>
      <c r="BF81" s="8"/>
      <c r="BG81" s="7"/>
      <c r="BH81" s="6"/>
      <c r="BI81" s="7"/>
      <c r="BJ81" s="8" t="n">
        <v>7</v>
      </c>
      <c r="BK81" s="8" t="n">
        <v>5</v>
      </c>
      <c r="BL81" s="8" t="n">
        <v>2</v>
      </c>
      <c r="BM81" s="8" t="n">
        <v>2</v>
      </c>
      <c r="BN81" s="7" t="n">
        <v>2.75</v>
      </c>
      <c r="BO81" s="7" t="n">
        <f aca="false">IFERROR(BM81-BN81,"")</f>
        <v>-0.75</v>
      </c>
      <c r="BP81" s="9" t="n">
        <f aca="false">IFERROR(BM81/AH81,"")</f>
        <v>0.0392156862745098</v>
      </c>
      <c r="BQ81" s="6" t="n">
        <v>57.4</v>
      </c>
      <c r="BR81" s="6" t="n">
        <v>46.3</v>
      </c>
      <c r="BS81" s="6" t="n">
        <v>65.4</v>
      </c>
      <c r="BT81" s="7" t="n">
        <v>2.736</v>
      </c>
      <c r="BU81" s="10" t="n">
        <v>0.1938</v>
      </c>
      <c r="BV81" s="10" t="n">
        <v>0.708333333333333</v>
      </c>
      <c r="BW81" s="7" t="n">
        <v>2.699</v>
      </c>
      <c r="BX81" s="10" t="n">
        <v>0.172</v>
      </c>
      <c r="BY81" s="10" t="n">
        <v>0.0571</v>
      </c>
      <c r="BZ81" s="7" t="n">
        <v>2.292</v>
      </c>
      <c r="CA81" s="10" t="n">
        <v>0.791</v>
      </c>
      <c r="CB81" s="8" t="n">
        <v>4</v>
      </c>
      <c r="CC81" s="10" t="n">
        <v>-0.0347</v>
      </c>
      <c r="CD81" s="10" t="n">
        <v>0.5148</v>
      </c>
      <c r="CE81" s="6" t="n">
        <v>62.65</v>
      </c>
      <c r="CF81" s="6" t="n">
        <v>41</v>
      </c>
      <c r="CG81" s="7" t="n">
        <v>3.12</v>
      </c>
      <c r="CH81" s="6" t="n">
        <v>22.4</v>
      </c>
      <c r="CI81" s="9" t="n">
        <v>0.0138</v>
      </c>
      <c r="CJ81" s="9" t="n">
        <v>-0.0264</v>
      </c>
      <c r="CK81" s="8" t="n">
        <v>111</v>
      </c>
      <c r="CL81" s="10" t="n">
        <v>0.205</v>
      </c>
      <c r="CM81" s="8" t="n">
        <v>138</v>
      </c>
      <c r="CN81" s="10" t="n">
        <v>0.292</v>
      </c>
      <c r="CO81" s="8" t="n">
        <v>38</v>
      </c>
      <c r="CP81" s="7" t="n">
        <v>-1.661</v>
      </c>
      <c r="CQ81" s="7" t="n">
        <v>-0.961</v>
      </c>
      <c r="CR81" s="4" t="s">
        <v>165</v>
      </c>
      <c r="CS81" s="4"/>
    </row>
    <row r="82" customFormat="false" ht="15" hidden="false" customHeight="false" outlineLevel="0" collapsed="false">
      <c r="A82" s="3" t="n">
        <v>80</v>
      </c>
      <c r="B82" s="4" t="s">
        <v>299</v>
      </c>
      <c r="C82" s="11" t="s">
        <v>104</v>
      </c>
      <c r="D82" s="4" t="s">
        <v>300</v>
      </c>
      <c r="E82" s="4" t="s">
        <v>135</v>
      </c>
      <c r="F82" s="4" t="s">
        <v>104</v>
      </c>
      <c r="G82" s="3" t="n">
        <v>1</v>
      </c>
      <c r="H82" s="6" t="n">
        <v>28.5</v>
      </c>
      <c r="I82" s="3" t="n">
        <v>6</v>
      </c>
      <c r="J82" s="3" t="n">
        <v>11</v>
      </c>
      <c r="K82" s="7" t="n">
        <v>81.99</v>
      </c>
      <c r="L82" s="7" t="n">
        <v>8.38</v>
      </c>
      <c r="M82" s="8" t="n">
        <v>65</v>
      </c>
      <c r="N82" s="8" t="n">
        <v>103</v>
      </c>
      <c r="O82" s="7" t="n">
        <v>81.99</v>
      </c>
      <c r="P82" s="6" t="n">
        <v>85.6</v>
      </c>
      <c r="Q82" s="4" t="s">
        <v>135</v>
      </c>
      <c r="R82" s="8" t="n">
        <v>14</v>
      </c>
      <c r="S82" s="6" t="n">
        <v>178.8</v>
      </c>
      <c r="T82" s="7" t="n">
        <f aca="false">IFERROR(S82/R82,"")</f>
        <v>12.7714285714286</v>
      </c>
      <c r="U82" s="6" t="n">
        <v>162.8</v>
      </c>
      <c r="V82" s="6" t="n">
        <v>146.8</v>
      </c>
      <c r="W82" s="8" t="n">
        <v>25</v>
      </c>
      <c r="X82" s="7" t="n">
        <f aca="false">IFERROR(S82/AH82,"")</f>
        <v>1.07065868263473</v>
      </c>
      <c r="Y82" s="9" t="n">
        <f aca="false">IFERROR(S82/AF82,"")</f>
        <v>0.335459662288931</v>
      </c>
      <c r="Z82" s="6" t="n">
        <v>4.8</v>
      </c>
      <c r="AA82" s="6" t="n">
        <v>10.85</v>
      </c>
      <c r="AB82" s="6" t="n">
        <v>21.5</v>
      </c>
      <c r="AC82" s="10" t="n">
        <v>0.214</v>
      </c>
      <c r="AD82" s="10" t="n">
        <v>0.143</v>
      </c>
      <c r="AE82" s="7" t="n">
        <v>0.927</v>
      </c>
      <c r="AF82" s="8" t="n">
        <v>533</v>
      </c>
      <c r="AG82" s="10" t="n">
        <v>0.594</v>
      </c>
      <c r="AH82" s="8" t="n">
        <v>167</v>
      </c>
      <c r="AI82" s="8" t="n">
        <v>37</v>
      </c>
      <c r="AJ82" s="6" t="n">
        <f aca="false">IFERROR(AI82/R82,"")</f>
        <v>2.64285714285714</v>
      </c>
      <c r="AK82" s="10" t="n">
        <v>0.0944</v>
      </c>
      <c r="AL82" s="10" t="n">
        <v>0.0462</v>
      </c>
      <c r="AM82" s="9" t="n">
        <v>0.1739</v>
      </c>
      <c r="AN82" s="8" t="n">
        <v>32</v>
      </c>
      <c r="AO82" s="10" t="n">
        <f aca="false">IFERROR(AN82/AI82,"")</f>
        <v>0.864864864864865</v>
      </c>
      <c r="AP82" s="8" t="n">
        <v>345</v>
      </c>
      <c r="AQ82" s="7" t="n">
        <f aca="false">IFERROR(AP82/AI82,"")</f>
        <v>9.32432432432433</v>
      </c>
      <c r="AR82" s="6" t="n">
        <v>4.297</v>
      </c>
      <c r="AS82" s="7" t="n">
        <v>8.219</v>
      </c>
      <c r="AT82" s="7" t="n">
        <v>2.17</v>
      </c>
      <c r="AU82" s="7"/>
      <c r="AV82" s="7"/>
      <c r="AW82" s="7"/>
      <c r="AX82" s="10" t="n">
        <v>0</v>
      </c>
      <c r="AY82" s="8" t="n">
        <v>130</v>
      </c>
      <c r="AZ82" s="6" t="n">
        <f aca="false">IFERROR(AY82/R82,"")</f>
        <v>9.28571428571429</v>
      </c>
      <c r="BA82" s="10" t="n">
        <v>0.3194</v>
      </c>
      <c r="BB82" s="8" t="n">
        <v>603</v>
      </c>
      <c r="BC82" s="7" t="n">
        <f aca="false">IFERROR(BB82/AY82,"")</f>
        <v>4.63846153846154</v>
      </c>
      <c r="BD82" s="7" t="n">
        <v>1.869</v>
      </c>
      <c r="BE82" s="7" t="n">
        <v>2.769</v>
      </c>
      <c r="BF82" s="8" t="n">
        <v>16</v>
      </c>
      <c r="BG82" s="7" t="n">
        <v>1.36148598958441</v>
      </c>
      <c r="BH82" s="6" t="n">
        <v>31.5384615384615</v>
      </c>
      <c r="BI82" s="7" t="n">
        <v>3.5201824212272</v>
      </c>
      <c r="BJ82" s="8" t="n">
        <v>31</v>
      </c>
      <c r="BK82" s="8" t="n">
        <v>16</v>
      </c>
      <c r="BL82" s="8" t="n">
        <v>11</v>
      </c>
      <c r="BM82" s="8" t="n">
        <v>9</v>
      </c>
      <c r="BN82" s="7" t="n">
        <v>7.83</v>
      </c>
      <c r="BO82" s="7" t="n">
        <f aca="false">IFERROR(BM82-BN82,"")</f>
        <v>1.17</v>
      </c>
      <c r="BP82" s="9" t="n">
        <f aca="false">IFERROR(BM82/AH82,"")</f>
        <v>0.0538922155688623</v>
      </c>
      <c r="BQ82" s="6" t="n">
        <v>41.6</v>
      </c>
      <c r="BR82" s="6" t="n">
        <v>43.3</v>
      </c>
      <c r="BS82" s="6" t="n">
        <v>43.5</v>
      </c>
      <c r="BT82" s="7" t="n">
        <v>2.802</v>
      </c>
      <c r="BU82" s="10" t="n">
        <v>0.1883</v>
      </c>
      <c r="BV82" s="10" t="n">
        <v>0.575757575757576</v>
      </c>
      <c r="BW82" s="7" t="n">
        <v>2.561</v>
      </c>
      <c r="BX82" s="10" t="n">
        <v>0.261</v>
      </c>
      <c r="BY82" s="10" t="n">
        <v>0.0789</v>
      </c>
      <c r="BZ82" s="7" t="n">
        <v>2.406</v>
      </c>
      <c r="CA82" s="10" t="n">
        <v>0.533</v>
      </c>
      <c r="CB82" s="8" t="n">
        <v>3</v>
      </c>
      <c r="CC82" s="10" t="n">
        <v>0.0242</v>
      </c>
      <c r="CD82" s="10" t="n">
        <v>0.5691</v>
      </c>
      <c r="CE82" s="6" t="n">
        <v>59.82</v>
      </c>
      <c r="CF82" s="6" t="n">
        <v>38</v>
      </c>
      <c r="CG82" s="7" t="n">
        <v>3.76</v>
      </c>
      <c r="CH82" s="6" t="n">
        <v>28.8</v>
      </c>
      <c r="CI82" s="9" t="n">
        <v>0.0077</v>
      </c>
      <c r="CJ82" s="9" t="n">
        <v>0.2873</v>
      </c>
      <c r="CK82" s="8" t="n">
        <v>128</v>
      </c>
      <c r="CL82" s="10" t="n">
        <v>0.266</v>
      </c>
      <c r="CM82" s="8" t="n">
        <v>10</v>
      </c>
      <c r="CN82" s="10" t="n">
        <v>0.02</v>
      </c>
      <c r="CO82" s="8" t="n">
        <v>17</v>
      </c>
      <c r="CP82" s="7" t="n">
        <v>-0.033</v>
      </c>
      <c r="CQ82" s="7" t="n">
        <v>0.098</v>
      </c>
      <c r="CR82" s="4" t="s">
        <v>102</v>
      </c>
      <c r="CS82" s="4"/>
    </row>
    <row r="83" customFormat="false" ht="15" hidden="false" customHeight="false" outlineLevel="0" collapsed="false">
      <c r="A83" s="3" t="n">
        <v>81</v>
      </c>
      <c r="B83" s="4" t="s">
        <v>301</v>
      </c>
      <c r="C83" s="12" t="s">
        <v>149</v>
      </c>
      <c r="D83" s="4" t="s">
        <v>302</v>
      </c>
      <c r="E83" s="4" t="s">
        <v>106</v>
      </c>
      <c r="F83" s="4" t="s">
        <v>149</v>
      </c>
      <c r="G83" s="3" t="n">
        <v>1</v>
      </c>
      <c r="H83" s="6" t="n">
        <v>25.6</v>
      </c>
      <c r="I83" s="3" t="n">
        <v>4</v>
      </c>
      <c r="J83" s="3" t="n">
        <v>6</v>
      </c>
      <c r="K83" s="7" t="n">
        <v>82.49</v>
      </c>
      <c r="L83" s="7" t="n">
        <v>10.07</v>
      </c>
      <c r="M83" s="8" t="n">
        <v>54</v>
      </c>
      <c r="N83" s="8" t="n">
        <v>97</v>
      </c>
      <c r="O83" s="7" t="n">
        <v>82.49</v>
      </c>
      <c r="P83" s="6" t="n">
        <v>95.1</v>
      </c>
      <c r="Q83" s="4" t="s">
        <v>106</v>
      </c>
      <c r="R83" s="8" t="n">
        <v>9</v>
      </c>
      <c r="S83" s="6" t="n">
        <v>106.9</v>
      </c>
      <c r="T83" s="7" t="n">
        <f aca="false">IFERROR(S83/R83,"")</f>
        <v>11.8777777777778</v>
      </c>
      <c r="U83" s="6" t="n">
        <v>86.9</v>
      </c>
      <c r="V83" s="6" t="n">
        <v>66.9</v>
      </c>
      <c r="W83" s="8" t="n">
        <v>25</v>
      </c>
      <c r="X83" s="7" t="n">
        <f aca="false">IFERROR(S83/AH83,"")</f>
        <v>2.18163265306122</v>
      </c>
      <c r="Y83" s="9" t="n">
        <f aca="false">IFERROR(S83/AF83,"")</f>
        <v>0.206769825918762</v>
      </c>
      <c r="Z83" s="6" t="n">
        <v>6.9</v>
      </c>
      <c r="AA83" s="6" t="n">
        <v>10.3</v>
      </c>
      <c r="AB83" s="6" t="n">
        <v>19.46</v>
      </c>
      <c r="AC83" s="10" t="n">
        <v>0.444</v>
      </c>
      <c r="AD83" s="10" t="n">
        <v>0</v>
      </c>
      <c r="AE83" s="7" t="n">
        <v>0.627</v>
      </c>
      <c r="AF83" s="8" t="n">
        <v>517</v>
      </c>
      <c r="AG83" s="10" t="n">
        <v>0.907</v>
      </c>
      <c r="AH83" s="8" t="n">
        <v>49</v>
      </c>
      <c r="AI83" s="8" t="n">
        <v>49</v>
      </c>
      <c r="AJ83" s="6" t="n">
        <f aca="false">IFERROR(AI83/R83,"")</f>
        <v>5.44444444444445</v>
      </c>
      <c r="AK83" s="10" t="n">
        <v>0.1863</v>
      </c>
      <c r="AL83" s="10" t="n">
        <v>0.1582</v>
      </c>
      <c r="AM83" s="9" t="n">
        <v>0.3902</v>
      </c>
      <c r="AN83" s="8" t="n">
        <v>40</v>
      </c>
      <c r="AO83" s="10" t="n">
        <f aca="false">IFERROR(AN83/AI83,"")</f>
        <v>0.816326530612245</v>
      </c>
      <c r="AP83" s="8" t="n">
        <v>489</v>
      </c>
      <c r="AQ83" s="7" t="n">
        <f aca="false">IFERROR(AP83/AI83,"")</f>
        <v>9.97959183673469</v>
      </c>
      <c r="AR83" s="6" t="n">
        <v>5.653</v>
      </c>
      <c r="AS83" s="7" t="n">
        <v>6.85</v>
      </c>
      <c r="AT83" s="7" t="n">
        <v>1.765</v>
      </c>
      <c r="AU83" s="7" t="n">
        <v>3.37479424630989</v>
      </c>
      <c r="AV83" s="7" t="n">
        <v>6.3658064516129</v>
      </c>
      <c r="AW83" s="7" t="n">
        <v>0.954262279869766</v>
      </c>
      <c r="AX83" s="10" t="n">
        <v>0</v>
      </c>
      <c r="AY83" s="8" t="n">
        <v>0</v>
      </c>
      <c r="AZ83" s="6" t="n">
        <f aca="false">IFERROR(AY83/R83,"")</f>
        <v>0</v>
      </c>
      <c r="BA83" s="10" t="n">
        <v>0</v>
      </c>
      <c r="BB83" s="8" t="n">
        <v>0</v>
      </c>
      <c r="BC83" s="7"/>
      <c r="BD83" s="7"/>
      <c r="BE83" s="7"/>
      <c r="BF83" s="8"/>
      <c r="BG83" s="7"/>
      <c r="BH83" s="6"/>
      <c r="BI83" s="7"/>
      <c r="BJ83" s="8" t="n">
        <v>6</v>
      </c>
      <c r="BK83" s="8" t="n">
        <v>3</v>
      </c>
      <c r="BL83" s="8" t="n">
        <v>1</v>
      </c>
      <c r="BM83" s="8" t="n">
        <v>3</v>
      </c>
      <c r="BN83" s="7" t="n">
        <v>2.23</v>
      </c>
      <c r="BO83" s="7" t="n">
        <f aca="false">IFERROR(BM83-BN83,"")</f>
        <v>0.77</v>
      </c>
      <c r="BP83" s="9" t="n">
        <f aca="false">IFERROR(BM83/AH83,"")</f>
        <v>0.0612244897959184</v>
      </c>
      <c r="BQ83" s="6" t="n">
        <v>46.7</v>
      </c>
      <c r="BR83" s="6" t="n">
        <v>50</v>
      </c>
      <c r="BS83" s="6" t="n">
        <v>44.8</v>
      </c>
      <c r="BT83" s="7" t="n">
        <v>2.796</v>
      </c>
      <c r="BU83" s="10" t="n">
        <v>0.1795</v>
      </c>
      <c r="BV83" s="10" t="n">
        <v>0.645161290322581</v>
      </c>
      <c r="BW83" s="7" t="n">
        <v>2.844</v>
      </c>
      <c r="BX83" s="10" t="n">
        <v>0.2646</v>
      </c>
      <c r="BY83" s="10" t="n">
        <v>0.0608</v>
      </c>
      <c r="BZ83" s="7" t="n">
        <v>2.297</v>
      </c>
      <c r="CA83" s="10" t="n">
        <v>0.521</v>
      </c>
      <c r="CB83" s="8" t="n">
        <v>3</v>
      </c>
      <c r="CC83" s="10" t="n">
        <v>-0.0456</v>
      </c>
      <c r="CD83" s="10" t="n">
        <v>0.5469</v>
      </c>
      <c r="CE83" s="6" t="n">
        <v>61.82</v>
      </c>
      <c r="CF83" s="6" t="n">
        <v>38</v>
      </c>
      <c r="CG83" s="7" t="n">
        <v>3.82</v>
      </c>
      <c r="CH83" s="6" t="n">
        <v>28.3</v>
      </c>
      <c r="CI83" s="9" t="n">
        <v>-0.0408</v>
      </c>
      <c r="CJ83" s="9" t="n">
        <v>0.1681</v>
      </c>
      <c r="CK83" s="8" t="n">
        <v>79</v>
      </c>
      <c r="CL83" s="10" t="n">
        <v>0.144</v>
      </c>
      <c r="CM83" s="8" t="n">
        <v>167</v>
      </c>
      <c r="CN83" s="10" t="n">
        <v>0.378</v>
      </c>
      <c r="CO83" s="8" t="n">
        <v>45</v>
      </c>
      <c r="CP83" s="7" t="n">
        <v>-0.812</v>
      </c>
      <c r="CQ83" s="7" t="n">
        <v>-0.024</v>
      </c>
      <c r="CR83" s="4" t="s">
        <v>121</v>
      </c>
      <c r="CS83" s="4"/>
    </row>
    <row r="84" customFormat="false" ht="15" hidden="false" customHeight="false" outlineLevel="0" collapsed="false">
      <c r="A84" s="3" t="n">
        <v>82</v>
      </c>
      <c r="B84" s="4" t="s">
        <v>303</v>
      </c>
      <c r="C84" s="12" t="s">
        <v>149</v>
      </c>
      <c r="D84" s="4" t="s">
        <v>304</v>
      </c>
      <c r="E84" s="4" t="s">
        <v>112</v>
      </c>
      <c r="F84" s="4" t="s">
        <v>149</v>
      </c>
      <c r="G84" s="3" t="n">
        <v>1</v>
      </c>
      <c r="H84" s="6" t="n">
        <v>25.9</v>
      </c>
      <c r="I84" s="3" t="n">
        <v>6</v>
      </c>
      <c r="J84" s="3" t="n">
        <v>11</v>
      </c>
      <c r="K84" s="7" t="n">
        <v>82.88</v>
      </c>
      <c r="L84" s="7" t="n">
        <v>9.33</v>
      </c>
      <c r="M84" s="8" t="n">
        <v>66</v>
      </c>
      <c r="N84" s="8" t="n">
        <v>111</v>
      </c>
      <c r="O84" s="7" t="n">
        <v>82.88</v>
      </c>
      <c r="P84" s="6" t="n">
        <v>95.1</v>
      </c>
      <c r="Q84" s="4" t="s">
        <v>112</v>
      </c>
      <c r="R84" s="8" t="n">
        <v>17</v>
      </c>
      <c r="S84" s="6" t="n">
        <v>210.8</v>
      </c>
      <c r="T84" s="7" t="n">
        <f aca="false">IFERROR(S84/R84,"")</f>
        <v>12.4</v>
      </c>
      <c r="U84" s="6" t="n">
        <v>166.8</v>
      </c>
      <c r="V84" s="6" t="n">
        <v>122.8</v>
      </c>
      <c r="W84" s="8" t="n">
        <v>2</v>
      </c>
      <c r="X84" s="7" t="n">
        <f aca="false">IFERROR(S84/AH84,"")</f>
        <v>1.7864406779661</v>
      </c>
      <c r="Y84" s="9" t="n">
        <f aca="false">IFERROR(S84/AF84,"")</f>
        <v>0.219354838709677</v>
      </c>
      <c r="Z84" s="6" t="n">
        <v>5.8</v>
      </c>
      <c r="AA84" s="6" t="n">
        <v>11.8</v>
      </c>
      <c r="AB84" s="6" t="n">
        <v>16.88</v>
      </c>
      <c r="AC84" s="10" t="n">
        <v>0.353</v>
      </c>
      <c r="AD84" s="10" t="n">
        <v>0</v>
      </c>
      <c r="AE84" s="7" t="n">
        <v>0.842</v>
      </c>
      <c r="AF84" s="8" t="n">
        <v>961</v>
      </c>
      <c r="AG84" s="10" t="n">
        <v>0.88</v>
      </c>
      <c r="AH84" s="8" t="n">
        <v>118</v>
      </c>
      <c r="AI84" s="8" t="n">
        <v>118</v>
      </c>
      <c r="AJ84" s="6" t="n">
        <f aca="false">IFERROR(AI84/R84,"")</f>
        <v>6.94117647058824</v>
      </c>
      <c r="AK84" s="10" t="n">
        <v>0.2274</v>
      </c>
      <c r="AL84" s="10" t="n">
        <v>0.2077</v>
      </c>
      <c r="AM84" s="9" t="n">
        <v>0.4865</v>
      </c>
      <c r="AN84" s="8" t="n">
        <v>88</v>
      </c>
      <c r="AO84" s="10" t="n">
        <f aca="false">IFERROR(AN84/AI84,"")</f>
        <v>0.745762711864407</v>
      </c>
      <c r="AP84" s="8" t="n">
        <v>928</v>
      </c>
      <c r="AQ84" s="7" t="n">
        <f aca="false">IFERROR(AP84/AI84,"")</f>
        <v>7.86440677966102</v>
      </c>
      <c r="AR84" s="6" t="n">
        <v>7.364</v>
      </c>
      <c r="AS84" s="7" t="n">
        <v>4.545</v>
      </c>
      <c r="AT84" s="7" t="n">
        <v>1.068</v>
      </c>
      <c r="AU84" s="7" t="n">
        <v>3.55477532261254</v>
      </c>
      <c r="AV84" s="7" t="n">
        <v>5.60723404255319</v>
      </c>
      <c r="AW84" s="7" t="n">
        <v>-0.878331083591696</v>
      </c>
      <c r="AX84" s="10" t="n">
        <v>0.0169</v>
      </c>
      <c r="AY84" s="8" t="n">
        <v>0</v>
      </c>
      <c r="AZ84" s="6" t="n">
        <f aca="false">IFERROR(AY84/R84,"")</f>
        <v>0</v>
      </c>
      <c r="BA84" s="10" t="n">
        <v>0</v>
      </c>
      <c r="BB84" s="8" t="n">
        <v>0</v>
      </c>
      <c r="BC84" s="7"/>
      <c r="BD84" s="7"/>
      <c r="BE84" s="7"/>
      <c r="BF84" s="8"/>
      <c r="BG84" s="7"/>
      <c r="BH84" s="6"/>
      <c r="BI84" s="7"/>
      <c r="BJ84" s="8" t="n">
        <v>12</v>
      </c>
      <c r="BK84" s="8" t="n">
        <v>6</v>
      </c>
      <c r="BL84" s="8" t="n">
        <v>1</v>
      </c>
      <c r="BM84" s="8" t="n">
        <v>5</v>
      </c>
      <c r="BN84" s="7" t="n">
        <v>4.64</v>
      </c>
      <c r="BO84" s="7" t="n">
        <f aca="false">IFERROR(BM84-BN84,"")</f>
        <v>0.36</v>
      </c>
      <c r="BP84" s="9" t="n">
        <f aca="false">IFERROR(BM84/AH84,"")</f>
        <v>0.0423728813559322</v>
      </c>
      <c r="BQ84" s="6" t="n">
        <v>62.4</v>
      </c>
      <c r="BR84" s="6" t="n">
        <v>52.7</v>
      </c>
      <c r="BS84" s="6" t="n">
        <v>66.9</v>
      </c>
      <c r="BT84" s="7" t="n">
        <v>3.071</v>
      </c>
      <c r="BU84" s="10" t="n">
        <v>0.1627</v>
      </c>
      <c r="BV84" s="10" t="n">
        <v>0.523809523809524</v>
      </c>
      <c r="BW84" s="7" t="n">
        <v>2.522</v>
      </c>
      <c r="BX84" s="10" t="n">
        <v>0.2037</v>
      </c>
      <c r="BY84" s="10" t="n">
        <v>0.0494</v>
      </c>
      <c r="BZ84" s="7" t="n">
        <v>2.4</v>
      </c>
      <c r="CA84" s="10" t="n">
        <v>0.798</v>
      </c>
      <c r="CB84" s="8" t="n">
        <v>4</v>
      </c>
      <c r="CC84" s="10" t="n">
        <v>-0.0621</v>
      </c>
      <c r="CD84" s="10" t="n">
        <v>0.549</v>
      </c>
      <c r="CE84" s="6" t="n">
        <v>60.94</v>
      </c>
      <c r="CF84" s="6" t="n">
        <v>38</v>
      </c>
      <c r="CG84" s="7" t="n">
        <v>3.12</v>
      </c>
      <c r="CH84" s="6" t="n">
        <v>20.8</v>
      </c>
      <c r="CI84" s="9" t="n">
        <v>-0.0314</v>
      </c>
      <c r="CJ84" s="9" t="n">
        <v>-0.0132</v>
      </c>
      <c r="CK84" s="8" t="n">
        <v>151</v>
      </c>
      <c r="CL84" s="10" t="n">
        <v>0.291</v>
      </c>
      <c r="CM84" s="8" t="n">
        <v>160</v>
      </c>
      <c r="CN84" s="10" t="n">
        <v>0.335</v>
      </c>
      <c r="CO84" s="8" t="n">
        <v>49</v>
      </c>
      <c r="CP84" s="7" t="n">
        <v>0.231</v>
      </c>
      <c r="CQ84" s="7" t="n">
        <v>0.099</v>
      </c>
      <c r="CR84" s="4" t="s">
        <v>102</v>
      </c>
      <c r="CS84" s="4"/>
    </row>
    <row r="85" customFormat="false" ht="15" hidden="false" customHeight="false" outlineLevel="0" collapsed="false">
      <c r="A85" s="3" t="n">
        <v>83</v>
      </c>
      <c r="B85" s="4" t="s">
        <v>305</v>
      </c>
      <c r="C85" s="5" t="s">
        <v>99</v>
      </c>
      <c r="D85" s="4" t="s">
        <v>306</v>
      </c>
      <c r="E85" s="4" t="s">
        <v>284</v>
      </c>
      <c r="F85" s="4" t="s">
        <v>99</v>
      </c>
      <c r="G85" s="3" t="n">
        <v>2</v>
      </c>
      <c r="H85" s="6" t="n">
        <v>28.9</v>
      </c>
      <c r="I85" s="3" t="n">
        <v>7</v>
      </c>
      <c r="J85" s="3" t="n">
        <v>9</v>
      </c>
      <c r="K85" s="7" t="n">
        <v>83.42</v>
      </c>
      <c r="L85" s="7" t="n">
        <v>13.88</v>
      </c>
      <c r="M85" s="8" t="n">
        <v>40</v>
      </c>
      <c r="N85" s="8" t="n">
        <v>118</v>
      </c>
      <c r="O85" s="7" t="n">
        <v>83.42</v>
      </c>
      <c r="P85" s="6" t="n">
        <v>82.8</v>
      </c>
      <c r="Q85" s="4" t="s">
        <v>130</v>
      </c>
      <c r="R85" s="8" t="n">
        <v>17</v>
      </c>
      <c r="S85" s="6" t="n">
        <v>202.4</v>
      </c>
      <c r="T85" s="7" t="n">
        <f aca="false">IFERROR(S85/R85,"")</f>
        <v>11.9058823529412</v>
      </c>
      <c r="U85" s="6" t="n">
        <v>162.4</v>
      </c>
      <c r="V85" s="6" t="n">
        <v>122.4</v>
      </c>
      <c r="W85" s="8" t="n">
        <v>18</v>
      </c>
      <c r="X85" s="7" t="n">
        <f aca="false">IFERROR(S85/AH85,"")</f>
        <v>1.82342342342342</v>
      </c>
      <c r="Y85" s="9" t="n">
        <f aca="false">IFERROR(S85/AF85,"")</f>
        <v>0.220479302832244</v>
      </c>
      <c r="Z85" s="6" t="n">
        <v>4</v>
      </c>
      <c r="AA85" s="6" t="n">
        <v>13.7</v>
      </c>
      <c r="AB85" s="6" t="n">
        <v>20.3</v>
      </c>
      <c r="AC85" s="10" t="n">
        <v>0.176</v>
      </c>
      <c r="AD85" s="10" t="n">
        <v>0</v>
      </c>
      <c r="AE85" s="7" t="n">
        <v>0.547</v>
      </c>
      <c r="AF85" s="8" t="n">
        <v>918</v>
      </c>
      <c r="AG85" s="10" t="n">
        <v>0.855</v>
      </c>
      <c r="AH85" s="8" t="n">
        <v>111</v>
      </c>
      <c r="AI85" s="8" t="n">
        <v>111</v>
      </c>
      <c r="AJ85" s="6" t="n">
        <f aca="false">IFERROR(AI85/R85,"")</f>
        <v>6.52941176470588</v>
      </c>
      <c r="AK85" s="10" t="n">
        <v>0.2094</v>
      </c>
      <c r="AL85" s="10" t="n">
        <v>0.2122</v>
      </c>
      <c r="AM85" s="9" t="n">
        <v>0.4626</v>
      </c>
      <c r="AN85" s="8" t="n">
        <v>80</v>
      </c>
      <c r="AO85" s="10" t="n">
        <f aca="false">IFERROR(AN85/AI85,"")</f>
        <v>0.720720720720721</v>
      </c>
      <c r="AP85" s="8" t="n">
        <v>784</v>
      </c>
      <c r="AQ85" s="7" t="n">
        <f aca="false">IFERROR(AP85/AI85,"")</f>
        <v>7.06306306306306</v>
      </c>
      <c r="AR85" s="6" t="n">
        <v>8.171</v>
      </c>
      <c r="AS85" s="7" t="n">
        <v>3.238</v>
      </c>
      <c r="AT85" s="7" t="n">
        <v>0.864</v>
      </c>
      <c r="AU85" s="7" t="n">
        <v>3.0333786487343</v>
      </c>
      <c r="AV85" s="7" t="n">
        <v>6.77654205607477</v>
      </c>
      <c r="AW85" s="7" t="n">
        <v>0.420766823399626</v>
      </c>
      <c r="AX85" s="10" t="n">
        <v>0.0541</v>
      </c>
      <c r="AY85" s="8" t="n">
        <v>0</v>
      </c>
      <c r="AZ85" s="6" t="n">
        <f aca="false">IFERROR(AY85/R85,"")</f>
        <v>0</v>
      </c>
      <c r="BA85" s="10" t="n">
        <v>0</v>
      </c>
      <c r="BB85" s="8" t="n">
        <v>0</v>
      </c>
      <c r="BC85" s="7"/>
      <c r="BD85" s="7"/>
      <c r="BE85" s="7"/>
      <c r="BF85" s="8"/>
      <c r="BG85" s="7"/>
      <c r="BH85" s="6"/>
      <c r="BI85" s="7"/>
      <c r="BJ85" s="8" t="n">
        <v>15</v>
      </c>
      <c r="BK85" s="8" t="n">
        <v>8</v>
      </c>
      <c r="BL85" s="8" t="n">
        <v>4</v>
      </c>
      <c r="BM85" s="8" t="n">
        <v>7</v>
      </c>
      <c r="BN85" s="7" t="n">
        <v>5.77</v>
      </c>
      <c r="BO85" s="7" t="n">
        <f aca="false">IFERROR(BM85-BN85,"")</f>
        <v>1.23</v>
      </c>
      <c r="BP85" s="9" t="n">
        <f aca="false">IFERROR(BM85/AH85,"")</f>
        <v>0.0630630630630631</v>
      </c>
      <c r="BQ85" s="6" t="n">
        <v>57.4</v>
      </c>
      <c r="BR85" s="6" t="n">
        <v>46.5</v>
      </c>
      <c r="BS85" s="6" t="n">
        <v>65.1</v>
      </c>
      <c r="BT85" s="7" t="n">
        <v>2.87</v>
      </c>
      <c r="BU85" s="10" t="n">
        <v>0.172</v>
      </c>
      <c r="BV85" s="10" t="n">
        <v>0.68</v>
      </c>
      <c r="BW85" s="7" t="n">
        <v>2.285</v>
      </c>
      <c r="BX85" s="10" t="n">
        <v>0.1636</v>
      </c>
      <c r="BY85" s="10" t="n">
        <v>0.0526</v>
      </c>
      <c r="BZ85" s="7" t="n">
        <v>2.209</v>
      </c>
      <c r="CA85" s="10" t="n">
        <v>0.824</v>
      </c>
      <c r="CB85" s="8" t="n">
        <v>5</v>
      </c>
      <c r="CC85" s="10" t="n">
        <v>-0.007</v>
      </c>
      <c r="CD85" s="10" t="n">
        <v>0.5795</v>
      </c>
      <c r="CE85" s="6" t="n">
        <v>57.35</v>
      </c>
      <c r="CF85" s="6" t="n">
        <v>40</v>
      </c>
      <c r="CG85" s="7" t="n">
        <v>3</v>
      </c>
      <c r="CH85" s="6" t="n">
        <v>23.4</v>
      </c>
      <c r="CI85" s="9" t="n">
        <v>0.0188</v>
      </c>
      <c r="CJ85" s="9" t="n">
        <v>0.0312</v>
      </c>
      <c r="CK85" s="8" t="n">
        <v>179</v>
      </c>
      <c r="CL85" s="10" t="n">
        <v>0.343</v>
      </c>
      <c r="CM85" s="8" t="n">
        <v>129</v>
      </c>
      <c r="CN85" s="10" t="n">
        <v>0.317</v>
      </c>
      <c r="CO85" s="8" t="n">
        <v>59</v>
      </c>
      <c r="CP85" s="7" t="n">
        <v>0.521</v>
      </c>
      <c r="CQ85" s="7" t="n">
        <v>-0.005</v>
      </c>
      <c r="CR85" s="4" t="s">
        <v>232</v>
      </c>
      <c r="CS85" s="4"/>
    </row>
    <row r="86" customFormat="false" ht="15" hidden="false" customHeight="false" outlineLevel="0" collapsed="false">
      <c r="A86" s="3" t="n">
        <v>84</v>
      </c>
      <c r="B86" s="4" t="s">
        <v>307</v>
      </c>
      <c r="C86" s="5" t="s">
        <v>99</v>
      </c>
      <c r="D86" s="4" t="s">
        <v>308</v>
      </c>
      <c r="E86" s="4" t="s">
        <v>158</v>
      </c>
      <c r="F86" s="4" t="s">
        <v>99</v>
      </c>
      <c r="G86" s="3" t="n">
        <v>2</v>
      </c>
      <c r="H86" s="6" t="n">
        <v>22</v>
      </c>
      <c r="I86" s="3" t="n">
        <v>0</v>
      </c>
      <c r="J86" s="3" t="n">
        <v>8</v>
      </c>
      <c r="K86" s="7" t="n">
        <v>83.83</v>
      </c>
      <c r="L86" s="7" t="n">
        <v>18.12</v>
      </c>
      <c r="M86" s="8" t="n">
        <v>51</v>
      </c>
      <c r="N86" s="8" t="n">
        <v>165</v>
      </c>
      <c r="O86" s="7" t="n">
        <v>83.83</v>
      </c>
      <c r="P86" s="6" t="n">
        <v>86.1</v>
      </c>
      <c r="Q86" s="4"/>
      <c r="R86" s="8"/>
      <c r="S86" s="6"/>
      <c r="T86" s="7"/>
      <c r="U86" s="6"/>
      <c r="V86" s="6"/>
      <c r="W86" s="8"/>
      <c r="X86" s="7"/>
      <c r="Y86" s="9"/>
      <c r="Z86" s="6"/>
      <c r="AA86" s="6"/>
      <c r="AB86" s="6"/>
      <c r="AC86" s="10"/>
      <c r="AD86" s="10"/>
      <c r="AE86" s="7"/>
      <c r="AF86" s="8"/>
      <c r="AG86" s="10"/>
      <c r="AH86" s="8"/>
      <c r="AI86" s="8"/>
      <c r="AJ86" s="6"/>
      <c r="AK86" s="10"/>
      <c r="AL86" s="10"/>
      <c r="AM86" s="9"/>
      <c r="AN86" s="8"/>
      <c r="AO86" s="10"/>
      <c r="AP86" s="8"/>
      <c r="AQ86" s="7"/>
      <c r="AR86" s="6"/>
      <c r="AS86" s="7"/>
      <c r="AT86" s="7"/>
      <c r="AU86" s="7"/>
      <c r="AV86" s="7"/>
      <c r="AW86" s="7"/>
      <c r="AX86" s="10"/>
      <c r="AY86" s="8"/>
      <c r="AZ86" s="6"/>
      <c r="BA86" s="10"/>
      <c r="BB86" s="8"/>
      <c r="BC86" s="7"/>
      <c r="BD86" s="7"/>
      <c r="BE86" s="7"/>
      <c r="BF86" s="8"/>
      <c r="BG86" s="7"/>
      <c r="BH86" s="6"/>
      <c r="BI86" s="7"/>
      <c r="BJ86" s="8"/>
      <c r="BK86" s="8"/>
      <c r="BL86" s="8"/>
      <c r="BM86" s="8"/>
      <c r="BN86" s="7"/>
      <c r="BO86" s="7"/>
      <c r="BP86" s="9"/>
      <c r="BQ86" s="6" t="n">
        <v>41.9</v>
      </c>
      <c r="BR86" s="6" t="n">
        <v>42.4</v>
      </c>
      <c r="BS86" s="6" t="n">
        <v>44.9</v>
      </c>
      <c r="BT86" s="7" t="n">
        <v>2.883</v>
      </c>
      <c r="BU86" s="10" t="n">
        <v>0.1505</v>
      </c>
      <c r="BV86" s="10" t="n">
        <v>0.55</v>
      </c>
      <c r="BW86" s="7" t="n">
        <v>2.057</v>
      </c>
      <c r="BX86" s="10" t="n">
        <v>0.2132</v>
      </c>
      <c r="BY86" s="10" t="n">
        <v>0.0763</v>
      </c>
      <c r="BZ86" s="7" t="n">
        <v>2.2</v>
      </c>
      <c r="CA86" s="10" t="n">
        <v>0.784</v>
      </c>
      <c r="CB86" s="8" t="n">
        <v>4</v>
      </c>
      <c r="CC86" s="10" t="n">
        <v>-0.0301</v>
      </c>
      <c r="CD86" s="10" t="n">
        <v>0.5383</v>
      </c>
      <c r="CE86" s="6" t="n">
        <v>62.59</v>
      </c>
      <c r="CF86" s="6" t="n">
        <v>35</v>
      </c>
      <c r="CG86" s="7" t="n">
        <v>2.82</v>
      </c>
      <c r="CH86" s="6" t="n">
        <v>18</v>
      </c>
      <c r="CI86" s="9" t="n">
        <v>-0.1008</v>
      </c>
      <c r="CJ86" s="9" t="n">
        <v>-0.0795</v>
      </c>
      <c r="CK86" s="8" t="n">
        <v>127</v>
      </c>
      <c r="CL86" s="10" t="n">
        <v>0.225</v>
      </c>
      <c r="CM86" s="8" t="n">
        <v>21</v>
      </c>
      <c r="CN86" s="10" t="n">
        <v>0.048</v>
      </c>
      <c r="CO86" s="8" t="n">
        <v>15</v>
      </c>
      <c r="CP86" s="7"/>
      <c r="CQ86" s="7"/>
      <c r="CR86" s="4"/>
      <c r="CS86" s="4" t="s">
        <v>206</v>
      </c>
    </row>
    <row r="87" customFormat="false" ht="15" hidden="false" customHeight="false" outlineLevel="0" collapsed="false">
      <c r="A87" s="3" t="n">
        <v>85</v>
      </c>
      <c r="B87" s="4" t="s">
        <v>309</v>
      </c>
      <c r="C87" s="5" t="s">
        <v>99</v>
      </c>
      <c r="D87" s="4" t="s">
        <v>310</v>
      </c>
      <c r="E87" s="4" t="s">
        <v>209</v>
      </c>
      <c r="F87" s="4" t="s">
        <v>99</v>
      </c>
      <c r="G87" s="3" t="n">
        <v>1</v>
      </c>
      <c r="H87" s="6" t="n">
        <v>30.9</v>
      </c>
      <c r="I87" s="3" t="n">
        <v>9</v>
      </c>
      <c r="J87" s="3" t="n">
        <v>10</v>
      </c>
      <c r="K87" s="7" t="n">
        <v>85.42</v>
      </c>
      <c r="L87" s="7" t="n">
        <v>14.97</v>
      </c>
      <c r="M87" s="8" t="n">
        <v>55</v>
      </c>
      <c r="N87" s="8" t="n">
        <v>116</v>
      </c>
      <c r="O87" s="7" t="n">
        <v>85.42</v>
      </c>
      <c r="P87" s="6" t="n">
        <v>87.4</v>
      </c>
      <c r="Q87" s="4" t="s">
        <v>209</v>
      </c>
      <c r="R87" s="8" t="n">
        <v>17</v>
      </c>
      <c r="S87" s="6" t="n">
        <v>219.7</v>
      </c>
      <c r="T87" s="7" t="n">
        <f aca="false">IFERROR(S87/R87,"")</f>
        <v>12.9235294117647</v>
      </c>
      <c r="U87" s="6" t="n">
        <v>182.7</v>
      </c>
      <c r="V87" s="6" t="n">
        <v>145.7</v>
      </c>
      <c r="W87" s="8" t="n">
        <v>13</v>
      </c>
      <c r="X87" s="7" t="n">
        <f aca="false">IFERROR(S87/AH87,"")</f>
        <v>1.77177419354839</v>
      </c>
      <c r="Y87" s="9" t="n">
        <f aca="false">IFERROR(S87/AF87,"")</f>
        <v>0.225333333333333</v>
      </c>
      <c r="Z87" s="6" t="n">
        <v>8</v>
      </c>
      <c r="AA87" s="6" t="n">
        <v>12.2</v>
      </c>
      <c r="AB87" s="6" t="n">
        <v>20</v>
      </c>
      <c r="AC87" s="10" t="n">
        <v>0.235</v>
      </c>
      <c r="AD87" s="10" t="n">
        <v>0.118</v>
      </c>
      <c r="AE87" s="7" t="n">
        <v>0.613</v>
      </c>
      <c r="AF87" s="8" t="n">
        <v>975</v>
      </c>
      <c r="AG87" s="10" t="n">
        <v>0.854</v>
      </c>
      <c r="AH87" s="8" t="n">
        <v>124</v>
      </c>
      <c r="AI87" s="8" t="n">
        <v>124</v>
      </c>
      <c r="AJ87" s="6" t="n">
        <f aca="false">IFERROR(AI87/R87,"")</f>
        <v>7.29411764705882</v>
      </c>
      <c r="AK87" s="10" t="n">
        <v>0.2123</v>
      </c>
      <c r="AL87" s="10" t="n">
        <v>0.352</v>
      </c>
      <c r="AM87" s="9" t="n">
        <v>0.5648</v>
      </c>
      <c r="AN87" s="8" t="n">
        <v>74</v>
      </c>
      <c r="AO87" s="10" t="n">
        <f aca="false">IFERROR(AN87/AI87,"")</f>
        <v>0.596774193548387</v>
      </c>
      <c r="AP87" s="8" t="n">
        <v>1017</v>
      </c>
      <c r="AQ87" s="7" t="n">
        <f aca="false">IFERROR(AP87/AI87,"")</f>
        <v>8.20161290322581</v>
      </c>
      <c r="AR87" s="6" t="n">
        <v>12.435</v>
      </c>
      <c r="AS87" s="7" t="n">
        <v>3</v>
      </c>
      <c r="AT87" s="7" t="n">
        <v>0.66</v>
      </c>
      <c r="AU87" s="7" t="n">
        <v>2.27853790595032</v>
      </c>
      <c r="AV87" s="7" t="n">
        <v>5.27285714285714</v>
      </c>
      <c r="AW87" s="7" t="n">
        <v>0.115089145751375</v>
      </c>
      <c r="AX87" s="10" t="n">
        <v>0.0645</v>
      </c>
      <c r="AY87" s="8" t="n">
        <v>0</v>
      </c>
      <c r="AZ87" s="6" t="n">
        <f aca="false">IFERROR(AY87/R87,"")</f>
        <v>0</v>
      </c>
      <c r="BA87" s="10" t="n">
        <v>0</v>
      </c>
      <c r="BB87" s="8" t="n">
        <v>0</v>
      </c>
      <c r="BC87" s="7"/>
      <c r="BD87" s="7"/>
      <c r="BE87" s="7"/>
      <c r="BF87" s="8"/>
      <c r="BG87" s="7"/>
      <c r="BH87" s="6"/>
      <c r="BI87" s="7"/>
      <c r="BJ87" s="8" t="n">
        <v>19</v>
      </c>
      <c r="BK87" s="8" t="n">
        <v>7</v>
      </c>
      <c r="BL87" s="8" t="n">
        <v>5</v>
      </c>
      <c r="BM87" s="8" t="n">
        <v>7</v>
      </c>
      <c r="BN87" s="7" t="n">
        <v>6.29</v>
      </c>
      <c r="BO87" s="7" t="n">
        <f aca="false">IFERROR(BM87-BN87,"")</f>
        <v>0.71</v>
      </c>
      <c r="BP87" s="9" t="n">
        <f aca="false">IFERROR(BM87/AH87,"")</f>
        <v>0.0564516129032258</v>
      </c>
      <c r="BQ87" s="6" t="n">
        <v>63.2</v>
      </c>
      <c r="BR87" s="6" t="n">
        <v>50</v>
      </c>
      <c r="BS87" s="6" t="n">
        <v>70.8</v>
      </c>
      <c r="BT87" s="7" t="n">
        <v>2.952</v>
      </c>
      <c r="BU87" s="10" t="n">
        <v>0.1682</v>
      </c>
      <c r="BV87" s="10" t="n">
        <v>0.551724137931035</v>
      </c>
      <c r="BW87" s="7" t="n">
        <v>2.592</v>
      </c>
      <c r="BX87" s="10" t="n">
        <v>0.2088</v>
      </c>
      <c r="BY87" s="10" t="n">
        <v>0.037</v>
      </c>
      <c r="BZ87" s="7" t="n">
        <v>2.401</v>
      </c>
      <c r="CA87" s="10" t="n">
        <v>0.999</v>
      </c>
      <c r="CB87" s="8" t="n">
        <v>5</v>
      </c>
      <c r="CC87" s="10" t="n">
        <v>0.0157</v>
      </c>
      <c r="CD87" s="10" t="n">
        <v>0.59</v>
      </c>
      <c r="CE87" s="6" t="n">
        <v>63.47</v>
      </c>
      <c r="CF87" s="6" t="n">
        <v>38</v>
      </c>
      <c r="CG87" s="7" t="n">
        <v>3.47</v>
      </c>
      <c r="CH87" s="6" t="n">
        <v>23.6</v>
      </c>
      <c r="CI87" s="9" t="n">
        <v>0.0004</v>
      </c>
      <c r="CJ87" s="9" t="n">
        <v>0.0835</v>
      </c>
      <c r="CK87" s="8" t="n">
        <v>4</v>
      </c>
      <c r="CL87" s="10" t="n">
        <v>0.007</v>
      </c>
      <c r="CM87" s="8" t="n">
        <v>0</v>
      </c>
      <c r="CN87" s="10" t="n">
        <v>0</v>
      </c>
      <c r="CO87" s="8" t="n">
        <v>1</v>
      </c>
      <c r="CP87" s="7" t="n">
        <v>0.811</v>
      </c>
      <c r="CQ87" s="7" t="n">
        <v>0.373</v>
      </c>
      <c r="CR87" s="4" t="s">
        <v>232</v>
      </c>
      <c r="CS87" s="4"/>
    </row>
    <row r="88" customFormat="false" ht="15" hidden="false" customHeight="false" outlineLevel="0" collapsed="false">
      <c r="A88" s="3" t="n">
        <v>86</v>
      </c>
      <c r="B88" s="4" t="s">
        <v>311</v>
      </c>
      <c r="C88" s="5" t="s">
        <v>99</v>
      </c>
      <c r="D88" s="4" t="s">
        <v>312</v>
      </c>
      <c r="E88" s="4" t="s">
        <v>130</v>
      </c>
      <c r="F88" s="4" t="s">
        <v>99</v>
      </c>
      <c r="G88" s="3" t="n">
        <v>2</v>
      </c>
      <c r="H88" s="6" t="n">
        <v>25</v>
      </c>
      <c r="I88" s="3" t="n">
        <v>4</v>
      </c>
      <c r="J88" s="3" t="n">
        <v>13</v>
      </c>
      <c r="K88" s="7" t="n">
        <v>85.44</v>
      </c>
      <c r="L88" s="7" t="n">
        <v>13.37</v>
      </c>
      <c r="M88" s="8" t="n">
        <v>51</v>
      </c>
      <c r="N88" s="8" t="n">
        <v>126</v>
      </c>
      <c r="O88" s="7" t="n">
        <v>85.44</v>
      </c>
      <c r="P88" s="6" t="n">
        <v>77.9</v>
      </c>
      <c r="Q88" s="4" t="s">
        <v>130</v>
      </c>
      <c r="R88" s="8" t="n">
        <v>16</v>
      </c>
      <c r="S88" s="6" t="n">
        <v>138.4</v>
      </c>
      <c r="T88" s="7" t="n">
        <f aca="false">IFERROR(S88/R88,"")</f>
        <v>8.65</v>
      </c>
      <c r="U88" s="6" t="n">
        <v>109.4</v>
      </c>
      <c r="V88" s="6" t="n">
        <v>80.4</v>
      </c>
      <c r="W88" s="8" t="n">
        <v>43</v>
      </c>
      <c r="X88" s="7" t="n">
        <f aca="false">IFERROR(S88/AH88,"")</f>
        <v>1.53777777777778</v>
      </c>
      <c r="Y88" s="9" t="n">
        <f aca="false">IFERROR(S88/AF88,"")</f>
        <v>0.232996632996633</v>
      </c>
      <c r="Z88" s="6" t="n">
        <v>5.4</v>
      </c>
      <c r="AA88" s="6" t="n">
        <v>8</v>
      </c>
      <c r="AB88" s="6" t="n">
        <v>12.62</v>
      </c>
      <c r="AC88" s="10" t="n">
        <v>0</v>
      </c>
      <c r="AD88" s="10" t="n">
        <v>0.062</v>
      </c>
      <c r="AE88" s="7" t="n">
        <v>0.592</v>
      </c>
      <c r="AF88" s="8" t="n">
        <v>594</v>
      </c>
      <c r="AG88" s="10" t="n">
        <v>0.587</v>
      </c>
      <c r="AH88" s="8" t="n">
        <v>90</v>
      </c>
      <c r="AI88" s="8" t="n">
        <v>88</v>
      </c>
      <c r="AJ88" s="6" t="n">
        <f aca="false">IFERROR(AI88/R88,"")</f>
        <v>5.5</v>
      </c>
      <c r="AK88" s="10" t="n">
        <v>0.1767</v>
      </c>
      <c r="AL88" s="10" t="n">
        <v>0.1672</v>
      </c>
      <c r="AM88" s="9" t="n">
        <v>0.3821</v>
      </c>
      <c r="AN88" s="8" t="n">
        <v>58</v>
      </c>
      <c r="AO88" s="10" t="n">
        <f aca="false">IFERROR(AN88/AI88,"")</f>
        <v>0.659090909090909</v>
      </c>
      <c r="AP88" s="8" t="n">
        <v>566</v>
      </c>
      <c r="AQ88" s="7" t="n">
        <f aca="false">IFERROR(AP88/AI88,"")</f>
        <v>6.43181818181818</v>
      </c>
      <c r="AR88" s="6" t="n">
        <v>7.489</v>
      </c>
      <c r="AS88" s="7" t="n">
        <v>2.483</v>
      </c>
      <c r="AT88" s="7" t="n">
        <v>0.859</v>
      </c>
      <c r="AU88" s="7" t="n">
        <v>2.6805034029615</v>
      </c>
      <c r="AV88" s="7" t="n">
        <v>7.21391891891892</v>
      </c>
      <c r="AW88" s="7" t="n">
        <v>0.134333950528054</v>
      </c>
      <c r="AX88" s="10" t="n">
        <v>0.0455</v>
      </c>
      <c r="AY88" s="8" t="n">
        <v>2</v>
      </c>
      <c r="AZ88" s="6" t="n">
        <f aca="false">IFERROR(AY88/R88,"")</f>
        <v>0.125</v>
      </c>
      <c r="BA88" s="10" t="n">
        <v>0.0048</v>
      </c>
      <c r="BB88" s="8" t="n">
        <v>-2</v>
      </c>
      <c r="BC88" s="7"/>
      <c r="BD88" s="7"/>
      <c r="BE88" s="7"/>
      <c r="BF88" s="8" t="n">
        <v>0</v>
      </c>
      <c r="BG88" s="7"/>
      <c r="BH88" s="6"/>
      <c r="BI88" s="7"/>
      <c r="BJ88" s="8" t="n">
        <v>15</v>
      </c>
      <c r="BK88" s="8" t="n">
        <v>5</v>
      </c>
      <c r="BL88" s="8" t="n">
        <v>2</v>
      </c>
      <c r="BM88" s="8" t="n">
        <v>4</v>
      </c>
      <c r="BN88" s="7" t="n">
        <v>4.45</v>
      </c>
      <c r="BO88" s="7" t="n">
        <f aca="false">IFERROR(BM88-BN88,"")</f>
        <v>-0.45</v>
      </c>
      <c r="BP88" s="9" t="n">
        <f aca="false">IFERROR(BM88/AH88,"")</f>
        <v>0.0444444444444444</v>
      </c>
      <c r="BQ88" s="6" t="n">
        <v>60.3</v>
      </c>
      <c r="BR88" s="6" t="n">
        <v>57.7</v>
      </c>
      <c r="BS88" s="6" t="n">
        <v>58.5</v>
      </c>
      <c r="BT88" s="7" t="n">
        <v>3.072</v>
      </c>
      <c r="BU88" s="10" t="n">
        <v>0.1487</v>
      </c>
      <c r="BV88" s="10" t="n">
        <v>0.6875</v>
      </c>
      <c r="BW88" s="7" t="n">
        <v>2.428</v>
      </c>
      <c r="BX88" s="10" t="n">
        <v>0.2121</v>
      </c>
      <c r="BY88" s="10" t="n">
        <v>0.047</v>
      </c>
      <c r="BZ88" s="7" t="n">
        <v>2.237</v>
      </c>
      <c r="CA88" s="10" t="n">
        <v>0.832</v>
      </c>
      <c r="CB88" s="8" t="n">
        <v>5</v>
      </c>
      <c r="CC88" s="10" t="n">
        <v>-0.0091</v>
      </c>
      <c r="CD88" s="10" t="n">
        <v>0.5637</v>
      </c>
      <c r="CE88" s="6" t="n">
        <v>59.47</v>
      </c>
      <c r="CF88" s="6" t="n">
        <v>39</v>
      </c>
      <c r="CG88" s="7" t="n">
        <v>4.12</v>
      </c>
      <c r="CH88" s="6" t="n">
        <v>27.4</v>
      </c>
      <c r="CI88" s="9" t="n">
        <v>0.094</v>
      </c>
      <c r="CJ88" s="9" t="n">
        <v>0.0558</v>
      </c>
      <c r="CK88" s="8" t="n">
        <v>147</v>
      </c>
      <c r="CL88" s="10" t="n">
        <v>0.277</v>
      </c>
      <c r="CM88" s="8" t="n">
        <v>24</v>
      </c>
      <c r="CN88" s="10" t="n">
        <v>0.054</v>
      </c>
      <c r="CO88" s="8" t="n">
        <v>20</v>
      </c>
      <c r="CP88" s="7" t="n">
        <v>-0.468</v>
      </c>
      <c r="CQ88" s="7" t="n">
        <v>-0.994</v>
      </c>
      <c r="CR88" s="4" t="s">
        <v>121</v>
      </c>
      <c r="CS88" s="4"/>
    </row>
    <row r="89" customFormat="false" ht="15" hidden="false" customHeight="false" outlineLevel="0" collapsed="false">
      <c r="A89" s="3" t="n">
        <v>87</v>
      </c>
      <c r="B89" s="4" t="s">
        <v>313</v>
      </c>
      <c r="C89" s="11" t="s">
        <v>104</v>
      </c>
      <c r="D89" s="4" t="s">
        <v>314</v>
      </c>
      <c r="E89" s="4" t="s">
        <v>191</v>
      </c>
      <c r="F89" s="4" t="s">
        <v>104</v>
      </c>
      <c r="G89" s="3" t="n">
        <v>1</v>
      </c>
      <c r="H89" s="6" t="n">
        <v>27.2</v>
      </c>
      <c r="I89" s="3" t="n">
        <v>6</v>
      </c>
      <c r="J89" s="3" t="n">
        <v>5</v>
      </c>
      <c r="K89" s="7" t="n">
        <v>86.83</v>
      </c>
      <c r="L89" s="7" t="n">
        <v>11.41</v>
      </c>
      <c r="M89" s="8" t="n">
        <v>61</v>
      </c>
      <c r="N89" s="8" t="n">
        <v>127</v>
      </c>
      <c r="O89" s="7" t="n">
        <v>86.83</v>
      </c>
      <c r="P89" s="6" t="n">
        <v>87.1</v>
      </c>
      <c r="Q89" s="4" t="s">
        <v>191</v>
      </c>
      <c r="R89" s="8" t="n">
        <v>15</v>
      </c>
      <c r="S89" s="6" t="n">
        <v>125.4</v>
      </c>
      <c r="T89" s="7" t="n">
        <f aca="false">IFERROR(S89/R89,"")</f>
        <v>8.36</v>
      </c>
      <c r="U89" s="6" t="n">
        <v>110.4</v>
      </c>
      <c r="V89" s="6" t="n">
        <v>95.4</v>
      </c>
      <c r="W89" s="8" t="n">
        <v>37</v>
      </c>
      <c r="X89" s="7" t="n">
        <f aca="false">IFERROR(S89/AH89,"")</f>
        <v>0.72485549132948</v>
      </c>
      <c r="Y89" s="9" t="n">
        <f aca="false">IFERROR(S89/AF89,"")</f>
        <v>0.290277777777778</v>
      </c>
      <c r="Z89" s="6" t="n">
        <v>3.75</v>
      </c>
      <c r="AA89" s="6" t="n">
        <v>7.5</v>
      </c>
      <c r="AB89" s="6" t="n">
        <v>17.1</v>
      </c>
      <c r="AC89" s="10" t="n">
        <v>0.2</v>
      </c>
      <c r="AD89" s="10" t="n">
        <v>0.133</v>
      </c>
      <c r="AE89" s="7" t="n">
        <v>0.82</v>
      </c>
      <c r="AF89" s="8" t="n">
        <v>432</v>
      </c>
      <c r="AG89" s="10" t="n">
        <v>0.458</v>
      </c>
      <c r="AH89" s="8" t="n">
        <v>173</v>
      </c>
      <c r="AI89" s="8" t="n">
        <v>39</v>
      </c>
      <c r="AJ89" s="6" t="n">
        <f aca="false">IFERROR(AI89/R89,"")</f>
        <v>2.6</v>
      </c>
      <c r="AK89" s="10" t="n">
        <v>0.0903</v>
      </c>
      <c r="AL89" s="10" t="n">
        <v>-0.0139</v>
      </c>
      <c r="AM89" s="9" t="n">
        <v>0.1257</v>
      </c>
      <c r="AN89" s="8" t="n">
        <v>30</v>
      </c>
      <c r="AO89" s="10" t="n">
        <f aca="false">IFERROR(AN89/AI89,"")</f>
        <v>0.769230769230769</v>
      </c>
      <c r="AP89" s="8" t="n">
        <v>223</v>
      </c>
      <c r="AQ89" s="7" t="n">
        <f aca="false">IFERROR(AP89/AI89,"")</f>
        <v>5.71794871794872</v>
      </c>
      <c r="AR89" s="6" t="n">
        <v>-1.026</v>
      </c>
      <c r="AS89" s="7" t="n">
        <v>9.7</v>
      </c>
      <c r="AT89" s="7" t="n">
        <v>-5.575</v>
      </c>
      <c r="AU89" s="7"/>
      <c r="AV89" s="7"/>
      <c r="AW89" s="7"/>
      <c r="AX89" s="10" t="n">
        <v>0.1026</v>
      </c>
      <c r="AY89" s="8" t="n">
        <v>134</v>
      </c>
      <c r="AZ89" s="6" t="n">
        <f aca="false">IFERROR(AY89/R89,"")</f>
        <v>8.93333333333333</v>
      </c>
      <c r="BA89" s="10" t="n">
        <v>0.3427</v>
      </c>
      <c r="BB89" s="8" t="n">
        <v>511</v>
      </c>
      <c r="BC89" s="7" t="n">
        <f aca="false">IFERROR(BB89/AY89,"")</f>
        <v>3.8134328358209</v>
      </c>
      <c r="BD89" s="7" t="n">
        <v>2.007</v>
      </c>
      <c r="BE89" s="7" t="n">
        <v>1.806</v>
      </c>
      <c r="BF89" s="8" t="n">
        <v>1</v>
      </c>
      <c r="BG89" s="7" t="n">
        <v>-0.296908891472833</v>
      </c>
      <c r="BH89" s="6" t="n">
        <v>20.1492537313433</v>
      </c>
      <c r="BI89" s="7" t="n">
        <v>3.74021526418787</v>
      </c>
      <c r="BJ89" s="8" t="n">
        <v>24</v>
      </c>
      <c r="BK89" s="8" t="n">
        <v>11</v>
      </c>
      <c r="BL89" s="8" t="n">
        <v>4</v>
      </c>
      <c r="BM89" s="8" t="n">
        <v>4</v>
      </c>
      <c r="BN89" s="7" t="n">
        <v>5.18</v>
      </c>
      <c r="BO89" s="7" t="n">
        <f aca="false">IFERROR(BM89-BN89,"")</f>
        <v>-1.18</v>
      </c>
      <c r="BP89" s="9" t="n">
        <f aca="false">IFERROR(BM89/AH89,"")</f>
        <v>0.023121387283237</v>
      </c>
      <c r="BQ89" s="6" t="n">
        <v>56.6</v>
      </c>
      <c r="BR89" s="6" t="n">
        <v>63.1</v>
      </c>
      <c r="BS89" s="6" t="n">
        <v>47.3</v>
      </c>
      <c r="BT89" s="7" t="n">
        <v>3.179</v>
      </c>
      <c r="BU89" s="10" t="n">
        <v>0.1391</v>
      </c>
      <c r="BV89" s="10" t="n">
        <v>0.689655172413793</v>
      </c>
      <c r="BW89" s="7" t="n">
        <v>2.49</v>
      </c>
      <c r="BX89" s="10" t="n">
        <v>0.2718</v>
      </c>
      <c r="BY89" s="10" t="n">
        <v>0.0629</v>
      </c>
      <c r="BZ89" s="7" t="n">
        <v>2.4</v>
      </c>
      <c r="CA89" s="10" t="n">
        <v>0.596</v>
      </c>
      <c r="CB89" s="8" t="n">
        <v>3</v>
      </c>
      <c r="CC89" s="10" t="n">
        <v>-0.061</v>
      </c>
      <c r="CD89" s="10" t="n">
        <v>0.5106</v>
      </c>
      <c r="CE89" s="6" t="n">
        <v>58.59</v>
      </c>
      <c r="CF89" s="6" t="n">
        <v>39</v>
      </c>
      <c r="CG89" s="7" t="n">
        <v>2.82</v>
      </c>
      <c r="CH89" s="6" t="n">
        <v>18.3</v>
      </c>
      <c r="CI89" s="9" t="n">
        <v>-0.0262</v>
      </c>
      <c r="CJ89" s="9" t="n">
        <v>-0.0498</v>
      </c>
      <c r="CK89" s="8" t="n">
        <v>50</v>
      </c>
      <c r="CL89" s="10" t="n">
        <v>0.104</v>
      </c>
      <c r="CM89" s="8" t="n">
        <v>242</v>
      </c>
      <c r="CN89" s="10" t="n">
        <v>0.525</v>
      </c>
      <c r="CO89" s="8" t="n">
        <v>40</v>
      </c>
      <c r="CP89" s="7" t="n">
        <v>-0.524</v>
      </c>
      <c r="CQ89" s="7" t="n">
        <v>-0.743</v>
      </c>
      <c r="CR89" s="4" t="s">
        <v>121</v>
      </c>
      <c r="CS89" s="4"/>
    </row>
    <row r="90" customFormat="false" ht="15" hidden="false" customHeight="false" outlineLevel="0" collapsed="false">
      <c r="A90" s="3" t="n">
        <v>88</v>
      </c>
      <c r="B90" s="4" t="s">
        <v>315</v>
      </c>
      <c r="C90" s="5" t="s">
        <v>99</v>
      </c>
      <c r="D90" s="4" t="s">
        <v>316</v>
      </c>
      <c r="E90" s="4" t="s">
        <v>265</v>
      </c>
      <c r="F90" s="4" t="s">
        <v>99</v>
      </c>
      <c r="G90" s="3" t="n">
        <v>2</v>
      </c>
      <c r="H90" s="6" t="n">
        <v>25.6</v>
      </c>
      <c r="I90" s="3" t="n">
        <v>5</v>
      </c>
      <c r="J90" s="3" t="n">
        <v>9</v>
      </c>
      <c r="K90" s="7" t="n">
        <v>87.71</v>
      </c>
      <c r="L90" s="7" t="n">
        <v>14.12</v>
      </c>
      <c r="M90" s="8" t="n">
        <v>48</v>
      </c>
      <c r="N90" s="8" t="n">
        <v>135</v>
      </c>
      <c r="O90" s="7" t="n">
        <v>87.71</v>
      </c>
      <c r="P90" s="6" t="n">
        <v>71.1</v>
      </c>
      <c r="Q90" s="4" t="s">
        <v>178</v>
      </c>
      <c r="R90" s="8" t="n">
        <v>16</v>
      </c>
      <c r="S90" s="6" t="n">
        <v>217.9</v>
      </c>
      <c r="T90" s="7" t="n">
        <f aca="false">IFERROR(S90/R90,"")</f>
        <v>13.61875</v>
      </c>
      <c r="U90" s="6" t="n">
        <v>171.9</v>
      </c>
      <c r="V90" s="6" t="n">
        <v>125.9</v>
      </c>
      <c r="W90" s="8" t="n">
        <v>14</v>
      </c>
      <c r="X90" s="7" t="n">
        <f aca="false">IFERROR(S90/AH90,"")</f>
        <v>1.52377622377622</v>
      </c>
      <c r="Y90" s="9" t="n">
        <f aca="false">IFERROR(S90/AF90,"")</f>
        <v>0.223946557040082</v>
      </c>
      <c r="Z90" s="6" t="n">
        <v>7.75</v>
      </c>
      <c r="AA90" s="6" t="n">
        <v>11.85</v>
      </c>
      <c r="AB90" s="6" t="n">
        <v>21.82</v>
      </c>
      <c r="AC90" s="10" t="n">
        <v>0.25</v>
      </c>
      <c r="AD90" s="10" t="n">
        <v>0</v>
      </c>
      <c r="AE90" s="7" t="n">
        <v>0.691</v>
      </c>
      <c r="AF90" s="8" t="n">
        <v>973</v>
      </c>
      <c r="AG90" s="10" t="n">
        <v>0.908</v>
      </c>
      <c r="AH90" s="8" t="n">
        <v>143</v>
      </c>
      <c r="AI90" s="8" t="n">
        <v>140</v>
      </c>
      <c r="AJ90" s="6" t="n">
        <f aca="false">IFERROR(AI90/R90,"")</f>
        <v>8.75</v>
      </c>
      <c r="AK90" s="10" t="n">
        <v>0.2972</v>
      </c>
      <c r="AL90" s="10" t="n">
        <v>0.2873</v>
      </c>
      <c r="AM90" s="9" t="n">
        <v>0.6469</v>
      </c>
      <c r="AN90" s="8" t="n">
        <v>92</v>
      </c>
      <c r="AO90" s="10" t="n">
        <f aca="false">IFERROR(AN90/AI90,"")</f>
        <v>0.657142857142857</v>
      </c>
      <c r="AP90" s="8" t="n">
        <v>1014</v>
      </c>
      <c r="AQ90" s="7" t="n">
        <f aca="false">IFERROR(AP90/AI90,"")</f>
        <v>7.24285714285714</v>
      </c>
      <c r="AR90" s="6" t="n">
        <v>8.479</v>
      </c>
      <c r="AS90" s="7" t="n">
        <v>4.196</v>
      </c>
      <c r="AT90" s="7" t="n">
        <v>0.854</v>
      </c>
      <c r="AU90" s="7" t="n">
        <v>3.36585571883466</v>
      </c>
      <c r="AV90" s="7" t="n">
        <v>6.71091666666667</v>
      </c>
      <c r="AW90" s="7" t="n">
        <v>0.344817252462611</v>
      </c>
      <c r="AX90" s="10" t="n">
        <v>0.0286</v>
      </c>
      <c r="AY90" s="8" t="n">
        <v>3</v>
      </c>
      <c r="AZ90" s="6" t="n">
        <f aca="false">IFERROR(AY90/R90,"")</f>
        <v>0.1875</v>
      </c>
      <c r="BA90" s="10" t="n">
        <v>0.0063</v>
      </c>
      <c r="BB90" s="8" t="n">
        <v>5</v>
      </c>
      <c r="BC90" s="7"/>
      <c r="BD90" s="7"/>
      <c r="BE90" s="7"/>
      <c r="BF90" s="8" t="n">
        <v>0</v>
      </c>
      <c r="BG90" s="7"/>
      <c r="BH90" s="6"/>
      <c r="BI90" s="7"/>
      <c r="BJ90" s="8" t="n">
        <v>13</v>
      </c>
      <c r="BK90" s="8" t="n">
        <v>5</v>
      </c>
      <c r="BL90" s="8" t="n">
        <v>5</v>
      </c>
      <c r="BM90" s="8" t="n">
        <v>4</v>
      </c>
      <c r="BN90" s="7" t="n">
        <v>5.25</v>
      </c>
      <c r="BO90" s="7" t="n">
        <f aca="false">IFERROR(BM90-BN90,"")</f>
        <v>-1.25</v>
      </c>
      <c r="BP90" s="9" t="n">
        <f aca="false">IFERROR(BM90/AH90,"")</f>
        <v>0.027972027972028</v>
      </c>
      <c r="BQ90" s="6" t="n">
        <v>41.1</v>
      </c>
      <c r="BR90" s="6" t="n">
        <v>58.4</v>
      </c>
      <c r="BS90" s="6" t="n">
        <v>27.6</v>
      </c>
      <c r="BT90" s="7" t="n">
        <v>3.085</v>
      </c>
      <c r="BU90" s="10" t="n">
        <v>0.1549</v>
      </c>
      <c r="BV90" s="10" t="n">
        <v>0.666666666666667</v>
      </c>
      <c r="BW90" s="7" t="n">
        <v>2.54</v>
      </c>
      <c r="BX90" s="10" t="n">
        <v>0.3175</v>
      </c>
      <c r="BY90" s="10" t="n">
        <v>0.0872</v>
      </c>
      <c r="BZ90" s="7" t="n">
        <v>2.389</v>
      </c>
      <c r="CA90" s="10" t="n">
        <v>0.527</v>
      </c>
      <c r="CB90" s="8" t="n">
        <v>3</v>
      </c>
      <c r="CC90" s="10" t="n">
        <v>-0.0385</v>
      </c>
      <c r="CD90" s="10" t="n">
        <v>0.5401</v>
      </c>
      <c r="CE90" s="6" t="n">
        <v>58.53</v>
      </c>
      <c r="CF90" s="6" t="n">
        <v>40</v>
      </c>
      <c r="CG90" s="7" t="n">
        <v>2.06</v>
      </c>
      <c r="CH90" s="6" t="n">
        <v>16.7</v>
      </c>
      <c r="CI90" s="9" t="n">
        <v>-0.0573</v>
      </c>
      <c r="CJ90" s="9" t="n">
        <v>-0.2208</v>
      </c>
      <c r="CK90" s="8" t="n">
        <v>152</v>
      </c>
      <c r="CL90" s="10" t="n">
        <v>0.287</v>
      </c>
      <c r="CM90" s="8" t="n">
        <v>0</v>
      </c>
      <c r="CN90" s="10" t="n">
        <v>0</v>
      </c>
      <c r="CO90" s="8" t="n">
        <v>8</v>
      </c>
      <c r="CP90" s="7" t="n">
        <v>0.838</v>
      </c>
      <c r="CQ90" s="7" t="n">
        <v>0.706</v>
      </c>
      <c r="CR90" s="4" t="s">
        <v>232</v>
      </c>
      <c r="CS90" s="4"/>
    </row>
    <row r="91" customFormat="false" ht="15" hidden="false" customHeight="false" outlineLevel="0" collapsed="false">
      <c r="A91" s="3" t="n">
        <v>89</v>
      </c>
      <c r="B91" s="4" t="s">
        <v>317</v>
      </c>
      <c r="C91" s="11" t="s">
        <v>104</v>
      </c>
      <c r="D91" s="4" t="s">
        <v>318</v>
      </c>
      <c r="E91" s="4" t="s">
        <v>284</v>
      </c>
      <c r="F91" s="4" t="s">
        <v>270</v>
      </c>
      <c r="G91" s="3" t="n">
        <v>2</v>
      </c>
      <c r="H91" s="6" t="n">
        <v>28.2</v>
      </c>
      <c r="I91" s="3" t="n">
        <v>7</v>
      </c>
      <c r="J91" s="3" t="n">
        <v>9</v>
      </c>
      <c r="K91" s="7" t="n">
        <v>88.55</v>
      </c>
      <c r="L91" s="7" t="n">
        <v>11.52</v>
      </c>
      <c r="M91" s="8" t="n">
        <v>68</v>
      </c>
      <c r="N91" s="8" t="n">
        <v>132</v>
      </c>
      <c r="O91" s="7" t="n">
        <v>88.55</v>
      </c>
      <c r="P91" s="6" t="n">
        <v>86</v>
      </c>
      <c r="Q91" s="4" t="s">
        <v>191</v>
      </c>
      <c r="R91" s="8" t="n">
        <v>17</v>
      </c>
      <c r="S91" s="6" t="n">
        <v>216.3</v>
      </c>
      <c r="T91" s="7" t="n">
        <f aca="false">IFERROR(S91/R91,"")</f>
        <v>12.7235294117647</v>
      </c>
      <c r="U91" s="6" t="n">
        <v>196.8</v>
      </c>
      <c r="V91" s="6" t="n">
        <v>177.3</v>
      </c>
      <c r="W91" s="8" t="n">
        <v>18</v>
      </c>
      <c r="X91" s="7" t="n">
        <f aca="false">IFERROR(S91/AH91,"")</f>
        <v>0.756293706293706</v>
      </c>
      <c r="Y91" s="9" t="n">
        <f aca="false">IFERROR(S91/AF91,"")</f>
        <v>0.365989847715736</v>
      </c>
      <c r="Z91" s="6" t="n">
        <v>5.4</v>
      </c>
      <c r="AA91" s="6" t="n">
        <v>10.6</v>
      </c>
      <c r="AB91" s="6" t="n">
        <v>22.98</v>
      </c>
      <c r="AC91" s="10" t="n">
        <v>0.176</v>
      </c>
      <c r="AD91" s="10" t="n">
        <v>0</v>
      </c>
      <c r="AE91" s="7" t="n">
        <v>0.925</v>
      </c>
      <c r="AF91" s="8" t="n">
        <v>591</v>
      </c>
      <c r="AG91" s="10" t="n">
        <v>0.561</v>
      </c>
      <c r="AH91" s="8" t="n">
        <v>286</v>
      </c>
      <c r="AI91" s="8" t="n">
        <v>50</v>
      </c>
      <c r="AJ91" s="6" t="n">
        <f aca="false">IFERROR(AI91/R91,"")</f>
        <v>2.94117647058824</v>
      </c>
      <c r="AK91" s="10" t="n">
        <v>0.1042</v>
      </c>
      <c r="AL91" s="10" t="n">
        <v>-0.016</v>
      </c>
      <c r="AM91" s="9" t="n">
        <v>0.1451</v>
      </c>
      <c r="AN91" s="8" t="n">
        <v>39</v>
      </c>
      <c r="AO91" s="10" t="n">
        <f aca="false">IFERROR(AN91/AI91,"")</f>
        <v>0.78</v>
      </c>
      <c r="AP91" s="8" t="n">
        <v>297</v>
      </c>
      <c r="AQ91" s="7" t="n">
        <f aca="false">IFERROR(AP91/AI91,"")</f>
        <v>5.94</v>
      </c>
      <c r="AR91" s="6" t="n">
        <v>-1.04</v>
      </c>
      <c r="AS91" s="7" t="n">
        <v>8.974</v>
      </c>
      <c r="AT91" s="7" t="n">
        <v>-5.712</v>
      </c>
      <c r="AU91" s="7"/>
      <c r="AV91" s="7"/>
      <c r="AW91" s="7"/>
      <c r="AX91" s="10" t="n">
        <v>0.04</v>
      </c>
      <c r="AY91" s="8" t="n">
        <v>236</v>
      </c>
      <c r="AZ91" s="6" t="n">
        <f aca="false">IFERROR(AY91/R91,"")</f>
        <v>13.8823529411765</v>
      </c>
      <c r="BA91" s="10" t="n">
        <v>0.5119</v>
      </c>
      <c r="BB91" s="8" t="n">
        <v>1076</v>
      </c>
      <c r="BC91" s="7" t="n">
        <f aca="false">IFERROR(BB91/AY91,"")</f>
        <v>4.55932203389831</v>
      </c>
      <c r="BD91" s="7" t="n">
        <v>2.525</v>
      </c>
      <c r="BE91" s="7" t="n">
        <v>2.034</v>
      </c>
      <c r="BF91" s="8" t="n">
        <v>14</v>
      </c>
      <c r="BG91" s="7" t="n">
        <v>0.630886186130139</v>
      </c>
      <c r="BH91" s="6" t="n">
        <v>21.1864406779661</v>
      </c>
      <c r="BI91" s="7" t="n">
        <v>3.26991635687732</v>
      </c>
      <c r="BJ91" s="8" t="n">
        <v>39</v>
      </c>
      <c r="BK91" s="8" t="n">
        <v>14</v>
      </c>
      <c r="BL91" s="8" t="n">
        <v>8</v>
      </c>
      <c r="BM91" s="8" t="n">
        <v>7</v>
      </c>
      <c r="BN91" s="7" t="n">
        <v>7.4</v>
      </c>
      <c r="BO91" s="7" t="n">
        <f aca="false">IFERROR(BM91-BN91,"")</f>
        <v>-0.4</v>
      </c>
      <c r="BP91" s="9" t="n">
        <f aca="false">IFERROR(BM91/AH91,"")</f>
        <v>0.0244755244755245</v>
      </c>
      <c r="BQ91" s="6" t="n">
        <v>57.4</v>
      </c>
      <c r="BR91" s="6" t="n">
        <v>46.5</v>
      </c>
      <c r="BS91" s="6" t="n">
        <v>65.1</v>
      </c>
      <c r="BT91" s="7" t="n">
        <v>2.87</v>
      </c>
      <c r="BU91" s="10" t="n">
        <v>0.172</v>
      </c>
      <c r="BV91" s="10" t="n">
        <v>0.68</v>
      </c>
      <c r="BW91" s="7" t="n">
        <v>2.285</v>
      </c>
      <c r="BX91" s="10" t="n">
        <v>0.1636</v>
      </c>
      <c r="BY91" s="10" t="n">
        <v>0.0526</v>
      </c>
      <c r="BZ91" s="7" t="n">
        <v>2.209</v>
      </c>
      <c r="CA91" s="10" t="n">
        <v>0.824</v>
      </c>
      <c r="CB91" s="8" t="n">
        <v>5</v>
      </c>
      <c r="CC91" s="10" t="n">
        <v>-0.007</v>
      </c>
      <c r="CD91" s="10" t="n">
        <v>0.5795</v>
      </c>
      <c r="CE91" s="6" t="n">
        <v>57.35</v>
      </c>
      <c r="CF91" s="6" t="n">
        <v>40</v>
      </c>
      <c r="CG91" s="7" t="n">
        <v>3</v>
      </c>
      <c r="CH91" s="6" t="n">
        <v>23.4</v>
      </c>
      <c r="CI91" s="9" t="n">
        <v>0.0188</v>
      </c>
      <c r="CJ91" s="9" t="n">
        <v>0.0312</v>
      </c>
      <c r="CK91" s="8" t="n">
        <v>179</v>
      </c>
      <c r="CL91" s="10" t="n">
        <v>0.343</v>
      </c>
      <c r="CM91" s="8" t="n">
        <v>129</v>
      </c>
      <c r="CN91" s="10" t="n">
        <v>0.317</v>
      </c>
      <c r="CO91" s="8" t="n">
        <v>59</v>
      </c>
      <c r="CP91" s="7" t="n">
        <v>0.344</v>
      </c>
      <c r="CQ91" s="7" t="n">
        <v>0.125</v>
      </c>
      <c r="CR91" s="4" t="s">
        <v>102</v>
      </c>
      <c r="CS91" s="4"/>
    </row>
    <row r="92" customFormat="false" ht="15" hidden="false" customHeight="false" outlineLevel="0" collapsed="false">
      <c r="A92" s="3" t="n">
        <v>90</v>
      </c>
      <c r="B92" s="4" t="s">
        <v>319</v>
      </c>
      <c r="C92" s="5" t="s">
        <v>99</v>
      </c>
      <c r="D92" s="4" t="s">
        <v>320</v>
      </c>
      <c r="E92" s="4" t="s">
        <v>151</v>
      </c>
      <c r="F92" s="4" t="s">
        <v>99</v>
      </c>
      <c r="G92" s="3" t="n">
        <v>2</v>
      </c>
      <c r="H92" s="6" t="n">
        <v>26.5</v>
      </c>
      <c r="I92" s="3" t="n">
        <v>4</v>
      </c>
      <c r="J92" s="3" t="n">
        <v>14</v>
      </c>
      <c r="K92" s="7" t="n">
        <v>90.53</v>
      </c>
      <c r="L92" s="7" t="n">
        <v>15.82</v>
      </c>
      <c r="M92" s="8" t="n">
        <v>49</v>
      </c>
      <c r="N92" s="8" t="n">
        <v>137</v>
      </c>
      <c r="O92" s="7" t="n">
        <v>90.53</v>
      </c>
      <c r="P92" s="6" t="n">
        <v>83.8</v>
      </c>
      <c r="Q92" s="4" t="s">
        <v>151</v>
      </c>
      <c r="R92" s="8" t="n">
        <v>17</v>
      </c>
      <c r="S92" s="6" t="n">
        <v>220.6</v>
      </c>
      <c r="T92" s="7" t="n">
        <f aca="false">IFERROR(S92/R92,"")</f>
        <v>12.9764705882353</v>
      </c>
      <c r="U92" s="6" t="n">
        <v>181.6</v>
      </c>
      <c r="V92" s="6" t="n">
        <v>142.6</v>
      </c>
      <c r="W92" s="8" t="n">
        <v>10</v>
      </c>
      <c r="X92" s="7" t="n">
        <f aca="false">IFERROR(S92/AH92,"")</f>
        <v>1.75079365079365</v>
      </c>
      <c r="Y92" s="9" t="n">
        <f aca="false">IFERROR(S92/AF92,"")</f>
        <v>0.239003250270856</v>
      </c>
      <c r="Z92" s="6" t="n">
        <v>6.6</v>
      </c>
      <c r="AA92" s="6" t="n">
        <v>8.4</v>
      </c>
      <c r="AB92" s="6" t="n">
        <v>21.44</v>
      </c>
      <c r="AC92" s="10" t="n">
        <v>0.294</v>
      </c>
      <c r="AD92" s="10" t="n">
        <v>0.118</v>
      </c>
      <c r="AE92" s="7" t="n">
        <v>1.262</v>
      </c>
      <c r="AF92" s="8" t="n">
        <v>923</v>
      </c>
      <c r="AG92" s="10" t="n">
        <v>0.814</v>
      </c>
      <c r="AH92" s="8" t="n">
        <v>126</v>
      </c>
      <c r="AI92" s="8" t="n">
        <v>126</v>
      </c>
      <c r="AJ92" s="6" t="n">
        <f aca="false">IFERROR(AI92/R92,"")</f>
        <v>7.41176470588235</v>
      </c>
      <c r="AK92" s="10" t="n">
        <v>0.2042</v>
      </c>
      <c r="AL92" s="10" t="n">
        <v>0.3375</v>
      </c>
      <c r="AM92" s="9" t="n">
        <v>0.5426</v>
      </c>
      <c r="AN92" s="8" t="n">
        <v>78</v>
      </c>
      <c r="AO92" s="10" t="n">
        <f aca="false">IFERROR(AN92/AI92,"")</f>
        <v>0.619047619047619</v>
      </c>
      <c r="AP92" s="8" t="n">
        <v>1006</v>
      </c>
      <c r="AQ92" s="7" t="n">
        <f aca="false">IFERROR(AP92/AI92,"")</f>
        <v>7.98412698412698</v>
      </c>
      <c r="AR92" s="6" t="n">
        <v>11.921</v>
      </c>
      <c r="AS92" s="7" t="n">
        <v>3.5</v>
      </c>
      <c r="AT92" s="7" t="n">
        <v>0.67</v>
      </c>
      <c r="AU92" s="7" t="n">
        <v>2.43531899514545</v>
      </c>
      <c r="AV92" s="7" t="n">
        <v>5.98137096774193</v>
      </c>
      <c r="AW92" s="7" t="n">
        <v>0.573724760041447</v>
      </c>
      <c r="AX92" s="10" t="n">
        <v>0.0079</v>
      </c>
      <c r="AY92" s="8" t="n">
        <v>0</v>
      </c>
      <c r="AZ92" s="6" t="n">
        <f aca="false">IFERROR(AY92/R92,"")</f>
        <v>0</v>
      </c>
      <c r="BA92" s="10" t="n">
        <v>0</v>
      </c>
      <c r="BB92" s="8" t="n">
        <v>0</v>
      </c>
      <c r="BC92" s="7"/>
      <c r="BD92" s="7"/>
      <c r="BE92" s="7"/>
      <c r="BF92" s="8"/>
      <c r="BG92" s="7"/>
      <c r="BH92" s="6"/>
      <c r="BI92" s="7"/>
      <c r="BJ92" s="8" t="n">
        <v>16</v>
      </c>
      <c r="BK92" s="8" t="n">
        <v>4</v>
      </c>
      <c r="BL92" s="8" t="n">
        <v>0</v>
      </c>
      <c r="BM92" s="8" t="n">
        <v>7</v>
      </c>
      <c r="BN92" s="7" t="n">
        <v>4.68</v>
      </c>
      <c r="BO92" s="7" t="n">
        <f aca="false">IFERROR(BM92-BN92,"")</f>
        <v>2.32</v>
      </c>
      <c r="BP92" s="9" t="n">
        <f aca="false">IFERROR(BM92/AH92,"")</f>
        <v>0.0555555555555556</v>
      </c>
      <c r="BQ92" s="6" t="n">
        <v>36.9</v>
      </c>
      <c r="BR92" s="6" t="n">
        <v>43.8</v>
      </c>
      <c r="BS92" s="6" t="n">
        <v>35.6</v>
      </c>
      <c r="BT92" s="7" t="n">
        <v>2.771</v>
      </c>
      <c r="BU92" s="10" t="n">
        <v>0.2005</v>
      </c>
      <c r="BV92" s="10" t="n">
        <v>0.65625</v>
      </c>
      <c r="BW92" s="7" t="n">
        <v>2.593</v>
      </c>
      <c r="BX92" s="10" t="n">
        <v>0.282</v>
      </c>
      <c r="BY92" s="10" t="n">
        <v>0.0839</v>
      </c>
      <c r="BZ92" s="7" t="n">
        <v>2.373</v>
      </c>
      <c r="CA92" s="10" t="n">
        <v>0.686</v>
      </c>
      <c r="CB92" s="8" t="n">
        <v>3</v>
      </c>
      <c r="CC92" s="10" t="n">
        <v>0.0399</v>
      </c>
      <c r="CD92" s="10" t="n">
        <v>0.6204</v>
      </c>
      <c r="CE92" s="6" t="n">
        <v>63.18</v>
      </c>
      <c r="CF92" s="6" t="n">
        <v>39</v>
      </c>
      <c r="CG92" s="7" t="n">
        <v>3.59</v>
      </c>
      <c r="CH92" s="6" t="n">
        <v>20.9</v>
      </c>
      <c r="CI92" s="9" t="n">
        <v>-0.0591</v>
      </c>
      <c r="CJ92" s="9" t="n">
        <v>0.0023</v>
      </c>
      <c r="CK92" s="8" t="n">
        <v>106</v>
      </c>
      <c r="CL92" s="10" t="n">
        <v>0.172</v>
      </c>
      <c r="CM92" s="8" t="n">
        <v>173</v>
      </c>
      <c r="CN92" s="10" t="n">
        <v>0.473</v>
      </c>
      <c r="CO92" s="8" t="n">
        <v>41</v>
      </c>
      <c r="CP92" s="7" t="n">
        <v>1.049</v>
      </c>
      <c r="CQ92" s="7" t="n">
        <v>0.567</v>
      </c>
      <c r="CR92" s="4" t="s">
        <v>321</v>
      </c>
      <c r="CS92" s="4"/>
    </row>
    <row r="93" customFormat="false" ht="15" hidden="false" customHeight="false" outlineLevel="0" collapsed="false">
      <c r="A93" s="3" t="n">
        <v>91</v>
      </c>
      <c r="B93" s="4" t="s">
        <v>322</v>
      </c>
      <c r="C93" s="5" t="s">
        <v>99</v>
      </c>
      <c r="D93" s="4" t="s">
        <v>323</v>
      </c>
      <c r="E93" s="4" t="s">
        <v>130</v>
      </c>
      <c r="F93" s="4" t="s">
        <v>99</v>
      </c>
      <c r="G93" s="3" t="n">
        <v>1</v>
      </c>
      <c r="H93" s="6" t="n">
        <v>26.3</v>
      </c>
      <c r="I93" s="3" t="n">
        <v>5</v>
      </c>
      <c r="J93" s="3" t="n">
        <v>13</v>
      </c>
      <c r="K93" s="7" t="n">
        <v>91</v>
      </c>
      <c r="L93" s="7" t="n">
        <v>19.93</v>
      </c>
      <c r="M93" s="8" t="n">
        <v>51</v>
      </c>
      <c r="N93" s="8" t="n">
        <v>154</v>
      </c>
      <c r="O93" s="7" t="n">
        <v>91</v>
      </c>
      <c r="P93" s="6" t="n">
        <v>85.2</v>
      </c>
      <c r="Q93" s="4" t="s">
        <v>130</v>
      </c>
      <c r="R93" s="8" t="n">
        <v>15</v>
      </c>
      <c r="S93" s="6" t="n">
        <v>183.3</v>
      </c>
      <c r="T93" s="7" t="n">
        <f aca="false">IFERROR(S93/R93,"")</f>
        <v>12.22</v>
      </c>
      <c r="U93" s="6" t="n">
        <v>159.8</v>
      </c>
      <c r="V93" s="6" t="n">
        <v>136.3</v>
      </c>
      <c r="W93" s="8" t="n">
        <v>28</v>
      </c>
      <c r="X93" s="7" t="n">
        <f aca="false">IFERROR(S93/AH93,"")</f>
        <v>2.18214285714286</v>
      </c>
      <c r="Y93" s="9" t="n">
        <f aca="false">IFERROR(S93/AF93,"")</f>
        <v>0.225461254612546</v>
      </c>
      <c r="Z93" s="6" t="n">
        <v>5.7</v>
      </c>
      <c r="AA93" s="6" t="n">
        <v>10.8</v>
      </c>
      <c r="AB93" s="6" t="n">
        <v>18.34</v>
      </c>
      <c r="AC93" s="10" t="n">
        <v>0.133</v>
      </c>
      <c r="AD93" s="10" t="n">
        <v>0.067</v>
      </c>
      <c r="AE93" s="7" t="n">
        <v>0.769</v>
      </c>
      <c r="AF93" s="8" t="n">
        <v>813</v>
      </c>
      <c r="AG93" s="10" t="n">
        <v>0.859</v>
      </c>
      <c r="AH93" s="8" t="n">
        <v>84</v>
      </c>
      <c r="AI93" s="8" t="n">
        <v>84</v>
      </c>
      <c r="AJ93" s="6" t="n">
        <f aca="false">IFERROR(AI93/R93,"")</f>
        <v>5.6</v>
      </c>
      <c r="AK93" s="10" t="n">
        <v>0.1799</v>
      </c>
      <c r="AL93" s="10" t="n">
        <v>0.4298</v>
      </c>
      <c r="AM93" s="9" t="n">
        <v>0.5707</v>
      </c>
      <c r="AN93" s="8" t="n">
        <v>47</v>
      </c>
      <c r="AO93" s="10" t="n">
        <f aca="false">IFERROR(AN93/AI93,"")</f>
        <v>0.55952380952381</v>
      </c>
      <c r="AP93" s="8" t="n">
        <v>1003</v>
      </c>
      <c r="AQ93" s="7" t="n">
        <f aca="false">IFERROR(AP93/AI93,"")</f>
        <v>11.9404761904762</v>
      </c>
      <c r="AR93" s="6" t="n">
        <v>18.964</v>
      </c>
      <c r="AS93" s="7" t="n">
        <v>3.702</v>
      </c>
      <c r="AT93" s="7" t="n">
        <v>0.63</v>
      </c>
      <c r="AU93" s="7" t="n">
        <v>2.07517787124756</v>
      </c>
      <c r="AV93" s="7" t="n">
        <v>6.27833333333333</v>
      </c>
      <c r="AW93" s="7" t="n">
        <v>1.27772830033032</v>
      </c>
      <c r="AX93" s="10" t="n">
        <v>0.0119</v>
      </c>
      <c r="AY93" s="8" t="n">
        <v>0</v>
      </c>
      <c r="AZ93" s="6" t="n">
        <f aca="false">IFERROR(AY93/R93,"")</f>
        <v>0</v>
      </c>
      <c r="BA93" s="10" t="n">
        <v>0</v>
      </c>
      <c r="BB93" s="8" t="n">
        <v>0</v>
      </c>
      <c r="BC93" s="7"/>
      <c r="BD93" s="7"/>
      <c r="BE93" s="7"/>
      <c r="BF93" s="8"/>
      <c r="BG93" s="7"/>
      <c r="BH93" s="6"/>
      <c r="BI93" s="7"/>
      <c r="BJ93" s="8" t="n">
        <v>9</v>
      </c>
      <c r="BK93" s="8" t="n">
        <v>4</v>
      </c>
      <c r="BL93" s="8" t="n">
        <v>1</v>
      </c>
      <c r="BM93" s="8" t="n">
        <v>6</v>
      </c>
      <c r="BN93" s="7" t="n">
        <v>2.97</v>
      </c>
      <c r="BO93" s="7" t="n">
        <f aca="false">IFERROR(BM93-BN93,"")</f>
        <v>3.03</v>
      </c>
      <c r="BP93" s="9" t="n">
        <f aca="false">IFERROR(BM93/AH93,"")</f>
        <v>0.0714285714285714</v>
      </c>
      <c r="BQ93" s="6" t="n">
        <v>60.3</v>
      </c>
      <c r="BR93" s="6" t="n">
        <v>57.7</v>
      </c>
      <c r="BS93" s="6" t="n">
        <v>58.5</v>
      </c>
      <c r="BT93" s="7" t="n">
        <v>3.072</v>
      </c>
      <c r="BU93" s="10" t="n">
        <v>0.1487</v>
      </c>
      <c r="BV93" s="10" t="n">
        <v>0.6875</v>
      </c>
      <c r="BW93" s="7" t="n">
        <v>2.428</v>
      </c>
      <c r="BX93" s="10" t="n">
        <v>0.2121</v>
      </c>
      <c r="BY93" s="10" t="n">
        <v>0.047</v>
      </c>
      <c r="BZ93" s="7" t="n">
        <v>2.237</v>
      </c>
      <c r="CA93" s="10" t="n">
        <v>0.832</v>
      </c>
      <c r="CB93" s="8" t="n">
        <v>5</v>
      </c>
      <c r="CC93" s="10" t="n">
        <v>-0.0091</v>
      </c>
      <c r="CD93" s="10" t="n">
        <v>0.5637</v>
      </c>
      <c r="CE93" s="6" t="n">
        <v>59.47</v>
      </c>
      <c r="CF93" s="6" t="n">
        <v>39</v>
      </c>
      <c r="CG93" s="7" t="n">
        <v>4.12</v>
      </c>
      <c r="CH93" s="6" t="n">
        <v>27.4</v>
      </c>
      <c r="CI93" s="9" t="n">
        <v>0.094</v>
      </c>
      <c r="CJ93" s="9" t="n">
        <v>0.0558</v>
      </c>
      <c r="CK93" s="8" t="n">
        <v>147</v>
      </c>
      <c r="CL93" s="10" t="n">
        <v>0.277</v>
      </c>
      <c r="CM93" s="8" t="n">
        <v>24</v>
      </c>
      <c r="CN93" s="10" t="n">
        <v>0.054</v>
      </c>
      <c r="CO93" s="8" t="n">
        <v>20</v>
      </c>
      <c r="CP93" s="7" t="n">
        <v>0.296</v>
      </c>
      <c r="CQ93" s="7" t="n">
        <v>0.339</v>
      </c>
      <c r="CR93" s="4" t="s">
        <v>102</v>
      </c>
      <c r="CS93" s="4"/>
    </row>
    <row r="94" customFormat="false" ht="15" hidden="false" customHeight="false" outlineLevel="0" collapsed="false">
      <c r="A94" s="3" t="n">
        <v>92</v>
      </c>
      <c r="B94" s="4" t="s">
        <v>324</v>
      </c>
      <c r="C94" s="11" t="s">
        <v>104</v>
      </c>
      <c r="D94" s="4" t="s">
        <v>325</v>
      </c>
      <c r="E94" s="4" t="s">
        <v>209</v>
      </c>
      <c r="F94" s="4" t="s">
        <v>104</v>
      </c>
      <c r="G94" s="3" t="n">
        <v>2</v>
      </c>
      <c r="H94" s="6" t="n">
        <v>25.5</v>
      </c>
      <c r="I94" s="3" t="n">
        <v>2</v>
      </c>
      <c r="J94" s="3" t="n">
        <v>10</v>
      </c>
      <c r="K94" s="7" t="n">
        <v>92.56</v>
      </c>
      <c r="L94" s="7" t="n">
        <v>16.42</v>
      </c>
      <c r="M94" s="8" t="n">
        <v>61</v>
      </c>
      <c r="N94" s="8" t="n">
        <v>130</v>
      </c>
      <c r="O94" s="7" t="n">
        <v>92.56</v>
      </c>
      <c r="P94" s="6" t="n">
        <v>84</v>
      </c>
      <c r="Q94" s="4" t="s">
        <v>209</v>
      </c>
      <c r="R94" s="8" t="n">
        <v>17</v>
      </c>
      <c r="S94" s="6" t="n">
        <v>206.6</v>
      </c>
      <c r="T94" s="7" t="n">
        <f aca="false">IFERROR(S94/R94,"")</f>
        <v>12.1529411764706</v>
      </c>
      <c r="U94" s="6" t="n">
        <v>183.1</v>
      </c>
      <c r="V94" s="6" t="n">
        <v>159.6</v>
      </c>
      <c r="W94" s="8" t="n">
        <v>20</v>
      </c>
      <c r="X94" s="7" t="n">
        <f aca="false">IFERROR(S94/AH94,"")</f>
        <v>1.01274509803922</v>
      </c>
      <c r="Y94" s="9" t="n">
        <f aca="false">IFERROR(S94/AF94,"")</f>
        <v>0.42952182952183</v>
      </c>
      <c r="Z94" s="6" t="n">
        <v>6</v>
      </c>
      <c r="AA94" s="6" t="n">
        <v>8</v>
      </c>
      <c r="AB94" s="6" t="n">
        <v>21.68</v>
      </c>
      <c r="AC94" s="10" t="n">
        <v>0.412</v>
      </c>
      <c r="AD94" s="10" t="n">
        <v>0</v>
      </c>
      <c r="AE94" s="7" t="n">
        <v>0.957</v>
      </c>
      <c r="AF94" s="8" t="n">
        <v>481</v>
      </c>
      <c r="AG94" s="10" t="n">
        <v>0.421</v>
      </c>
      <c r="AH94" s="8" t="n">
        <v>204</v>
      </c>
      <c r="AI94" s="8" t="n">
        <v>58</v>
      </c>
      <c r="AJ94" s="6" t="n">
        <f aca="false">IFERROR(AI94/R94,"")</f>
        <v>3.41176470588235</v>
      </c>
      <c r="AK94" s="10" t="n">
        <v>0.0993</v>
      </c>
      <c r="AL94" s="10" t="n">
        <v>0.0064</v>
      </c>
      <c r="AM94" s="9" t="n">
        <v>0.1534</v>
      </c>
      <c r="AN94" s="8" t="n">
        <v>47</v>
      </c>
      <c r="AO94" s="10" t="n">
        <f aca="false">IFERROR(AN94/AI94,"")</f>
        <v>0.810344827586207</v>
      </c>
      <c r="AP94" s="8" t="n">
        <v>356</v>
      </c>
      <c r="AQ94" s="7" t="n">
        <f aca="false">IFERROR(AP94/AI94,"")</f>
        <v>6.13793103448276</v>
      </c>
      <c r="AR94" s="6" t="n">
        <v>0.483</v>
      </c>
      <c r="AS94" s="7" t="n">
        <v>7.66</v>
      </c>
      <c r="AT94" s="7" t="n">
        <v>12.714</v>
      </c>
      <c r="AU94" s="7"/>
      <c r="AV94" s="7"/>
      <c r="AW94" s="7"/>
      <c r="AX94" s="10" t="n">
        <v>0.1207</v>
      </c>
      <c r="AY94" s="8" t="n">
        <v>146</v>
      </c>
      <c r="AZ94" s="6" t="n">
        <f aca="false">IFERROR(AY94/R94,"")</f>
        <v>8.58823529411765</v>
      </c>
      <c r="BA94" s="10" t="n">
        <v>0.3202</v>
      </c>
      <c r="BB94" s="8" t="n">
        <v>540</v>
      </c>
      <c r="BC94" s="7" t="n">
        <f aca="false">IFERROR(BB94/AY94,"")</f>
        <v>3.6986301369863</v>
      </c>
      <c r="BD94" s="7" t="n">
        <v>1.904</v>
      </c>
      <c r="BE94" s="7" t="n">
        <v>1.795</v>
      </c>
      <c r="BF94" s="8" t="n">
        <v>7</v>
      </c>
      <c r="BG94" s="7" t="n">
        <v>-0.643702874374956</v>
      </c>
      <c r="BH94" s="6" t="n">
        <v>32.8767123287671</v>
      </c>
      <c r="BI94" s="7" t="n">
        <v>4.84772222222222</v>
      </c>
      <c r="BJ94" s="8" t="n">
        <v>39</v>
      </c>
      <c r="BK94" s="8" t="n">
        <v>20</v>
      </c>
      <c r="BL94" s="8" t="n">
        <v>12</v>
      </c>
      <c r="BM94" s="8" t="n">
        <v>12</v>
      </c>
      <c r="BN94" s="7" t="n">
        <v>8.99</v>
      </c>
      <c r="BO94" s="7" t="n">
        <f aca="false">IFERROR(BM94-BN94,"")</f>
        <v>3.01</v>
      </c>
      <c r="BP94" s="9" t="n">
        <f aca="false">IFERROR(BM94/AH94,"")</f>
        <v>0.0588235294117647</v>
      </c>
      <c r="BQ94" s="6" t="n">
        <v>63.2</v>
      </c>
      <c r="BR94" s="6" t="n">
        <v>50</v>
      </c>
      <c r="BS94" s="6" t="n">
        <v>70.8</v>
      </c>
      <c r="BT94" s="7" t="n">
        <v>2.952</v>
      </c>
      <c r="BU94" s="10" t="n">
        <v>0.1682</v>
      </c>
      <c r="BV94" s="10" t="n">
        <v>0.551724137931035</v>
      </c>
      <c r="BW94" s="7" t="n">
        <v>2.592</v>
      </c>
      <c r="BX94" s="10" t="n">
        <v>0.2088</v>
      </c>
      <c r="BY94" s="10" t="n">
        <v>0.037</v>
      </c>
      <c r="BZ94" s="7" t="n">
        <v>2.401</v>
      </c>
      <c r="CA94" s="10" t="n">
        <v>0.999</v>
      </c>
      <c r="CB94" s="8" t="n">
        <v>5</v>
      </c>
      <c r="CC94" s="10" t="n">
        <v>0.0157</v>
      </c>
      <c r="CD94" s="10" t="n">
        <v>0.59</v>
      </c>
      <c r="CE94" s="6" t="n">
        <v>63.47</v>
      </c>
      <c r="CF94" s="6" t="n">
        <v>38</v>
      </c>
      <c r="CG94" s="7" t="n">
        <v>3.47</v>
      </c>
      <c r="CH94" s="6" t="n">
        <v>23.6</v>
      </c>
      <c r="CI94" s="9" t="n">
        <v>0.0004</v>
      </c>
      <c r="CJ94" s="9" t="n">
        <v>0.0835</v>
      </c>
      <c r="CK94" s="8" t="n">
        <v>4</v>
      </c>
      <c r="CL94" s="10" t="n">
        <v>0.007</v>
      </c>
      <c r="CM94" s="8" t="n">
        <v>0</v>
      </c>
      <c r="CN94" s="10" t="n">
        <v>0</v>
      </c>
      <c r="CO94" s="8" t="n">
        <v>1</v>
      </c>
      <c r="CP94" s="7" t="n">
        <v>0.292</v>
      </c>
      <c r="CQ94" s="7" t="n">
        <v>0.116</v>
      </c>
      <c r="CR94" s="4" t="s">
        <v>102</v>
      </c>
      <c r="CS94" s="4"/>
    </row>
    <row r="95" customFormat="false" ht="15" hidden="false" customHeight="false" outlineLevel="0" collapsed="false">
      <c r="A95" s="3" t="n">
        <v>93</v>
      </c>
      <c r="B95" s="4" t="s">
        <v>326</v>
      </c>
      <c r="C95" s="13" t="s">
        <v>172</v>
      </c>
      <c r="D95" s="4" t="s">
        <v>327</v>
      </c>
      <c r="E95" s="4" t="s">
        <v>178</v>
      </c>
      <c r="F95" s="4" t="s">
        <v>172</v>
      </c>
      <c r="G95" s="3" t="n">
        <v>1</v>
      </c>
      <c r="H95" s="6" t="n">
        <v>23.3</v>
      </c>
      <c r="I95" s="3" t="n">
        <v>2</v>
      </c>
      <c r="J95" s="3" t="n">
        <v>8</v>
      </c>
      <c r="K95" s="7" t="n">
        <v>94.7</v>
      </c>
      <c r="L95" s="7" t="n">
        <v>12.62</v>
      </c>
      <c r="M95" s="8" t="n">
        <v>63</v>
      </c>
      <c r="N95" s="8" t="n">
        <v>119</v>
      </c>
      <c r="O95" s="7" t="n">
        <v>94.7</v>
      </c>
      <c r="P95" s="6" t="n">
        <v>93.2</v>
      </c>
      <c r="Q95" s="4" t="s">
        <v>178</v>
      </c>
      <c r="R95" s="8" t="n">
        <v>14</v>
      </c>
      <c r="S95" s="6" t="n">
        <v>241.58</v>
      </c>
      <c r="T95" s="7" t="n">
        <f aca="false">IFERROR(S95/R95,"")</f>
        <v>17.2557142857143</v>
      </c>
      <c r="U95" s="6" t="n">
        <v>241.58</v>
      </c>
      <c r="V95" s="6" t="n">
        <v>241.58</v>
      </c>
      <c r="W95" s="8" t="n">
        <v>13</v>
      </c>
      <c r="X95" s="7" t="n">
        <f aca="false">IFERROR(S95/AH95,"")</f>
        <v>2.80906976744186</v>
      </c>
      <c r="Y95" s="9" t="n">
        <f aca="false">IFERROR(S95/AF95,"")</f>
        <v>0.312118863049096</v>
      </c>
      <c r="Z95" s="6" t="n">
        <v>14.06</v>
      </c>
      <c r="AA95" s="6" t="n">
        <v>20.12</v>
      </c>
      <c r="AB95" s="6" t="n">
        <v>26.33</v>
      </c>
      <c r="AC95" s="10" t="n">
        <v>0.571</v>
      </c>
      <c r="AD95" s="10" t="n">
        <v>0.214</v>
      </c>
      <c r="AE95" s="7" t="n">
        <v>0.509</v>
      </c>
      <c r="AF95" s="8" t="n">
        <v>774</v>
      </c>
      <c r="AG95" s="10" t="n">
        <v>0.836</v>
      </c>
      <c r="AH95" s="8" t="n">
        <v>86</v>
      </c>
      <c r="AI95" s="8" t="n">
        <v>0</v>
      </c>
      <c r="AJ95" s="6" t="n">
        <f aca="false">IFERROR(AI95/R95,"")</f>
        <v>0</v>
      </c>
      <c r="AK95" s="10" t="n">
        <v>0</v>
      </c>
      <c r="AL95" s="10" t="n">
        <v>0</v>
      </c>
      <c r="AM95" s="9" t="n">
        <v>0</v>
      </c>
      <c r="AN95" s="8" t="n">
        <v>0</v>
      </c>
      <c r="AO95" s="10"/>
      <c r="AP95" s="8" t="n">
        <v>0</v>
      </c>
      <c r="AQ95" s="7"/>
      <c r="AR95" s="6"/>
      <c r="AS95" s="7"/>
      <c r="AT95" s="7"/>
      <c r="AU95" s="7"/>
      <c r="AV95" s="7"/>
      <c r="AW95" s="7"/>
      <c r="AX95" s="10"/>
      <c r="AY95" s="8" t="n">
        <v>86</v>
      </c>
      <c r="AZ95" s="6" t="n">
        <f aca="false">IFERROR(AY95/R95,"")</f>
        <v>6.14285714285714</v>
      </c>
      <c r="BA95" s="10" t="n">
        <v>0.2092</v>
      </c>
      <c r="BB95" s="8" t="n">
        <v>487</v>
      </c>
      <c r="BC95" s="7" t="n">
        <f aca="false">IFERROR(BB95/AY95,"")</f>
        <v>5.66279069767442</v>
      </c>
      <c r="BD95" s="7" t="n">
        <v>4.895</v>
      </c>
      <c r="BE95" s="7" t="n">
        <v>0.767</v>
      </c>
      <c r="BF95" s="8" t="n">
        <v>0</v>
      </c>
      <c r="BG95" s="7"/>
      <c r="BH95" s="6"/>
      <c r="BI95" s="7"/>
      <c r="BJ95" s="8" t="n">
        <v>22</v>
      </c>
      <c r="BK95" s="8" t="n">
        <v>12</v>
      </c>
      <c r="BL95" s="8" t="n">
        <v>7</v>
      </c>
      <c r="BM95" s="8" t="n">
        <v>9</v>
      </c>
      <c r="BN95" s="7" t="n">
        <v>4.72</v>
      </c>
      <c r="BO95" s="7" t="n">
        <f aca="false">IFERROR(BM95-BN95,"")</f>
        <v>4.28</v>
      </c>
      <c r="BP95" s="9" t="n">
        <f aca="false">IFERROR(BM95/AH95,"")</f>
        <v>0.104651162790698</v>
      </c>
      <c r="BQ95" s="6" t="n">
        <v>45.9</v>
      </c>
      <c r="BR95" s="6" t="n">
        <v>56.8</v>
      </c>
      <c r="BS95" s="6" t="n">
        <v>36.8</v>
      </c>
      <c r="BT95" s="7" t="n">
        <v>2.974</v>
      </c>
      <c r="BU95" s="10" t="n">
        <v>0.1475</v>
      </c>
      <c r="BV95" s="10" t="n">
        <v>0.625</v>
      </c>
      <c r="BW95" s="7" t="n">
        <v>2.714</v>
      </c>
      <c r="BX95" s="10" t="n">
        <v>0.2947</v>
      </c>
      <c r="BY95" s="10" t="n">
        <v>0.076</v>
      </c>
      <c r="BZ95" s="7" t="n">
        <v>2.388</v>
      </c>
      <c r="CA95" s="10" t="n">
        <v>0.723</v>
      </c>
      <c r="CB95" s="8" t="n">
        <v>4</v>
      </c>
      <c r="CC95" s="10" t="n">
        <v>-0.0466</v>
      </c>
      <c r="CD95" s="10" t="n">
        <v>0.494</v>
      </c>
      <c r="CE95" s="6" t="n">
        <v>63.47</v>
      </c>
      <c r="CF95" s="6" t="n">
        <v>36</v>
      </c>
      <c r="CG95" s="7" t="n">
        <v>3.59</v>
      </c>
      <c r="CH95" s="6" t="n">
        <v>22.4</v>
      </c>
      <c r="CI95" s="9" t="n">
        <v>0.0356</v>
      </c>
      <c r="CJ95" s="9" t="n">
        <v>-0.008</v>
      </c>
      <c r="CK95" s="8" t="n">
        <v>177</v>
      </c>
      <c r="CL95" s="10" t="n">
        <v>0.352</v>
      </c>
      <c r="CM95" s="8" t="n">
        <v>3</v>
      </c>
      <c r="CN95" s="10" t="n">
        <v>0.006</v>
      </c>
      <c r="CO95" s="8" t="n">
        <v>21</v>
      </c>
      <c r="CP95" s="7" t="n">
        <v>-0.145</v>
      </c>
      <c r="CQ95" s="7" t="n">
        <v>-0.189</v>
      </c>
      <c r="CR95" s="4" t="s">
        <v>102</v>
      </c>
      <c r="CS95" s="4"/>
    </row>
    <row r="96" customFormat="false" ht="15" hidden="false" customHeight="false" outlineLevel="0" collapsed="false">
      <c r="A96" s="3" t="n">
        <v>94</v>
      </c>
      <c r="B96" s="4" t="s">
        <v>328</v>
      </c>
      <c r="C96" s="13" t="s">
        <v>172</v>
      </c>
      <c r="D96" s="4" t="s">
        <v>329</v>
      </c>
      <c r="E96" s="4" t="s">
        <v>124</v>
      </c>
      <c r="F96" s="4" t="s">
        <v>172</v>
      </c>
      <c r="G96" s="3" t="n">
        <v>1</v>
      </c>
      <c r="H96" s="6" t="n">
        <v>26.6</v>
      </c>
      <c r="I96" s="3" t="n">
        <v>5</v>
      </c>
      <c r="J96" s="3" t="n">
        <v>8</v>
      </c>
      <c r="K96" s="7" t="n">
        <v>97.35</v>
      </c>
      <c r="L96" s="7" t="n">
        <v>9.37</v>
      </c>
      <c r="M96" s="8" t="n">
        <v>63</v>
      </c>
      <c r="N96" s="8" t="n">
        <v>125</v>
      </c>
      <c r="O96" s="7" t="n">
        <v>97.35</v>
      </c>
      <c r="P96" s="6" t="n">
        <v>86.4</v>
      </c>
      <c r="Q96" s="4" t="s">
        <v>124</v>
      </c>
      <c r="R96" s="8" t="n">
        <v>9</v>
      </c>
      <c r="S96" s="6" t="n">
        <v>177.38</v>
      </c>
      <c r="T96" s="7" t="n">
        <f aca="false">IFERROR(S96/R96,"")</f>
        <v>19.7088888888889</v>
      </c>
      <c r="U96" s="6" t="n">
        <v>177.38</v>
      </c>
      <c r="V96" s="6" t="n">
        <v>177.38</v>
      </c>
      <c r="W96" s="8" t="n">
        <v>23</v>
      </c>
      <c r="X96" s="7" t="n">
        <f aca="false">IFERROR(S96/AH96,"")</f>
        <v>5.37515151515152</v>
      </c>
      <c r="Y96" s="9" t="n">
        <f aca="false">IFERROR(S96/AF96,"")</f>
        <v>0.307951388888889</v>
      </c>
      <c r="Z96" s="6" t="n">
        <v>16.78</v>
      </c>
      <c r="AA96" s="6" t="n">
        <v>17.66</v>
      </c>
      <c r="AB96" s="6" t="n">
        <v>29.96</v>
      </c>
      <c r="AC96" s="10" t="n">
        <v>0.444</v>
      </c>
      <c r="AD96" s="10" t="n">
        <v>0</v>
      </c>
      <c r="AE96" s="7" t="n">
        <v>0.583</v>
      </c>
      <c r="AF96" s="8" t="n">
        <v>576</v>
      </c>
      <c r="AG96" s="10" t="n">
        <v>0.978</v>
      </c>
      <c r="AH96" s="8" t="n">
        <v>33</v>
      </c>
      <c r="AI96" s="8" t="n">
        <v>0</v>
      </c>
      <c r="AJ96" s="6" t="n">
        <f aca="false">IFERROR(AI96/R96,"")</f>
        <v>0</v>
      </c>
      <c r="AK96" s="10" t="n">
        <v>0</v>
      </c>
      <c r="AL96" s="10" t="n">
        <v>0</v>
      </c>
      <c r="AM96" s="9" t="n">
        <v>0</v>
      </c>
      <c r="AN96" s="8" t="n">
        <v>0</v>
      </c>
      <c r="AO96" s="10"/>
      <c r="AP96" s="8" t="n">
        <v>0</v>
      </c>
      <c r="AQ96" s="7"/>
      <c r="AR96" s="6"/>
      <c r="AS96" s="7"/>
      <c r="AT96" s="7"/>
      <c r="AU96" s="7"/>
      <c r="AV96" s="7"/>
      <c r="AW96" s="7"/>
      <c r="AX96" s="10"/>
      <c r="AY96" s="8" t="n">
        <v>33</v>
      </c>
      <c r="AZ96" s="6" t="n">
        <f aca="false">IFERROR(AY96/R96,"")</f>
        <v>3.66666666666667</v>
      </c>
      <c r="BA96" s="10" t="n">
        <v>0.1218</v>
      </c>
      <c r="BB96" s="8" t="n">
        <v>147</v>
      </c>
      <c r="BC96" s="7" t="n">
        <f aca="false">IFERROR(BB96/AY96,"")</f>
        <v>4.45454545454545</v>
      </c>
      <c r="BD96" s="7" t="n">
        <v>3.818</v>
      </c>
      <c r="BE96" s="7" t="n">
        <v>0.636</v>
      </c>
      <c r="BF96" s="8" t="n">
        <v>0</v>
      </c>
      <c r="BG96" s="7"/>
      <c r="BH96" s="6"/>
      <c r="BI96" s="7"/>
      <c r="BJ96" s="8" t="n">
        <v>7</v>
      </c>
      <c r="BK96" s="8" t="n">
        <v>3</v>
      </c>
      <c r="BL96" s="8" t="n">
        <v>2</v>
      </c>
      <c r="BM96" s="8" t="n">
        <v>3</v>
      </c>
      <c r="BN96" s="7" t="n">
        <v>1.29</v>
      </c>
      <c r="BO96" s="7" t="n">
        <f aca="false">IFERROR(BM96-BN96,"")</f>
        <v>1.71</v>
      </c>
      <c r="BP96" s="9" t="n">
        <f aca="false">IFERROR(BM96/AH96,"")</f>
        <v>0.0909090909090909</v>
      </c>
      <c r="BQ96" s="6" t="n">
        <v>63.3</v>
      </c>
      <c r="BR96" s="6" t="n">
        <v>46.4</v>
      </c>
      <c r="BS96" s="6" t="n">
        <v>74.5</v>
      </c>
      <c r="BT96" s="7" t="n">
        <v>2.906</v>
      </c>
      <c r="BU96" s="10" t="n">
        <v>0.1848</v>
      </c>
      <c r="BV96" s="10" t="n">
        <v>0.655172413793103</v>
      </c>
      <c r="BW96" s="7" t="n">
        <v>2.349</v>
      </c>
      <c r="BX96" s="10" t="n">
        <v>0.2125</v>
      </c>
      <c r="BY96" s="10" t="n">
        <v>0.0428</v>
      </c>
      <c r="BZ96" s="7" t="n">
        <v>2.547</v>
      </c>
      <c r="CA96" s="10" t="n">
        <v>0.852</v>
      </c>
      <c r="CB96" s="8" t="n">
        <v>4</v>
      </c>
      <c r="CC96" s="10" t="n">
        <v>-0.0088</v>
      </c>
      <c r="CD96" s="10" t="n">
        <v>0.5521</v>
      </c>
      <c r="CE96" s="6" t="n">
        <v>62.65</v>
      </c>
      <c r="CF96" s="6" t="n">
        <v>38</v>
      </c>
      <c r="CG96" s="7" t="n">
        <v>3.88</v>
      </c>
      <c r="CH96" s="6" t="n">
        <v>25.7</v>
      </c>
      <c r="CI96" s="9" t="n">
        <v>-0.0044</v>
      </c>
      <c r="CJ96" s="9" t="n">
        <v>0.1587</v>
      </c>
      <c r="CK96" s="8" t="n">
        <v>170</v>
      </c>
      <c r="CL96" s="10" t="n">
        <v>0.309</v>
      </c>
      <c r="CM96" s="8" t="n">
        <v>94</v>
      </c>
      <c r="CN96" s="10" t="n">
        <v>0.195</v>
      </c>
      <c r="CO96" s="8" t="n">
        <v>38</v>
      </c>
      <c r="CP96" s="7" t="n">
        <v>-0.548</v>
      </c>
      <c r="CQ96" s="7" t="n">
        <v>0.197</v>
      </c>
      <c r="CR96" s="4" t="s">
        <v>121</v>
      </c>
      <c r="CS96" s="4"/>
    </row>
    <row r="97" customFormat="false" ht="15" hidden="false" customHeight="false" outlineLevel="0" collapsed="false">
      <c r="A97" s="3" t="n">
        <v>95</v>
      </c>
      <c r="B97" s="4" t="s">
        <v>330</v>
      </c>
      <c r="C97" s="12" t="s">
        <v>149</v>
      </c>
      <c r="D97" s="4" t="s">
        <v>331</v>
      </c>
      <c r="E97" s="4" t="s">
        <v>164</v>
      </c>
      <c r="F97" s="4" t="s">
        <v>149</v>
      </c>
      <c r="G97" s="3" t="n">
        <v>1</v>
      </c>
      <c r="H97" s="6" t="n">
        <v>36.9</v>
      </c>
      <c r="I97" s="3" t="n">
        <v>14</v>
      </c>
      <c r="J97" s="3" t="n">
        <v>5</v>
      </c>
      <c r="K97" s="7" t="n">
        <v>98.69</v>
      </c>
      <c r="L97" s="7" t="n">
        <v>13.65</v>
      </c>
      <c r="M97" s="8" t="n">
        <v>66</v>
      </c>
      <c r="N97" s="8" t="n">
        <v>138</v>
      </c>
      <c r="O97" s="7" t="n">
        <v>98.69</v>
      </c>
      <c r="P97" s="6" t="n">
        <v>88.9</v>
      </c>
      <c r="Q97" s="4" t="s">
        <v>164</v>
      </c>
      <c r="R97" s="8" t="n">
        <v>17</v>
      </c>
      <c r="S97" s="6" t="n">
        <v>193.2</v>
      </c>
      <c r="T97" s="7" t="n">
        <f aca="false">IFERROR(S97/R97,"")</f>
        <v>11.3647058823529</v>
      </c>
      <c r="U97" s="6" t="n">
        <v>155.2</v>
      </c>
      <c r="V97" s="6" t="n">
        <v>117.2</v>
      </c>
      <c r="W97" s="8" t="n">
        <v>3</v>
      </c>
      <c r="X97" s="7" t="n">
        <f aca="false">IFERROR(S97/AH97,"")</f>
        <v>1.77247706422018</v>
      </c>
      <c r="Y97" s="9" t="n">
        <f aca="false">IFERROR(S97/AF97,"")</f>
        <v>0.214190687361419</v>
      </c>
      <c r="Z97" s="6" t="n">
        <v>8.4</v>
      </c>
      <c r="AA97" s="6" t="n">
        <v>10.1</v>
      </c>
      <c r="AB97" s="6" t="n">
        <v>17.66</v>
      </c>
      <c r="AC97" s="10" t="n">
        <v>0.235</v>
      </c>
      <c r="AD97" s="10" t="n">
        <v>0.059</v>
      </c>
      <c r="AE97" s="7" t="n">
        <v>0.634</v>
      </c>
      <c r="AF97" s="8" t="n">
        <v>902</v>
      </c>
      <c r="AG97" s="10" t="n">
        <v>0.819</v>
      </c>
      <c r="AH97" s="8" t="n">
        <v>109</v>
      </c>
      <c r="AI97" s="8" t="n">
        <v>108</v>
      </c>
      <c r="AJ97" s="6" t="n">
        <f aca="false">IFERROR(AI97/R97,"")</f>
        <v>6.35294117647059</v>
      </c>
      <c r="AK97" s="10" t="n">
        <v>0.1967</v>
      </c>
      <c r="AL97" s="10" t="n">
        <v>0.171</v>
      </c>
      <c r="AM97" s="9" t="n">
        <v>0.4148</v>
      </c>
      <c r="AN97" s="8" t="n">
        <v>76</v>
      </c>
      <c r="AO97" s="10" t="n">
        <f aca="false">IFERROR(AN97/AI97,"")</f>
        <v>0.703703703703704</v>
      </c>
      <c r="AP97" s="8" t="n">
        <v>851</v>
      </c>
      <c r="AQ97" s="7" t="n">
        <f aca="false">IFERROR(AP97/AI97,"")</f>
        <v>7.87962962962963</v>
      </c>
      <c r="AR97" s="6" t="n">
        <v>6.806</v>
      </c>
      <c r="AS97" s="7" t="n">
        <v>5.579</v>
      </c>
      <c r="AT97" s="7" t="n">
        <v>1.158</v>
      </c>
      <c r="AU97" s="7" t="n">
        <v>3.21107209819751</v>
      </c>
      <c r="AV97" s="7" t="n">
        <v>5.64223529411765</v>
      </c>
      <c r="AW97" s="7" t="n">
        <v>0.4268428877584</v>
      </c>
      <c r="AX97" s="10" t="n">
        <v>0.0648</v>
      </c>
      <c r="AY97" s="8" t="n">
        <v>1</v>
      </c>
      <c r="AZ97" s="6" t="n">
        <f aca="false">IFERROR(AY97/R97,"")</f>
        <v>0.0588235294117647</v>
      </c>
      <c r="BA97" s="10" t="n">
        <v>0.0023</v>
      </c>
      <c r="BB97" s="8" t="n">
        <v>1</v>
      </c>
      <c r="BC97" s="7"/>
      <c r="BD97" s="7"/>
      <c r="BE97" s="7"/>
      <c r="BF97" s="8" t="n">
        <v>0</v>
      </c>
      <c r="BG97" s="7"/>
      <c r="BH97" s="6"/>
      <c r="BI97" s="7"/>
      <c r="BJ97" s="8" t="n">
        <v>13</v>
      </c>
      <c r="BK97" s="8" t="n">
        <v>8</v>
      </c>
      <c r="BL97" s="8" t="n">
        <v>4</v>
      </c>
      <c r="BM97" s="8" t="n">
        <v>5</v>
      </c>
      <c r="BN97" s="7" t="n">
        <v>5.36</v>
      </c>
      <c r="BO97" s="7" t="n">
        <f aca="false">IFERROR(BM97-BN97,"")</f>
        <v>-0.36</v>
      </c>
      <c r="BP97" s="9" t="n">
        <f aca="false">IFERROR(BM97/AH97,"")</f>
        <v>0.0458715596330275</v>
      </c>
      <c r="BQ97" s="6" t="n">
        <v>50.1</v>
      </c>
      <c r="BR97" s="6" t="n">
        <v>66.2</v>
      </c>
      <c r="BS97" s="6" t="n">
        <v>34</v>
      </c>
      <c r="BT97" s="7" t="n">
        <v>3.062</v>
      </c>
      <c r="BU97" s="10" t="n">
        <v>0.1258</v>
      </c>
      <c r="BV97" s="10" t="n">
        <v>0.8125</v>
      </c>
      <c r="BW97" s="7" t="n">
        <v>2.623</v>
      </c>
      <c r="BX97" s="10" t="n">
        <v>0.2877</v>
      </c>
      <c r="BY97" s="10" t="n">
        <v>0.0659</v>
      </c>
      <c r="BZ97" s="7" t="n">
        <v>2.212</v>
      </c>
      <c r="CA97" s="10" t="n">
        <v>0.864</v>
      </c>
      <c r="CB97" s="8" t="n">
        <v>5</v>
      </c>
      <c r="CC97" s="10" t="n">
        <v>0.0395</v>
      </c>
      <c r="CD97" s="10" t="n">
        <v>0.5721</v>
      </c>
      <c r="CE97" s="6" t="n">
        <v>61.65</v>
      </c>
      <c r="CF97" s="6" t="n">
        <v>38</v>
      </c>
      <c r="CG97" s="7" t="n">
        <v>3.71</v>
      </c>
      <c r="CH97" s="6" t="n">
        <v>21.3</v>
      </c>
      <c r="CI97" s="9" t="n">
        <v>0.0273</v>
      </c>
      <c r="CJ97" s="9" t="n">
        <v>0.0399</v>
      </c>
      <c r="CK97" s="8" t="n">
        <v>147</v>
      </c>
      <c r="CL97" s="10" t="n">
        <v>0.268</v>
      </c>
      <c r="CM97" s="8" t="n">
        <v>129</v>
      </c>
      <c r="CN97" s="10" t="n">
        <v>0.3</v>
      </c>
      <c r="CO97" s="8" t="n">
        <v>43</v>
      </c>
      <c r="CP97" s="7" t="n">
        <v>0.222</v>
      </c>
      <c r="CQ97" s="7" t="n">
        <v>-0.041</v>
      </c>
      <c r="CR97" s="4" t="s">
        <v>102</v>
      </c>
      <c r="CS97" s="4"/>
    </row>
    <row r="98" customFormat="false" ht="15" hidden="false" customHeight="false" outlineLevel="0" collapsed="false">
      <c r="A98" s="3" t="n">
        <v>96</v>
      </c>
      <c r="B98" s="4" t="s">
        <v>332</v>
      </c>
      <c r="C98" s="13" t="s">
        <v>172</v>
      </c>
      <c r="D98" s="4" t="s">
        <v>333</v>
      </c>
      <c r="E98" s="4" t="s">
        <v>164</v>
      </c>
      <c r="F98" s="4" t="s">
        <v>172</v>
      </c>
      <c r="G98" s="3" t="n">
        <v>1</v>
      </c>
      <c r="H98" s="6" t="n">
        <v>30.9</v>
      </c>
      <c r="I98" s="3" t="n">
        <v>10</v>
      </c>
      <c r="J98" s="3" t="n">
        <v>5</v>
      </c>
      <c r="K98" s="7" t="n">
        <v>101.13</v>
      </c>
      <c r="L98" s="7" t="n">
        <v>11.7</v>
      </c>
      <c r="M98" s="8" t="n">
        <v>63</v>
      </c>
      <c r="N98" s="8" t="n">
        <v>129</v>
      </c>
      <c r="O98" s="7" t="n">
        <v>101.13</v>
      </c>
      <c r="P98" s="6" t="n">
        <v>87.9</v>
      </c>
      <c r="Q98" s="4" t="s">
        <v>164</v>
      </c>
      <c r="R98" s="8" t="n">
        <v>14</v>
      </c>
      <c r="S98" s="6" t="n">
        <v>285.68</v>
      </c>
      <c r="T98" s="7" t="n">
        <f aca="false">IFERROR(S98/R98,"")</f>
        <v>20.4057142857143</v>
      </c>
      <c r="U98" s="6" t="n">
        <v>285.18</v>
      </c>
      <c r="V98" s="6" t="n">
        <v>284.68</v>
      </c>
      <c r="W98" s="8" t="n">
        <v>11</v>
      </c>
      <c r="X98" s="7" t="n">
        <f aca="false">IFERROR(S98/AH98,"")</f>
        <v>4.39507692307692</v>
      </c>
      <c r="Y98" s="9" t="n">
        <f aca="false">IFERROR(S98/AF98,"")</f>
        <v>0.305867237687366</v>
      </c>
      <c r="Z98" s="6" t="n">
        <v>13.2</v>
      </c>
      <c r="AA98" s="6" t="n">
        <v>22.52</v>
      </c>
      <c r="AB98" s="6" t="n">
        <v>27.41</v>
      </c>
      <c r="AC98" s="10" t="n">
        <v>0.643</v>
      </c>
      <c r="AD98" s="10" t="n">
        <v>0</v>
      </c>
      <c r="AE98" s="7" t="n">
        <v>0.355</v>
      </c>
      <c r="AF98" s="8" t="n">
        <v>934</v>
      </c>
      <c r="AG98" s="10" t="n">
        <v>0.974</v>
      </c>
      <c r="AH98" s="8" t="n">
        <v>65</v>
      </c>
      <c r="AI98" s="8" t="n">
        <v>1</v>
      </c>
      <c r="AJ98" s="6" t="n">
        <f aca="false">IFERROR(AI98/R98,"")</f>
        <v>0.0714285714285714</v>
      </c>
      <c r="AK98" s="10" t="n">
        <v>0.0021</v>
      </c>
      <c r="AL98" s="10" t="n">
        <v>-0.0021</v>
      </c>
      <c r="AM98" s="9" t="n">
        <v>0.0017</v>
      </c>
      <c r="AN98" s="8" t="n">
        <v>1</v>
      </c>
      <c r="AO98" s="10"/>
      <c r="AP98" s="8" t="n">
        <v>-10</v>
      </c>
      <c r="AQ98" s="7"/>
      <c r="AR98" s="6"/>
      <c r="AS98" s="7"/>
      <c r="AT98" s="7"/>
      <c r="AU98" s="7"/>
      <c r="AV98" s="7"/>
      <c r="AW98" s="7"/>
      <c r="AX98" s="10"/>
      <c r="AY98" s="8" t="n">
        <v>64</v>
      </c>
      <c r="AZ98" s="6" t="n">
        <f aca="false">IFERROR(AY98/R98,"")</f>
        <v>4.57142857142857</v>
      </c>
      <c r="BA98" s="10" t="n">
        <v>0.1716</v>
      </c>
      <c r="BB98" s="8" t="n">
        <v>422</v>
      </c>
      <c r="BC98" s="7" t="n">
        <f aca="false">IFERROR(BB98/AY98,"")</f>
        <v>6.59375</v>
      </c>
      <c r="BD98" s="7" t="n">
        <v>5.609</v>
      </c>
      <c r="BE98" s="7" t="n">
        <v>0.984</v>
      </c>
      <c r="BF98" s="8" t="n">
        <v>4</v>
      </c>
      <c r="BG98" s="7"/>
      <c r="BH98" s="6"/>
      <c r="BI98" s="7"/>
      <c r="BJ98" s="8" t="n">
        <v>15</v>
      </c>
      <c r="BK98" s="8" t="n">
        <v>5</v>
      </c>
      <c r="BL98" s="8" t="n">
        <v>2</v>
      </c>
      <c r="BM98" s="8" t="n">
        <v>5</v>
      </c>
      <c r="BN98" s="7" t="n">
        <v>1.91</v>
      </c>
      <c r="BO98" s="7" t="n">
        <f aca="false">IFERROR(BM98-BN98,"")</f>
        <v>3.09</v>
      </c>
      <c r="BP98" s="9" t="n">
        <f aca="false">IFERROR(BM98/AH98,"")</f>
        <v>0.0769230769230769</v>
      </c>
      <c r="BQ98" s="6" t="n">
        <v>50.1</v>
      </c>
      <c r="BR98" s="6" t="n">
        <v>66.2</v>
      </c>
      <c r="BS98" s="6" t="n">
        <v>34</v>
      </c>
      <c r="BT98" s="7" t="n">
        <v>3.062</v>
      </c>
      <c r="BU98" s="10" t="n">
        <v>0.1258</v>
      </c>
      <c r="BV98" s="10" t="n">
        <v>0.8125</v>
      </c>
      <c r="BW98" s="7" t="n">
        <v>2.623</v>
      </c>
      <c r="BX98" s="10" t="n">
        <v>0.2877</v>
      </c>
      <c r="BY98" s="10" t="n">
        <v>0.0659</v>
      </c>
      <c r="BZ98" s="7" t="n">
        <v>2.212</v>
      </c>
      <c r="CA98" s="10" t="n">
        <v>0.864</v>
      </c>
      <c r="CB98" s="8" t="n">
        <v>5</v>
      </c>
      <c r="CC98" s="10" t="n">
        <v>0.0395</v>
      </c>
      <c r="CD98" s="10" t="n">
        <v>0.5721</v>
      </c>
      <c r="CE98" s="6" t="n">
        <v>61.65</v>
      </c>
      <c r="CF98" s="6" t="n">
        <v>38</v>
      </c>
      <c r="CG98" s="7" t="n">
        <v>3.71</v>
      </c>
      <c r="CH98" s="6" t="n">
        <v>21.3</v>
      </c>
      <c r="CI98" s="9" t="n">
        <v>0.0273</v>
      </c>
      <c r="CJ98" s="9" t="n">
        <v>0.0399</v>
      </c>
      <c r="CK98" s="8" t="n">
        <v>147</v>
      </c>
      <c r="CL98" s="10" t="n">
        <v>0.268</v>
      </c>
      <c r="CM98" s="8" t="n">
        <v>129</v>
      </c>
      <c r="CN98" s="10" t="n">
        <v>0.3</v>
      </c>
      <c r="CO98" s="8" t="n">
        <v>43</v>
      </c>
      <c r="CP98" s="7" t="n">
        <v>0.014</v>
      </c>
      <c r="CQ98" s="7" t="n">
        <v>0.32</v>
      </c>
      <c r="CR98" s="4" t="s">
        <v>102</v>
      </c>
      <c r="CS98" s="4"/>
    </row>
    <row r="99" customFormat="false" ht="15" hidden="false" customHeight="false" outlineLevel="0" collapsed="false">
      <c r="A99" s="3" t="n">
        <v>97</v>
      </c>
      <c r="B99" s="4" t="s">
        <v>334</v>
      </c>
      <c r="C99" s="13" t="s">
        <v>172</v>
      </c>
      <c r="D99" s="4" t="s">
        <v>335</v>
      </c>
      <c r="E99" s="4" t="s">
        <v>209</v>
      </c>
      <c r="F99" s="4" t="s">
        <v>172</v>
      </c>
      <c r="G99" s="3" t="n">
        <v>1</v>
      </c>
      <c r="H99" s="6" t="n">
        <v>26.5</v>
      </c>
      <c r="I99" s="3" t="n">
        <v>3</v>
      </c>
      <c r="J99" s="3" t="n">
        <v>10</v>
      </c>
      <c r="K99" s="7" t="n">
        <v>101.34</v>
      </c>
      <c r="L99" s="7" t="n">
        <v>9.64</v>
      </c>
      <c r="M99" s="8" t="n">
        <v>70</v>
      </c>
      <c r="N99" s="8" t="n">
        <v>125</v>
      </c>
      <c r="O99" s="7" t="n">
        <v>101.34</v>
      </c>
      <c r="P99" s="6" t="n">
        <v>87.2</v>
      </c>
      <c r="Q99" s="4" t="s">
        <v>209</v>
      </c>
      <c r="R99" s="8" t="n">
        <v>17</v>
      </c>
      <c r="S99" s="6" t="n">
        <v>304.84</v>
      </c>
      <c r="T99" s="7" t="n">
        <f aca="false">IFERROR(S99/R99,"")</f>
        <v>17.9317647058824</v>
      </c>
      <c r="U99" s="6" t="n">
        <v>304.84</v>
      </c>
      <c r="V99" s="6" t="n">
        <v>304.84</v>
      </c>
      <c r="W99" s="8" t="n">
        <v>7</v>
      </c>
      <c r="X99" s="7" t="n">
        <f aca="false">IFERROR(S99/AH99,"")</f>
        <v>3.62904761904762</v>
      </c>
      <c r="Y99" s="9" t="n">
        <f aca="false">IFERROR(S99/AF99,"")</f>
        <v>0.268345070422535</v>
      </c>
      <c r="Z99" s="6" t="n">
        <v>13.36</v>
      </c>
      <c r="AA99" s="6" t="n">
        <v>16.44</v>
      </c>
      <c r="AB99" s="6" t="n">
        <v>24.96</v>
      </c>
      <c r="AC99" s="10" t="n">
        <v>0.353</v>
      </c>
      <c r="AD99" s="10" t="n">
        <v>0.118</v>
      </c>
      <c r="AE99" s="7" t="n">
        <v>0.509</v>
      </c>
      <c r="AF99" s="8" t="n">
        <v>1136</v>
      </c>
      <c r="AG99" s="10" t="n">
        <v>0.996</v>
      </c>
      <c r="AH99" s="8" t="n">
        <v>84</v>
      </c>
      <c r="AI99" s="8" t="n">
        <v>1</v>
      </c>
      <c r="AJ99" s="6" t="n">
        <f aca="false">IFERROR(AI99/R99,"")</f>
        <v>0.0588235294117647</v>
      </c>
      <c r="AK99" s="10" t="n">
        <v>0.0017</v>
      </c>
      <c r="AL99" s="10" t="n">
        <v>0.0005</v>
      </c>
      <c r="AM99" s="9" t="n">
        <v>0.0029</v>
      </c>
      <c r="AN99" s="8" t="n">
        <v>0</v>
      </c>
      <c r="AO99" s="10"/>
      <c r="AP99" s="8" t="n">
        <v>0</v>
      </c>
      <c r="AQ99" s="7"/>
      <c r="AR99" s="6"/>
      <c r="AS99" s="7"/>
      <c r="AT99" s="7"/>
      <c r="AU99" s="7"/>
      <c r="AV99" s="7"/>
      <c r="AW99" s="7"/>
      <c r="AX99" s="10"/>
      <c r="AY99" s="8" t="n">
        <v>83</v>
      </c>
      <c r="AZ99" s="6" t="n">
        <f aca="false">IFERROR(AY99/R99,"")</f>
        <v>4.88235294117647</v>
      </c>
      <c r="BA99" s="10" t="n">
        <v>0.182</v>
      </c>
      <c r="BB99" s="8" t="n">
        <v>356</v>
      </c>
      <c r="BC99" s="7" t="n">
        <f aca="false">IFERROR(BB99/AY99,"")</f>
        <v>4.28915662650602</v>
      </c>
      <c r="BD99" s="7" t="n">
        <v>3.542</v>
      </c>
      <c r="BE99" s="7" t="n">
        <v>0.747</v>
      </c>
      <c r="BF99" s="8" t="n">
        <v>0</v>
      </c>
      <c r="BG99" s="7"/>
      <c r="BH99" s="6"/>
      <c r="BI99" s="7"/>
      <c r="BJ99" s="8" t="n">
        <v>15</v>
      </c>
      <c r="BK99" s="8" t="n">
        <v>6</v>
      </c>
      <c r="BL99" s="8" t="n">
        <v>1</v>
      </c>
      <c r="BM99" s="8" t="n">
        <v>5</v>
      </c>
      <c r="BN99" s="7" t="n">
        <v>1.73</v>
      </c>
      <c r="BO99" s="7" t="n">
        <f aca="false">IFERROR(BM99-BN99,"")</f>
        <v>3.27</v>
      </c>
      <c r="BP99" s="9" t="n">
        <f aca="false">IFERROR(BM99/AH99,"")</f>
        <v>0.0595238095238095</v>
      </c>
      <c r="BQ99" s="6" t="n">
        <v>63.2</v>
      </c>
      <c r="BR99" s="6" t="n">
        <v>50</v>
      </c>
      <c r="BS99" s="6" t="n">
        <v>70.8</v>
      </c>
      <c r="BT99" s="7" t="n">
        <v>2.952</v>
      </c>
      <c r="BU99" s="10" t="n">
        <v>0.1682</v>
      </c>
      <c r="BV99" s="10" t="n">
        <v>0.551724137931035</v>
      </c>
      <c r="BW99" s="7" t="n">
        <v>2.592</v>
      </c>
      <c r="BX99" s="10" t="n">
        <v>0.2088</v>
      </c>
      <c r="BY99" s="10" t="n">
        <v>0.037</v>
      </c>
      <c r="BZ99" s="7" t="n">
        <v>2.401</v>
      </c>
      <c r="CA99" s="10" t="n">
        <v>0.999</v>
      </c>
      <c r="CB99" s="8" t="n">
        <v>5</v>
      </c>
      <c r="CC99" s="10" t="n">
        <v>0.0157</v>
      </c>
      <c r="CD99" s="10" t="n">
        <v>0.59</v>
      </c>
      <c r="CE99" s="6" t="n">
        <v>63.47</v>
      </c>
      <c r="CF99" s="6" t="n">
        <v>38</v>
      </c>
      <c r="CG99" s="7" t="n">
        <v>3.47</v>
      </c>
      <c r="CH99" s="6" t="n">
        <v>23.6</v>
      </c>
      <c r="CI99" s="9" t="n">
        <v>0.0004</v>
      </c>
      <c r="CJ99" s="9" t="n">
        <v>0.0835</v>
      </c>
      <c r="CK99" s="8" t="n">
        <v>4</v>
      </c>
      <c r="CL99" s="10" t="n">
        <v>0.007</v>
      </c>
      <c r="CM99" s="8" t="n">
        <v>0</v>
      </c>
      <c r="CN99" s="10" t="n">
        <v>0</v>
      </c>
      <c r="CO99" s="8" t="n">
        <v>1</v>
      </c>
      <c r="CP99" s="7" t="n">
        <v>0.224</v>
      </c>
      <c r="CQ99" s="7" t="n">
        <v>0.092</v>
      </c>
      <c r="CR99" s="4" t="s">
        <v>102</v>
      </c>
      <c r="CS99" s="4"/>
    </row>
    <row r="100" customFormat="false" ht="15" hidden="false" customHeight="false" outlineLevel="0" collapsed="false">
      <c r="A100" s="3" t="n">
        <v>98</v>
      </c>
      <c r="B100" s="4" t="s">
        <v>336</v>
      </c>
      <c r="C100" s="5" t="s">
        <v>99</v>
      </c>
      <c r="D100" s="4" t="s">
        <v>337</v>
      </c>
      <c r="E100" s="4" t="s">
        <v>136</v>
      </c>
      <c r="F100" s="4" t="s">
        <v>99</v>
      </c>
      <c r="G100" s="3" t="n">
        <v>3</v>
      </c>
      <c r="H100" s="6" t="n">
        <v>22.2</v>
      </c>
      <c r="I100" s="3" t="n">
        <v>0</v>
      </c>
      <c r="J100" s="3" t="n">
        <v>10</v>
      </c>
      <c r="K100" s="7" t="n">
        <v>101.45</v>
      </c>
      <c r="L100" s="7" t="n">
        <v>15.64</v>
      </c>
      <c r="M100" s="8" t="n">
        <v>70</v>
      </c>
      <c r="N100" s="8" t="n">
        <v>136</v>
      </c>
      <c r="O100" s="7" t="n">
        <v>101.45</v>
      </c>
      <c r="P100" s="6" t="n">
        <v>82.9</v>
      </c>
      <c r="Q100" s="4"/>
      <c r="R100" s="8"/>
      <c r="S100" s="6"/>
      <c r="T100" s="7"/>
      <c r="U100" s="6"/>
      <c r="V100" s="6"/>
      <c r="W100" s="8"/>
      <c r="X100" s="7"/>
      <c r="Y100" s="9"/>
      <c r="Z100" s="6"/>
      <c r="AA100" s="6"/>
      <c r="AB100" s="6"/>
      <c r="AC100" s="10"/>
      <c r="AD100" s="10"/>
      <c r="AE100" s="7"/>
      <c r="AF100" s="8"/>
      <c r="AG100" s="10"/>
      <c r="AH100" s="8"/>
      <c r="AI100" s="8"/>
      <c r="AJ100" s="6"/>
      <c r="AK100" s="10"/>
      <c r="AL100" s="10"/>
      <c r="AM100" s="9"/>
      <c r="AN100" s="8"/>
      <c r="AO100" s="10"/>
      <c r="AP100" s="8"/>
      <c r="AQ100" s="7"/>
      <c r="AR100" s="6"/>
      <c r="AS100" s="7"/>
      <c r="AT100" s="7"/>
      <c r="AU100" s="7"/>
      <c r="AV100" s="7"/>
      <c r="AW100" s="7"/>
      <c r="AX100" s="10"/>
      <c r="AY100" s="8"/>
      <c r="AZ100" s="6"/>
      <c r="BA100" s="10"/>
      <c r="BB100" s="8"/>
      <c r="BC100" s="7"/>
      <c r="BD100" s="7"/>
      <c r="BE100" s="7"/>
      <c r="BF100" s="8"/>
      <c r="BG100" s="7"/>
      <c r="BH100" s="6"/>
      <c r="BI100" s="7"/>
      <c r="BJ100" s="8"/>
      <c r="BK100" s="8"/>
      <c r="BL100" s="8"/>
      <c r="BM100" s="8"/>
      <c r="BN100" s="7"/>
      <c r="BO100" s="7"/>
      <c r="BP100" s="9"/>
      <c r="BQ100" s="6" t="n">
        <v>48.2</v>
      </c>
      <c r="BR100" s="6" t="n">
        <v>35.6</v>
      </c>
      <c r="BS100" s="6" t="n">
        <v>61.6</v>
      </c>
      <c r="BT100" s="7" t="n">
        <v>2.749</v>
      </c>
      <c r="BU100" s="10" t="n">
        <v>0.2192</v>
      </c>
      <c r="BV100" s="10" t="n">
        <v>0.466666666666667</v>
      </c>
      <c r="BW100" s="7" t="n">
        <v>2.6</v>
      </c>
      <c r="BX100" s="10" t="n">
        <v>0.2334</v>
      </c>
      <c r="BY100" s="10" t="n">
        <v>0.0577</v>
      </c>
      <c r="BZ100" s="7" t="n">
        <v>2.491</v>
      </c>
      <c r="CA100" s="10" t="n">
        <v>0.909</v>
      </c>
      <c r="CB100" s="8" t="n">
        <v>5</v>
      </c>
      <c r="CC100" s="10" t="n">
        <v>-0.0248</v>
      </c>
      <c r="CD100" s="10" t="n">
        <v>0.5347</v>
      </c>
      <c r="CE100" s="6" t="n">
        <v>58.53</v>
      </c>
      <c r="CF100" s="6" t="n">
        <v>39</v>
      </c>
      <c r="CG100" s="7" t="n">
        <v>2.76</v>
      </c>
      <c r="CH100" s="6" t="n">
        <v>22.3</v>
      </c>
      <c r="CI100" s="9" t="n">
        <v>0.0054</v>
      </c>
      <c r="CJ100" s="9" t="n">
        <v>0.0436</v>
      </c>
      <c r="CK100" s="8" t="n">
        <v>175</v>
      </c>
      <c r="CL100" s="10" t="n">
        <v>0.377</v>
      </c>
      <c r="CM100" s="8" t="n">
        <v>12</v>
      </c>
      <c r="CN100" s="10" t="n">
        <v>0.025</v>
      </c>
      <c r="CO100" s="8" t="n">
        <v>23</v>
      </c>
      <c r="CP100" s="7"/>
      <c r="CQ100" s="7"/>
      <c r="CR100" s="4"/>
      <c r="CS100" s="4" t="s">
        <v>206</v>
      </c>
    </row>
    <row r="101" customFormat="false" ht="15" hidden="false" customHeight="false" outlineLevel="0" collapsed="false">
      <c r="A101" s="3" t="n">
        <v>99</v>
      </c>
      <c r="B101" s="4" t="s">
        <v>338</v>
      </c>
      <c r="C101" s="11" t="s">
        <v>104</v>
      </c>
      <c r="D101" s="4" t="s">
        <v>339</v>
      </c>
      <c r="E101" s="4" t="s">
        <v>198</v>
      </c>
      <c r="F101" s="4" t="s">
        <v>281</v>
      </c>
      <c r="G101" s="3" t="n">
        <v>1</v>
      </c>
      <c r="H101" s="6" t="n">
        <v>27.4</v>
      </c>
      <c r="I101" s="3" t="n">
        <v>6</v>
      </c>
      <c r="J101" s="3" t="n">
        <v>10</v>
      </c>
      <c r="K101" s="7" t="n">
        <v>101.59</v>
      </c>
      <c r="L101" s="7" t="n">
        <v>14.64</v>
      </c>
      <c r="M101" s="8" t="n">
        <v>77</v>
      </c>
      <c r="N101" s="8" t="n">
        <v>156</v>
      </c>
      <c r="O101" s="7" t="n">
        <v>101.59</v>
      </c>
      <c r="P101" s="6" t="n">
        <v>79.3</v>
      </c>
      <c r="Q101" s="4" t="s">
        <v>284</v>
      </c>
      <c r="R101" s="8" t="n">
        <v>17</v>
      </c>
      <c r="S101" s="6" t="n">
        <v>221.3</v>
      </c>
      <c r="T101" s="7" t="n">
        <f aca="false">IFERROR(S101/R101,"")</f>
        <v>13.0176470588235</v>
      </c>
      <c r="U101" s="6" t="n">
        <v>184.8</v>
      </c>
      <c r="V101" s="6" t="n">
        <v>148.3</v>
      </c>
      <c r="W101" s="8" t="n">
        <v>16</v>
      </c>
      <c r="X101" s="7" t="n">
        <f aca="false">IFERROR(S101/AH101,"")</f>
        <v>1.11206030150754</v>
      </c>
      <c r="Y101" s="9" t="n">
        <f aca="false">IFERROR(S101/AF101,"")</f>
        <v>0.428046421663443</v>
      </c>
      <c r="Z101" s="6" t="n">
        <v>6.5</v>
      </c>
      <c r="AA101" s="6" t="n">
        <v>9.6</v>
      </c>
      <c r="AB101" s="6" t="n">
        <v>22.84</v>
      </c>
      <c r="AC101" s="10" t="n">
        <v>0.412</v>
      </c>
      <c r="AD101" s="10" t="n">
        <v>0.059</v>
      </c>
      <c r="AE101" s="7" t="n">
        <v>0.977</v>
      </c>
      <c r="AF101" s="8" t="n">
        <v>517</v>
      </c>
      <c r="AG101" s="10" t="n">
        <v>0.496</v>
      </c>
      <c r="AH101" s="8" t="n">
        <v>199</v>
      </c>
      <c r="AI101" s="8" t="n">
        <v>85</v>
      </c>
      <c r="AJ101" s="6" t="n">
        <f aca="false">IFERROR(AI101/R101,"")</f>
        <v>5</v>
      </c>
      <c r="AK101" s="10" t="n">
        <v>0.1628</v>
      </c>
      <c r="AL101" s="10" t="n">
        <v>-0.0054</v>
      </c>
      <c r="AM101" s="9" t="n">
        <v>0.2404</v>
      </c>
      <c r="AN101" s="8" t="n">
        <v>73</v>
      </c>
      <c r="AO101" s="10" t="n">
        <f aca="false">IFERROR(AN101/AI101,"")</f>
        <v>0.858823529411765</v>
      </c>
      <c r="AP101" s="8" t="n">
        <v>486</v>
      </c>
      <c r="AQ101" s="7" t="n">
        <f aca="false">IFERROR(AP101/AI101,"")</f>
        <v>5.71764705882353</v>
      </c>
      <c r="AR101" s="6" t="n">
        <v>-0.2</v>
      </c>
      <c r="AS101" s="7" t="n">
        <v>7.233</v>
      </c>
      <c r="AT101" s="7" t="n">
        <v>-28.588</v>
      </c>
      <c r="AU101" s="7"/>
      <c r="AV101" s="7"/>
      <c r="AW101" s="7"/>
      <c r="AX101" s="10" t="n">
        <v>0.0235</v>
      </c>
      <c r="AY101" s="8" t="n">
        <v>114</v>
      </c>
      <c r="AZ101" s="6" t="n">
        <f aca="false">IFERROR(AY101/R101,"")</f>
        <v>6.70588235294118</v>
      </c>
      <c r="BA101" s="10" t="n">
        <v>0.2801</v>
      </c>
      <c r="BB101" s="8" t="n">
        <v>537</v>
      </c>
      <c r="BC101" s="7" t="n">
        <f aca="false">IFERROR(BB101/AY101,"")</f>
        <v>4.71052631578947</v>
      </c>
      <c r="BD101" s="7" t="n">
        <v>2.632</v>
      </c>
      <c r="BE101" s="7" t="n">
        <v>2.079</v>
      </c>
      <c r="BF101" s="8" t="n">
        <v>14</v>
      </c>
      <c r="BG101" s="7" t="n">
        <v>0.581342494137253</v>
      </c>
      <c r="BH101" s="6" t="n">
        <v>31.5789473684211</v>
      </c>
      <c r="BI101" s="7" t="n">
        <v>4.02860335195531</v>
      </c>
      <c r="BJ101" s="8" t="n">
        <v>40</v>
      </c>
      <c r="BK101" s="8" t="n">
        <v>22</v>
      </c>
      <c r="BL101" s="8" t="n">
        <v>10</v>
      </c>
      <c r="BM101" s="8" t="n">
        <v>8</v>
      </c>
      <c r="BN101" s="7" t="n">
        <v>10.57</v>
      </c>
      <c r="BO101" s="7" t="n">
        <f aca="false">IFERROR(BM101-BN101,"")</f>
        <v>-2.57</v>
      </c>
      <c r="BP101" s="9" t="n">
        <f aca="false">IFERROR(BM101/AH101,"")</f>
        <v>0.0402010050251256</v>
      </c>
      <c r="BQ101" s="6" t="n">
        <v>57.4</v>
      </c>
      <c r="BR101" s="6" t="n">
        <v>46.3</v>
      </c>
      <c r="BS101" s="6" t="n">
        <v>65.4</v>
      </c>
      <c r="BT101" s="7" t="n">
        <v>2.736</v>
      </c>
      <c r="BU101" s="10" t="n">
        <v>0.1938</v>
      </c>
      <c r="BV101" s="10" t="n">
        <v>0.708333333333333</v>
      </c>
      <c r="BW101" s="7" t="n">
        <v>2.699</v>
      </c>
      <c r="BX101" s="10" t="n">
        <v>0.172</v>
      </c>
      <c r="BY101" s="10" t="n">
        <v>0.0571</v>
      </c>
      <c r="BZ101" s="7" t="n">
        <v>2.292</v>
      </c>
      <c r="CA101" s="10" t="n">
        <v>0.791</v>
      </c>
      <c r="CB101" s="8" t="n">
        <v>4</v>
      </c>
      <c r="CC101" s="10" t="n">
        <v>-0.0347</v>
      </c>
      <c r="CD101" s="10" t="n">
        <v>0.5148</v>
      </c>
      <c r="CE101" s="6" t="n">
        <v>62.65</v>
      </c>
      <c r="CF101" s="6" t="n">
        <v>41</v>
      </c>
      <c r="CG101" s="7" t="n">
        <v>3.12</v>
      </c>
      <c r="CH101" s="6" t="n">
        <v>22.4</v>
      </c>
      <c r="CI101" s="9" t="n">
        <v>0.0138</v>
      </c>
      <c r="CJ101" s="9" t="n">
        <v>-0.0264</v>
      </c>
      <c r="CK101" s="8" t="n">
        <v>111</v>
      </c>
      <c r="CL101" s="10" t="n">
        <v>0.205</v>
      </c>
      <c r="CM101" s="8" t="n">
        <v>138</v>
      </c>
      <c r="CN101" s="10" t="n">
        <v>0.292</v>
      </c>
      <c r="CO101" s="8" t="n">
        <v>38</v>
      </c>
      <c r="CP101" s="7" t="n">
        <v>0.503</v>
      </c>
      <c r="CQ101" s="7" t="n">
        <v>0.327</v>
      </c>
      <c r="CR101" s="4" t="s">
        <v>232</v>
      </c>
      <c r="CS101" s="4"/>
    </row>
    <row r="102" customFormat="false" ht="15" hidden="false" customHeight="false" outlineLevel="0" collapsed="false">
      <c r="A102" s="3" t="n">
        <v>100</v>
      </c>
      <c r="B102" s="4" t="s">
        <v>340</v>
      </c>
      <c r="C102" s="11" t="s">
        <v>104</v>
      </c>
      <c r="D102" s="4" t="s">
        <v>341</v>
      </c>
      <c r="E102" s="4" t="s">
        <v>209</v>
      </c>
      <c r="F102" s="4" t="s">
        <v>104</v>
      </c>
      <c r="G102" s="3" t="n">
        <v>1</v>
      </c>
      <c r="H102" s="6" t="n">
        <v>27.7</v>
      </c>
      <c r="I102" s="3" t="n">
        <v>7</v>
      </c>
      <c r="J102" s="3" t="n">
        <v>10</v>
      </c>
      <c r="K102" s="7" t="n">
        <v>102.06</v>
      </c>
      <c r="L102" s="7" t="n">
        <v>17.7</v>
      </c>
      <c r="M102" s="8" t="n">
        <v>72</v>
      </c>
      <c r="N102" s="8" t="n">
        <v>177</v>
      </c>
      <c r="O102" s="7" t="n">
        <v>102.06</v>
      </c>
      <c r="P102" s="6" t="n">
        <v>82.6</v>
      </c>
      <c r="Q102" s="4" t="s">
        <v>209</v>
      </c>
      <c r="R102" s="8" t="n">
        <v>10</v>
      </c>
      <c r="S102" s="6" t="n">
        <v>115.9</v>
      </c>
      <c r="T102" s="7" t="n">
        <f aca="false">IFERROR(S102/R102,"")</f>
        <v>11.59</v>
      </c>
      <c r="U102" s="6" t="n">
        <v>110.4</v>
      </c>
      <c r="V102" s="6" t="n">
        <v>104.9</v>
      </c>
      <c r="W102" s="8" t="n">
        <v>42</v>
      </c>
      <c r="X102" s="7" t="n">
        <f aca="false">IFERROR(S102/AH102,"")</f>
        <v>0.694011976047904</v>
      </c>
      <c r="Y102" s="9" t="n">
        <f aca="false">IFERROR(S102/AF102,"")</f>
        <v>0.340882352941176</v>
      </c>
      <c r="Z102" s="6" t="n">
        <v>9.1</v>
      </c>
      <c r="AA102" s="6" t="n">
        <v>12.8</v>
      </c>
      <c r="AB102" s="6" t="n">
        <v>15.36</v>
      </c>
      <c r="AC102" s="10" t="n">
        <v>0</v>
      </c>
      <c r="AD102" s="10" t="n">
        <v>0</v>
      </c>
      <c r="AE102" s="7" t="n">
        <v>0.32</v>
      </c>
      <c r="AF102" s="8" t="n">
        <v>340</v>
      </c>
      <c r="AG102" s="10" t="n">
        <v>0.511</v>
      </c>
      <c r="AH102" s="8" t="n">
        <v>167</v>
      </c>
      <c r="AI102" s="8" t="n">
        <v>14</v>
      </c>
      <c r="AJ102" s="6" t="n">
        <f aca="false">IFERROR(AI102/R102,"")</f>
        <v>1.4</v>
      </c>
      <c r="AK102" s="10" t="n">
        <v>0.0423</v>
      </c>
      <c r="AL102" s="10" t="n">
        <v>-0.0111</v>
      </c>
      <c r="AM102" s="9" t="n">
        <v>0.0557</v>
      </c>
      <c r="AN102" s="8" t="n">
        <v>11</v>
      </c>
      <c r="AO102" s="10" t="n">
        <f aca="false">IFERROR(AN102/AI102,"")</f>
        <v>0.785714285714286</v>
      </c>
      <c r="AP102" s="8" t="n">
        <v>37</v>
      </c>
      <c r="AQ102" s="7" t="n">
        <f aca="false">IFERROR(AP102/AI102,"")</f>
        <v>2.64285714285714</v>
      </c>
      <c r="AR102" s="6" t="n">
        <v>-2.143</v>
      </c>
      <c r="AS102" s="7" t="n">
        <v>5.091</v>
      </c>
      <c r="AT102" s="7" t="n">
        <v>-1.233</v>
      </c>
      <c r="AU102" s="7"/>
      <c r="AV102" s="7"/>
      <c r="AW102" s="7"/>
      <c r="AX102" s="10" t="n">
        <v>0.0714</v>
      </c>
      <c r="AY102" s="8" t="n">
        <v>153</v>
      </c>
      <c r="AZ102" s="6" t="n">
        <f aca="false">IFERROR(AY102/R102,"")</f>
        <v>15.3</v>
      </c>
      <c r="BA102" s="10" t="n">
        <v>0.5667</v>
      </c>
      <c r="BB102" s="8" t="n">
        <v>772</v>
      </c>
      <c r="BC102" s="7" t="n">
        <f aca="false">IFERROR(BB102/AY102,"")</f>
        <v>5.04575163398693</v>
      </c>
      <c r="BD102" s="7" t="n">
        <v>2.601</v>
      </c>
      <c r="BE102" s="7" t="n">
        <v>2.444</v>
      </c>
      <c r="BF102" s="8" t="n">
        <v>9</v>
      </c>
      <c r="BG102" s="7" t="n">
        <v>1.08086583379229</v>
      </c>
      <c r="BH102" s="6" t="n">
        <v>36.6013071895425</v>
      </c>
      <c r="BI102" s="7" t="n">
        <v>3.46006476683938</v>
      </c>
      <c r="BJ102" s="8" t="n">
        <v>20</v>
      </c>
      <c r="BK102" s="8" t="n">
        <v>11</v>
      </c>
      <c r="BL102" s="8" t="n">
        <v>7</v>
      </c>
      <c r="BM102" s="8" t="n">
        <v>4</v>
      </c>
      <c r="BN102" s="7" t="n">
        <v>5.15</v>
      </c>
      <c r="BO102" s="7" t="n">
        <f aca="false">IFERROR(BM102-BN102,"")</f>
        <v>-1.15</v>
      </c>
      <c r="BP102" s="9" t="n">
        <f aca="false">IFERROR(BM102/AH102,"")</f>
        <v>0.0239520958083832</v>
      </c>
      <c r="BQ102" s="6" t="n">
        <v>63.2</v>
      </c>
      <c r="BR102" s="6" t="n">
        <v>50</v>
      </c>
      <c r="BS102" s="6" t="n">
        <v>70.8</v>
      </c>
      <c r="BT102" s="7" t="n">
        <v>2.952</v>
      </c>
      <c r="BU102" s="10" t="n">
        <v>0.1682</v>
      </c>
      <c r="BV102" s="10" t="n">
        <v>0.551724137931035</v>
      </c>
      <c r="BW102" s="7" t="n">
        <v>2.592</v>
      </c>
      <c r="BX102" s="10" t="n">
        <v>0.2088</v>
      </c>
      <c r="BY102" s="10" t="n">
        <v>0.037</v>
      </c>
      <c r="BZ102" s="7" t="n">
        <v>2.401</v>
      </c>
      <c r="CA102" s="10" t="n">
        <v>0.999</v>
      </c>
      <c r="CB102" s="8" t="n">
        <v>5</v>
      </c>
      <c r="CC102" s="10" t="n">
        <v>0.0157</v>
      </c>
      <c r="CD102" s="10" t="n">
        <v>0.59</v>
      </c>
      <c r="CE102" s="6" t="n">
        <v>63.47</v>
      </c>
      <c r="CF102" s="6" t="n">
        <v>38</v>
      </c>
      <c r="CG102" s="7" t="n">
        <v>3.47</v>
      </c>
      <c r="CH102" s="6" t="n">
        <v>23.6</v>
      </c>
      <c r="CI102" s="9" t="n">
        <v>0.0004</v>
      </c>
      <c r="CJ102" s="9" t="n">
        <v>0.0835</v>
      </c>
      <c r="CK102" s="8" t="n">
        <v>4</v>
      </c>
      <c r="CL102" s="10" t="n">
        <v>0.007</v>
      </c>
      <c r="CM102" s="8" t="n">
        <v>0</v>
      </c>
      <c r="CN102" s="10" t="n">
        <v>0</v>
      </c>
      <c r="CO102" s="8" t="n">
        <v>1</v>
      </c>
      <c r="CP102" s="7" t="n">
        <v>-0.601</v>
      </c>
      <c r="CQ102" s="7" t="n">
        <v>0.056</v>
      </c>
      <c r="CR102" s="4" t="s">
        <v>121</v>
      </c>
      <c r="CS102" s="4"/>
    </row>
    <row r="103" customFormat="false" ht="15" hidden="false" customHeight="false" outlineLevel="0" collapsed="false">
      <c r="A103" s="3" t="n">
        <v>101</v>
      </c>
      <c r="B103" s="4" t="s">
        <v>342</v>
      </c>
      <c r="C103" s="5" t="s">
        <v>99</v>
      </c>
      <c r="D103" s="4" t="s">
        <v>343</v>
      </c>
      <c r="E103" s="4" t="s">
        <v>235</v>
      </c>
      <c r="F103" s="4" t="s">
        <v>99</v>
      </c>
      <c r="G103" s="3" t="n">
        <v>3</v>
      </c>
      <c r="H103" s="6" t="n">
        <v>29.8</v>
      </c>
      <c r="I103" s="3" t="n">
        <v>8</v>
      </c>
      <c r="J103" s="3" t="n">
        <v>7</v>
      </c>
      <c r="K103" s="7" t="n">
        <v>102.19</v>
      </c>
      <c r="L103" s="7" t="n">
        <v>17.8</v>
      </c>
      <c r="M103" s="8" t="n">
        <v>62</v>
      </c>
      <c r="N103" s="8" t="n">
        <v>158</v>
      </c>
      <c r="O103" s="7" t="n">
        <v>102.19</v>
      </c>
      <c r="P103" s="6" t="n">
        <v>75.6</v>
      </c>
      <c r="Q103" s="4" t="s">
        <v>235</v>
      </c>
      <c r="R103" s="8" t="n">
        <v>16</v>
      </c>
      <c r="S103" s="6" t="n">
        <v>175.8</v>
      </c>
      <c r="T103" s="7" t="n">
        <f aca="false">IFERROR(S103/R103,"")</f>
        <v>10.9875</v>
      </c>
      <c r="U103" s="6" t="n">
        <v>138.3</v>
      </c>
      <c r="V103" s="6" t="n">
        <v>100.8</v>
      </c>
      <c r="W103" s="8" t="n">
        <v>32</v>
      </c>
      <c r="X103" s="7" t="n">
        <f aca="false">IFERROR(S103/AH103,"")</f>
        <v>1.52869565217391</v>
      </c>
      <c r="Y103" s="9" t="n">
        <f aca="false">IFERROR(S103/AF103,"")</f>
        <v>0.201605504587156</v>
      </c>
      <c r="Z103" s="6" t="n">
        <v>7.72</v>
      </c>
      <c r="AA103" s="6" t="n">
        <v>9.35</v>
      </c>
      <c r="AB103" s="6" t="n">
        <v>14.95</v>
      </c>
      <c r="AC103" s="10" t="n">
        <v>0.062</v>
      </c>
      <c r="AD103" s="10" t="n">
        <v>0</v>
      </c>
      <c r="AE103" s="7" t="n">
        <v>0.466</v>
      </c>
      <c r="AF103" s="8" t="n">
        <v>872</v>
      </c>
      <c r="AG103" s="10" t="n">
        <v>0.85</v>
      </c>
      <c r="AH103" s="8" t="n">
        <v>115</v>
      </c>
      <c r="AI103" s="8" t="n">
        <v>110</v>
      </c>
      <c r="AJ103" s="6" t="n">
        <f aca="false">IFERROR(AI103/R103,"")</f>
        <v>6.875</v>
      </c>
      <c r="AK103" s="10" t="n">
        <v>0.2282</v>
      </c>
      <c r="AL103" s="10" t="n">
        <v>0.2528</v>
      </c>
      <c r="AM103" s="9" t="n">
        <v>0.5193</v>
      </c>
      <c r="AN103" s="8" t="n">
        <v>75</v>
      </c>
      <c r="AO103" s="10" t="n">
        <f aca="false">IFERROR(AN103/AI103,"")</f>
        <v>0.681818181818182</v>
      </c>
      <c r="AP103" s="8" t="n">
        <v>835</v>
      </c>
      <c r="AQ103" s="7" t="n">
        <f aca="false">IFERROR(AP103/AI103,"")</f>
        <v>7.59090909090909</v>
      </c>
      <c r="AR103" s="6" t="n">
        <v>9.164</v>
      </c>
      <c r="AS103" s="7" t="n">
        <v>3.76</v>
      </c>
      <c r="AT103" s="7" t="n">
        <v>0.828</v>
      </c>
      <c r="AU103" s="7" t="n">
        <v>2.73208851411209</v>
      </c>
      <c r="AV103" s="7" t="n">
        <v>6.40833333333333</v>
      </c>
      <c r="AW103" s="7" t="n">
        <v>0.335026946800864</v>
      </c>
      <c r="AX103" s="10" t="n">
        <v>0.0182</v>
      </c>
      <c r="AY103" s="8" t="n">
        <v>5</v>
      </c>
      <c r="AZ103" s="6" t="n">
        <f aca="false">IFERROR(AY103/R103,"")</f>
        <v>0.3125</v>
      </c>
      <c r="BA103" s="10" t="n">
        <v>0.0112</v>
      </c>
      <c r="BB103" s="8" t="n">
        <v>13</v>
      </c>
      <c r="BC103" s="7"/>
      <c r="BD103" s="7"/>
      <c r="BE103" s="7"/>
      <c r="BF103" s="8" t="n">
        <v>0</v>
      </c>
      <c r="BG103" s="7"/>
      <c r="BH103" s="6"/>
      <c r="BI103" s="7"/>
      <c r="BJ103" s="8" t="n">
        <v>17</v>
      </c>
      <c r="BK103" s="8" t="n">
        <v>7</v>
      </c>
      <c r="BL103" s="8" t="n">
        <v>3</v>
      </c>
      <c r="BM103" s="8" t="n">
        <v>3</v>
      </c>
      <c r="BN103" s="7" t="n">
        <v>5.32</v>
      </c>
      <c r="BO103" s="7" t="n">
        <f aca="false">IFERROR(BM103-BN103,"")</f>
        <v>-2.32</v>
      </c>
      <c r="BP103" s="9" t="n">
        <f aca="false">IFERROR(BM103/AH103,"")</f>
        <v>0.0260869565217391</v>
      </c>
      <c r="BQ103" s="6" t="n">
        <v>44.3</v>
      </c>
      <c r="BR103" s="6" t="n">
        <v>40.2</v>
      </c>
      <c r="BS103" s="6" t="n">
        <v>50.8</v>
      </c>
      <c r="BT103" s="7" t="n">
        <v>2.885</v>
      </c>
      <c r="BU103" s="10" t="n">
        <v>0.1784</v>
      </c>
      <c r="BV103" s="10" t="n">
        <v>0.5</v>
      </c>
      <c r="BW103" s="7" t="n">
        <v>2.219</v>
      </c>
      <c r="BX103" s="10" t="n">
        <v>0.2504</v>
      </c>
      <c r="BY103" s="10" t="n">
        <v>0.0647</v>
      </c>
      <c r="BZ103" s="7" t="n">
        <v>2.395</v>
      </c>
      <c r="CA103" s="10" t="n">
        <v>1</v>
      </c>
      <c r="CB103" s="8" t="n">
        <v>5</v>
      </c>
      <c r="CC103" s="10" t="n">
        <v>0.0164</v>
      </c>
      <c r="CD103" s="10" t="n">
        <v>0.5756</v>
      </c>
      <c r="CE103" s="6" t="n">
        <v>63.18</v>
      </c>
      <c r="CF103" s="6" t="n">
        <v>40</v>
      </c>
      <c r="CG103" s="7" t="n">
        <v>4.24</v>
      </c>
      <c r="CH103" s="6" t="n">
        <v>27.9</v>
      </c>
      <c r="CI103" s="9" t="n">
        <v>-0.0041</v>
      </c>
      <c r="CJ103" s="9" t="n">
        <v>0.0592</v>
      </c>
      <c r="CK103" s="8" t="n">
        <v>132</v>
      </c>
      <c r="CL103" s="10" t="n">
        <v>0.241</v>
      </c>
      <c r="CM103" s="8" t="n">
        <v>271</v>
      </c>
      <c r="CN103" s="10" t="n">
        <v>0.554</v>
      </c>
      <c r="CO103" s="8" t="n">
        <v>85</v>
      </c>
      <c r="CP103" s="7" t="n">
        <v>0.191</v>
      </c>
      <c r="CQ103" s="7" t="n">
        <v>-0.116</v>
      </c>
      <c r="CR103" s="4" t="s">
        <v>102</v>
      </c>
      <c r="CS103" s="4"/>
    </row>
    <row r="104" customFormat="false" ht="15" hidden="false" customHeight="false" outlineLevel="0" collapsed="false">
      <c r="A104" s="3" t="n">
        <v>102</v>
      </c>
      <c r="B104" s="4" t="s">
        <v>344</v>
      </c>
      <c r="C104" s="5" t="s">
        <v>99</v>
      </c>
      <c r="D104" s="4" t="s">
        <v>345</v>
      </c>
      <c r="E104" s="4" t="s">
        <v>170</v>
      </c>
      <c r="F104" s="4" t="s">
        <v>99</v>
      </c>
      <c r="G104" s="3" t="n">
        <v>2</v>
      </c>
      <c r="H104" s="6" t="n">
        <v>24.9</v>
      </c>
      <c r="I104" s="3" t="n">
        <v>4</v>
      </c>
      <c r="J104" s="3" t="n">
        <v>7</v>
      </c>
      <c r="K104" s="7" t="n">
        <v>102.53</v>
      </c>
      <c r="L104" s="7" t="n">
        <v>15.22</v>
      </c>
      <c r="M104" s="8" t="n">
        <v>62</v>
      </c>
      <c r="N104" s="8" t="n">
        <v>131</v>
      </c>
      <c r="O104" s="7" t="n">
        <v>102.53</v>
      </c>
      <c r="P104" s="6" t="n">
        <v>77.3</v>
      </c>
      <c r="Q104" s="4" t="s">
        <v>170</v>
      </c>
      <c r="R104" s="8" t="n">
        <v>13</v>
      </c>
      <c r="S104" s="6" t="n">
        <v>171.2</v>
      </c>
      <c r="T104" s="7" t="n">
        <f aca="false">IFERROR(S104/R104,"")</f>
        <v>13.1692307692308</v>
      </c>
      <c r="U104" s="6" t="n">
        <v>145.7</v>
      </c>
      <c r="V104" s="6" t="n">
        <v>120.2</v>
      </c>
      <c r="W104" s="8" t="n">
        <v>35</v>
      </c>
      <c r="X104" s="7" t="n">
        <f aca="false">IFERROR(S104/AH104,"")</f>
        <v>1.9906976744186</v>
      </c>
      <c r="Y104" s="9" t="n">
        <f aca="false">IFERROR(S104/AF104,"")</f>
        <v>0.236791147994468</v>
      </c>
      <c r="Z104" s="6" t="n">
        <v>9.2</v>
      </c>
      <c r="AA104" s="6" t="n">
        <v>14.8</v>
      </c>
      <c r="AB104" s="6" t="n">
        <v>21.08</v>
      </c>
      <c r="AC104" s="10" t="n">
        <v>0.231</v>
      </c>
      <c r="AD104" s="10" t="n">
        <v>0.077</v>
      </c>
      <c r="AE104" s="7" t="n">
        <v>0.503</v>
      </c>
      <c r="AF104" s="8" t="n">
        <v>723</v>
      </c>
      <c r="AG104" s="10" t="n">
        <v>0.769</v>
      </c>
      <c r="AH104" s="8" t="n">
        <v>86</v>
      </c>
      <c r="AI104" s="8" t="n">
        <v>84</v>
      </c>
      <c r="AJ104" s="6" t="n">
        <f aca="false">IFERROR(AI104/R104,"")</f>
        <v>6.46153846153846</v>
      </c>
      <c r="AK104" s="10" t="n">
        <v>0.201</v>
      </c>
      <c r="AL104" s="10" t="n">
        <v>0.2899</v>
      </c>
      <c r="AM104" s="9" t="n">
        <v>0.5044</v>
      </c>
      <c r="AN104" s="8" t="n">
        <v>51</v>
      </c>
      <c r="AO104" s="10" t="n">
        <f aca="false">IFERROR(AN104/AI104,"")</f>
        <v>0.607142857142857</v>
      </c>
      <c r="AP104" s="8" t="n">
        <v>735</v>
      </c>
      <c r="AQ104" s="7" t="n">
        <f aca="false">IFERROR(AP104/AI104,"")</f>
        <v>8.75</v>
      </c>
      <c r="AR104" s="6" t="n">
        <v>11.774</v>
      </c>
      <c r="AS104" s="7" t="n">
        <v>4.333</v>
      </c>
      <c r="AT104" s="7" t="n">
        <v>0.743</v>
      </c>
      <c r="AU104" s="7" t="n">
        <v>2.36469448387754</v>
      </c>
      <c r="AV104" s="7" t="n">
        <v>5.25268292682927</v>
      </c>
      <c r="AW104" s="7" t="n">
        <v>0.751558103025554</v>
      </c>
      <c r="AX104" s="10" t="n">
        <v>0.0238</v>
      </c>
      <c r="AY104" s="8" t="n">
        <v>2</v>
      </c>
      <c r="AZ104" s="6" t="n">
        <f aca="false">IFERROR(AY104/R104,"")</f>
        <v>0.153846153846154</v>
      </c>
      <c r="BA104" s="10" t="n">
        <v>0.0057</v>
      </c>
      <c r="BB104" s="8" t="n">
        <v>7</v>
      </c>
      <c r="BC104" s="7"/>
      <c r="BD104" s="7"/>
      <c r="BE104" s="7"/>
      <c r="BF104" s="8" t="n">
        <v>0</v>
      </c>
      <c r="BG104" s="7"/>
      <c r="BH104" s="6"/>
      <c r="BI104" s="7"/>
      <c r="BJ104" s="8" t="n">
        <v>15</v>
      </c>
      <c r="BK104" s="8" t="n">
        <v>7</v>
      </c>
      <c r="BL104" s="8" t="n">
        <v>2</v>
      </c>
      <c r="BM104" s="8" t="n">
        <v>8</v>
      </c>
      <c r="BN104" s="7" t="n">
        <v>4.57</v>
      </c>
      <c r="BO104" s="7" t="n">
        <f aca="false">IFERROR(BM104-BN104,"")</f>
        <v>3.43</v>
      </c>
      <c r="BP104" s="9" t="n">
        <f aca="false">IFERROR(BM104/AH104,"")</f>
        <v>0.0930232558139535</v>
      </c>
      <c r="BQ104" s="6" t="n">
        <v>26.9</v>
      </c>
      <c r="BR104" s="6" t="n">
        <v>40.7</v>
      </c>
      <c r="BS104" s="6" t="n">
        <v>23</v>
      </c>
      <c r="BT104" s="7" t="n">
        <v>2.77</v>
      </c>
      <c r="BU104" s="10" t="n">
        <v>0.2195</v>
      </c>
      <c r="BV104" s="10" t="n">
        <v>0.611111111111111</v>
      </c>
      <c r="BW104" s="7" t="n">
        <v>2.614</v>
      </c>
      <c r="BX104" s="10" t="n">
        <v>0.3427</v>
      </c>
      <c r="BY104" s="10" t="n">
        <v>0.0832</v>
      </c>
      <c r="BZ104" s="7" t="n">
        <v>2.37</v>
      </c>
      <c r="CA104" s="10" t="n">
        <v>0.205</v>
      </c>
      <c r="CB104" s="8" t="n">
        <v>1</v>
      </c>
      <c r="CC104" s="10" t="n">
        <v>0.0064</v>
      </c>
      <c r="CD104" s="10" t="n">
        <v>0.579</v>
      </c>
      <c r="CE104" s="6" t="n">
        <v>63.53</v>
      </c>
      <c r="CF104" s="6" t="n">
        <v>39</v>
      </c>
      <c r="CG104" s="7" t="n">
        <v>3.47</v>
      </c>
      <c r="CH104" s="6" t="n">
        <v>21.6</v>
      </c>
      <c r="CI104" s="9" t="n">
        <v>0.0187</v>
      </c>
      <c r="CJ104" s="9" t="n">
        <v>-0.0542</v>
      </c>
      <c r="CK104" s="8" t="n">
        <v>15</v>
      </c>
      <c r="CL104" s="10" t="n">
        <v>0.028</v>
      </c>
      <c r="CM104" s="8" t="n">
        <v>23</v>
      </c>
      <c r="CN104" s="10" t="n">
        <v>0.049</v>
      </c>
      <c r="CO104" s="8" t="n">
        <v>2</v>
      </c>
      <c r="CP104" s="7" t="n">
        <v>0.095</v>
      </c>
      <c r="CQ104" s="7" t="n">
        <v>0.752</v>
      </c>
      <c r="CR104" s="4" t="s">
        <v>102</v>
      </c>
      <c r="CS104" s="4"/>
    </row>
    <row r="105" customFormat="false" ht="15" hidden="false" customHeight="false" outlineLevel="0" collapsed="false">
      <c r="A105" s="3" t="n">
        <v>103</v>
      </c>
      <c r="B105" s="4" t="s">
        <v>346</v>
      </c>
      <c r="C105" s="13" t="s">
        <v>172</v>
      </c>
      <c r="D105" s="4" t="s">
        <v>347</v>
      </c>
      <c r="E105" s="4" t="s">
        <v>109</v>
      </c>
      <c r="F105" s="4" t="s">
        <v>172</v>
      </c>
      <c r="G105" s="3" t="n">
        <v>1</v>
      </c>
      <c r="H105" s="6" t="n">
        <v>38.5</v>
      </c>
      <c r="I105" s="3" t="n">
        <v>18</v>
      </c>
      <c r="J105" s="3" t="n">
        <v>11</v>
      </c>
      <c r="K105" s="7" t="n">
        <v>104.67</v>
      </c>
      <c r="L105" s="7" t="n">
        <v>14</v>
      </c>
      <c r="M105" s="8" t="n">
        <v>63</v>
      </c>
      <c r="N105" s="8" t="n">
        <v>148</v>
      </c>
      <c r="O105" s="7" t="n">
        <v>104.67</v>
      </c>
      <c r="P105" s="6" t="n">
        <v>91</v>
      </c>
      <c r="Q105" s="4" t="s">
        <v>109</v>
      </c>
      <c r="R105" s="8" t="n">
        <v>17</v>
      </c>
      <c r="S105" s="6" t="n">
        <v>350.38</v>
      </c>
      <c r="T105" s="7" t="n">
        <f aca="false">IFERROR(S105/R105,"")</f>
        <v>20.6105882352941</v>
      </c>
      <c r="U105" s="6" t="n">
        <v>350.38</v>
      </c>
      <c r="V105" s="6" t="n">
        <v>350.38</v>
      </c>
      <c r="W105" s="8" t="n">
        <v>3</v>
      </c>
      <c r="X105" s="7" t="n">
        <f aca="false">IFERROR(S105/AH105,"")</f>
        <v>12.0820689655172</v>
      </c>
      <c r="Y105" s="9" t="n">
        <f aca="false">IFERROR(S105/AF105,"")</f>
        <v>0.313679498657117</v>
      </c>
      <c r="Z105" s="6" t="n">
        <v>13.6</v>
      </c>
      <c r="AA105" s="6" t="n">
        <v>22.92</v>
      </c>
      <c r="AB105" s="6" t="n">
        <v>27.19</v>
      </c>
      <c r="AC105" s="10" t="n">
        <v>0.588</v>
      </c>
      <c r="AD105" s="10" t="n">
        <v>0</v>
      </c>
      <c r="AE105" s="7" t="n">
        <v>0.305</v>
      </c>
      <c r="AF105" s="8" t="n">
        <v>1117</v>
      </c>
      <c r="AG105" s="10" t="n">
        <v>0.985</v>
      </c>
      <c r="AH105" s="8" t="n">
        <v>29</v>
      </c>
      <c r="AI105" s="8" t="n">
        <v>0</v>
      </c>
      <c r="AJ105" s="6" t="n">
        <f aca="false">IFERROR(AI105/R105,"")</f>
        <v>0</v>
      </c>
      <c r="AK105" s="10" t="n">
        <v>0</v>
      </c>
      <c r="AL105" s="10" t="n">
        <v>0</v>
      </c>
      <c r="AM105" s="9" t="n">
        <v>0</v>
      </c>
      <c r="AN105" s="8" t="n">
        <v>0</v>
      </c>
      <c r="AO105" s="10"/>
      <c r="AP105" s="8" t="n">
        <v>0</v>
      </c>
      <c r="AQ105" s="7"/>
      <c r="AR105" s="6"/>
      <c r="AS105" s="7"/>
      <c r="AT105" s="7"/>
      <c r="AU105" s="7"/>
      <c r="AV105" s="7"/>
      <c r="AW105" s="7"/>
      <c r="AX105" s="10"/>
      <c r="AY105" s="8" t="n">
        <v>29</v>
      </c>
      <c r="AZ105" s="6" t="n">
        <f aca="false">IFERROR(AY105/R105,"")</f>
        <v>1.70588235294118</v>
      </c>
      <c r="BA105" s="10" t="n">
        <v>0.0624</v>
      </c>
      <c r="BB105" s="8" t="n">
        <v>1</v>
      </c>
      <c r="BC105" s="7" t="n">
        <f aca="false">IFERROR(BB105/AY105,"")</f>
        <v>0.0344827586206897</v>
      </c>
      <c r="BD105" s="7" t="n">
        <v>-0.034</v>
      </c>
      <c r="BE105" s="7" t="n">
        <v>0.069</v>
      </c>
      <c r="BF105" s="8" t="n">
        <v>0</v>
      </c>
      <c r="BG105" s="7"/>
      <c r="BH105" s="6"/>
      <c r="BI105" s="7"/>
      <c r="BJ105" s="8" t="n">
        <v>3</v>
      </c>
      <c r="BK105" s="8" t="n">
        <v>2</v>
      </c>
      <c r="BL105" s="8" t="n">
        <v>1</v>
      </c>
      <c r="BM105" s="8" t="n">
        <v>0</v>
      </c>
      <c r="BN105" s="7" t="n">
        <v>0.77</v>
      </c>
      <c r="BO105" s="7" t="n">
        <f aca="false">IFERROR(BM105-BN105,"")</f>
        <v>-0.77</v>
      </c>
      <c r="BP105" s="9" t="n">
        <f aca="false">IFERROR(BM105/AH105,"")</f>
        <v>0</v>
      </c>
      <c r="BQ105" s="6" t="n">
        <v>80.4</v>
      </c>
      <c r="BR105" s="6" t="n">
        <v>76.4</v>
      </c>
      <c r="BS105" s="6" t="n">
        <v>71.5</v>
      </c>
      <c r="BT105" s="7" t="n">
        <v>3.462</v>
      </c>
      <c r="BU105" s="10" t="n">
        <v>0.1266</v>
      </c>
      <c r="BV105" s="10" t="n">
        <v>0.638297872340426</v>
      </c>
      <c r="BW105" s="7" t="n">
        <v>2.811</v>
      </c>
      <c r="BX105" s="10" t="n">
        <v>0.194</v>
      </c>
      <c r="BY105" s="10" t="n">
        <v>0.0424</v>
      </c>
      <c r="BZ105" s="7" t="n">
        <v>2.396</v>
      </c>
      <c r="CA105" s="10" t="n">
        <v>0.904</v>
      </c>
      <c r="CB105" s="8" t="n">
        <v>5</v>
      </c>
      <c r="CC105" s="10" t="n">
        <v>0.0296</v>
      </c>
      <c r="CD105" s="10" t="n">
        <v>0.6185</v>
      </c>
      <c r="CE105" s="6" t="n">
        <v>62.12</v>
      </c>
      <c r="CF105" s="6" t="n">
        <v>37</v>
      </c>
      <c r="CG105" s="7" t="n">
        <v>4.47</v>
      </c>
      <c r="CH105" s="6" t="n">
        <v>30.5</v>
      </c>
      <c r="CI105" s="9" t="n">
        <v>0.0262</v>
      </c>
      <c r="CJ105" s="9" t="n">
        <v>0.2292</v>
      </c>
      <c r="CK105" s="8" t="n">
        <v>15</v>
      </c>
      <c r="CL105" s="10" t="n">
        <v>0.026</v>
      </c>
      <c r="CM105" s="8" t="n">
        <v>0</v>
      </c>
      <c r="CN105" s="10" t="n">
        <v>0</v>
      </c>
      <c r="CO105" s="8" t="n">
        <v>1</v>
      </c>
      <c r="CP105" s="7" t="n">
        <v>0.435</v>
      </c>
      <c r="CQ105" s="7" t="n">
        <v>0.435</v>
      </c>
      <c r="CR105" s="4" t="s">
        <v>232</v>
      </c>
      <c r="CS105" s="4"/>
    </row>
    <row r="106" customFormat="false" ht="15" hidden="false" customHeight="false" outlineLevel="0" collapsed="false">
      <c r="A106" s="3" t="n">
        <v>104</v>
      </c>
      <c r="B106" s="4" t="s">
        <v>348</v>
      </c>
      <c r="C106" s="12" t="s">
        <v>149</v>
      </c>
      <c r="D106" s="4" t="s">
        <v>349</v>
      </c>
      <c r="E106" s="4" t="s">
        <v>124</v>
      </c>
      <c r="F106" s="4" t="s">
        <v>149</v>
      </c>
      <c r="G106" s="3" t="n">
        <v>1</v>
      </c>
      <c r="H106" s="6" t="n">
        <v>32.9</v>
      </c>
      <c r="I106" s="3" t="n">
        <v>10</v>
      </c>
      <c r="J106" s="3" t="n">
        <v>8</v>
      </c>
      <c r="K106" s="7" t="n">
        <v>105.31</v>
      </c>
      <c r="L106" s="7" t="n">
        <v>21.17</v>
      </c>
      <c r="M106" s="8" t="n">
        <v>73</v>
      </c>
      <c r="N106" s="8" t="n">
        <v>229</v>
      </c>
      <c r="O106" s="7" t="n">
        <v>105.31</v>
      </c>
      <c r="P106" s="6" t="n">
        <v>89.6</v>
      </c>
      <c r="Q106" s="4" t="s">
        <v>124</v>
      </c>
      <c r="R106" s="8" t="n">
        <v>11</v>
      </c>
      <c r="S106" s="6" t="n">
        <v>161.5</v>
      </c>
      <c r="T106" s="7" t="n">
        <f aca="false">IFERROR(S106/R106,"")</f>
        <v>14.6818181818182</v>
      </c>
      <c r="U106" s="6" t="n">
        <v>133</v>
      </c>
      <c r="V106" s="6" t="n">
        <v>104.5</v>
      </c>
      <c r="W106" s="8" t="n">
        <v>13</v>
      </c>
      <c r="X106" s="7" t="n">
        <f aca="false">IFERROR(S106/AH106,"")</f>
        <v>2.30714285714286</v>
      </c>
      <c r="Y106" s="9" t="n">
        <f aca="false">IFERROR(S106/AF106,"")</f>
        <v>0.291516245487365</v>
      </c>
      <c r="Z106" s="6" t="n">
        <v>9.3</v>
      </c>
      <c r="AA106" s="6" t="n">
        <v>13.8</v>
      </c>
      <c r="AB106" s="6" t="n">
        <v>23.95</v>
      </c>
      <c r="AC106" s="10" t="n">
        <v>0.455</v>
      </c>
      <c r="AD106" s="10" t="n">
        <v>0.091</v>
      </c>
      <c r="AE106" s="7" t="n">
        <v>0.599</v>
      </c>
      <c r="AF106" s="8" t="n">
        <v>554</v>
      </c>
      <c r="AG106" s="10" t="n">
        <v>0.812</v>
      </c>
      <c r="AH106" s="8" t="n">
        <v>70</v>
      </c>
      <c r="AI106" s="8" t="n">
        <v>69</v>
      </c>
      <c r="AJ106" s="6" t="n">
        <f aca="false">IFERROR(AI106/R106,"")</f>
        <v>6.27272727272727</v>
      </c>
      <c r="AK106" s="10" t="n">
        <v>0.2163</v>
      </c>
      <c r="AL106" s="10" t="n">
        <v>0.191</v>
      </c>
      <c r="AM106" s="9" t="n">
        <v>0.4582</v>
      </c>
      <c r="AN106" s="8" t="n">
        <v>57</v>
      </c>
      <c r="AO106" s="10" t="n">
        <f aca="false">IFERROR(AN106/AI106,"")</f>
        <v>0.826086956521739</v>
      </c>
      <c r="AP106" s="8" t="n">
        <v>628</v>
      </c>
      <c r="AQ106" s="7" t="n">
        <f aca="false">IFERROR(AP106/AI106,"")</f>
        <v>9.10144927536232</v>
      </c>
      <c r="AR106" s="6" t="n">
        <v>6.667</v>
      </c>
      <c r="AS106" s="7" t="n">
        <v>4.421</v>
      </c>
      <c r="AT106" s="7" t="n">
        <v>1.365</v>
      </c>
      <c r="AU106" s="7" t="n">
        <v>3.64551135987787</v>
      </c>
      <c r="AV106" s="7" t="n">
        <v>5.13867924528302</v>
      </c>
      <c r="AW106" s="7" t="n">
        <v>0.892990684542919</v>
      </c>
      <c r="AX106" s="10" t="n">
        <v>0.0145</v>
      </c>
      <c r="AY106" s="8" t="n">
        <v>1</v>
      </c>
      <c r="AZ106" s="6" t="n">
        <f aca="false">IFERROR(AY106/R106,"")</f>
        <v>0.0909090909090909</v>
      </c>
      <c r="BA106" s="10" t="n">
        <v>0.0031</v>
      </c>
      <c r="BB106" s="8" t="n">
        <v>-3</v>
      </c>
      <c r="BC106" s="7"/>
      <c r="BD106" s="7"/>
      <c r="BE106" s="7"/>
      <c r="BF106" s="8" t="n">
        <v>0</v>
      </c>
      <c r="BG106" s="7"/>
      <c r="BH106" s="6"/>
      <c r="BI106" s="7"/>
      <c r="BJ106" s="8" t="n">
        <v>14</v>
      </c>
      <c r="BK106" s="8" t="n">
        <v>5</v>
      </c>
      <c r="BL106" s="8" t="n">
        <v>3</v>
      </c>
      <c r="BM106" s="8" t="n">
        <v>7</v>
      </c>
      <c r="BN106" s="7" t="n">
        <v>4.4</v>
      </c>
      <c r="BO106" s="7" t="n">
        <f aca="false">IFERROR(BM106-BN106,"")</f>
        <v>2.6</v>
      </c>
      <c r="BP106" s="9" t="n">
        <f aca="false">IFERROR(BM106/AH106,"")</f>
        <v>0.1</v>
      </c>
      <c r="BQ106" s="6" t="n">
        <v>63.3</v>
      </c>
      <c r="BR106" s="6" t="n">
        <v>46.4</v>
      </c>
      <c r="BS106" s="6" t="n">
        <v>74.5</v>
      </c>
      <c r="BT106" s="7" t="n">
        <v>2.906</v>
      </c>
      <c r="BU106" s="10" t="n">
        <v>0.1848</v>
      </c>
      <c r="BV106" s="10" t="n">
        <v>0.655172413793103</v>
      </c>
      <c r="BW106" s="7" t="n">
        <v>2.349</v>
      </c>
      <c r="BX106" s="10" t="n">
        <v>0.2125</v>
      </c>
      <c r="BY106" s="10" t="n">
        <v>0.0428</v>
      </c>
      <c r="BZ106" s="7" t="n">
        <v>2.547</v>
      </c>
      <c r="CA106" s="10" t="n">
        <v>0.852</v>
      </c>
      <c r="CB106" s="8" t="n">
        <v>4</v>
      </c>
      <c r="CC106" s="10" t="n">
        <v>-0.0088</v>
      </c>
      <c r="CD106" s="10" t="n">
        <v>0.5521</v>
      </c>
      <c r="CE106" s="6" t="n">
        <v>62.65</v>
      </c>
      <c r="CF106" s="6" t="n">
        <v>38</v>
      </c>
      <c r="CG106" s="7" t="n">
        <v>3.88</v>
      </c>
      <c r="CH106" s="6" t="n">
        <v>25.7</v>
      </c>
      <c r="CI106" s="9" t="n">
        <v>-0.0044</v>
      </c>
      <c r="CJ106" s="9" t="n">
        <v>0.1587</v>
      </c>
      <c r="CK106" s="8" t="n">
        <v>170</v>
      </c>
      <c r="CL106" s="10" t="n">
        <v>0.309</v>
      </c>
      <c r="CM106" s="8" t="n">
        <v>94</v>
      </c>
      <c r="CN106" s="10" t="n">
        <v>0.195</v>
      </c>
      <c r="CO106" s="8" t="n">
        <v>38</v>
      </c>
      <c r="CP106" s="7" t="n">
        <v>-0.18</v>
      </c>
      <c r="CQ106" s="7" t="n">
        <v>0.257</v>
      </c>
      <c r="CR106" s="4" t="s">
        <v>102</v>
      </c>
      <c r="CS106" s="4"/>
    </row>
    <row r="107" customFormat="false" ht="15" hidden="false" customHeight="false" outlineLevel="0" collapsed="false">
      <c r="A107" s="3" t="n">
        <v>105</v>
      </c>
      <c r="B107" s="4" t="s">
        <v>350</v>
      </c>
      <c r="C107" s="11" t="s">
        <v>104</v>
      </c>
      <c r="D107" s="4" t="s">
        <v>351</v>
      </c>
      <c r="E107" s="4" t="s">
        <v>203</v>
      </c>
      <c r="F107" s="4" t="s">
        <v>104</v>
      </c>
      <c r="G107" s="3" t="n">
        <v>2</v>
      </c>
      <c r="H107" s="6" t="n">
        <v>24.2</v>
      </c>
      <c r="I107" s="3" t="n">
        <v>2</v>
      </c>
      <c r="J107" s="3" t="n">
        <v>10</v>
      </c>
      <c r="K107" s="7" t="n">
        <v>106.05</v>
      </c>
      <c r="L107" s="7" t="n">
        <v>13.88</v>
      </c>
      <c r="M107" s="8" t="n">
        <v>78</v>
      </c>
      <c r="N107" s="8" t="n">
        <v>156</v>
      </c>
      <c r="O107" s="7" t="n">
        <v>106.05</v>
      </c>
      <c r="P107" s="6" t="n">
        <v>81.7</v>
      </c>
      <c r="Q107" s="4" t="s">
        <v>203</v>
      </c>
      <c r="R107" s="8" t="n">
        <v>17</v>
      </c>
      <c r="S107" s="6" t="n">
        <v>146.7</v>
      </c>
      <c r="T107" s="7" t="n">
        <f aca="false">IFERROR(S107/R107,"")</f>
        <v>8.62941176470588</v>
      </c>
      <c r="U107" s="6" t="n">
        <v>137.7</v>
      </c>
      <c r="V107" s="6" t="n">
        <v>128.7</v>
      </c>
      <c r="W107" s="8" t="n">
        <v>29</v>
      </c>
      <c r="X107" s="7" t="n">
        <f aca="false">IFERROR(S107/AH107,"")</f>
        <v>0.737185929648241</v>
      </c>
      <c r="Y107" s="9" t="n">
        <f aca="false">IFERROR(S107/AF107,"")</f>
        <v>0.306903765690377</v>
      </c>
      <c r="Z107" s="6" t="n">
        <v>3.3</v>
      </c>
      <c r="AA107" s="6" t="n">
        <v>7.7</v>
      </c>
      <c r="AB107" s="6" t="n">
        <v>15.36</v>
      </c>
      <c r="AC107" s="10" t="n">
        <v>0.176</v>
      </c>
      <c r="AD107" s="10" t="n">
        <v>0.118</v>
      </c>
      <c r="AE107" s="7" t="n">
        <v>0.816</v>
      </c>
      <c r="AF107" s="8" t="n">
        <v>478</v>
      </c>
      <c r="AG107" s="10" t="n">
        <v>0.409</v>
      </c>
      <c r="AH107" s="8" t="n">
        <v>199</v>
      </c>
      <c r="AI107" s="8" t="n">
        <v>30</v>
      </c>
      <c r="AJ107" s="6" t="n">
        <f aca="false">IFERROR(AI107/R107,"")</f>
        <v>1.76470588235294</v>
      </c>
      <c r="AK107" s="10" t="n">
        <v>0.0564</v>
      </c>
      <c r="AL107" s="10" t="n">
        <v>0.0004</v>
      </c>
      <c r="AM107" s="9" t="n">
        <v>0.0849</v>
      </c>
      <c r="AN107" s="8" t="n">
        <v>18</v>
      </c>
      <c r="AO107" s="10" t="n">
        <f aca="false">IFERROR(AN107/AI107,"")</f>
        <v>0.6</v>
      </c>
      <c r="AP107" s="8" t="n">
        <v>164</v>
      </c>
      <c r="AQ107" s="7" t="n">
        <f aca="false">IFERROR(AP107/AI107,"")</f>
        <v>5.46666666666667</v>
      </c>
      <c r="AR107" s="6" t="n">
        <v>0.067</v>
      </c>
      <c r="AS107" s="7" t="n">
        <v>9</v>
      </c>
      <c r="AT107" s="7" t="n">
        <v>82</v>
      </c>
      <c r="AU107" s="7"/>
      <c r="AV107" s="7"/>
      <c r="AW107" s="7"/>
      <c r="AX107" s="10" t="n">
        <v>0.2</v>
      </c>
      <c r="AY107" s="8" t="n">
        <v>169</v>
      </c>
      <c r="AZ107" s="6" t="n">
        <f aca="false">IFERROR(AY107/R107,"")</f>
        <v>9.94117647058824</v>
      </c>
      <c r="BA107" s="10" t="n">
        <v>0.3347</v>
      </c>
      <c r="BB107" s="8" t="n">
        <v>783</v>
      </c>
      <c r="BC107" s="7" t="n">
        <f aca="false">IFERROR(BB107/AY107,"")</f>
        <v>4.63313609467456</v>
      </c>
      <c r="BD107" s="7" t="n">
        <v>2.716</v>
      </c>
      <c r="BE107" s="7" t="n">
        <v>1.917</v>
      </c>
      <c r="BF107" s="8" t="n">
        <v>5</v>
      </c>
      <c r="BG107" s="7" t="n">
        <v>0.289548514862964</v>
      </c>
      <c r="BH107" s="6" t="n">
        <v>18.9349112426036</v>
      </c>
      <c r="BI107" s="7" t="n">
        <v>3.52149425287356</v>
      </c>
      <c r="BJ107" s="8" t="n">
        <v>39</v>
      </c>
      <c r="BK107" s="8" t="n">
        <v>20</v>
      </c>
      <c r="BL107" s="8" t="n">
        <v>10</v>
      </c>
      <c r="BM107" s="8" t="n">
        <v>5</v>
      </c>
      <c r="BN107" s="7" t="n">
        <v>7.5</v>
      </c>
      <c r="BO107" s="7" t="n">
        <f aca="false">IFERROR(BM107-BN107,"")</f>
        <v>-2.5</v>
      </c>
      <c r="BP107" s="9" t="n">
        <f aca="false">IFERROR(BM107/AH107,"")</f>
        <v>0.0251256281407035</v>
      </c>
      <c r="BQ107" s="6" t="n">
        <v>76.3</v>
      </c>
      <c r="BR107" s="6" t="n">
        <v>80.3</v>
      </c>
      <c r="BS107" s="6" t="n">
        <v>61.1</v>
      </c>
      <c r="BT107" s="7" t="n">
        <v>3.337</v>
      </c>
      <c r="BU107" s="10" t="n">
        <v>0.1354</v>
      </c>
      <c r="BV107" s="10" t="n">
        <v>0.794117647058824</v>
      </c>
      <c r="BW107" s="7" t="n">
        <v>3.125</v>
      </c>
      <c r="BX107" s="10" t="n">
        <v>0.2787</v>
      </c>
      <c r="BY107" s="10" t="n">
        <v>0.0358</v>
      </c>
      <c r="BZ107" s="7" t="n">
        <v>2.496</v>
      </c>
      <c r="CA107" s="10" t="n">
        <v>0.802</v>
      </c>
      <c r="CB107" s="8" t="n">
        <v>4</v>
      </c>
      <c r="CC107" s="10" t="n">
        <v>-0.039</v>
      </c>
      <c r="CD107" s="10" t="n">
        <v>0.5233</v>
      </c>
      <c r="CE107" s="6" t="n">
        <v>64.47</v>
      </c>
      <c r="CF107" s="6" t="n">
        <v>37</v>
      </c>
      <c r="CG107" s="7" t="n">
        <v>3.41</v>
      </c>
      <c r="CH107" s="6" t="n">
        <v>25.9</v>
      </c>
      <c r="CI107" s="9" t="n">
        <v>0.0786</v>
      </c>
      <c r="CJ107" s="9" t="n">
        <v>0.0802</v>
      </c>
      <c r="CK107" s="8" t="n">
        <v>161</v>
      </c>
      <c r="CL107" s="10" t="n">
        <v>0.303</v>
      </c>
      <c r="CM107" s="8" t="n">
        <v>20</v>
      </c>
      <c r="CN107" s="10" t="n">
        <v>0.04</v>
      </c>
      <c r="CO107" s="8" t="n">
        <v>26</v>
      </c>
      <c r="CP107" s="7" t="n">
        <v>0.004</v>
      </c>
      <c r="CQ107" s="7" t="n">
        <v>-0.435</v>
      </c>
      <c r="CR107" s="4" t="s">
        <v>102</v>
      </c>
      <c r="CS107" s="4"/>
    </row>
    <row r="108" customFormat="false" ht="15" hidden="false" customHeight="false" outlineLevel="0" collapsed="false">
      <c r="A108" s="3" t="n">
        <v>106</v>
      </c>
      <c r="B108" s="4" t="s">
        <v>352</v>
      </c>
      <c r="C108" s="11" t="s">
        <v>104</v>
      </c>
      <c r="D108" s="4" t="s">
        <v>353</v>
      </c>
      <c r="E108" s="4" t="s">
        <v>191</v>
      </c>
      <c r="F108" s="4" t="s">
        <v>104</v>
      </c>
      <c r="G108" s="3" t="n">
        <v>2</v>
      </c>
      <c r="H108" s="6" t="n">
        <v>23.1</v>
      </c>
      <c r="I108" s="3" t="n">
        <v>3</v>
      </c>
      <c r="J108" s="3" t="n">
        <v>5</v>
      </c>
      <c r="K108" s="7" t="n">
        <v>106.31</v>
      </c>
      <c r="L108" s="7" t="n">
        <v>31.34</v>
      </c>
      <c r="M108" s="8" t="n">
        <v>67</v>
      </c>
      <c r="N108" s="8" t="n">
        <v>243</v>
      </c>
      <c r="O108" s="7" t="n">
        <v>106.31</v>
      </c>
      <c r="P108" s="6" t="n">
        <v>74</v>
      </c>
      <c r="Q108" s="4"/>
      <c r="R108" s="8"/>
      <c r="S108" s="6"/>
      <c r="T108" s="7"/>
      <c r="U108" s="6"/>
      <c r="V108" s="6"/>
      <c r="W108" s="8"/>
      <c r="X108" s="7"/>
      <c r="Y108" s="9"/>
      <c r="Z108" s="6"/>
      <c r="AA108" s="6"/>
      <c r="AB108" s="6"/>
      <c r="AC108" s="10"/>
      <c r="AD108" s="10"/>
      <c r="AE108" s="7"/>
      <c r="AF108" s="8"/>
      <c r="AG108" s="10"/>
      <c r="AH108" s="8" t="n">
        <v>0</v>
      </c>
      <c r="AI108" s="8"/>
      <c r="AJ108" s="6"/>
      <c r="AK108" s="10"/>
      <c r="AL108" s="10"/>
      <c r="AM108" s="9"/>
      <c r="AN108" s="8"/>
      <c r="AO108" s="10"/>
      <c r="AP108" s="8"/>
      <c r="AQ108" s="7"/>
      <c r="AR108" s="6"/>
      <c r="AS108" s="7"/>
      <c r="AT108" s="7"/>
      <c r="AU108" s="7"/>
      <c r="AV108" s="7"/>
      <c r="AW108" s="7"/>
      <c r="AX108" s="10"/>
      <c r="AY108" s="8"/>
      <c r="AZ108" s="6"/>
      <c r="BA108" s="10"/>
      <c r="BB108" s="8"/>
      <c r="BC108" s="7"/>
      <c r="BD108" s="7"/>
      <c r="BE108" s="7"/>
      <c r="BF108" s="8"/>
      <c r="BG108" s="7"/>
      <c r="BH108" s="6"/>
      <c r="BI108" s="7"/>
      <c r="BJ108" s="8"/>
      <c r="BK108" s="8"/>
      <c r="BL108" s="8"/>
      <c r="BM108" s="8"/>
      <c r="BN108" s="7"/>
      <c r="BO108" s="7"/>
      <c r="BP108" s="9"/>
      <c r="BQ108" s="6" t="n">
        <v>56.6</v>
      </c>
      <c r="BR108" s="6" t="n">
        <v>63.1</v>
      </c>
      <c r="BS108" s="6" t="n">
        <v>47.3</v>
      </c>
      <c r="BT108" s="7" t="n">
        <v>3.179</v>
      </c>
      <c r="BU108" s="10" t="n">
        <v>0.1391</v>
      </c>
      <c r="BV108" s="10" t="n">
        <v>0.689655172413793</v>
      </c>
      <c r="BW108" s="7" t="n">
        <v>2.49</v>
      </c>
      <c r="BX108" s="10" t="n">
        <v>0.2718</v>
      </c>
      <c r="BY108" s="10" t="n">
        <v>0.0629</v>
      </c>
      <c r="BZ108" s="7" t="n">
        <v>2.4</v>
      </c>
      <c r="CA108" s="10" t="n">
        <v>0.596</v>
      </c>
      <c r="CB108" s="8" t="n">
        <v>3</v>
      </c>
      <c r="CC108" s="10" t="n">
        <v>-0.061</v>
      </c>
      <c r="CD108" s="10" t="n">
        <v>0.5106</v>
      </c>
      <c r="CE108" s="6" t="n">
        <v>58.59</v>
      </c>
      <c r="CF108" s="6" t="n">
        <v>39</v>
      </c>
      <c r="CG108" s="7" t="n">
        <v>2.82</v>
      </c>
      <c r="CH108" s="6" t="n">
        <v>18.3</v>
      </c>
      <c r="CI108" s="9" t="n">
        <v>-0.0262</v>
      </c>
      <c r="CJ108" s="9" t="n">
        <v>-0.0498</v>
      </c>
      <c r="CK108" s="8" t="n">
        <v>50</v>
      </c>
      <c r="CL108" s="10" t="n">
        <v>0.104</v>
      </c>
      <c r="CM108" s="8" t="n">
        <v>242</v>
      </c>
      <c r="CN108" s="10" t="n">
        <v>0.525</v>
      </c>
      <c r="CO108" s="8" t="n">
        <v>40</v>
      </c>
      <c r="CP108" s="7"/>
      <c r="CQ108" s="7"/>
      <c r="CR108" s="4"/>
      <c r="CS108" s="4" t="s">
        <v>354</v>
      </c>
    </row>
    <row r="109" customFormat="false" ht="15" hidden="false" customHeight="false" outlineLevel="0" collapsed="false">
      <c r="A109" s="3" t="n">
        <v>107</v>
      </c>
      <c r="B109" s="4" t="s">
        <v>355</v>
      </c>
      <c r="C109" s="13" t="s">
        <v>172</v>
      </c>
      <c r="D109" s="4" t="s">
        <v>356</v>
      </c>
      <c r="E109" s="4" t="s">
        <v>106</v>
      </c>
      <c r="F109" s="4" t="s">
        <v>172</v>
      </c>
      <c r="G109" s="3" t="n">
        <v>1</v>
      </c>
      <c r="H109" s="6" t="n">
        <v>31.8</v>
      </c>
      <c r="I109" s="3" t="n">
        <v>11</v>
      </c>
      <c r="J109" s="3" t="n">
        <v>6</v>
      </c>
      <c r="K109" s="7" t="n">
        <v>106.71</v>
      </c>
      <c r="L109" s="7" t="n">
        <v>11.25</v>
      </c>
      <c r="M109" s="8" t="n">
        <v>59</v>
      </c>
      <c r="N109" s="8" t="n">
        <v>124</v>
      </c>
      <c r="O109" s="7" t="n">
        <v>106.71</v>
      </c>
      <c r="P109" s="6" t="n">
        <v>74.7</v>
      </c>
      <c r="Q109" s="4" t="s">
        <v>106</v>
      </c>
      <c r="R109" s="8" t="n">
        <v>17</v>
      </c>
      <c r="S109" s="6" t="n">
        <v>297.06</v>
      </c>
      <c r="T109" s="7" t="n">
        <f aca="false">IFERROR(S109/R109,"")</f>
        <v>17.4741176470588</v>
      </c>
      <c r="U109" s="6" t="n">
        <v>297.06</v>
      </c>
      <c r="V109" s="6" t="n">
        <v>297.06</v>
      </c>
      <c r="W109" s="8" t="n">
        <v>9</v>
      </c>
      <c r="X109" s="7" t="n">
        <f aca="false">IFERROR(S109/AH109,"")</f>
        <v>15.6347368421053</v>
      </c>
      <c r="Y109" s="9" t="n">
        <f aca="false">IFERROR(S109/AF109,"")</f>
        <v>0.274293628808864</v>
      </c>
      <c r="Z109" s="6" t="n">
        <v>12.68</v>
      </c>
      <c r="AA109" s="6" t="n">
        <v>16.82</v>
      </c>
      <c r="AB109" s="6" t="n">
        <v>25.23</v>
      </c>
      <c r="AC109" s="10" t="n">
        <v>0.412</v>
      </c>
      <c r="AD109" s="10" t="n">
        <v>0.059</v>
      </c>
      <c r="AE109" s="7" t="n">
        <v>0.447</v>
      </c>
      <c r="AF109" s="8" t="n">
        <v>1083</v>
      </c>
      <c r="AG109" s="10" t="n">
        <v>0.985</v>
      </c>
      <c r="AH109" s="8" t="n">
        <v>19</v>
      </c>
      <c r="AI109" s="8" t="n">
        <v>0</v>
      </c>
      <c r="AJ109" s="6" t="n">
        <f aca="false">IFERROR(AI109/R109,"")</f>
        <v>0</v>
      </c>
      <c r="AK109" s="10" t="n">
        <v>0</v>
      </c>
      <c r="AL109" s="10" t="n">
        <v>0</v>
      </c>
      <c r="AM109" s="9" t="n">
        <v>0</v>
      </c>
      <c r="AN109" s="8" t="n">
        <v>0</v>
      </c>
      <c r="AO109" s="10"/>
      <c r="AP109" s="8" t="n">
        <v>0</v>
      </c>
      <c r="AQ109" s="7"/>
      <c r="AR109" s="6"/>
      <c r="AS109" s="7"/>
      <c r="AT109" s="7"/>
      <c r="AU109" s="7"/>
      <c r="AV109" s="7"/>
      <c r="AW109" s="7"/>
      <c r="AX109" s="10"/>
      <c r="AY109" s="8" t="n">
        <v>19</v>
      </c>
      <c r="AZ109" s="6" t="n">
        <f aca="false">IFERROR(AY109/R109,"")</f>
        <v>1.11764705882353</v>
      </c>
      <c r="BA109" s="10" t="n">
        <v>0.043</v>
      </c>
      <c r="BB109" s="8" t="n">
        <v>45</v>
      </c>
      <c r="BC109" s="7"/>
      <c r="BD109" s="7"/>
      <c r="BE109" s="7"/>
      <c r="BF109" s="8" t="n">
        <v>0</v>
      </c>
      <c r="BG109" s="7"/>
      <c r="BH109" s="6"/>
      <c r="BI109" s="7"/>
      <c r="BJ109" s="8" t="n">
        <v>1</v>
      </c>
      <c r="BK109" s="8" t="n">
        <v>1</v>
      </c>
      <c r="BL109" s="8" t="n">
        <v>0</v>
      </c>
      <c r="BM109" s="8" t="n">
        <v>0</v>
      </c>
      <c r="BN109" s="7" t="n">
        <v>0.19</v>
      </c>
      <c r="BO109" s="7" t="n">
        <f aca="false">IFERROR(BM109-BN109,"")</f>
        <v>-0.19</v>
      </c>
      <c r="BP109" s="9" t="n">
        <f aca="false">IFERROR(BM109/AH109,"")</f>
        <v>0</v>
      </c>
      <c r="BQ109" s="6" t="n">
        <v>46.7</v>
      </c>
      <c r="BR109" s="6" t="n">
        <v>50</v>
      </c>
      <c r="BS109" s="6" t="n">
        <v>44.8</v>
      </c>
      <c r="BT109" s="7" t="n">
        <v>2.796</v>
      </c>
      <c r="BU109" s="10" t="n">
        <v>0.1795</v>
      </c>
      <c r="BV109" s="10" t="n">
        <v>0.645161290322581</v>
      </c>
      <c r="BW109" s="7" t="n">
        <v>2.844</v>
      </c>
      <c r="BX109" s="10" t="n">
        <v>0.2646</v>
      </c>
      <c r="BY109" s="10" t="n">
        <v>0.0608</v>
      </c>
      <c r="BZ109" s="7" t="n">
        <v>2.297</v>
      </c>
      <c r="CA109" s="10" t="n">
        <v>0.521</v>
      </c>
      <c r="CB109" s="8" t="n">
        <v>3</v>
      </c>
      <c r="CC109" s="10" t="n">
        <v>-0.0456</v>
      </c>
      <c r="CD109" s="10" t="n">
        <v>0.5469</v>
      </c>
      <c r="CE109" s="6" t="n">
        <v>61.82</v>
      </c>
      <c r="CF109" s="6" t="n">
        <v>38</v>
      </c>
      <c r="CG109" s="7" t="n">
        <v>3.82</v>
      </c>
      <c r="CH109" s="6" t="n">
        <v>28.3</v>
      </c>
      <c r="CI109" s="9" t="n">
        <v>-0.0408</v>
      </c>
      <c r="CJ109" s="9" t="n">
        <v>0.1681</v>
      </c>
      <c r="CK109" s="8" t="n">
        <v>79</v>
      </c>
      <c r="CL109" s="10" t="n">
        <v>0.144</v>
      </c>
      <c r="CM109" s="8" t="n">
        <v>167</v>
      </c>
      <c r="CN109" s="10" t="n">
        <v>0.378</v>
      </c>
      <c r="CO109" s="8" t="n">
        <v>45</v>
      </c>
      <c r="CP109" s="7" t="n">
        <v>0.207</v>
      </c>
      <c r="CQ109" s="7" t="n">
        <v>0.076</v>
      </c>
      <c r="CR109" s="4" t="s">
        <v>102</v>
      </c>
      <c r="CS109" s="4"/>
    </row>
    <row r="110" customFormat="false" ht="15" hidden="false" customHeight="false" outlineLevel="0" collapsed="false">
      <c r="A110" s="3" t="n">
        <v>108</v>
      </c>
      <c r="B110" s="4" t="s">
        <v>357</v>
      </c>
      <c r="C110" s="5" t="s">
        <v>99</v>
      </c>
      <c r="D110" s="4" t="s">
        <v>358</v>
      </c>
      <c r="E110" s="4" t="s">
        <v>127</v>
      </c>
      <c r="F110" s="4" t="s">
        <v>99</v>
      </c>
      <c r="G110" s="3" t="n">
        <v>2</v>
      </c>
      <c r="H110" s="6" t="n">
        <v>24.6</v>
      </c>
      <c r="I110" s="3" t="n">
        <v>4</v>
      </c>
      <c r="J110" s="3" t="n">
        <v>6</v>
      </c>
      <c r="K110" s="7" t="n">
        <v>108.59</v>
      </c>
      <c r="L110" s="7" t="n">
        <v>14.13</v>
      </c>
      <c r="M110" s="8" t="n">
        <v>68</v>
      </c>
      <c r="N110" s="8" t="n">
        <v>149</v>
      </c>
      <c r="O110" s="7" t="n">
        <v>108.59</v>
      </c>
      <c r="P110" s="6" t="n">
        <v>79.2</v>
      </c>
      <c r="Q110" s="4" t="s">
        <v>127</v>
      </c>
      <c r="R110" s="8" t="n">
        <v>14</v>
      </c>
      <c r="S110" s="6" t="n">
        <v>135.1</v>
      </c>
      <c r="T110" s="7" t="n">
        <f aca="false">IFERROR(S110/R110,"")</f>
        <v>9.65</v>
      </c>
      <c r="U110" s="6" t="n">
        <v>114.1</v>
      </c>
      <c r="V110" s="6" t="n">
        <v>93.1</v>
      </c>
      <c r="W110" s="8" t="n">
        <v>44</v>
      </c>
      <c r="X110" s="7" t="n">
        <f aca="false">IFERROR(S110/AH110,"")</f>
        <v>1.6679012345679</v>
      </c>
      <c r="Y110" s="9" t="n">
        <f aca="false">IFERROR(S110/AF110,"")</f>
        <v>0.18921568627451</v>
      </c>
      <c r="Z110" s="6" t="n">
        <v>6.98</v>
      </c>
      <c r="AA110" s="6" t="n">
        <v>9.3</v>
      </c>
      <c r="AB110" s="6" t="n">
        <v>15.12</v>
      </c>
      <c r="AC110" s="10" t="n">
        <v>0.071</v>
      </c>
      <c r="AD110" s="10" t="n">
        <v>0.071</v>
      </c>
      <c r="AE110" s="7" t="n">
        <v>0.609</v>
      </c>
      <c r="AF110" s="8" t="n">
        <v>714</v>
      </c>
      <c r="AG110" s="10" t="n">
        <v>0.851</v>
      </c>
      <c r="AH110" s="8" t="n">
        <v>81</v>
      </c>
      <c r="AI110" s="8" t="n">
        <v>79</v>
      </c>
      <c r="AJ110" s="6" t="n">
        <f aca="false">IFERROR(AI110/R110,"")</f>
        <v>5.64285714285714</v>
      </c>
      <c r="AK110" s="10" t="n">
        <v>0.196</v>
      </c>
      <c r="AL110" s="10" t="n">
        <v>0.3417</v>
      </c>
      <c r="AM110" s="9" t="n">
        <v>0.5332</v>
      </c>
      <c r="AN110" s="8" t="n">
        <v>42</v>
      </c>
      <c r="AO110" s="10" t="n">
        <f aca="false">IFERROR(AN110/AI110,"")</f>
        <v>0.531645569620253</v>
      </c>
      <c r="AP110" s="8" t="n">
        <v>610</v>
      </c>
      <c r="AQ110" s="7" t="n">
        <f aca="false">IFERROR(AP110/AI110,"")</f>
        <v>7.72151898734177</v>
      </c>
      <c r="AR110" s="6" t="n">
        <v>13.709</v>
      </c>
      <c r="AS110" s="7" t="n">
        <v>3.31</v>
      </c>
      <c r="AT110" s="7" t="n">
        <v>0.563</v>
      </c>
      <c r="AU110" s="7" t="n">
        <v>2.86729053006329</v>
      </c>
      <c r="AV110" s="7" t="n">
        <v>7.27987012987013</v>
      </c>
      <c r="AW110" s="7" t="n">
        <v>0.626501626930908</v>
      </c>
      <c r="AX110" s="10" t="n">
        <v>0.0759</v>
      </c>
      <c r="AY110" s="8" t="n">
        <v>2</v>
      </c>
      <c r="AZ110" s="6" t="n">
        <f aca="false">IFERROR(AY110/R110,"")</f>
        <v>0.142857142857143</v>
      </c>
      <c r="BA110" s="10" t="n">
        <v>0.006</v>
      </c>
      <c r="BB110" s="8" t="n">
        <v>81</v>
      </c>
      <c r="BC110" s="7"/>
      <c r="BD110" s="7"/>
      <c r="BE110" s="7"/>
      <c r="BF110" s="8" t="n">
        <v>1</v>
      </c>
      <c r="BG110" s="7"/>
      <c r="BH110" s="6"/>
      <c r="BI110" s="7"/>
      <c r="BJ110" s="8" t="n">
        <v>13</v>
      </c>
      <c r="BK110" s="8" t="n">
        <v>5</v>
      </c>
      <c r="BL110" s="8" t="n">
        <v>3</v>
      </c>
      <c r="BM110" s="8" t="n">
        <v>4</v>
      </c>
      <c r="BN110" s="7" t="n">
        <v>4.49</v>
      </c>
      <c r="BO110" s="7" t="n">
        <f aca="false">IFERROR(BM110-BN110,"")</f>
        <v>-0.49</v>
      </c>
      <c r="BP110" s="9" t="n">
        <f aca="false">IFERROR(BM110/AH110,"")</f>
        <v>0.0493827160493827</v>
      </c>
      <c r="BQ110" s="6" t="n">
        <v>36</v>
      </c>
      <c r="BR110" s="6" t="n">
        <v>51.8</v>
      </c>
      <c r="BS110" s="6" t="n">
        <v>26.2</v>
      </c>
      <c r="BT110" s="7" t="n">
        <v>2.961</v>
      </c>
      <c r="BU110" s="10" t="n">
        <v>0.1751</v>
      </c>
      <c r="BV110" s="10" t="n">
        <v>0.7</v>
      </c>
      <c r="BW110" s="7" t="n">
        <v>2.441</v>
      </c>
      <c r="BX110" s="10" t="n">
        <v>0.3037</v>
      </c>
      <c r="BY110" s="10" t="n">
        <v>0.1028</v>
      </c>
      <c r="BZ110" s="7" t="n">
        <v>2.429</v>
      </c>
      <c r="CA110" s="10" t="n">
        <v>0.819</v>
      </c>
      <c r="CB110" s="8" t="n">
        <v>5</v>
      </c>
      <c r="CC110" s="10" t="n">
        <v>-0.012</v>
      </c>
      <c r="CD110" s="10" t="n">
        <v>0.5369</v>
      </c>
      <c r="CE110" s="6" t="n">
        <v>55.47</v>
      </c>
      <c r="CF110" s="6" t="n">
        <v>39</v>
      </c>
      <c r="CG110" s="7" t="n">
        <v>3.12</v>
      </c>
      <c r="CH110" s="6" t="n">
        <v>20.2</v>
      </c>
      <c r="CI110" s="9" t="n">
        <v>-0.0149</v>
      </c>
      <c r="CJ110" s="9" t="n">
        <v>-0.1883</v>
      </c>
      <c r="CK110" s="8" t="n">
        <v>82</v>
      </c>
      <c r="CL110" s="10" t="n">
        <v>0.175</v>
      </c>
      <c r="CM110" s="8" t="n">
        <v>24</v>
      </c>
      <c r="CN110" s="10" t="n">
        <v>0.059</v>
      </c>
      <c r="CO110" s="8" t="n">
        <v>17</v>
      </c>
      <c r="CP110" s="7" t="n">
        <v>-0.264</v>
      </c>
      <c r="CQ110" s="7" t="n">
        <v>-0.483</v>
      </c>
      <c r="CR110" s="4" t="s">
        <v>102</v>
      </c>
      <c r="CS110" s="4"/>
    </row>
    <row r="111" customFormat="false" ht="15" hidden="false" customHeight="false" outlineLevel="0" collapsed="false">
      <c r="A111" s="3" t="n">
        <v>109</v>
      </c>
      <c r="B111" s="4" t="s">
        <v>359</v>
      </c>
      <c r="C111" s="11" t="s">
        <v>104</v>
      </c>
      <c r="D111" s="4" t="s">
        <v>360</v>
      </c>
      <c r="E111" s="4" t="s">
        <v>221</v>
      </c>
      <c r="F111" s="4" t="s">
        <v>104</v>
      </c>
      <c r="G111" s="3" t="n">
        <v>2</v>
      </c>
      <c r="H111" s="6" t="n">
        <v>27.6</v>
      </c>
      <c r="I111" s="3" t="n">
        <v>5</v>
      </c>
      <c r="J111" s="3" t="n">
        <v>7</v>
      </c>
      <c r="K111" s="7" t="n">
        <v>108.98</v>
      </c>
      <c r="L111" s="7" t="n">
        <v>14.86</v>
      </c>
      <c r="M111" s="8" t="n">
        <v>75</v>
      </c>
      <c r="N111" s="8" t="n">
        <v>141</v>
      </c>
      <c r="O111" s="7" t="n">
        <v>108.98</v>
      </c>
      <c r="P111" s="6" t="n">
        <v>74</v>
      </c>
      <c r="Q111" s="4" t="s">
        <v>198</v>
      </c>
      <c r="R111" s="8" t="n">
        <v>17</v>
      </c>
      <c r="S111" s="6" t="n">
        <v>143</v>
      </c>
      <c r="T111" s="7" t="n">
        <f aca="false">IFERROR(S111/R111,"")</f>
        <v>8.41176470588235</v>
      </c>
      <c r="U111" s="6" t="n">
        <v>123</v>
      </c>
      <c r="V111" s="6" t="n">
        <v>103</v>
      </c>
      <c r="W111" s="8" t="n">
        <v>31</v>
      </c>
      <c r="X111" s="7" t="n">
        <f aca="false">IFERROR(S111/AH111,"")</f>
        <v>0.807909604519774</v>
      </c>
      <c r="Y111" s="9" t="n">
        <f aca="false">IFERROR(S111/AF111,"")</f>
        <v>0.249128919860627</v>
      </c>
      <c r="Z111" s="6" t="n">
        <v>5.2</v>
      </c>
      <c r="AA111" s="6" t="n">
        <v>8</v>
      </c>
      <c r="AB111" s="6" t="n">
        <v>12.92</v>
      </c>
      <c r="AC111" s="10" t="n">
        <v>0.118</v>
      </c>
      <c r="AD111" s="10" t="n">
        <v>0.059</v>
      </c>
      <c r="AE111" s="7" t="n">
        <v>0.687</v>
      </c>
      <c r="AF111" s="8" t="n">
        <v>574</v>
      </c>
      <c r="AG111" s="10" t="n">
        <v>0.511</v>
      </c>
      <c r="AH111" s="8" t="n">
        <v>177</v>
      </c>
      <c r="AI111" s="8" t="n">
        <v>45</v>
      </c>
      <c r="AJ111" s="6" t="n">
        <f aca="false">IFERROR(AI111/R111,"")</f>
        <v>2.64705882352941</v>
      </c>
      <c r="AK111" s="10" t="n">
        <v>0.0832</v>
      </c>
      <c r="AL111" s="10" t="n">
        <v>-0.0235</v>
      </c>
      <c r="AM111" s="9" t="n">
        <v>0.1084</v>
      </c>
      <c r="AN111" s="8" t="n">
        <v>40</v>
      </c>
      <c r="AO111" s="10" t="n">
        <f aca="false">IFERROR(AN111/AI111,"")</f>
        <v>0.888888888888889</v>
      </c>
      <c r="AP111" s="8" t="n">
        <v>218</v>
      </c>
      <c r="AQ111" s="7" t="n">
        <f aca="false">IFERROR(AP111/AI111,"")</f>
        <v>4.84444444444444</v>
      </c>
      <c r="AR111" s="6" t="n">
        <v>-2.267</v>
      </c>
      <c r="AS111" s="7" t="n">
        <v>8.225</v>
      </c>
      <c r="AT111" s="7" t="n">
        <v>-2.137</v>
      </c>
      <c r="AU111" s="7"/>
      <c r="AV111" s="7"/>
      <c r="AW111" s="7"/>
      <c r="AX111" s="10" t="n">
        <v>0</v>
      </c>
      <c r="AY111" s="8" t="n">
        <v>132</v>
      </c>
      <c r="AZ111" s="6" t="n">
        <f aca="false">IFERROR(AY111/R111,"")</f>
        <v>7.76470588235294</v>
      </c>
      <c r="BA111" s="10" t="n">
        <v>0.2797</v>
      </c>
      <c r="BB111" s="8" t="n">
        <v>572</v>
      </c>
      <c r="BC111" s="7" t="n">
        <f aca="false">IFERROR(BB111/AY111,"")</f>
        <v>4.33333333333333</v>
      </c>
      <c r="BD111" s="7" t="n">
        <v>2.826</v>
      </c>
      <c r="BE111" s="7" t="n">
        <v>1.508</v>
      </c>
      <c r="BF111" s="8" t="n">
        <v>9</v>
      </c>
      <c r="BG111" s="7" t="n">
        <v>-0.223049529477215</v>
      </c>
      <c r="BH111" s="6" t="n">
        <v>20.4545454545455</v>
      </c>
      <c r="BI111" s="7" t="n">
        <v>3.54566433566434</v>
      </c>
      <c r="BJ111" s="8" t="n">
        <v>28</v>
      </c>
      <c r="BK111" s="8" t="n">
        <v>10</v>
      </c>
      <c r="BL111" s="8" t="n">
        <v>8</v>
      </c>
      <c r="BM111" s="8" t="n">
        <v>4</v>
      </c>
      <c r="BN111" s="7" t="n">
        <v>7.43</v>
      </c>
      <c r="BO111" s="7" t="n">
        <f aca="false">IFERROR(BM111-BN111,"")</f>
        <v>-3.43</v>
      </c>
      <c r="BP111" s="9" t="n">
        <f aca="false">IFERROR(BM111/AH111,"")</f>
        <v>0.0225988700564972</v>
      </c>
      <c r="BQ111" s="6" t="n">
        <v>54.8</v>
      </c>
      <c r="BR111" s="6" t="n">
        <v>50.7</v>
      </c>
      <c r="BS111" s="6" t="n">
        <v>56.8</v>
      </c>
      <c r="BT111" s="7" t="n">
        <v>2.998</v>
      </c>
      <c r="BU111" s="10" t="n">
        <v>0.1651</v>
      </c>
      <c r="BV111" s="10" t="n">
        <v>0.548387096774194</v>
      </c>
      <c r="BW111" s="7" t="n">
        <v>2.512</v>
      </c>
      <c r="BX111" s="10" t="n">
        <v>0.2217</v>
      </c>
      <c r="BY111" s="10" t="n">
        <v>0.0606</v>
      </c>
      <c r="BZ111" s="7" t="n">
        <v>2.36</v>
      </c>
      <c r="CA111" s="10" t="n">
        <v>0.706</v>
      </c>
      <c r="CB111" s="8" t="n">
        <v>4</v>
      </c>
      <c r="CC111" s="10" t="n">
        <v>-0.0427</v>
      </c>
      <c r="CD111" s="10" t="n">
        <v>0.4747</v>
      </c>
      <c r="CE111" s="6" t="n">
        <v>57.59</v>
      </c>
      <c r="CF111" s="6" t="n">
        <v>38</v>
      </c>
      <c r="CG111" s="7" t="n">
        <v>2.94</v>
      </c>
      <c r="CH111" s="6" t="n">
        <v>20.9</v>
      </c>
      <c r="CI111" s="9" t="n">
        <v>0.0192</v>
      </c>
      <c r="CJ111" s="9" t="n">
        <v>-0.0055</v>
      </c>
      <c r="CK111" s="8" t="n">
        <v>138</v>
      </c>
      <c r="CL111" s="10" t="n">
        <v>0.319</v>
      </c>
      <c r="CM111" s="8" t="n">
        <v>142</v>
      </c>
      <c r="CN111" s="10" t="n">
        <v>0.293</v>
      </c>
      <c r="CO111" s="8" t="n">
        <v>56</v>
      </c>
      <c r="CP111" s="7" t="n">
        <v>-0.013</v>
      </c>
      <c r="CQ111" s="7" t="n">
        <v>-0.452</v>
      </c>
      <c r="CR111" s="4" t="s">
        <v>102</v>
      </c>
      <c r="CS111" s="4"/>
    </row>
    <row r="112" customFormat="false" ht="15" hidden="false" customHeight="false" outlineLevel="0" collapsed="false">
      <c r="A112" s="3" t="n">
        <v>110</v>
      </c>
      <c r="B112" s="4" t="s">
        <v>361</v>
      </c>
      <c r="C112" s="5" t="s">
        <v>99</v>
      </c>
      <c r="D112" s="4" t="s">
        <v>362</v>
      </c>
      <c r="E112" s="4" t="s">
        <v>218</v>
      </c>
      <c r="F112" s="4" t="s">
        <v>99</v>
      </c>
      <c r="G112" s="3" t="n">
        <v>2</v>
      </c>
      <c r="H112" s="6" t="n">
        <v>26.3</v>
      </c>
      <c r="I112" s="3" t="n">
        <v>4</v>
      </c>
      <c r="J112" s="3" t="n">
        <v>11</v>
      </c>
      <c r="K112" s="7" t="n">
        <v>109.66</v>
      </c>
      <c r="L112" s="7" t="n">
        <v>13.54</v>
      </c>
      <c r="M112" s="8" t="n">
        <v>76</v>
      </c>
      <c r="N112" s="8" t="n">
        <v>149</v>
      </c>
      <c r="O112" s="7" t="n">
        <v>109.66</v>
      </c>
      <c r="P112" s="6" t="n">
        <v>75.3</v>
      </c>
      <c r="Q112" s="4" t="s">
        <v>218</v>
      </c>
      <c r="R112" s="8" t="n">
        <v>5</v>
      </c>
      <c r="S112" s="6" t="n">
        <v>48.5</v>
      </c>
      <c r="T112" s="7" t="n">
        <f aca="false">IFERROR(S112/R112,"")</f>
        <v>9.7</v>
      </c>
      <c r="U112" s="6" t="n">
        <v>39</v>
      </c>
      <c r="V112" s="6" t="n">
        <v>29.5</v>
      </c>
      <c r="W112" s="8" t="n">
        <v>83</v>
      </c>
      <c r="X112" s="7" t="n">
        <f aca="false">IFERROR(S112/AH112,"")</f>
        <v>1.94</v>
      </c>
      <c r="Y112" s="9" t="n">
        <f aca="false">IFERROR(S112/AF112,"")</f>
        <v>0.28698224852071</v>
      </c>
      <c r="Z112" s="6" t="n">
        <v>8.1</v>
      </c>
      <c r="AA112" s="6" t="n">
        <v>9.3</v>
      </c>
      <c r="AB112" s="6" t="n">
        <v>11.7</v>
      </c>
      <c r="AC112" s="10" t="n">
        <v>0</v>
      </c>
      <c r="AD112" s="10" t="n">
        <v>0</v>
      </c>
      <c r="AE112" s="7" t="n">
        <v>0.266</v>
      </c>
      <c r="AF112" s="8" t="n">
        <v>169</v>
      </c>
      <c r="AG112" s="10" t="n">
        <v>0.411</v>
      </c>
      <c r="AH112" s="8" t="n">
        <v>25</v>
      </c>
      <c r="AI112" s="8" t="n">
        <v>22</v>
      </c>
      <c r="AJ112" s="6" t="n">
        <f aca="false">IFERROR(AI112/R112,"")</f>
        <v>4.4</v>
      </c>
      <c r="AK112" s="10" t="n">
        <v>0.1692</v>
      </c>
      <c r="AL112" s="10" t="n">
        <v>0.1287</v>
      </c>
      <c r="AM112" s="9" t="n">
        <v>0.3439</v>
      </c>
      <c r="AN112" s="8" t="n">
        <v>19</v>
      </c>
      <c r="AO112" s="10" t="n">
        <f aca="false">IFERROR(AN112/AI112,"")</f>
        <v>0.863636363636364</v>
      </c>
      <c r="AP112" s="8" t="n">
        <v>207</v>
      </c>
      <c r="AQ112" s="7" t="n">
        <f aca="false">IFERROR(AP112/AI112,"")</f>
        <v>9.40909090909091</v>
      </c>
      <c r="AR112" s="6" t="n">
        <v>8.136</v>
      </c>
      <c r="AS112" s="7" t="n">
        <v>4.474</v>
      </c>
      <c r="AT112" s="7" t="n">
        <v>1.156</v>
      </c>
      <c r="AU112" s="7"/>
      <c r="AV112" s="7"/>
      <c r="AW112" s="7"/>
      <c r="AX112" s="10" t="n">
        <v>0.0455</v>
      </c>
      <c r="AY112" s="8" t="n">
        <v>3</v>
      </c>
      <c r="AZ112" s="6" t="n">
        <f aca="false">IFERROR(AY112/R112,"")</f>
        <v>0.6</v>
      </c>
      <c r="BA112" s="10" t="n">
        <v>0.0227</v>
      </c>
      <c r="BB112" s="8" t="n">
        <v>28</v>
      </c>
      <c r="BC112" s="7"/>
      <c r="BD112" s="7"/>
      <c r="BE112" s="7"/>
      <c r="BF112" s="8" t="n">
        <v>1</v>
      </c>
      <c r="BG112" s="7"/>
      <c r="BH112" s="6"/>
      <c r="BI112" s="7"/>
      <c r="BJ112" s="8" t="n">
        <v>4</v>
      </c>
      <c r="BK112" s="8" t="n">
        <v>0</v>
      </c>
      <c r="BL112" s="8" t="n">
        <v>0</v>
      </c>
      <c r="BM112" s="8" t="n">
        <v>1</v>
      </c>
      <c r="BN112" s="7" t="n">
        <v>0.81</v>
      </c>
      <c r="BO112" s="7" t="n">
        <f aca="false">IFERROR(BM112-BN112,"")</f>
        <v>0.19</v>
      </c>
      <c r="BP112" s="9" t="n">
        <f aca="false">IFERROR(BM112/AH112,"")</f>
        <v>0.04</v>
      </c>
      <c r="BQ112" s="6" t="n">
        <v>52.5</v>
      </c>
      <c r="BR112" s="6" t="n">
        <v>45.3</v>
      </c>
      <c r="BS112" s="6" t="n">
        <v>58.7</v>
      </c>
      <c r="BT112" s="7" t="n">
        <v>2.905</v>
      </c>
      <c r="BU112" s="10" t="n">
        <v>0.1629</v>
      </c>
      <c r="BV112" s="10" t="n">
        <v>0.604651162790698</v>
      </c>
      <c r="BW112" s="7" t="n">
        <v>2.199</v>
      </c>
      <c r="BX112" s="10" t="n">
        <v>0.2454</v>
      </c>
      <c r="BY112" s="10" t="n">
        <v>0.0493</v>
      </c>
      <c r="BZ112" s="7" t="n">
        <v>2.41</v>
      </c>
      <c r="CA112" s="10" t="n">
        <v>0.704</v>
      </c>
      <c r="CB112" s="8" t="n">
        <v>4</v>
      </c>
      <c r="CC112" s="10" t="n">
        <v>-0.0441</v>
      </c>
      <c r="CD112" s="10" t="n">
        <v>0.5063</v>
      </c>
      <c r="CE112" s="6" t="n">
        <v>58.41</v>
      </c>
      <c r="CF112" s="6" t="n">
        <v>39</v>
      </c>
      <c r="CG112" s="7" t="n">
        <v>3.47</v>
      </c>
      <c r="CH112" s="6" t="n">
        <v>23</v>
      </c>
      <c r="CI112" s="9" t="n">
        <v>-0.0102</v>
      </c>
      <c r="CJ112" s="9" t="n">
        <v>0.229</v>
      </c>
      <c r="CK112" s="8" t="n">
        <v>155</v>
      </c>
      <c r="CL112" s="10" t="n">
        <v>0.337</v>
      </c>
      <c r="CM112" s="8" t="n">
        <v>148</v>
      </c>
      <c r="CN112" s="10" t="n">
        <v>0.301</v>
      </c>
      <c r="CO112" s="8" t="n">
        <v>52</v>
      </c>
      <c r="CP112" s="7" t="n">
        <v>-1.938</v>
      </c>
      <c r="CQ112" s="7" t="n">
        <v>-0.404</v>
      </c>
      <c r="CR112" s="4" t="s">
        <v>165</v>
      </c>
      <c r="CS112" s="4"/>
    </row>
    <row r="113" customFormat="false" ht="15" hidden="false" customHeight="false" outlineLevel="0" collapsed="false">
      <c r="A113" s="3" t="n">
        <v>111</v>
      </c>
      <c r="B113" s="4" t="s">
        <v>363</v>
      </c>
      <c r="C113" s="5" t="s">
        <v>99</v>
      </c>
      <c r="D113" s="4" t="s">
        <v>364</v>
      </c>
      <c r="E113" s="4" t="s">
        <v>221</v>
      </c>
      <c r="F113" s="4" t="s">
        <v>99</v>
      </c>
      <c r="G113" s="3" t="n">
        <v>2</v>
      </c>
      <c r="H113" s="6" t="n">
        <v>32.7</v>
      </c>
      <c r="I113" s="3" t="n">
        <v>12</v>
      </c>
      <c r="J113" s="3" t="n">
        <v>7</v>
      </c>
      <c r="K113" s="7" t="n">
        <v>111.6</v>
      </c>
      <c r="L113" s="7" t="n">
        <v>38.04</v>
      </c>
      <c r="M113" s="8" t="n">
        <v>60</v>
      </c>
      <c r="N113" s="8" t="n">
        <v>223</v>
      </c>
      <c r="O113" s="7" t="n">
        <v>111.6</v>
      </c>
      <c r="P113" s="6" t="n">
        <v>69.5</v>
      </c>
      <c r="Q113" s="4" t="s">
        <v>135</v>
      </c>
      <c r="R113" s="8" t="n">
        <v>17</v>
      </c>
      <c r="S113" s="6" t="n">
        <v>210.3</v>
      </c>
      <c r="T113" s="7" t="n">
        <f aca="false">IFERROR(S113/R113,"")</f>
        <v>12.3705882352941</v>
      </c>
      <c r="U113" s="6" t="n">
        <v>167.8</v>
      </c>
      <c r="V113" s="6" t="n">
        <v>125.3</v>
      </c>
      <c r="W113" s="8" t="n">
        <v>17</v>
      </c>
      <c r="X113" s="7" t="n">
        <f aca="false">IFERROR(S113/AH113,"")</f>
        <v>2.06176470588235</v>
      </c>
      <c r="Y113" s="9" t="n">
        <f aca="false">IFERROR(S113/AF113,"")</f>
        <v>0.358262350936968</v>
      </c>
      <c r="Z113" s="6" t="n">
        <v>5.8</v>
      </c>
      <c r="AA113" s="6" t="n">
        <v>11.7</v>
      </c>
      <c r="AB113" s="6" t="n">
        <v>21.06</v>
      </c>
      <c r="AC113" s="10" t="n">
        <v>0.235</v>
      </c>
      <c r="AD113" s="10" t="n">
        <v>0</v>
      </c>
      <c r="AE113" s="7" t="n">
        <v>0.582</v>
      </c>
      <c r="AF113" s="8" t="n">
        <v>587</v>
      </c>
      <c r="AG113" s="10" t="n">
        <v>0.538</v>
      </c>
      <c r="AH113" s="8" t="n">
        <v>102</v>
      </c>
      <c r="AI113" s="8" t="n">
        <v>102</v>
      </c>
      <c r="AJ113" s="6" t="n">
        <f aca="false">IFERROR(AI113/R113,"")</f>
        <v>6</v>
      </c>
      <c r="AK113" s="10" t="n">
        <v>0.2116</v>
      </c>
      <c r="AL113" s="10" t="n">
        <v>0.1946</v>
      </c>
      <c r="AM113" s="9" t="n">
        <v>0.4536</v>
      </c>
      <c r="AN113" s="8" t="n">
        <v>85</v>
      </c>
      <c r="AO113" s="10" t="n">
        <f aca="false">IFERROR(AN113/AI113,"")</f>
        <v>0.833333333333333</v>
      </c>
      <c r="AP113" s="8" t="n">
        <v>1013</v>
      </c>
      <c r="AQ113" s="7" t="n">
        <f aca="false">IFERROR(AP113/AI113,"")</f>
        <v>9.93137254901961</v>
      </c>
      <c r="AR113" s="6" t="n">
        <v>8.539</v>
      </c>
      <c r="AS113" s="7" t="n">
        <v>4.165</v>
      </c>
      <c r="AT113" s="7" t="n">
        <v>1.163</v>
      </c>
      <c r="AU113" s="7" t="n">
        <v>3.02077582459322</v>
      </c>
      <c r="AV113" s="7" t="n">
        <v>5.83577319587629</v>
      </c>
      <c r="AW113" s="7" t="n">
        <v>0.845853533388673</v>
      </c>
      <c r="AX113" s="10" t="n">
        <v>0.0294</v>
      </c>
      <c r="AY113" s="8" t="n">
        <v>0</v>
      </c>
      <c r="AZ113" s="6" t="n">
        <f aca="false">IFERROR(AY113/R113,"")</f>
        <v>0</v>
      </c>
      <c r="BA113" s="10" t="n">
        <v>0</v>
      </c>
      <c r="BB113" s="8" t="n">
        <v>0</v>
      </c>
      <c r="BC113" s="7"/>
      <c r="BD113" s="7"/>
      <c r="BE113" s="7"/>
      <c r="BF113" s="8"/>
      <c r="BG113" s="7"/>
      <c r="BH113" s="6"/>
      <c r="BI113" s="7"/>
      <c r="BJ113" s="8" t="n">
        <v>12</v>
      </c>
      <c r="BK113" s="8" t="n">
        <v>7</v>
      </c>
      <c r="BL113" s="8" t="n">
        <v>4</v>
      </c>
      <c r="BM113" s="8" t="n">
        <v>4</v>
      </c>
      <c r="BN113" s="7" t="n">
        <v>4.93</v>
      </c>
      <c r="BO113" s="7" t="n">
        <f aca="false">IFERROR(BM113-BN113,"")</f>
        <v>-0.93</v>
      </c>
      <c r="BP113" s="9" t="n">
        <f aca="false">IFERROR(BM113/AH113,"")</f>
        <v>0.0392156862745098</v>
      </c>
      <c r="BQ113" s="6" t="n">
        <v>54.8</v>
      </c>
      <c r="BR113" s="6" t="n">
        <v>50.7</v>
      </c>
      <c r="BS113" s="6" t="n">
        <v>56.8</v>
      </c>
      <c r="BT113" s="7" t="n">
        <v>2.998</v>
      </c>
      <c r="BU113" s="10" t="n">
        <v>0.1651</v>
      </c>
      <c r="BV113" s="10" t="n">
        <v>0.548387096774194</v>
      </c>
      <c r="BW113" s="7" t="n">
        <v>2.512</v>
      </c>
      <c r="BX113" s="10" t="n">
        <v>0.2217</v>
      </c>
      <c r="BY113" s="10" t="n">
        <v>0.0606</v>
      </c>
      <c r="BZ113" s="7" t="n">
        <v>2.36</v>
      </c>
      <c r="CA113" s="10" t="n">
        <v>0.706</v>
      </c>
      <c r="CB113" s="8" t="n">
        <v>4</v>
      </c>
      <c r="CC113" s="10" t="n">
        <v>-0.0427</v>
      </c>
      <c r="CD113" s="10" t="n">
        <v>0.4747</v>
      </c>
      <c r="CE113" s="6" t="n">
        <v>57.59</v>
      </c>
      <c r="CF113" s="6" t="n">
        <v>38</v>
      </c>
      <c r="CG113" s="7" t="n">
        <v>2.94</v>
      </c>
      <c r="CH113" s="6" t="n">
        <v>20.9</v>
      </c>
      <c r="CI113" s="9" t="n">
        <v>0.0192</v>
      </c>
      <c r="CJ113" s="9" t="n">
        <v>-0.0055</v>
      </c>
      <c r="CK113" s="8" t="n">
        <v>138</v>
      </c>
      <c r="CL113" s="10" t="n">
        <v>0.319</v>
      </c>
      <c r="CM113" s="8" t="n">
        <v>142</v>
      </c>
      <c r="CN113" s="10" t="n">
        <v>0.293</v>
      </c>
      <c r="CO113" s="8" t="n">
        <v>56</v>
      </c>
      <c r="CP113" s="7" t="n">
        <v>0.99</v>
      </c>
      <c r="CQ113" s="7" t="n">
        <v>0.595</v>
      </c>
      <c r="CR113" s="4" t="s">
        <v>232</v>
      </c>
      <c r="CS113" s="4"/>
    </row>
    <row r="114" customFormat="false" ht="15" hidden="false" customHeight="false" outlineLevel="0" collapsed="false">
      <c r="A114" s="3" t="n">
        <v>112</v>
      </c>
      <c r="B114" s="4" t="s">
        <v>365</v>
      </c>
      <c r="C114" s="11" t="s">
        <v>104</v>
      </c>
      <c r="D114" s="4" t="s">
        <v>366</v>
      </c>
      <c r="E114" s="4" t="s">
        <v>109</v>
      </c>
      <c r="F114" s="4" t="s">
        <v>104</v>
      </c>
      <c r="G114" s="3" t="n">
        <v>2</v>
      </c>
      <c r="H114" s="6" t="n">
        <v>25.7</v>
      </c>
      <c r="I114" s="3" t="n">
        <v>3</v>
      </c>
      <c r="J114" s="3" t="n">
        <v>11</v>
      </c>
      <c r="K114" s="7" t="n">
        <v>112.83</v>
      </c>
      <c r="L114" s="7" t="n">
        <v>13.44</v>
      </c>
      <c r="M114" s="8" t="n">
        <v>84</v>
      </c>
      <c r="N114" s="8" t="n">
        <v>145</v>
      </c>
      <c r="O114" s="7" t="n">
        <v>112.83</v>
      </c>
      <c r="P114" s="6" t="n">
        <v>79.7</v>
      </c>
      <c r="Q114" s="4" t="s">
        <v>109</v>
      </c>
      <c r="R114" s="8" t="n">
        <v>17</v>
      </c>
      <c r="S114" s="6" t="n">
        <v>122.2</v>
      </c>
      <c r="T114" s="7" t="n">
        <f aca="false">IFERROR(S114/R114,"")</f>
        <v>7.18823529411765</v>
      </c>
      <c r="U114" s="6" t="n">
        <v>118.2</v>
      </c>
      <c r="V114" s="6" t="n">
        <v>114.2</v>
      </c>
      <c r="W114" s="8" t="n">
        <v>39</v>
      </c>
      <c r="X114" s="7" t="n">
        <f aca="false">IFERROR(S114/AH114,"")</f>
        <v>0.768553459119497</v>
      </c>
      <c r="Y114" s="9" t="n">
        <f aca="false">IFERROR(S114/AF114,"")</f>
        <v>0.368072289156627</v>
      </c>
      <c r="Z114" s="6" t="n">
        <v>2.4</v>
      </c>
      <c r="AA114" s="6" t="n">
        <v>5.3</v>
      </c>
      <c r="AB114" s="6" t="n">
        <v>13.1</v>
      </c>
      <c r="AC114" s="10" t="n">
        <v>0.059</v>
      </c>
      <c r="AD114" s="10" t="n">
        <v>0.294</v>
      </c>
      <c r="AE114" s="7" t="n">
        <v>1.225</v>
      </c>
      <c r="AF114" s="8" t="n">
        <v>332</v>
      </c>
      <c r="AG114" s="10" t="n">
        <v>0.291</v>
      </c>
      <c r="AH114" s="8" t="n">
        <v>159</v>
      </c>
      <c r="AI114" s="8" t="n">
        <v>14</v>
      </c>
      <c r="AJ114" s="6" t="n">
        <f aca="false">IFERROR(AI114/R114,"")</f>
        <v>0.823529411764706</v>
      </c>
      <c r="AK114" s="10" t="n">
        <v>0.0241</v>
      </c>
      <c r="AL114" s="10" t="n">
        <v>0.0046</v>
      </c>
      <c r="AM114" s="9" t="n">
        <v>0.0394</v>
      </c>
      <c r="AN114" s="8" t="n">
        <v>8</v>
      </c>
      <c r="AO114" s="10" t="n">
        <f aca="false">IFERROR(AN114/AI114,"")</f>
        <v>0.571428571428571</v>
      </c>
      <c r="AP114" s="8" t="n">
        <v>36</v>
      </c>
      <c r="AQ114" s="7" t="n">
        <f aca="false">IFERROR(AP114/AI114,"")</f>
        <v>2.57142857142857</v>
      </c>
      <c r="AR114" s="6" t="n">
        <v>1.786</v>
      </c>
      <c r="AS114" s="7" t="n">
        <v>4.625</v>
      </c>
      <c r="AT114" s="7" t="n">
        <v>1.44</v>
      </c>
      <c r="AU114" s="7"/>
      <c r="AV114" s="7"/>
      <c r="AW114" s="7"/>
      <c r="AX114" s="10" t="n">
        <v>0.2143</v>
      </c>
      <c r="AY114" s="8" t="n">
        <v>145</v>
      </c>
      <c r="AZ114" s="6" t="n">
        <f aca="false">IFERROR(AY114/R114,"")</f>
        <v>8.52941176470588</v>
      </c>
      <c r="BA114" s="10" t="n">
        <v>0.3118</v>
      </c>
      <c r="BB114" s="8" t="n">
        <v>746</v>
      </c>
      <c r="BC114" s="7" t="n">
        <f aca="false">IFERROR(BB114/AY114,"")</f>
        <v>5.1448275862069</v>
      </c>
      <c r="BD114" s="7" t="n">
        <v>3.51</v>
      </c>
      <c r="BE114" s="7" t="n">
        <v>1.634</v>
      </c>
      <c r="BF114" s="8" t="n">
        <v>12</v>
      </c>
      <c r="BG114" s="7" t="n">
        <v>0.854209210726062</v>
      </c>
      <c r="BH114" s="6" t="n">
        <v>21.3793103448276</v>
      </c>
      <c r="BI114" s="7" t="n">
        <v>3.45561662198391</v>
      </c>
      <c r="BJ114" s="8" t="n">
        <v>28</v>
      </c>
      <c r="BK114" s="8" t="n">
        <v>16</v>
      </c>
      <c r="BL114" s="8" t="n">
        <v>13</v>
      </c>
      <c r="BM114" s="8" t="n">
        <v>6</v>
      </c>
      <c r="BN114" s="7" t="n">
        <v>7.29</v>
      </c>
      <c r="BO114" s="7" t="n">
        <f aca="false">IFERROR(BM114-BN114,"")</f>
        <v>-1.29</v>
      </c>
      <c r="BP114" s="9" t="n">
        <f aca="false">IFERROR(BM114/AH114,"")</f>
        <v>0.0377358490566038</v>
      </c>
      <c r="BQ114" s="6" t="n">
        <v>80.4</v>
      </c>
      <c r="BR114" s="6" t="n">
        <v>76.4</v>
      </c>
      <c r="BS114" s="6" t="n">
        <v>71.5</v>
      </c>
      <c r="BT114" s="7" t="n">
        <v>3.462</v>
      </c>
      <c r="BU114" s="10" t="n">
        <v>0.1266</v>
      </c>
      <c r="BV114" s="10" t="n">
        <v>0.638297872340426</v>
      </c>
      <c r="BW114" s="7" t="n">
        <v>2.811</v>
      </c>
      <c r="BX114" s="10" t="n">
        <v>0.194</v>
      </c>
      <c r="BY114" s="10" t="n">
        <v>0.0424</v>
      </c>
      <c r="BZ114" s="7" t="n">
        <v>2.396</v>
      </c>
      <c r="CA114" s="10" t="n">
        <v>0.904</v>
      </c>
      <c r="CB114" s="8" t="n">
        <v>5</v>
      </c>
      <c r="CC114" s="10" t="n">
        <v>0.0296</v>
      </c>
      <c r="CD114" s="10" t="n">
        <v>0.6185</v>
      </c>
      <c r="CE114" s="6" t="n">
        <v>62.12</v>
      </c>
      <c r="CF114" s="6" t="n">
        <v>37</v>
      </c>
      <c r="CG114" s="7" t="n">
        <v>4.47</v>
      </c>
      <c r="CH114" s="6" t="n">
        <v>30.5</v>
      </c>
      <c r="CI114" s="9" t="n">
        <v>0.0262</v>
      </c>
      <c r="CJ114" s="9" t="n">
        <v>0.2292</v>
      </c>
      <c r="CK114" s="8" t="n">
        <v>15</v>
      </c>
      <c r="CL114" s="10" t="n">
        <v>0.026</v>
      </c>
      <c r="CM114" s="8" t="n">
        <v>0</v>
      </c>
      <c r="CN114" s="10" t="n">
        <v>0</v>
      </c>
      <c r="CO114" s="8" t="n">
        <v>1</v>
      </c>
      <c r="CP114" s="7" t="n">
        <v>-0.328</v>
      </c>
      <c r="CQ114" s="7" t="n">
        <v>-0.679</v>
      </c>
      <c r="CR114" s="4" t="s">
        <v>102</v>
      </c>
      <c r="CS114" s="4"/>
    </row>
    <row r="115" customFormat="false" ht="15" hidden="false" customHeight="false" outlineLevel="0" collapsed="false">
      <c r="A115" s="3" t="n">
        <v>113</v>
      </c>
      <c r="B115" s="4" t="s">
        <v>367</v>
      </c>
      <c r="C115" s="13" t="s">
        <v>172</v>
      </c>
      <c r="D115" s="4" t="s">
        <v>368</v>
      </c>
      <c r="E115" s="4" t="s">
        <v>127</v>
      </c>
      <c r="F115" s="4" t="s">
        <v>172</v>
      </c>
      <c r="G115" s="3" t="n">
        <v>1</v>
      </c>
      <c r="H115" s="6" t="n">
        <v>29</v>
      </c>
      <c r="I115" s="3" t="n">
        <v>8</v>
      </c>
      <c r="J115" s="3" t="n">
        <v>6</v>
      </c>
      <c r="K115" s="7" t="n">
        <v>113.28</v>
      </c>
      <c r="L115" s="7" t="n">
        <v>9.12</v>
      </c>
      <c r="M115" s="8" t="n">
        <v>92</v>
      </c>
      <c r="N115" s="8" t="n">
        <v>134</v>
      </c>
      <c r="O115" s="7" t="n">
        <v>113.28</v>
      </c>
      <c r="P115" s="6" t="n">
        <v>66</v>
      </c>
      <c r="Q115" s="4" t="s">
        <v>151</v>
      </c>
      <c r="R115" s="8" t="n">
        <v>5</v>
      </c>
      <c r="S115" s="6" t="n">
        <v>77.78</v>
      </c>
      <c r="T115" s="7" t="n">
        <f aca="false">IFERROR(S115/R115,"")</f>
        <v>15.556</v>
      </c>
      <c r="U115" s="6" t="n">
        <v>77.78</v>
      </c>
      <c r="V115" s="6" t="n">
        <v>77.78</v>
      </c>
      <c r="W115" s="8" t="n">
        <v>29</v>
      </c>
      <c r="X115" s="7" t="n">
        <f aca="false">IFERROR(S115/AH115,"")</f>
        <v>2.68206896551724</v>
      </c>
      <c r="Y115" s="9" t="n">
        <f aca="false">IFERROR(S115/AF115,"")</f>
        <v>0.244591194968553</v>
      </c>
      <c r="Z115" s="6" t="n">
        <v>14.06</v>
      </c>
      <c r="AA115" s="6" t="n">
        <v>15.3</v>
      </c>
      <c r="AB115" s="6" t="n">
        <v>16.99</v>
      </c>
      <c r="AC115" s="10" t="n">
        <v>0</v>
      </c>
      <c r="AD115" s="10" t="n">
        <v>0</v>
      </c>
      <c r="AE115" s="7" t="n">
        <v>0.116</v>
      </c>
      <c r="AF115" s="8" t="n">
        <v>318</v>
      </c>
      <c r="AG115" s="10" t="n">
        <v>0.988</v>
      </c>
      <c r="AH115" s="8" t="n">
        <v>29</v>
      </c>
      <c r="AI115" s="8" t="n">
        <v>0</v>
      </c>
      <c r="AJ115" s="6" t="n">
        <f aca="false">IFERROR(AI115/R115,"")</f>
        <v>0</v>
      </c>
      <c r="AK115" s="10" t="n">
        <v>0</v>
      </c>
      <c r="AL115" s="10" t="n">
        <v>0</v>
      </c>
      <c r="AM115" s="9" t="n">
        <v>0</v>
      </c>
      <c r="AN115" s="8" t="n">
        <v>0</v>
      </c>
      <c r="AO115" s="10"/>
      <c r="AP115" s="8" t="n">
        <v>0</v>
      </c>
      <c r="AQ115" s="7"/>
      <c r="AR115" s="6"/>
      <c r="AS115" s="7"/>
      <c r="AT115" s="7"/>
      <c r="AU115" s="7"/>
      <c r="AV115" s="7"/>
      <c r="AW115" s="7"/>
      <c r="AX115" s="10"/>
      <c r="AY115" s="8" t="n">
        <v>29</v>
      </c>
      <c r="AZ115" s="6" t="n">
        <f aca="false">IFERROR(AY115/R115,"")</f>
        <v>5.8</v>
      </c>
      <c r="BA115" s="10" t="n">
        <v>0.2358</v>
      </c>
      <c r="BB115" s="8" t="n">
        <v>173</v>
      </c>
      <c r="BC115" s="7" t="n">
        <f aca="false">IFERROR(BB115/AY115,"")</f>
        <v>5.96551724137931</v>
      </c>
      <c r="BD115" s="7" t="n">
        <v>4.483</v>
      </c>
      <c r="BE115" s="7" t="n">
        <v>1.483</v>
      </c>
      <c r="BF115" s="8" t="n">
        <v>2</v>
      </c>
      <c r="BG115" s="7"/>
      <c r="BH115" s="6"/>
      <c r="BI115" s="7"/>
      <c r="BJ115" s="8" t="n">
        <v>4</v>
      </c>
      <c r="BK115" s="8" t="n">
        <v>2</v>
      </c>
      <c r="BL115" s="8" t="n">
        <v>1</v>
      </c>
      <c r="BM115" s="8" t="n">
        <v>1</v>
      </c>
      <c r="BN115" s="7" t="n">
        <v>0.64</v>
      </c>
      <c r="BO115" s="7" t="n">
        <f aca="false">IFERROR(BM115-BN115,"")</f>
        <v>0.36</v>
      </c>
      <c r="BP115" s="9" t="n">
        <f aca="false">IFERROR(BM115/AH115,"")</f>
        <v>0.0344827586206897</v>
      </c>
      <c r="BQ115" s="6" t="n">
        <v>36</v>
      </c>
      <c r="BR115" s="6" t="n">
        <v>51.8</v>
      </c>
      <c r="BS115" s="6" t="n">
        <v>26.2</v>
      </c>
      <c r="BT115" s="7" t="n">
        <v>2.961</v>
      </c>
      <c r="BU115" s="10" t="n">
        <v>0.1751</v>
      </c>
      <c r="BV115" s="10" t="n">
        <v>0.7</v>
      </c>
      <c r="BW115" s="7" t="n">
        <v>2.441</v>
      </c>
      <c r="BX115" s="10" t="n">
        <v>0.3037</v>
      </c>
      <c r="BY115" s="10" t="n">
        <v>0.1028</v>
      </c>
      <c r="BZ115" s="7" t="n">
        <v>2.429</v>
      </c>
      <c r="CA115" s="10" t="n">
        <v>0.819</v>
      </c>
      <c r="CB115" s="8" t="n">
        <v>5</v>
      </c>
      <c r="CC115" s="10" t="n">
        <v>-0.012</v>
      </c>
      <c r="CD115" s="10" t="n">
        <v>0.5369</v>
      </c>
      <c r="CE115" s="6" t="n">
        <v>55.47</v>
      </c>
      <c r="CF115" s="6" t="n">
        <v>39</v>
      </c>
      <c r="CG115" s="7" t="n">
        <v>3.12</v>
      </c>
      <c r="CH115" s="6" t="n">
        <v>20.2</v>
      </c>
      <c r="CI115" s="9" t="n">
        <v>-0.0149</v>
      </c>
      <c r="CJ115" s="9" t="n">
        <v>-0.1883</v>
      </c>
      <c r="CK115" s="8" t="n">
        <v>82</v>
      </c>
      <c r="CL115" s="10" t="n">
        <v>0.175</v>
      </c>
      <c r="CM115" s="8" t="n">
        <v>24</v>
      </c>
      <c r="CN115" s="10" t="n">
        <v>0.059</v>
      </c>
      <c r="CO115" s="8" t="n">
        <v>17</v>
      </c>
      <c r="CP115" s="7" t="n">
        <v>-0.634</v>
      </c>
      <c r="CQ115" s="7" t="n">
        <v>-0.283</v>
      </c>
      <c r="CR115" s="4" t="s">
        <v>121</v>
      </c>
      <c r="CS115" s="4"/>
    </row>
    <row r="116" customFormat="false" ht="15" hidden="false" customHeight="false" outlineLevel="0" collapsed="false">
      <c r="A116" s="3" t="n">
        <v>114</v>
      </c>
      <c r="B116" s="4" t="s">
        <v>369</v>
      </c>
      <c r="C116" s="12" t="s">
        <v>149</v>
      </c>
      <c r="D116" s="4" t="s">
        <v>370</v>
      </c>
      <c r="E116" s="4" t="s">
        <v>120</v>
      </c>
      <c r="F116" s="4" t="s">
        <v>149</v>
      </c>
      <c r="G116" s="3" t="n">
        <v>1</v>
      </c>
      <c r="H116" s="6" t="n">
        <v>27.6</v>
      </c>
      <c r="I116" s="3" t="n">
        <v>5</v>
      </c>
      <c r="J116" s="3" t="n">
        <v>14</v>
      </c>
      <c r="K116" s="7" t="n">
        <v>113.4</v>
      </c>
      <c r="L116" s="7" t="n">
        <v>15.91</v>
      </c>
      <c r="M116" s="8" t="n">
        <v>73</v>
      </c>
      <c r="N116" s="8" t="n">
        <v>160</v>
      </c>
      <c r="O116" s="7" t="n">
        <v>113.4</v>
      </c>
      <c r="P116" s="6" t="n">
        <v>85.5</v>
      </c>
      <c r="Q116" s="4" t="s">
        <v>120</v>
      </c>
      <c r="R116" s="8" t="n">
        <v>17</v>
      </c>
      <c r="S116" s="6" t="n">
        <v>188.1</v>
      </c>
      <c r="T116" s="7" t="n">
        <f aca="false">IFERROR(S116/R116,"")</f>
        <v>11.0647058823529</v>
      </c>
      <c r="U116" s="6" t="n">
        <v>147.1</v>
      </c>
      <c r="V116" s="6" t="n">
        <v>106.1</v>
      </c>
      <c r="W116" s="8" t="n">
        <v>5</v>
      </c>
      <c r="X116" s="7" t="n">
        <f aca="false">IFERROR(S116/AH116,"")</f>
        <v>1.82621359223301</v>
      </c>
      <c r="Y116" s="9" t="n">
        <f aca="false">IFERROR(S116/AF116,"")</f>
        <v>0.239312977099237</v>
      </c>
      <c r="Z116" s="6" t="n">
        <v>7.3</v>
      </c>
      <c r="AA116" s="6" t="n">
        <v>10.8</v>
      </c>
      <c r="AB116" s="6" t="n">
        <v>19.52</v>
      </c>
      <c r="AC116" s="10" t="n">
        <v>0.294</v>
      </c>
      <c r="AD116" s="10" t="n">
        <v>0.118</v>
      </c>
      <c r="AE116" s="7" t="n">
        <v>0.656</v>
      </c>
      <c r="AF116" s="8" t="n">
        <v>786</v>
      </c>
      <c r="AG116" s="10" t="n">
        <v>0.667</v>
      </c>
      <c r="AH116" s="8" t="n">
        <v>103</v>
      </c>
      <c r="AI116" s="8" t="n">
        <v>102</v>
      </c>
      <c r="AJ116" s="6" t="n">
        <f aca="false">IFERROR(AI116/R116,"")</f>
        <v>6</v>
      </c>
      <c r="AK116" s="10" t="n">
        <v>0.168</v>
      </c>
      <c r="AL116" s="10" t="n">
        <v>0.0964</v>
      </c>
      <c r="AM116" s="9" t="n">
        <v>0.3195</v>
      </c>
      <c r="AN116" s="8" t="n">
        <v>82</v>
      </c>
      <c r="AO116" s="10" t="n">
        <f aca="false">IFERROR(AN116/AI116,"")</f>
        <v>0.803921568627451</v>
      </c>
      <c r="AP116" s="8" t="n">
        <v>600</v>
      </c>
      <c r="AQ116" s="7" t="n">
        <f aca="false">IFERROR(AP116/AI116,"")</f>
        <v>5.88235294117647</v>
      </c>
      <c r="AR116" s="6" t="n">
        <v>4.657</v>
      </c>
      <c r="AS116" s="7" t="n">
        <v>3.744</v>
      </c>
      <c r="AT116" s="7" t="n">
        <v>1.263</v>
      </c>
      <c r="AU116" s="7" t="n">
        <v>3.30694351807252</v>
      </c>
      <c r="AV116" s="7" t="n">
        <v>5.87453333333333</v>
      </c>
      <c r="AW116" s="7" t="n">
        <v>0.180553571777997</v>
      </c>
      <c r="AX116" s="10" t="n">
        <v>0.0196</v>
      </c>
      <c r="AY116" s="8" t="n">
        <v>1</v>
      </c>
      <c r="AZ116" s="6" t="n">
        <f aca="false">IFERROR(AY116/R116,"")</f>
        <v>0.0588235294117647</v>
      </c>
      <c r="BA116" s="10" t="n">
        <v>0.0022</v>
      </c>
      <c r="BB116" s="8" t="n">
        <v>1</v>
      </c>
      <c r="BC116" s="7"/>
      <c r="BD116" s="7"/>
      <c r="BE116" s="7"/>
      <c r="BF116" s="8" t="n">
        <v>0</v>
      </c>
      <c r="BG116" s="7"/>
      <c r="BH116" s="6"/>
      <c r="BI116" s="7"/>
      <c r="BJ116" s="8" t="n">
        <v>24</v>
      </c>
      <c r="BK116" s="8" t="n">
        <v>13</v>
      </c>
      <c r="BL116" s="8" t="n">
        <v>8</v>
      </c>
      <c r="BM116" s="8" t="n">
        <v>8</v>
      </c>
      <c r="BN116" s="7" t="n">
        <v>8.06</v>
      </c>
      <c r="BO116" s="7" t="n">
        <f aca="false">IFERROR(BM116-BN116,"")</f>
        <v>-0.0600000000000005</v>
      </c>
      <c r="BP116" s="9" t="n">
        <f aca="false">IFERROR(BM116/AH116,"")</f>
        <v>0.0776699029126214</v>
      </c>
      <c r="BQ116" s="6" t="n">
        <v>65.1</v>
      </c>
      <c r="BR116" s="6" t="n">
        <v>61.6</v>
      </c>
      <c r="BS116" s="6" t="n">
        <v>62.2</v>
      </c>
      <c r="BT116" s="7" t="n">
        <v>3.074</v>
      </c>
      <c r="BU116" s="10" t="n">
        <v>0.1352</v>
      </c>
      <c r="BV116" s="10" t="n">
        <v>0.705882352941177</v>
      </c>
      <c r="BW116" s="7" t="n">
        <v>2.563</v>
      </c>
      <c r="BX116" s="10" t="n">
        <v>0.2356</v>
      </c>
      <c r="BY116" s="10" t="n">
        <v>0.044</v>
      </c>
      <c r="BZ116" s="7" t="n">
        <v>2.396</v>
      </c>
      <c r="CA116" s="10" t="n">
        <v>0.848</v>
      </c>
      <c r="CB116" s="8" t="n">
        <v>5</v>
      </c>
      <c r="CC116" s="10" t="n">
        <v>-0.0098</v>
      </c>
      <c r="CD116" s="10" t="n">
        <v>0.5628</v>
      </c>
      <c r="CE116" s="6" t="n">
        <v>64.94</v>
      </c>
      <c r="CF116" s="6" t="n">
        <v>36</v>
      </c>
      <c r="CG116" s="7" t="n">
        <v>3.82</v>
      </c>
      <c r="CH116" s="6" t="n">
        <v>27.7</v>
      </c>
      <c r="CI116" s="9" t="n">
        <v>0.005</v>
      </c>
      <c r="CJ116" s="9" t="n">
        <v>0.1615</v>
      </c>
      <c r="CK116" s="8" t="n">
        <v>34</v>
      </c>
      <c r="CL116" s="10" t="n">
        <v>0.056</v>
      </c>
      <c r="CM116" s="8" t="n">
        <v>0</v>
      </c>
      <c r="CN116" s="10" t="n">
        <v>0</v>
      </c>
      <c r="CO116" s="8" t="n">
        <v>4</v>
      </c>
      <c r="CP116" s="7" t="n">
        <v>0.206</v>
      </c>
      <c r="CQ116" s="7" t="n">
        <v>-0.058</v>
      </c>
      <c r="CR116" s="4" t="s">
        <v>102</v>
      </c>
      <c r="CS116" s="4"/>
    </row>
    <row r="117" customFormat="false" ht="15" hidden="false" customHeight="false" outlineLevel="0" collapsed="false">
      <c r="A117" s="3" t="n">
        <v>115</v>
      </c>
      <c r="B117" s="4" t="s">
        <v>371</v>
      </c>
      <c r="C117" s="11" t="s">
        <v>104</v>
      </c>
      <c r="D117" s="4" t="s">
        <v>372</v>
      </c>
      <c r="E117" s="4" t="s">
        <v>127</v>
      </c>
      <c r="F117" s="4" t="s">
        <v>104</v>
      </c>
      <c r="G117" s="3" t="n">
        <v>1</v>
      </c>
      <c r="H117" s="6" t="n">
        <v>31.7</v>
      </c>
      <c r="I117" s="3" t="n">
        <v>10</v>
      </c>
      <c r="J117" s="3" t="n">
        <v>6</v>
      </c>
      <c r="K117" s="7" t="n">
        <v>113.67</v>
      </c>
      <c r="L117" s="7" t="n">
        <v>13.47</v>
      </c>
      <c r="M117" s="8" t="n">
        <v>77</v>
      </c>
      <c r="N117" s="8" t="n">
        <v>141</v>
      </c>
      <c r="O117" s="7" t="n">
        <v>113.67</v>
      </c>
      <c r="P117" s="6" t="n">
        <v>76.9</v>
      </c>
      <c r="Q117" s="4" t="s">
        <v>127</v>
      </c>
      <c r="R117" s="8" t="n">
        <v>12</v>
      </c>
      <c r="S117" s="6" t="n">
        <v>118.7</v>
      </c>
      <c r="T117" s="7" t="n">
        <f aca="false">IFERROR(S117/R117,"")</f>
        <v>9.89166666666667</v>
      </c>
      <c r="U117" s="6" t="n">
        <v>104.7</v>
      </c>
      <c r="V117" s="6" t="n">
        <v>90.7</v>
      </c>
      <c r="W117" s="8" t="n">
        <v>40</v>
      </c>
      <c r="X117" s="7" t="n">
        <f aca="false">IFERROR(S117/AH117,"")</f>
        <v>0.686127167630058</v>
      </c>
      <c r="Y117" s="9" t="n">
        <f aca="false">IFERROR(S117/AF117,"")</f>
        <v>0.32431693989071</v>
      </c>
      <c r="Z117" s="6" t="n">
        <v>6.95</v>
      </c>
      <c r="AA117" s="6" t="n">
        <v>10.3</v>
      </c>
      <c r="AB117" s="6" t="n">
        <v>15.44</v>
      </c>
      <c r="AC117" s="10" t="n">
        <v>0.167</v>
      </c>
      <c r="AD117" s="10" t="n">
        <v>0.083</v>
      </c>
      <c r="AE117" s="7" t="n">
        <v>0.438</v>
      </c>
      <c r="AF117" s="8" t="n">
        <v>366</v>
      </c>
      <c r="AG117" s="10" t="n">
        <v>0.551</v>
      </c>
      <c r="AH117" s="8" t="n">
        <v>173</v>
      </c>
      <c r="AI117" s="8" t="n">
        <v>41</v>
      </c>
      <c r="AJ117" s="6" t="n">
        <f aca="false">IFERROR(AI117/R117,"")</f>
        <v>3.41666666666667</v>
      </c>
      <c r="AK117" s="10" t="n">
        <v>0.1376</v>
      </c>
      <c r="AL117" s="10" t="n">
        <v>-0.0106</v>
      </c>
      <c r="AM117" s="9" t="n">
        <v>0.199</v>
      </c>
      <c r="AN117" s="8" t="n">
        <v>28</v>
      </c>
      <c r="AO117" s="10" t="n">
        <f aca="false">IFERROR(AN117/AI117,"")</f>
        <v>0.682926829268293</v>
      </c>
      <c r="AP117" s="8" t="n">
        <v>199</v>
      </c>
      <c r="AQ117" s="7" t="n">
        <f aca="false">IFERROR(AP117/AI117,"")</f>
        <v>4.85365853658537</v>
      </c>
      <c r="AR117" s="6" t="n">
        <v>-0.61</v>
      </c>
      <c r="AS117" s="7" t="n">
        <v>8.107</v>
      </c>
      <c r="AT117" s="7" t="n">
        <v>-7.96</v>
      </c>
      <c r="AU117" s="7"/>
      <c r="AV117" s="7"/>
      <c r="AW117" s="7"/>
      <c r="AX117" s="10" t="n">
        <v>0.0488</v>
      </c>
      <c r="AY117" s="8" t="n">
        <v>132</v>
      </c>
      <c r="AZ117" s="6" t="n">
        <f aca="false">IFERROR(AY117/R117,"")</f>
        <v>11</v>
      </c>
      <c r="BA117" s="10" t="n">
        <v>0.4681</v>
      </c>
      <c r="BB117" s="8" t="n">
        <v>548</v>
      </c>
      <c r="BC117" s="7" t="n">
        <f aca="false">IFERROR(BB117/AY117,"")</f>
        <v>4.15151515151515</v>
      </c>
      <c r="BD117" s="7" t="n">
        <v>2.379</v>
      </c>
      <c r="BE117" s="7" t="n">
        <v>1.773</v>
      </c>
      <c r="BF117" s="8" t="n">
        <v>5</v>
      </c>
      <c r="BG117" s="7" t="n">
        <v>-0.118336995356548</v>
      </c>
      <c r="BH117" s="6" t="n">
        <v>25</v>
      </c>
      <c r="BI117" s="7" t="n">
        <v>3.91622262773723</v>
      </c>
      <c r="BJ117" s="8" t="n">
        <v>19</v>
      </c>
      <c r="BK117" s="8" t="n">
        <v>6</v>
      </c>
      <c r="BL117" s="8" t="n">
        <v>3</v>
      </c>
      <c r="BM117" s="8" t="n">
        <v>3</v>
      </c>
      <c r="BN117" s="7" t="n">
        <v>3.81</v>
      </c>
      <c r="BO117" s="7" t="n">
        <f aca="false">IFERROR(BM117-BN117,"")</f>
        <v>-0.81</v>
      </c>
      <c r="BP117" s="9" t="n">
        <f aca="false">IFERROR(BM117/AH117,"")</f>
        <v>0.0173410404624277</v>
      </c>
      <c r="BQ117" s="6" t="n">
        <v>36</v>
      </c>
      <c r="BR117" s="6" t="n">
        <v>51.8</v>
      </c>
      <c r="BS117" s="6" t="n">
        <v>26.2</v>
      </c>
      <c r="BT117" s="7" t="n">
        <v>2.961</v>
      </c>
      <c r="BU117" s="10" t="n">
        <v>0.1751</v>
      </c>
      <c r="BV117" s="10" t="n">
        <v>0.7</v>
      </c>
      <c r="BW117" s="7" t="n">
        <v>2.441</v>
      </c>
      <c r="BX117" s="10" t="n">
        <v>0.3037</v>
      </c>
      <c r="BY117" s="10" t="n">
        <v>0.1028</v>
      </c>
      <c r="BZ117" s="7" t="n">
        <v>2.429</v>
      </c>
      <c r="CA117" s="10" t="n">
        <v>0.819</v>
      </c>
      <c r="CB117" s="8" t="n">
        <v>5</v>
      </c>
      <c r="CC117" s="10" t="n">
        <v>-0.012</v>
      </c>
      <c r="CD117" s="10" t="n">
        <v>0.5369</v>
      </c>
      <c r="CE117" s="6" t="n">
        <v>55.47</v>
      </c>
      <c r="CF117" s="6" t="n">
        <v>39</v>
      </c>
      <c r="CG117" s="7" t="n">
        <v>3.12</v>
      </c>
      <c r="CH117" s="6" t="n">
        <v>20.2</v>
      </c>
      <c r="CI117" s="9" t="n">
        <v>-0.0149</v>
      </c>
      <c r="CJ117" s="9" t="n">
        <v>-0.1883</v>
      </c>
      <c r="CK117" s="8" t="n">
        <v>82</v>
      </c>
      <c r="CL117" s="10" t="n">
        <v>0.175</v>
      </c>
      <c r="CM117" s="8" t="n">
        <v>24</v>
      </c>
      <c r="CN117" s="10" t="n">
        <v>0.059</v>
      </c>
      <c r="CO117" s="8" t="n">
        <v>17</v>
      </c>
      <c r="CP117" s="7" t="n">
        <v>-0.337</v>
      </c>
      <c r="CQ117" s="7" t="n">
        <v>-0.03</v>
      </c>
      <c r="CR117" s="4" t="s">
        <v>102</v>
      </c>
      <c r="CS117" s="4"/>
    </row>
    <row r="118" customFormat="false" ht="15" hidden="false" customHeight="false" outlineLevel="0" collapsed="false">
      <c r="A118" s="3" t="n">
        <v>116</v>
      </c>
      <c r="B118" s="4" t="s">
        <v>373</v>
      </c>
      <c r="C118" s="12" t="s">
        <v>149</v>
      </c>
      <c r="D118" s="4" t="s">
        <v>374</v>
      </c>
      <c r="E118" s="4" t="s">
        <v>147</v>
      </c>
      <c r="F118" s="4" t="s">
        <v>149</v>
      </c>
      <c r="G118" s="3" t="n">
        <v>1</v>
      </c>
      <c r="H118" s="6" t="n">
        <v>26.8</v>
      </c>
      <c r="I118" s="3" t="n">
        <v>4</v>
      </c>
      <c r="J118" s="3" t="n">
        <v>7</v>
      </c>
      <c r="K118" s="7" t="n">
        <v>114.64</v>
      </c>
      <c r="L118" s="7" t="n">
        <v>14.17</v>
      </c>
      <c r="M118" s="8" t="n">
        <v>95</v>
      </c>
      <c r="N118" s="8" t="n">
        <v>155</v>
      </c>
      <c r="O118" s="7" t="n">
        <v>114.64</v>
      </c>
      <c r="P118" s="6" t="n">
        <v>80</v>
      </c>
      <c r="Q118" s="4" t="s">
        <v>147</v>
      </c>
      <c r="R118" s="8" t="n">
        <v>12</v>
      </c>
      <c r="S118" s="6" t="n">
        <v>126.1</v>
      </c>
      <c r="T118" s="7" t="n">
        <f aca="false">IFERROR(S118/R118,"")</f>
        <v>10.5083333333333</v>
      </c>
      <c r="U118" s="6" t="n">
        <v>106.6</v>
      </c>
      <c r="V118" s="6" t="n">
        <v>87.1</v>
      </c>
      <c r="W118" s="8" t="n">
        <v>18</v>
      </c>
      <c r="X118" s="7" t="n">
        <f aca="false">IFERROR(S118/AH118,"")</f>
        <v>2.5734693877551</v>
      </c>
      <c r="Y118" s="9" t="n">
        <f aca="false">IFERROR(S118/AF118,"")</f>
        <v>0.417549668874172</v>
      </c>
      <c r="Z118" s="6" t="n">
        <v>6.22</v>
      </c>
      <c r="AA118" s="6" t="n">
        <v>8.8</v>
      </c>
      <c r="AB118" s="6" t="n">
        <v>17.08</v>
      </c>
      <c r="AC118" s="10" t="n">
        <v>0.25</v>
      </c>
      <c r="AD118" s="10" t="n">
        <v>0.083</v>
      </c>
      <c r="AE118" s="7" t="n">
        <v>0.746</v>
      </c>
      <c r="AF118" s="8" t="n">
        <v>302</v>
      </c>
      <c r="AG118" s="10" t="n">
        <v>0.374</v>
      </c>
      <c r="AH118" s="8" t="n">
        <v>49</v>
      </c>
      <c r="AI118" s="8" t="n">
        <v>49</v>
      </c>
      <c r="AJ118" s="6" t="n">
        <f aca="false">IFERROR(AI118/R118,"")</f>
        <v>4.08333333333333</v>
      </c>
      <c r="AK118" s="10" t="n">
        <v>0.1463</v>
      </c>
      <c r="AL118" s="10" t="n">
        <v>0.1931</v>
      </c>
      <c r="AM118" s="9" t="n">
        <v>0.3546</v>
      </c>
      <c r="AN118" s="8" t="n">
        <v>39</v>
      </c>
      <c r="AO118" s="10" t="n">
        <f aca="false">IFERROR(AN118/AI118,"")</f>
        <v>0.795918367346939</v>
      </c>
      <c r="AP118" s="8" t="n">
        <v>571</v>
      </c>
      <c r="AQ118" s="7" t="n">
        <f aca="false">IFERROR(AP118/AI118,"")</f>
        <v>11.6530612244898</v>
      </c>
      <c r="AR118" s="6" t="n">
        <v>9.49</v>
      </c>
      <c r="AS118" s="7" t="n">
        <v>6.641</v>
      </c>
      <c r="AT118" s="7" t="n">
        <v>1.228</v>
      </c>
      <c r="AU118" s="7" t="n">
        <v>3.42080991315709</v>
      </c>
      <c r="AV118" s="7" t="n">
        <v>5.96763157894737</v>
      </c>
      <c r="AW118" s="7" t="n">
        <v>1.02367101195219</v>
      </c>
      <c r="AX118" s="10" t="n">
        <v>0.0204</v>
      </c>
      <c r="AY118" s="8" t="n">
        <v>0</v>
      </c>
      <c r="AZ118" s="6" t="n">
        <f aca="false">IFERROR(AY118/R118,"")</f>
        <v>0</v>
      </c>
      <c r="BA118" s="10" t="n">
        <v>0</v>
      </c>
      <c r="BB118" s="8" t="n">
        <v>0</v>
      </c>
      <c r="BC118" s="7"/>
      <c r="BD118" s="7"/>
      <c r="BE118" s="7"/>
      <c r="BF118" s="8"/>
      <c r="BG118" s="7"/>
      <c r="BH118" s="6"/>
      <c r="BI118" s="7"/>
      <c r="BJ118" s="8" t="n">
        <v>8</v>
      </c>
      <c r="BK118" s="8" t="n">
        <v>4</v>
      </c>
      <c r="BL118" s="8" t="n">
        <v>1</v>
      </c>
      <c r="BM118" s="8" t="n">
        <v>5</v>
      </c>
      <c r="BN118" s="7" t="n">
        <v>2.55</v>
      </c>
      <c r="BO118" s="7" t="n">
        <f aca="false">IFERROR(BM118-BN118,"")</f>
        <v>2.45</v>
      </c>
      <c r="BP118" s="9" t="n">
        <f aca="false">IFERROR(BM118/AH118,"")</f>
        <v>0.102040816326531</v>
      </c>
      <c r="BQ118" s="6" t="n">
        <v>73.6</v>
      </c>
      <c r="BR118" s="6" t="n">
        <v>72.8</v>
      </c>
      <c r="BS118" s="6" t="n">
        <v>64.4</v>
      </c>
      <c r="BT118" s="7" t="n">
        <v>3.397</v>
      </c>
      <c r="BU118" s="10" t="n">
        <v>0.1265</v>
      </c>
      <c r="BV118" s="10" t="n">
        <v>0.540540540540541</v>
      </c>
      <c r="BW118" s="7" t="n">
        <v>2.905</v>
      </c>
      <c r="BX118" s="10" t="n">
        <v>0.2</v>
      </c>
      <c r="BY118" s="10" t="n">
        <v>0.0702</v>
      </c>
      <c r="BZ118" s="7" t="n">
        <v>2.507</v>
      </c>
      <c r="CA118" s="10" t="n">
        <v>0.763</v>
      </c>
      <c r="CB118" s="8" t="n">
        <v>4</v>
      </c>
      <c r="CC118" s="10" t="n">
        <v>-0.0352</v>
      </c>
      <c r="CD118" s="10" t="n">
        <v>0.5028</v>
      </c>
      <c r="CE118" s="6" t="n">
        <v>62.65</v>
      </c>
      <c r="CF118" s="6" t="n">
        <v>40</v>
      </c>
      <c r="CG118" s="7" t="n">
        <v>4</v>
      </c>
      <c r="CH118" s="6" t="n">
        <v>28.3</v>
      </c>
      <c r="CI118" s="9" t="n">
        <v>0.1102</v>
      </c>
      <c r="CJ118" s="9" t="n">
        <v>0.1599</v>
      </c>
      <c r="CK118" s="8" t="n">
        <v>19</v>
      </c>
      <c r="CL118" s="10" t="n">
        <v>0.04</v>
      </c>
      <c r="CM118" s="8" t="n">
        <v>17</v>
      </c>
      <c r="CN118" s="10" t="n">
        <v>0.031</v>
      </c>
      <c r="CO118" s="8" t="n">
        <v>2</v>
      </c>
      <c r="CP118" s="7" t="n">
        <v>-0.329</v>
      </c>
      <c r="CQ118" s="7" t="n">
        <v>-0.154</v>
      </c>
      <c r="CR118" s="4" t="s">
        <v>102</v>
      </c>
      <c r="CS118" s="4"/>
    </row>
    <row r="119" customFormat="false" ht="15" hidden="false" customHeight="false" outlineLevel="0" collapsed="false">
      <c r="A119" s="3" t="n">
        <v>117</v>
      </c>
      <c r="B119" s="4" t="s">
        <v>375</v>
      </c>
      <c r="C119" s="12" t="s">
        <v>149</v>
      </c>
      <c r="D119" s="4" t="s">
        <v>376</v>
      </c>
      <c r="E119" s="4" t="s">
        <v>178</v>
      </c>
      <c r="F119" s="4" t="s">
        <v>149</v>
      </c>
      <c r="G119" s="3" t="n">
        <v>1</v>
      </c>
      <c r="H119" s="6" t="n">
        <v>26.3</v>
      </c>
      <c r="I119" s="3" t="n">
        <v>5</v>
      </c>
      <c r="J119" s="3" t="n">
        <v>8</v>
      </c>
      <c r="K119" s="7" t="n">
        <v>116.67</v>
      </c>
      <c r="L119" s="7" t="n">
        <v>25.51</v>
      </c>
      <c r="M119" s="8" t="n">
        <v>85</v>
      </c>
      <c r="N119" s="8" t="n">
        <v>229</v>
      </c>
      <c r="O119" s="7" t="n">
        <v>116.67</v>
      </c>
      <c r="P119" s="6" t="n">
        <v>82</v>
      </c>
      <c r="Q119" s="4" t="s">
        <v>183</v>
      </c>
      <c r="R119" s="8" t="n">
        <v>12</v>
      </c>
      <c r="S119" s="6" t="n">
        <v>61.7</v>
      </c>
      <c r="T119" s="7" t="n">
        <f aca="false">IFERROR(S119/R119,"")</f>
        <v>5.14166666666667</v>
      </c>
      <c r="U119" s="6" t="n">
        <v>48.2</v>
      </c>
      <c r="V119" s="6" t="n">
        <v>34.7</v>
      </c>
      <c r="W119" s="8" t="n">
        <v>31</v>
      </c>
      <c r="X119" s="7" t="n">
        <f aca="false">IFERROR(S119/AH119,"")</f>
        <v>1.71388888888889</v>
      </c>
      <c r="Y119" s="9" t="n">
        <f aca="false">IFERROR(S119/AF119,"")</f>
        <v>0.126694045174538</v>
      </c>
      <c r="Z119" s="6" t="n">
        <v>2.5</v>
      </c>
      <c r="AA119" s="6" t="n">
        <v>3.6</v>
      </c>
      <c r="AB119" s="6" t="n">
        <v>10.22</v>
      </c>
      <c r="AC119" s="10" t="n">
        <v>0</v>
      </c>
      <c r="AD119" s="10" t="n">
        <v>0.083</v>
      </c>
      <c r="AE119" s="7" t="n">
        <v>1.14</v>
      </c>
      <c r="AF119" s="8" t="n">
        <v>487</v>
      </c>
      <c r="AG119" s="10" t="n">
        <v>0.559</v>
      </c>
      <c r="AH119" s="8" t="n">
        <v>36</v>
      </c>
      <c r="AI119" s="8" t="n">
        <v>36</v>
      </c>
      <c r="AJ119" s="6" t="n">
        <f aca="false">IFERROR(AI119/R119,"")</f>
        <v>3</v>
      </c>
      <c r="AK119" s="10" t="n">
        <v>0.1241</v>
      </c>
      <c r="AL119" s="10" t="n">
        <v>0.1211</v>
      </c>
      <c r="AM119" s="9" t="n">
        <v>0.2709</v>
      </c>
      <c r="AN119" s="8" t="n">
        <v>27</v>
      </c>
      <c r="AO119" s="10" t="n">
        <f aca="false">IFERROR(AN119/AI119,"")</f>
        <v>0.75</v>
      </c>
      <c r="AP119" s="8" t="n">
        <v>307</v>
      </c>
      <c r="AQ119" s="7" t="n">
        <f aca="false">IFERROR(AP119/AI119,"")</f>
        <v>8.52777777777778</v>
      </c>
      <c r="AR119" s="6" t="n">
        <v>7.972</v>
      </c>
      <c r="AS119" s="7" t="n">
        <v>4.333</v>
      </c>
      <c r="AT119" s="7" t="n">
        <v>1.07</v>
      </c>
      <c r="AU119" s="7"/>
      <c r="AV119" s="7"/>
      <c r="AW119" s="7"/>
      <c r="AX119" s="10" t="n">
        <v>0.0278</v>
      </c>
      <c r="AY119" s="8" t="n">
        <v>0</v>
      </c>
      <c r="AZ119" s="6" t="n">
        <f aca="false">IFERROR(AY119/R119,"")</f>
        <v>0</v>
      </c>
      <c r="BA119" s="10" t="n">
        <v>0</v>
      </c>
      <c r="BB119" s="8" t="n">
        <v>0</v>
      </c>
      <c r="BC119" s="7"/>
      <c r="BD119" s="7"/>
      <c r="BE119" s="7"/>
      <c r="BF119" s="8"/>
      <c r="BG119" s="7"/>
      <c r="BH119" s="6"/>
      <c r="BI119" s="7"/>
      <c r="BJ119" s="8" t="n">
        <v>6</v>
      </c>
      <c r="BK119" s="8" t="n">
        <v>2</v>
      </c>
      <c r="BL119" s="8" t="n">
        <v>2</v>
      </c>
      <c r="BM119" s="8" t="n">
        <v>1</v>
      </c>
      <c r="BN119" s="7" t="n">
        <v>2.07</v>
      </c>
      <c r="BO119" s="7" t="n">
        <f aca="false">IFERROR(BM119-BN119,"")</f>
        <v>-1.07</v>
      </c>
      <c r="BP119" s="9" t="n">
        <f aca="false">IFERROR(BM119/AH119,"")</f>
        <v>0.0277777777777778</v>
      </c>
      <c r="BQ119" s="6" t="n">
        <v>45.9</v>
      </c>
      <c r="BR119" s="6" t="n">
        <v>56.8</v>
      </c>
      <c r="BS119" s="6" t="n">
        <v>36.8</v>
      </c>
      <c r="BT119" s="7" t="n">
        <v>2.974</v>
      </c>
      <c r="BU119" s="10" t="n">
        <v>0.1475</v>
      </c>
      <c r="BV119" s="10" t="n">
        <v>0.625</v>
      </c>
      <c r="BW119" s="7" t="n">
        <v>2.714</v>
      </c>
      <c r="BX119" s="10" t="n">
        <v>0.2947</v>
      </c>
      <c r="BY119" s="10" t="n">
        <v>0.076</v>
      </c>
      <c r="BZ119" s="7" t="n">
        <v>2.388</v>
      </c>
      <c r="CA119" s="10" t="n">
        <v>0.723</v>
      </c>
      <c r="CB119" s="8" t="n">
        <v>4</v>
      </c>
      <c r="CC119" s="10" t="n">
        <v>-0.0466</v>
      </c>
      <c r="CD119" s="10" t="n">
        <v>0.494</v>
      </c>
      <c r="CE119" s="6" t="n">
        <v>63.47</v>
      </c>
      <c r="CF119" s="6" t="n">
        <v>36</v>
      </c>
      <c r="CG119" s="7" t="n">
        <v>3.59</v>
      </c>
      <c r="CH119" s="6" t="n">
        <v>22.4</v>
      </c>
      <c r="CI119" s="9" t="n">
        <v>0.0356</v>
      </c>
      <c r="CJ119" s="9" t="n">
        <v>-0.008</v>
      </c>
      <c r="CK119" s="8" t="n">
        <v>177</v>
      </c>
      <c r="CL119" s="10" t="n">
        <v>0.352</v>
      </c>
      <c r="CM119" s="8" t="n">
        <v>3</v>
      </c>
      <c r="CN119" s="10" t="n">
        <v>0.006</v>
      </c>
      <c r="CO119" s="8" t="n">
        <v>21</v>
      </c>
      <c r="CP119" s="7" t="n">
        <v>-0.863</v>
      </c>
      <c r="CQ119" s="7" t="n">
        <v>-0.863</v>
      </c>
      <c r="CR119" s="4" t="s">
        <v>121</v>
      </c>
      <c r="CS119" s="4"/>
    </row>
    <row r="120" customFormat="false" ht="15" hidden="false" customHeight="false" outlineLevel="0" collapsed="false">
      <c r="A120" s="3" t="n">
        <v>118</v>
      </c>
      <c r="B120" s="4" t="s">
        <v>377</v>
      </c>
      <c r="C120" s="13" t="s">
        <v>172</v>
      </c>
      <c r="D120" s="4" t="s">
        <v>378</v>
      </c>
      <c r="E120" s="4" t="s">
        <v>198</v>
      </c>
      <c r="F120" s="4" t="s">
        <v>172</v>
      </c>
      <c r="G120" s="3" t="n">
        <v>1</v>
      </c>
      <c r="H120" s="6" t="n">
        <v>31.3</v>
      </c>
      <c r="I120" s="3" t="n">
        <v>9</v>
      </c>
      <c r="J120" s="3" t="n">
        <v>10</v>
      </c>
      <c r="K120" s="7" t="n">
        <v>117.48</v>
      </c>
      <c r="L120" s="7" t="n">
        <v>9.55</v>
      </c>
      <c r="M120" s="8" t="n">
        <v>74</v>
      </c>
      <c r="N120" s="8" t="n">
        <v>136</v>
      </c>
      <c r="O120" s="7" t="n">
        <v>117.48</v>
      </c>
      <c r="P120" s="6" t="n">
        <v>58.1</v>
      </c>
      <c r="Q120" s="4" t="s">
        <v>198</v>
      </c>
      <c r="R120" s="8" t="n">
        <v>17</v>
      </c>
      <c r="S120" s="6" t="n">
        <v>271.92</v>
      </c>
      <c r="T120" s="7" t="n">
        <f aca="false">IFERROR(S120/R120,"")</f>
        <v>15.9952941176471</v>
      </c>
      <c r="U120" s="6" t="n">
        <v>271.92</v>
      </c>
      <c r="V120" s="6" t="n">
        <v>271.92</v>
      </c>
      <c r="W120" s="8" t="n">
        <v>12</v>
      </c>
      <c r="X120" s="7" t="n">
        <f aca="false">IFERROR(S120/AH120,"")</f>
        <v>4.944</v>
      </c>
      <c r="Y120" s="9" t="n">
        <f aca="false">IFERROR(S120/AF120,"")</f>
        <v>0.247424931756142</v>
      </c>
      <c r="Z120" s="6" t="n">
        <v>12.7</v>
      </c>
      <c r="AA120" s="6" t="n">
        <v>17.44</v>
      </c>
      <c r="AB120" s="6" t="n">
        <v>21.51</v>
      </c>
      <c r="AC120" s="10" t="n">
        <v>0.471</v>
      </c>
      <c r="AD120" s="10" t="n">
        <v>0.118</v>
      </c>
      <c r="AE120" s="7" t="n">
        <v>0.358</v>
      </c>
      <c r="AF120" s="8" t="n">
        <v>1099</v>
      </c>
      <c r="AG120" s="10" t="n">
        <v>0.971</v>
      </c>
      <c r="AH120" s="8" t="n">
        <v>55</v>
      </c>
      <c r="AI120" s="8" t="n">
        <v>0</v>
      </c>
      <c r="AJ120" s="6" t="n">
        <f aca="false">IFERROR(AI120/R120,"")</f>
        <v>0</v>
      </c>
      <c r="AK120" s="10" t="n">
        <v>0</v>
      </c>
      <c r="AL120" s="10" t="n">
        <v>0</v>
      </c>
      <c r="AM120" s="9" t="n">
        <v>0</v>
      </c>
      <c r="AN120" s="8" t="n">
        <v>0</v>
      </c>
      <c r="AO120" s="10"/>
      <c r="AP120" s="8" t="n">
        <v>0</v>
      </c>
      <c r="AQ120" s="7"/>
      <c r="AR120" s="6"/>
      <c r="AS120" s="7"/>
      <c r="AT120" s="7"/>
      <c r="AU120" s="7"/>
      <c r="AV120" s="7"/>
      <c r="AW120" s="7"/>
      <c r="AX120" s="10"/>
      <c r="AY120" s="8" t="n">
        <v>55</v>
      </c>
      <c r="AZ120" s="6" t="n">
        <f aca="false">IFERROR(AY120/R120,"")</f>
        <v>3.23529411764706</v>
      </c>
      <c r="BA120" s="10" t="n">
        <v>0.1165</v>
      </c>
      <c r="BB120" s="8" t="n">
        <v>382</v>
      </c>
      <c r="BC120" s="7" t="n">
        <f aca="false">IFERROR(BB120/AY120,"")</f>
        <v>6.94545454545455</v>
      </c>
      <c r="BD120" s="7" t="n">
        <v>5.109</v>
      </c>
      <c r="BE120" s="7" t="n">
        <v>1.836</v>
      </c>
      <c r="BF120" s="8" t="n">
        <v>7</v>
      </c>
      <c r="BG120" s="7"/>
      <c r="BH120" s="6"/>
      <c r="BI120" s="7"/>
      <c r="BJ120" s="8" t="n">
        <v>4</v>
      </c>
      <c r="BK120" s="8" t="n">
        <v>1</v>
      </c>
      <c r="BL120" s="8" t="n">
        <v>1</v>
      </c>
      <c r="BM120" s="8" t="n">
        <v>1</v>
      </c>
      <c r="BN120" s="7" t="n">
        <v>0.73</v>
      </c>
      <c r="BO120" s="7" t="n">
        <f aca="false">IFERROR(BM120-BN120,"")</f>
        <v>0.27</v>
      </c>
      <c r="BP120" s="9" t="n">
        <f aca="false">IFERROR(BM120/AH120,"")</f>
        <v>0.0181818181818182</v>
      </c>
      <c r="BQ120" s="6" t="n">
        <v>57.4</v>
      </c>
      <c r="BR120" s="6" t="n">
        <v>46.3</v>
      </c>
      <c r="BS120" s="6" t="n">
        <v>65.4</v>
      </c>
      <c r="BT120" s="7" t="n">
        <v>2.736</v>
      </c>
      <c r="BU120" s="10" t="n">
        <v>0.1938</v>
      </c>
      <c r="BV120" s="10" t="n">
        <v>0.708333333333333</v>
      </c>
      <c r="BW120" s="7" t="n">
        <v>2.699</v>
      </c>
      <c r="BX120" s="10" t="n">
        <v>0.172</v>
      </c>
      <c r="BY120" s="10" t="n">
        <v>0.0571</v>
      </c>
      <c r="BZ120" s="7" t="n">
        <v>2.292</v>
      </c>
      <c r="CA120" s="10" t="n">
        <v>0.791</v>
      </c>
      <c r="CB120" s="8" t="n">
        <v>4</v>
      </c>
      <c r="CC120" s="10" t="n">
        <v>-0.0347</v>
      </c>
      <c r="CD120" s="10" t="n">
        <v>0.5148</v>
      </c>
      <c r="CE120" s="6" t="n">
        <v>62.65</v>
      </c>
      <c r="CF120" s="6" t="n">
        <v>41</v>
      </c>
      <c r="CG120" s="7" t="n">
        <v>3.12</v>
      </c>
      <c r="CH120" s="6" t="n">
        <v>22.4</v>
      </c>
      <c r="CI120" s="9" t="n">
        <v>0.0138</v>
      </c>
      <c r="CJ120" s="9" t="n">
        <v>-0.0264</v>
      </c>
      <c r="CK120" s="8" t="n">
        <v>111</v>
      </c>
      <c r="CL120" s="10" t="n">
        <v>0.205</v>
      </c>
      <c r="CM120" s="8" t="n">
        <v>138</v>
      </c>
      <c r="CN120" s="10" t="n">
        <v>0.292</v>
      </c>
      <c r="CO120" s="8" t="n">
        <v>38</v>
      </c>
      <c r="CP120" s="7" t="n">
        <v>0.147</v>
      </c>
      <c r="CQ120" s="7" t="n">
        <v>-0.16</v>
      </c>
      <c r="CR120" s="4" t="s">
        <v>102</v>
      </c>
      <c r="CS120" s="4"/>
    </row>
    <row r="121" customFormat="false" ht="15" hidden="false" customHeight="false" outlineLevel="0" collapsed="false">
      <c r="A121" s="3" t="n">
        <v>119</v>
      </c>
      <c r="B121" s="4" t="s">
        <v>379</v>
      </c>
      <c r="C121" s="13" t="s">
        <v>172</v>
      </c>
      <c r="D121" s="4" t="s">
        <v>380</v>
      </c>
      <c r="E121" s="4" t="s">
        <v>218</v>
      </c>
      <c r="F121" s="4" t="s">
        <v>172</v>
      </c>
      <c r="G121" s="3" t="n">
        <v>1</v>
      </c>
      <c r="H121" s="6" t="n">
        <v>27.8</v>
      </c>
      <c r="I121" s="3" t="n">
        <v>7</v>
      </c>
      <c r="J121" s="3" t="n">
        <v>11</v>
      </c>
      <c r="K121" s="7" t="n">
        <v>119.28</v>
      </c>
      <c r="L121" s="7" t="n">
        <v>9.6</v>
      </c>
      <c r="M121" s="8" t="n">
        <v>92</v>
      </c>
      <c r="N121" s="8" t="n">
        <v>145</v>
      </c>
      <c r="O121" s="7" t="n">
        <v>119.28</v>
      </c>
      <c r="P121" s="6" t="n">
        <v>54.1</v>
      </c>
      <c r="Q121" s="4" t="s">
        <v>218</v>
      </c>
      <c r="R121" s="8" t="n">
        <v>15</v>
      </c>
      <c r="S121" s="6" t="n">
        <v>235.14</v>
      </c>
      <c r="T121" s="7" t="n">
        <f aca="false">IFERROR(S121/R121,"")</f>
        <v>15.676</v>
      </c>
      <c r="U121" s="6" t="n">
        <v>235.14</v>
      </c>
      <c r="V121" s="6" t="n">
        <v>235.14</v>
      </c>
      <c r="W121" s="8" t="n">
        <v>15</v>
      </c>
      <c r="X121" s="7" t="n">
        <f aca="false">IFERROR(S121/AH121,"")</f>
        <v>5.00297872340426</v>
      </c>
      <c r="Y121" s="9" t="n">
        <f aca="false">IFERROR(S121/AF121,"")</f>
        <v>0.263020134228188</v>
      </c>
      <c r="Z121" s="6" t="n">
        <v>10.07</v>
      </c>
      <c r="AA121" s="6" t="n">
        <v>14.96</v>
      </c>
      <c r="AB121" s="6" t="n">
        <v>25.27</v>
      </c>
      <c r="AC121" s="10" t="n">
        <v>0.4</v>
      </c>
      <c r="AD121" s="10" t="n">
        <v>0.067</v>
      </c>
      <c r="AE121" s="7" t="n">
        <v>0.495</v>
      </c>
      <c r="AF121" s="8" t="n">
        <v>894</v>
      </c>
      <c r="AG121" s="10" t="n">
        <v>0.943</v>
      </c>
      <c r="AH121" s="8" t="n">
        <v>47</v>
      </c>
      <c r="AI121" s="8" t="n">
        <v>0</v>
      </c>
      <c r="AJ121" s="6" t="n">
        <f aca="false">IFERROR(AI121/R121,"")</f>
        <v>0</v>
      </c>
      <c r="AK121" s="10" t="n">
        <v>0</v>
      </c>
      <c r="AL121" s="10" t="n">
        <v>0</v>
      </c>
      <c r="AM121" s="9" t="n">
        <v>0</v>
      </c>
      <c r="AN121" s="8" t="n">
        <v>0</v>
      </c>
      <c r="AO121" s="10"/>
      <c r="AP121" s="8" t="n">
        <v>0</v>
      </c>
      <c r="AQ121" s="7"/>
      <c r="AR121" s="6"/>
      <c r="AS121" s="7"/>
      <c r="AT121" s="7"/>
      <c r="AU121" s="7"/>
      <c r="AV121" s="7"/>
      <c r="AW121" s="7"/>
      <c r="AX121" s="10"/>
      <c r="AY121" s="8" t="n">
        <v>47</v>
      </c>
      <c r="AZ121" s="6" t="n">
        <f aca="false">IFERROR(AY121/R121,"")</f>
        <v>3.13333333333333</v>
      </c>
      <c r="BA121" s="10" t="n">
        <v>0.1068</v>
      </c>
      <c r="BB121" s="8" t="n">
        <v>199</v>
      </c>
      <c r="BC121" s="7" t="n">
        <f aca="false">IFERROR(BB121/AY121,"")</f>
        <v>4.23404255319149</v>
      </c>
      <c r="BD121" s="7" t="n">
        <v>3.149</v>
      </c>
      <c r="BE121" s="7" t="n">
        <v>1.085</v>
      </c>
      <c r="BF121" s="8" t="n">
        <v>2</v>
      </c>
      <c r="BG121" s="7"/>
      <c r="BH121" s="6"/>
      <c r="BI121" s="7"/>
      <c r="BJ121" s="8" t="n">
        <v>6</v>
      </c>
      <c r="BK121" s="8" t="n">
        <v>3</v>
      </c>
      <c r="BL121" s="8" t="n">
        <v>2</v>
      </c>
      <c r="BM121" s="8" t="n">
        <v>0</v>
      </c>
      <c r="BN121" s="7" t="n">
        <v>1.01</v>
      </c>
      <c r="BO121" s="7" t="n">
        <f aca="false">IFERROR(BM121-BN121,"")</f>
        <v>-1.01</v>
      </c>
      <c r="BP121" s="9" t="n">
        <f aca="false">IFERROR(BM121/AH121,"")</f>
        <v>0</v>
      </c>
      <c r="BQ121" s="6" t="n">
        <v>52.5</v>
      </c>
      <c r="BR121" s="6" t="n">
        <v>45.3</v>
      </c>
      <c r="BS121" s="6" t="n">
        <v>58.7</v>
      </c>
      <c r="BT121" s="7" t="n">
        <v>2.905</v>
      </c>
      <c r="BU121" s="10" t="n">
        <v>0.1629</v>
      </c>
      <c r="BV121" s="10" t="n">
        <v>0.604651162790698</v>
      </c>
      <c r="BW121" s="7" t="n">
        <v>2.199</v>
      </c>
      <c r="BX121" s="10" t="n">
        <v>0.2454</v>
      </c>
      <c r="BY121" s="10" t="n">
        <v>0.0493</v>
      </c>
      <c r="BZ121" s="7" t="n">
        <v>2.41</v>
      </c>
      <c r="CA121" s="10" t="n">
        <v>0.704</v>
      </c>
      <c r="CB121" s="8" t="n">
        <v>4</v>
      </c>
      <c r="CC121" s="10" t="n">
        <v>-0.0441</v>
      </c>
      <c r="CD121" s="10" t="n">
        <v>0.5063</v>
      </c>
      <c r="CE121" s="6" t="n">
        <v>58.41</v>
      </c>
      <c r="CF121" s="6" t="n">
        <v>39</v>
      </c>
      <c r="CG121" s="7" t="n">
        <v>3.47</v>
      </c>
      <c r="CH121" s="6" t="n">
        <v>23</v>
      </c>
      <c r="CI121" s="9" t="n">
        <v>-0.0102</v>
      </c>
      <c r="CJ121" s="9" t="n">
        <v>0.229</v>
      </c>
      <c r="CK121" s="8" t="n">
        <v>155</v>
      </c>
      <c r="CL121" s="10" t="n">
        <v>0.337</v>
      </c>
      <c r="CM121" s="8" t="n">
        <v>148</v>
      </c>
      <c r="CN121" s="10" t="n">
        <v>0.301</v>
      </c>
      <c r="CO121" s="8" t="n">
        <v>52</v>
      </c>
      <c r="CP121" s="7" t="n">
        <v>0.051</v>
      </c>
      <c r="CQ121" s="7" t="n">
        <v>-0.169</v>
      </c>
      <c r="CR121" s="4" t="s">
        <v>102</v>
      </c>
      <c r="CS121" s="4"/>
    </row>
    <row r="122" customFormat="false" ht="15" hidden="false" customHeight="false" outlineLevel="0" collapsed="false">
      <c r="A122" s="3" t="n">
        <v>120</v>
      </c>
      <c r="B122" s="4" t="s">
        <v>381</v>
      </c>
      <c r="C122" s="11" t="s">
        <v>104</v>
      </c>
      <c r="D122" s="4" t="s">
        <v>382</v>
      </c>
      <c r="E122" s="4" t="s">
        <v>221</v>
      </c>
      <c r="F122" s="4" t="s">
        <v>104</v>
      </c>
      <c r="G122" s="3" t="n">
        <v>1</v>
      </c>
      <c r="H122" s="6" t="n">
        <v>25.3</v>
      </c>
      <c r="I122" s="3" t="n">
        <v>2</v>
      </c>
      <c r="J122" s="3" t="n">
        <v>7</v>
      </c>
      <c r="K122" s="7" t="n">
        <v>119.51</v>
      </c>
      <c r="L122" s="7" t="n">
        <v>13.21</v>
      </c>
      <c r="M122" s="8" t="n">
        <v>78</v>
      </c>
      <c r="N122" s="8" t="n">
        <v>143</v>
      </c>
      <c r="O122" s="7" t="n">
        <v>119.51</v>
      </c>
      <c r="P122" s="6" t="n">
        <v>73.6</v>
      </c>
      <c r="Q122" s="4" t="s">
        <v>221</v>
      </c>
      <c r="R122" s="8" t="n">
        <v>17</v>
      </c>
      <c r="S122" s="6" t="n">
        <v>140.3</v>
      </c>
      <c r="T122" s="7" t="n">
        <f aca="false">IFERROR(S122/R122,"")</f>
        <v>8.25294117647059</v>
      </c>
      <c r="U122" s="6" t="n">
        <v>135.8</v>
      </c>
      <c r="V122" s="6" t="n">
        <v>131.3</v>
      </c>
      <c r="W122" s="8" t="n">
        <v>32</v>
      </c>
      <c r="X122" s="7" t="n">
        <f aca="false">IFERROR(S122/AH122,"")</f>
        <v>0.746276595744681</v>
      </c>
      <c r="Y122" s="9" t="n">
        <f aca="false">IFERROR(S122/AF122,"")</f>
        <v>0.345566502463054</v>
      </c>
      <c r="Z122" s="6" t="n">
        <v>3</v>
      </c>
      <c r="AA122" s="6" t="n">
        <v>5.1</v>
      </c>
      <c r="AB122" s="6" t="n">
        <v>15.04</v>
      </c>
      <c r="AC122" s="10" t="n">
        <v>0.118</v>
      </c>
      <c r="AD122" s="10" t="n">
        <v>0.118</v>
      </c>
      <c r="AE122" s="7" t="n">
        <v>1.464</v>
      </c>
      <c r="AF122" s="8" t="n">
        <v>406</v>
      </c>
      <c r="AG122" s="10" t="n">
        <v>0.395</v>
      </c>
      <c r="AH122" s="8" t="n">
        <v>188</v>
      </c>
      <c r="AI122" s="8" t="n">
        <v>13</v>
      </c>
      <c r="AJ122" s="6" t="n">
        <f aca="false">IFERROR(AI122/R122,"")</f>
        <v>0.764705882352941</v>
      </c>
      <c r="AK122" s="10" t="n">
        <v>0.0301</v>
      </c>
      <c r="AL122" s="10" t="n">
        <v>-0.0051</v>
      </c>
      <c r="AM122" s="9" t="n">
        <v>0.0416</v>
      </c>
      <c r="AN122" s="8" t="n">
        <v>9</v>
      </c>
      <c r="AO122" s="10" t="n">
        <f aca="false">IFERROR(AN122/AI122,"")</f>
        <v>0.692307692307692</v>
      </c>
      <c r="AP122" s="8" t="n">
        <v>68</v>
      </c>
      <c r="AQ122" s="7" t="n">
        <f aca="false">IFERROR(AP122/AI122,"")</f>
        <v>5.23076923076923</v>
      </c>
      <c r="AR122" s="6" t="n">
        <v>-1.462</v>
      </c>
      <c r="AS122" s="7" t="n">
        <v>8.556</v>
      </c>
      <c r="AT122" s="7" t="n">
        <v>-3.579</v>
      </c>
      <c r="AU122" s="7"/>
      <c r="AV122" s="7"/>
      <c r="AW122" s="7"/>
      <c r="AX122" s="10" t="n">
        <v>0</v>
      </c>
      <c r="AY122" s="8" t="n">
        <v>175</v>
      </c>
      <c r="AZ122" s="6" t="n">
        <f aca="false">IFERROR(AY122/R122,"")</f>
        <v>10.2941176470588</v>
      </c>
      <c r="BA122" s="10" t="n">
        <v>0.3616</v>
      </c>
      <c r="BB122" s="8" t="n">
        <v>805</v>
      </c>
      <c r="BC122" s="7" t="n">
        <f aca="false">IFERROR(BB122/AY122,"")</f>
        <v>4.6</v>
      </c>
      <c r="BD122" s="7" t="n">
        <v>2.531</v>
      </c>
      <c r="BE122" s="7" t="n">
        <v>2.069</v>
      </c>
      <c r="BF122" s="8" t="n">
        <v>13</v>
      </c>
      <c r="BG122" s="7" t="n">
        <v>0.788951155897321</v>
      </c>
      <c r="BH122" s="6" t="n">
        <v>28</v>
      </c>
      <c r="BI122" s="7" t="n">
        <v>3.47539130434783</v>
      </c>
      <c r="BJ122" s="8" t="n">
        <v>32</v>
      </c>
      <c r="BK122" s="8" t="n">
        <v>20</v>
      </c>
      <c r="BL122" s="8" t="n">
        <v>12</v>
      </c>
      <c r="BM122" s="8" t="n">
        <v>8</v>
      </c>
      <c r="BN122" s="7" t="n">
        <v>7.52</v>
      </c>
      <c r="BO122" s="7" t="n">
        <f aca="false">IFERROR(BM122-BN122,"")</f>
        <v>0.48</v>
      </c>
      <c r="BP122" s="9" t="n">
        <f aca="false">IFERROR(BM122/AH122,"")</f>
        <v>0.0425531914893617</v>
      </c>
      <c r="BQ122" s="6" t="n">
        <v>54.8</v>
      </c>
      <c r="BR122" s="6" t="n">
        <v>50.7</v>
      </c>
      <c r="BS122" s="6" t="n">
        <v>56.8</v>
      </c>
      <c r="BT122" s="7" t="n">
        <v>2.998</v>
      </c>
      <c r="BU122" s="10" t="n">
        <v>0.1651</v>
      </c>
      <c r="BV122" s="10" t="n">
        <v>0.548387096774194</v>
      </c>
      <c r="BW122" s="7" t="n">
        <v>2.512</v>
      </c>
      <c r="BX122" s="10" t="n">
        <v>0.2217</v>
      </c>
      <c r="BY122" s="10" t="n">
        <v>0.0606</v>
      </c>
      <c r="BZ122" s="7" t="n">
        <v>2.36</v>
      </c>
      <c r="CA122" s="10" t="n">
        <v>0.706</v>
      </c>
      <c r="CB122" s="8" t="n">
        <v>4</v>
      </c>
      <c r="CC122" s="10" t="n">
        <v>-0.0427</v>
      </c>
      <c r="CD122" s="10" t="n">
        <v>0.4747</v>
      </c>
      <c r="CE122" s="6" t="n">
        <v>57.59</v>
      </c>
      <c r="CF122" s="6" t="n">
        <v>38</v>
      </c>
      <c r="CG122" s="7" t="n">
        <v>2.94</v>
      </c>
      <c r="CH122" s="6" t="n">
        <v>20.9</v>
      </c>
      <c r="CI122" s="9" t="n">
        <v>0.0192</v>
      </c>
      <c r="CJ122" s="9" t="n">
        <v>-0.0055</v>
      </c>
      <c r="CK122" s="8" t="n">
        <v>138</v>
      </c>
      <c r="CL122" s="10" t="n">
        <v>0.319</v>
      </c>
      <c r="CM122" s="8" t="n">
        <v>142</v>
      </c>
      <c r="CN122" s="10" t="n">
        <v>0.293</v>
      </c>
      <c r="CO122" s="8" t="n">
        <v>56</v>
      </c>
      <c r="CP122" s="7" t="n">
        <v>0.049</v>
      </c>
      <c r="CQ122" s="7" t="n">
        <v>-0.433</v>
      </c>
      <c r="CR122" s="4" t="s">
        <v>102</v>
      </c>
      <c r="CS122" s="4"/>
    </row>
    <row r="123" customFormat="false" ht="15" hidden="false" customHeight="false" outlineLevel="0" collapsed="false">
      <c r="A123" s="3" t="n">
        <v>121</v>
      </c>
      <c r="B123" s="4" t="s">
        <v>383</v>
      </c>
      <c r="C123" s="5" t="s">
        <v>99</v>
      </c>
      <c r="D123" s="4" t="s">
        <v>384</v>
      </c>
      <c r="E123" s="4" t="s">
        <v>147</v>
      </c>
      <c r="F123" s="4" t="s">
        <v>270</v>
      </c>
      <c r="G123" s="3" t="n">
        <v>1</v>
      </c>
      <c r="H123" s="6" t="n">
        <v>26.5</v>
      </c>
      <c r="I123" s="3" t="n">
        <v>5</v>
      </c>
      <c r="J123" s="3" t="n">
        <v>7</v>
      </c>
      <c r="K123" s="7" t="n">
        <v>120.35</v>
      </c>
      <c r="L123" s="7" t="n">
        <v>16.98</v>
      </c>
      <c r="M123" s="8" t="n">
        <v>83</v>
      </c>
      <c r="N123" s="8" t="n">
        <v>173</v>
      </c>
      <c r="O123" s="7" t="n">
        <v>120.35</v>
      </c>
      <c r="P123" s="6" t="n">
        <v>59.1</v>
      </c>
      <c r="Q123" s="4" t="s">
        <v>147</v>
      </c>
      <c r="R123" s="8" t="n">
        <v>16</v>
      </c>
      <c r="S123" s="6" t="n">
        <v>166.4</v>
      </c>
      <c r="T123" s="7" t="n">
        <f aca="false">IFERROR(S123/R123,"")</f>
        <v>10.4</v>
      </c>
      <c r="U123" s="6" t="n">
        <v>130.4</v>
      </c>
      <c r="V123" s="6" t="n">
        <v>94.4</v>
      </c>
      <c r="W123" s="8" t="n">
        <v>36</v>
      </c>
      <c r="X123" s="7" t="n">
        <f aca="false">IFERROR(S123/AH123,"")</f>
        <v>1.73333333333333</v>
      </c>
      <c r="Y123" s="9" t="n">
        <f aca="false">IFERROR(S123/AF123,"")</f>
        <v>0.262047244094488</v>
      </c>
      <c r="Z123" s="6" t="n">
        <v>7.12</v>
      </c>
      <c r="AA123" s="6" t="n">
        <v>11.15</v>
      </c>
      <c r="AB123" s="6" t="n">
        <v>16.38</v>
      </c>
      <c r="AC123" s="10" t="n">
        <v>0.062</v>
      </c>
      <c r="AD123" s="10" t="n">
        <v>0.188</v>
      </c>
      <c r="AE123" s="7" t="n">
        <v>0.52</v>
      </c>
      <c r="AF123" s="8" t="n">
        <v>635</v>
      </c>
      <c r="AG123" s="10" t="n">
        <v>0.598</v>
      </c>
      <c r="AH123" s="8" t="n">
        <v>96</v>
      </c>
      <c r="AI123" s="8" t="n">
        <v>95</v>
      </c>
      <c r="AJ123" s="6" t="n">
        <f aca="false">IFERROR(AI123/R123,"")</f>
        <v>5.9375</v>
      </c>
      <c r="AK123" s="10" t="n">
        <v>0.2106</v>
      </c>
      <c r="AL123" s="10" t="n">
        <v>0.1055</v>
      </c>
      <c r="AM123" s="9" t="n">
        <v>0.3898</v>
      </c>
      <c r="AN123" s="8" t="n">
        <v>72</v>
      </c>
      <c r="AO123" s="10" t="n">
        <f aca="false">IFERROR(AN123/AI123,"")</f>
        <v>0.757894736842105</v>
      </c>
      <c r="AP123" s="8" t="n">
        <v>719</v>
      </c>
      <c r="AQ123" s="7" t="n">
        <f aca="false">IFERROR(AP123/AI123,"")</f>
        <v>7.56842105263158</v>
      </c>
      <c r="AR123" s="6" t="n">
        <v>3.674</v>
      </c>
      <c r="AS123" s="7" t="n">
        <v>7.514</v>
      </c>
      <c r="AT123" s="7" t="n">
        <v>2.06</v>
      </c>
      <c r="AU123" s="7" t="n">
        <v>3.80399819335592</v>
      </c>
      <c r="AV123" s="7" t="n">
        <v>6.6916</v>
      </c>
      <c r="AW123" s="7" t="n">
        <v>1.88374170640483</v>
      </c>
      <c r="AX123" s="10" t="n">
        <v>0.0316</v>
      </c>
      <c r="AY123" s="8" t="n">
        <v>1</v>
      </c>
      <c r="AZ123" s="6" t="n">
        <f aca="false">IFERROR(AY123/R123,"")</f>
        <v>0.0625</v>
      </c>
      <c r="BA123" s="10" t="n">
        <v>0.002</v>
      </c>
      <c r="BB123" s="8" t="n">
        <v>5</v>
      </c>
      <c r="BC123" s="7"/>
      <c r="BD123" s="7"/>
      <c r="BE123" s="7"/>
      <c r="BF123" s="8" t="n">
        <v>0</v>
      </c>
      <c r="BG123" s="7"/>
      <c r="BH123" s="6"/>
      <c r="BI123" s="7"/>
      <c r="BJ123" s="8" t="n">
        <v>13</v>
      </c>
      <c r="BK123" s="8" t="n">
        <v>4</v>
      </c>
      <c r="BL123" s="8" t="n">
        <v>1</v>
      </c>
      <c r="BM123" s="8" t="n">
        <v>4</v>
      </c>
      <c r="BN123" s="7" t="n">
        <v>4.13</v>
      </c>
      <c r="BO123" s="7" t="n">
        <f aca="false">IFERROR(BM123-BN123,"")</f>
        <v>-0.13</v>
      </c>
      <c r="BP123" s="9" t="n">
        <f aca="false">IFERROR(BM123/AH123,"")</f>
        <v>0.0416666666666667</v>
      </c>
      <c r="BQ123" s="6" t="n">
        <v>73.6</v>
      </c>
      <c r="BR123" s="6" t="n">
        <v>72.8</v>
      </c>
      <c r="BS123" s="6" t="n">
        <v>64.4</v>
      </c>
      <c r="BT123" s="7" t="n">
        <v>3.397</v>
      </c>
      <c r="BU123" s="10" t="n">
        <v>0.1265</v>
      </c>
      <c r="BV123" s="10" t="n">
        <v>0.540540540540541</v>
      </c>
      <c r="BW123" s="7" t="n">
        <v>2.905</v>
      </c>
      <c r="BX123" s="10" t="n">
        <v>0.2</v>
      </c>
      <c r="BY123" s="10" t="n">
        <v>0.0702</v>
      </c>
      <c r="BZ123" s="7" t="n">
        <v>2.507</v>
      </c>
      <c r="CA123" s="10" t="n">
        <v>0.763</v>
      </c>
      <c r="CB123" s="8" t="n">
        <v>4</v>
      </c>
      <c r="CC123" s="10" t="n">
        <v>-0.0352</v>
      </c>
      <c r="CD123" s="10" t="n">
        <v>0.5028</v>
      </c>
      <c r="CE123" s="6" t="n">
        <v>62.65</v>
      </c>
      <c r="CF123" s="6" t="n">
        <v>40</v>
      </c>
      <c r="CG123" s="7" t="n">
        <v>4</v>
      </c>
      <c r="CH123" s="6" t="n">
        <v>28.3</v>
      </c>
      <c r="CI123" s="9" t="n">
        <v>0.1102</v>
      </c>
      <c r="CJ123" s="9" t="n">
        <v>0.1599</v>
      </c>
      <c r="CK123" s="8" t="n">
        <v>19</v>
      </c>
      <c r="CL123" s="10" t="n">
        <v>0.04</v>
      </c>
      <c r="CM123" s="8" t="n">
        <v>17</v>
      </c>
      <c r="CN123" s="10" t="n">
        <v>0.031</v>
      </c>
      <c r="CO123" s="8" t="n">
        <v>2</v>
      </c>
      <c r="CP123" s="7" t="n">
        <v>0.193</v>
      </c>
      <c r="CQ123" s="7" t="n">
        <v>-0.158</v>
      </c>
      <c r="CR123" s="4" t="s">
        <v>102</v>
      </c>
      <c r="CS123" s="4"/>
    </row>
    <row r="124" customFormat="false" ht="15" hidden="false" customHeight="false" outlineLevel="0" collapsed="false">
      <c r="A124" s="3" t="n">
        <v>122</v>
      </c>
      <c r="B124" s="4" t="s">
        <v>385</v>
      </c>
      <c r="C124" s="12" t="s">
        <v>149</v>
      </c>
      <c r="D124" s="4" t="s">
        <v>386</v>
      </c>
      <c r="E124" s="4" t="s">
        <v>136</v>
      </c>
      <c r="F124" s="4" t="s">
        <v>149</v>
      </c>
      <c r="G124" s="3" t="n">
        <v>1</v>
      </c>
      <c r="H124" s="6" t="n">
        <v>31.6</v>
      </c>
      <c r="I124" s="3" t="n">
        <v>9</v>
      </c>
      <c r="J124" s="3" t="n">
        <v>10</v>
      </c>
      <c r="K124" s="7" t="n">
        <v>122.31</v>
      </c>
      <c r="L124" s="7" t="n">
        <v>16.33</v>
      </c>
      <c r="M124" s="8" t="n">
        <v>87</v>
      </c>
      <c r="N124" s="8" t="n">
        <v>158</v>
      </c>
      <c r="O124" s="7" t="n">
        <v>122.31</v>
      </c>
      <c r="P124" s="6" t="n">
        <v>85.2</v>
      </c>
      <c r="Q124" s="4" t="s">
        <v>136</v>
      </c>
      <c r="R124" s="8" t="n">
        <v>15</v>
      </c>
      <c r="S124" s="6" t="n">
        <v>185.1</v>
      </c>
      <c r="T124" s="7" t="n">
        <f aca="false">IFERROR(S124/R124,"")</f>
        <v>12.34</v>
      </c>
      <c r="U124" s="6" t="n">
        <v>155.1</v>
      </c>
      <c r="V124" s="6" t="n">
        <v>125.1</v>
      </c>
      <c r="W124" s="8" t="n">
        <v>7</v>
      </c>
      <c r="X124" s="7" t="n">
        <f aca="false">IFERROR(S124/AH124,"")</f>
        <v>2.25731707317073</v>
      </c>
      <c r="Y124" s="9" t="n">
        <f aca="false">IFERROR(S124/AF124,"")</f>
        <v>0.235196950444727</v>
      </c>
      <c r="Z124" s="6" t="n">
        <v>6.55</v>
      </c>
      <c r="AA124" s="6" t="n">
        <v>10.9</v>
      </c>
      <c r="AB124" s="6" t="n">
        <v>19.51</v>
      </c>
      <c r="AC124" s="10" t="n">
        <v>0.333</v>
      </c>
      <c r="AD124" s="10" t="n">
        <v>0</v>
      </c>
      <c r="AE124" s="7" t="n">
        <v>0.658</v>
      </c>
      <c r="AF124" s="8" t="n">
        <v>787</v>
      </c>
      <c r="AG124" s="10" t="n">
        <v>0.846</v>
      </c>
      <c r="AH124" s="8" t="n">
        <v>82</v>
      </c>
      <c r="AI124" s="8" t="n">
        <v>82</v>
      </c>
      <c r="AJ124" s="6" t="n">
        <f aca="false">IFERROR(AI124/R124,"")</f>
        <v>5.46666666666667</v>
      </c>
      <c r="AK124" s="10" t="n">
        <v>0.2005</v>
      </c>
      <c r="AL124" s="10" t="n">
        <v>0.1565</v>
      </c>
      <c r="AM124" s="9" t="n">
        <v>0.4103</v>
      </c>
      <c r="AN124" s="8" t="n">
        <v>60</v>
      </c>
      <c r="AO124" s="10" t="n">
        <f aca="false">IFERROR(AN124/AI124,"")</f>
        <v>0.731707317073171</v>
      </c>
      <c r="AP124" s="8" t="n">
        <v>591</v>
      </c>
      <c r="AQ124" s="7" t="n">
        <f aca="false">IFERROR(AP124/AI124,"")</f>
        <v>7.20731707317073</v>
      </c>
      <c r="AR124" s="6" t="n">
        <v>7.11</v>
      </c>
      <c r="AS124" s="7" t="n">
        <v>3.9</v>
      </c>
      <c r="AT124" s="7" t="n">
        <v>1.014</v>
      </c>
      <c r="AU124" s="7" t="n">
        <v>3.36071490356762</v>
      </c>
      <c r="AV124" s="7" t="n">
        <v>5.98582089552239</v>
      </c>
      <c r="AW124" s="7" t="n">
        <v>0.107270280217043</v>
      </c>
      <c r="AX124" s="10" t="n">
        <v>0.0488</v>
      </c>
      <c r="AY124" s="8" t="n">
        <v>0</v>
      </c>
      <c r="AZ124" s="6" t="n">
        <f aca="false">IFERROR(AY124/R124,"")</f>
        <v>0</v>
      </c>
      <c r="BA124" s="10" t="n">
        <v>0</v>
      </c>
      <c r="BB124" s="8" t="n">
        <v>0</v>
      </c>
      <c r="BC124" s="7"/>
      <c r="BD124" s="7"/>
      <c r="BE124" s="7"/>
      <c r="BF124" s="8"/>
      <c r="BG124" s="7"/>
      <c r="BH124" s="6"/>
      <c r="BI124" s="7"/>
      <c r="BJ124" s="8" t="n">
        <v>15</v>
      </c>
      <c r="BK124" s="8" t="n">
        <v>9</v>
      </c>
      <c r="BL124" s="8" t="n">
        <v>8</v>
      </c>
      <c r="BM124" s="8" t="n">
        <v>11</v>
      </c>
      <c r="BN124" s="7" t="n">
        <v>6.36</v>
      </c>
      <c r="BO124" s="7" t="n">
        <f aca="false">IFERROR(BM124-BN124,"")</f>
        <v>4.64</v>
      </c>
      <c r="BP124" s="9" t="n">
        <f aca="false">IFERROR(BM124/AH124,"")</f>
        <v>0.134146341463415</v>
      </c>
      <c r="BQ124" s="6" t="n">
        <v>48.2</v>
      </c>
      <c r="BR124" s="6" t="n">
        <v>35.6</v>
      </c>
      <c r="BS124" s="6" t="n">
        <v>61.6</v>
      </c>
      <c r="BT124" s="7" t="n">
        <v>2.749</v>
      </c>
      <c r="BU124" s="10" t="n">
        <v>0.2192</v>
      </c>
      <c r="BV124" s="10" t="n">
        <v>0.466666666666667</v>
      </c>
      <c r="BW124" s="7" t="n">
        <v>2.6</v>
      </c>
      <c r="BX124" s="10" t="n">
        <v>0.2334</v>
      </c>
      <c r="BY124" s="10" t="n">
        <v>0.0577</v>
      </c>
      <c r="BZ124" s="7" t="n">
        <v>2.491</v>
      </c>
      <c r="CA124" s="10" t="n">
        <v>0.909</v>
      </c>
      <c r="CB124" s="8" t="n">
        <v>5</v>
      </c>
      <c r="CC124" s="10" t="n">
        <v>-0.0248</v>
      </c>
      <c r="CD124" s="10" t="n">
        <v>0.5347</v>
      </c>
      <c r="CE124" s="6" t="n">
        <v>58.53</v>
      </c>
      <c r="CF124" s="6" t="n">
        <v>39</v>
      </c>
      <c r="CG124" s="7" t="n">
        <v>2.76</v>
      </c>
      <c r="CH124" s="6" t="n">
        <v>22.3</v>
      </c>
      <c r="CI124" s="9" t="n">
        <v>0.0054</v>
      </c>
      <c r="CJ124" s="9" t="n">
        <v>0.0436</v>
      </c>
      <c r="CK124" s="8" t="n">
        <v>175</v>
      </c>
      <c r="CL124" s="10" t="n">
        <v>0.377</v>
      </c>
      <c r="CM124" s="8" t="n">
        <v>12</v>
      </c>
      <c r="CN124" s="10" t="n">
        <v>0.025</v>
      </c>
      <c r="CO124" s="8" t="n">
        <v>23</v>
      </c>
      <c r="CP124" s="7" t="n">
        <v>0.224</v>
      </c>
      <c r="CQ124" s="7" t="n">
        <v>0.268</v>
      </c>
      <c r="CR124" s="4" t="s">
        <v>102</v>
      </c>
      <c r="CS124" s="4"/>
    </row>
    <row r="125" customFormat="false" ht="15" hidden="false" customHeight="false" outlineLevel="0" collapsed="false">
      <c r="A125" s="3" t="n">
        <v>123</v>
      </c>
      <c r="B125" s="4" t="s">
        <v>387</v>
      </c>
      <c r="C125" s="13" t="s">
        <v>172</v>
      </c>
      <c r="D125" s="4" t="s">
        <v>388</v>
      </c>
      <c r="E125" s="4" t="s">
        <v>158</v>
      </c>
      <c r="F125" s="4" t="s">
        <v>172</v>
      </c>
      <c r="G125" s="3" t="n">
        <v>1</v>
      </c>
      <c r="H125" s="6" t="n">
        <v>26.9</v>
      </c>
      <c r="I125" s="3" t="n">
        <v>2</v>
      </c>
      <c r="J125" s="3" t="n">
        <v>8</v>
      </c>
      <c r="K125" s="7" t="n">
        <v>122.47</v>
      </c>
      <c r="L125" s="7" t="n">
        <v>14.13</v>
      </c>
      <c r="M125" s="8" t="n">
        <v>104</v>
      </c>
      <c r="N125" s="8" t="n">
        <v>195</v>
      </c>
      <c r="O125" s="7" t="n">
        <v>122.47</v>
      </c>
      <c r="P125" s="6" t="n">
        <v>47.8</v>
      </c>
      <c r="Q125" s="4" t="s">
        <v>158</v>
      </c>
      <c r="R125" s="8" t="n">
        <v>11</v>
      </c>
      <c r="S125" s="6" t="n">
        <v>157.96</v>
      </c>
      <c r="T125" s="7" t="n">
        <f aca="false">IFERROR(S125/R125,"")</f>
        <v>14.36</v>
      </c>
      <c r="U125" s="6" t="n">
        <v>157.96</v>
      </c>
      <c r="V125" s="6" t="n">
        <v>157.96</v>
      </c>
      <c r="W125" s="8" t="n">
        <v>26</v>
      </c>
      <c r="X125" s="7" t="n">
        <f aca="false">IFERROR(S125/AH125,"")</f>
        <v>3.51022222222222</v>
      </c>
      <c r="Y125" s="9" t="n">
        <f aca="false">IFERROR(S125/AF125,"")</f>
        <v>0.261090909090909</v>
      </c>
      <c r="Z125" s="6" t="n">
        <v>8.58</v>
      </c>
      <c r="AA125" s="6" t="n">
        <v>17.36</v>
      </c>
      <c r="AB125" s="6" t="n">
        <v>21.51</v>
      </c>
      <c r="AC125" s="10" t="n">
        <v>0.455</v>
      </c>
      <c r="AD125" s="10" t="n">
        <v>0.182</v>
      </c>
      <c r="AE125" s="7" t="n">
        <v>0.441</v>
      </c>
      <c r="AF125" s="8" t="n">
        <v>605</v>
      </c>
      <c r="AG125" s="10" t="n">
        <v>0.835</v>
      </c>
      <c r="AH125" s="8" t="n">
        <v>45</v>
      </c>
      <c r="AI125" s="8" t="n">
        <v>0</v>
      </c>
      <c r="AJ125" s="6" t="n">
        <f aca="false">IFERROR(AI125/R125,"")</f>
        <v>0</v>
      </c>
      <c r="AK125" s="10" t="n">
        <v>0</v>
      </c>
      <c r="AL125" s="10" t="n">
        <v>0</v>
      </c>
      <c r="AM125" s="9" t="n">
        <v>0</v>
      </c>
      <c r="AN125" s="8" t="n">
        <v>0</v>
      </c>
      <c r="AO125" s="10"/>
      <c r="AP125" s="8" t="n">
        <v>0</v>
      </c>
      <c r="AQ125" s="7"/>
      <c r="AR125" s="6"/>
      <c r="AS125" s="7"/>
      <c r="AT125" s="7"/>
      <c r="AU125" s="7"/>
      <c r="AV125" s="7"/>
      <c r="AW125" s="7"/>
      <c r="AX125" s="10"/>
      <c r="AY125" s="8" t="n">
        <v>45</v>
      </c>
      <c r="AZ125" s="6" t="n">
        <f aca="false">IFERROR(AY125/R125,"")</f>
        <v>4.09090909090909</v>
      </c>
      <c r="BA125" s="10" t="n">
        <v>0.1613</v>
      </c>
      <c r="BB125" s="8" t="n">
        <v>186</v>
      </c>
      <c r="BC125" s="7" t="n">
        <f aca="false">IFERROR(BB125/AY125,"")</f>
        <v>4.13333333333333</v>
      </c>
      <c r="BD125" s="7" t="n">
        <v>3.333</v>
      </c>
      <c r="BE125" s="7" t="n">
        <v>0.8</v>
      </c>
      <c r="BF125" s="8" t="n">
        <v>2</v>
      </c>
      <c r="BG125" s="7"/>
      <c r="BH125" s="6"/>
      <c r="BI125" s="7"/>
      <c r="BJ125" s="8" t="n">
        <v>10</v>
      </c>
      <c r="BK125" s="8" t="n">
        <v>7</v>
      </c>
      <c r="BL125" s="8" t="n">
        <v>4</v>
      </c>
      <c r="BM125" s="8" t="n">
        <v>3</v>
      </c>
      <c r="BN125" s="7" t="n">
        <v>2.55</v>
      </c>
      <c r="BO125" s="7" t="n">
        <f aca="false">IFERROR(BM125-BN125,"")</f>
        <v>0.45</v>
      </c>
      <c r="BP125" s="9" t="n">
        <f aca="false">IFERROR(BM125/AH125,"")</f>
        <v>0.0666666666666667</v>
      </c>
      <c r="BQ125" s="6" t="n">
        <v>41.9</v>
      </c>
      <c r="BR125" s="6" t="n">
        <v>42.4</v>
      </c>
      <c r="BS125" s="6" t="n">
        <v>44.9</v>
      </c>
      <c r="BT125" s="7" t="n">
        <v>2.883</v>
      </c>
      <c r="BU125" s="10" t="n">
        <v>0.1505</v>
      </c>
      <c r="BV125" s="10" t="n">
        <v>0.55</v>
      </c>
      <c r="BW125" s="7" t="n">
        <v>2.057</v>
      </c>
      <c r="BX125" s="10" t="n">
        <v>0.2132</v>
      </c>
      <c r="BY125" s="10" t="n">
        <v>0.0763</v>
      </c>
      <c r="BZ125" s="7" t="n">
        <v>2.2</v>
      </c>
      <c r="CA125" s="10" t="n">
        <v>0.784</v>
      </c>
      <c r="CB125" s="8" t="n">
        <v>4</v>
      </c>
      <c r="CC125" s="10" t="n">
        <v>-0.0301</v>
      </c>
      <c r="CD125" s="10" t="n">
        <v>0.5383</v>
      </c>
      <c r="CE125" s="6" t="n">
        <v>62.59</v>
      </c>
      <c r="CF125" s="6" t="n">
        <v>35</v>
      </c>
      <c r="CG125" s="7" t="n">
        <v>2.82</v>
      </c>
      <c r="CH125" s="6" t="n">
        <v>18</v>
      </c>
      <c r="CI125" s="9" t="n">
        <v>-0.1008</v>
      </c>
      <c r="CJ125" s="9" t="n">
        <v>-0.0795</v>
      </c>
      <c r="CK125" s="8" t="n">
        <v>127</v>
      </c>
      <c r="CL125" s="10" t="n">
        <v>0.225</v>
      </c>
      <c r="CM125" s="8" t="n">
        <v>21</v>
      </c>
      <c r="CN125" s="10" t="n">
        <v>0.048</v>
      </c>
      <c r="CO125" s="8" t="n">
        <v>15</v>
      </c>
      <c r="CP125" s="7" t="n">
        <v>-0.396</v>
      </c>
      <c r="CQ125" s="7" t="n">
        <v>-0.265</v>
      </c>
      <c r="CR125" s="4" t="s">
        <v>121</v>
      </c>
      <c r="CS125" s="4"/>
    </row>
    <row r="126" customFormat="false" ht="15" hidden="false" customHeight="false" outlineLevel="0" collapsed="false">
      <c r="A126" s="3" t="n">
        <v>124</v>
      </c>
      <c r="B126" s="4" t="s">
        <v>389</v>
      </c>
      <c r="C126" s="11" t="s">
        <v>104</v>
      </c>
      <c r="D126" s="4" t="s">
        <v>390</v>
      </c>
      <c r="E126" s="4" t="s">
        <v>127</v>
      </c>
      <c r="F126" s="4" t="s">
        <v>104</v>
      </c>
      <c r="G126" s="3" t="n">
        <v>2</v>
      </c>
      <c r="H126" s="6" t="n">
        <v>27.2</v>
      </c>
      <c r="I126" s="3" t="n">
        <v>5</v>
      </c>
      <c r="J126" s="3" t="n">
        <v>6</v>
      </c>
      <c r="K126" s="7" t="n">
        <v>122.48</v>
      </c>
      <c r="L126" s="7" t="n">
        <v>13.87</v>
      </c>
      <c r="M126" s="8" t="n">
        <v>84</v>
      </c>
      <c r="N126" s="8" t="n">
        <v>146</v>
      </c>
      <c r="O126" s="7" t="n">
        <v>122.48</v>
      </c>
      <c r="P126" s="6" t="n">
        <v>65.7</v>
      </c>
      <c r="Q126" s="4" t="s">
        <v>127</v>
      </c>
      <c r="R126" s="8" t="n">
        <v>16</v>
      </c>
      <c r="S126" s="6" t="n">
        <v>128.9</v>
      </c>
      <c r="T126" s="7" t="n">
        <f aca="false">IFERROR(S126/R126,"")</f>
        <v>8.05625</v>
      </c>
      <c r="U126" s="6" t="n">
        <v>121.9</v>
      </c>
      <c r="V126" s="6" t="n">
        <v>114.9</v>
      </c>
      <c r="W126" s="8" t="n">
        <v>35</v>
      </c>
      <c r="X126" s="7" t="n">
        <f aca="false">IFERROR(S126/AH126,"")</f>
        <v>0.736571428571429</v>
      </c>
      <c r="Y126" s="9" t="n">
        <f aca="false">IFERROR(S126/AF126,"")</f>
        <v>0.312106537530266</v>
      </c>
      <c r="Z126" s="6" t="n">
        <v>4.18</v>
      </c>
      <c r="AA126" s="6" t="n">
        <v>7.15</v>
      </c>
      <c r="AB126" s="6" t="n">
        <v>11.58</v>
      </c>
      <c r="AC126" s="10" t="n">
        <v>0.062</v>
      </c>
      <c r="AD126" s="10" t="n">
        <v>0.125</v>
      </c>
      <c r="AE126" s="7" t="n">
        <v>0.769</v>
      </c>
      <c r="AF126" s="8" t="n">
        <v>413</v>
      </c>
      <c r="AG126" s="10" t="n">
        <v>0.428</v>
      </c>
      <c r="AH126" s="8" t="n">
        <v>175</v>
      </c>
      <c r="AI126" s="8" t="n">
        <v>16</v>
      </c>
      <c r="AJ126" s="6" t="n">
        <f aca="false">IFERROR(AI126/R126,"")</f>
        <v>1</v>
      </c>
      <c r="AK126" s="10" t="n">
        <v>0.0352</v>
      </c>
      <c r="AL126" s="10" t="n">
        <v>-0.0142</v>
      </c>
      <c r="AM126" s="9" t="n">
        <v>0.0429</v>
      </c>
      <c r="AN126" s="8" t="n">
        <v>14</v>
      </c>
      <c r="AO126" s="10" t="n">
        <f aca="false">IFERROR(AN126/AI126,"")</f>
        <v>0.875</v>
      </c>
      <c r="AP126" s="8" t="n">
        <v>51</v>
      </c>
      <c r="AQ126" s="7" t="n">
        <f aca="false">IFERROR(AP126/AI126,"")</f>
        <v>3.1875</v>
      </c>
      <c r="AR126" s="6" t="n">
        <v>-3.25</v>
      </c>
      <c r="AS126" s="7" t="n">
        <v>7.286</v>
      </c>
      <c r="AT126" s="7" t="n">
        <v>-0.981</v>
      </c>
      <c r="AU126" s="7"/>
      <c r="AV126" s="7"/>
      <c r="AW126" s="7"/>
      <c r="AX126" s="10" t="n">
        <v>0</v>
      </c>
      <c r="AY126" s="8" t="n">
        <v>159</v>
      </c>
      <c r="AZ126" s="6" t="n">
        <f aca="false">IFERROR(AY126/R126,"")</f>
        <v>9.9375</v>
      </c>
      <c r="BA126" s="10" t="n">
        <v>0.4162</v>
      </c>
      <c r="BB126" s="8" t="n">
        <v>758</v>
      </c>
      <c r="BC126" s="7" t="n">
        <f aca="false">IFERROR(BB126/AY126,"")</f>
        <v>4.76729559748428</v>
      </c>
      <c r="BD126" s="7" t="n">
        <v>2.346</v>
      </c>
      <c r="BE126" s="7" t="n">
        <v>2.421</v>
      </c>
      <c r="BF126" s="8" t="n">
        <v>13</v>
      </c>
      <c r="BG126" s="7" t="n">
        <v>1.02109663916987</v>
      </c>
      <c r="BH126" s="6" t="n">
        <v>24.5283018867925</v>
      </c>
      <c r="BI126" s="7" t="n">
        <v>3.70106860158312</v>
      </c>
      <c r="BJ126" s="8" t="n">
        <v>30</v>
      </c>
      <c r="BK126" s="8" t="n">
        <v>9</v>
      </c>
      <c r="BL126" s="8" t="n">
        <v>7</v>
      </c>
      <c r="BM126" s="8" t="n">
        <v>6</v>
      </c>
      <c r="BN126" s="7" t="n">
        <v>4.87</v>
      </c>
      <c r="BO126" s="7" t="n">
        <f aca="false">IFERROR(BM126-BN126,"")</f>
        <v>1.13</v>
      </c>
      <c r="BP126" s="9" t="n">
        <f aca="false">IFERROR(BM126/AH126,"")</f>
        <v>0.0342857142857143</v>
      </c>
      <c r="BQ126" s="6" t="n">
        <v>36</v>
      </c>
      <c r="BR126" s="6" t="n">
        <v>51.8</v>
      </c>
      <c r="BS126" s="6" t="n">
        <v>26.2</v>
      </c>
      <c r="BT126" s="7" t="n">
        <v>2.961</v>
      </c>
      <c r="BU126" s="10" t="n">
        <v>0.1751</v>
      </c>
      <c r="BV126" s="10" t="n">
        <v>0.7</v>
      </c>
      <c r="BW126" s="7" t="n">
        <v>2.441</v>
      </c>
      <c r="BX126" s="10" t="n">
        <v>0.3037</v>
      </c>
      <c r="BY126" s="10" t="n">
        <v>0.1028</v>
      </c>
      <c r="BZ126" s="7" t="n">
        <v>2.429</v>
      </c>
      <c r="CA126" s="10" t="n">
        <v>0.819</v>
      </c>
      <c r="CB126" s="8" t="n">
        <v>5</v>
      </c>
      <c r="CC126" s="10" t="n">
        <v>-0.012</v>
      </c>
      <c r="CD126" s="10" t="n">
        <v>0.5369</v>
      </c>
      <c r="CE126" s="6" t="n">
        <v>55.47</v>
      </c>
      <c r="CF126" s="6" t="n">
        <v>39</v>
      </c>
      <c r="CG126" s="7" t="n">
        <v>3.12</v>
      </c>
      <c r="CH126" s="6" t="n">
        <v>20.2</v>
      </c>
      <c r="CI126" s="9" t="n">
        <v>-0.0149</v>
      </c>
      <c r="CJ126" s="9" t="n">
        <v>-0.1883</v>
      </c>
      <c r="CK126" s="8" t="n">
        <v>82</v>
      </c>
      <c r="CL126" s="10" t="n">
        <v>0.175</v>
      </c>
      <c r="CM126" s="8" t="n">
        <v>24</v>
      </c>
      <c r="CN126" s="10" t="n">
        <v>0.059</v>
      </c>
      <c r="CO126" s="8" t="n">
        <v>17</v>
      </c>
      <c r="CP126" s="7" t="n">
        <v>-0.047</v>
      </c>
      <c r="CQ126" s="7" t="n">
        <v>-0.441</v>
      </c>
      <c r="CR126" s="4" t="s">
        <v>102</v>
      </c>
      <c r="CS126" s="4"/>
    </row>
    <row r="127" customFormat="false" ht="15" hidden="false" customHeight="false" outlineLevel="0" collapsed="false">
      <c r="A127" s="3" t="n">
        <v>125</v>
      </c>
      <c r="B127" s="4" t="s">
        <v>391</v>
      </c>
      <c r="C127" s="5" t="s">
        <v>99</v>
      </c>
      <c r="D127" s="4" t="s">
        <v>392</v>
      </c>
      <c r="E127" s="4" t="s">
        <v>139</v>
      </c>
      <c r="F127" s="4" t="s">
        <v>99</v>
      </c>
      <c r="G127" s="3" t="n">
        <v>2</v>
      </c>
      <c r="H127" s="6" t="n">
        <v>23.7</v>
      </c>
      <c r="I127" s="3" t="n">
        <v>2</v>
      </c>
      <c r="J127" s="3" t="n">
        <v>8</v>
      </c>
      <c r="K127" s="7" t="n">
        <v>122.79</v>
      </c>
      <c r="L127" s="7" t="n">
        <v>13.21</v>
      </c>
      <c r="M127" s="8" t="n">
        <v>94</v>
      </c>
      <c r="N127" s="8" t="n">
        <v>176</v>
      </c>
      <c r="O127" s="7" t="n">
        <v>122.79</v>
      </c>
      <c r="P127" s="6" t="n">
        <v>46.8</v>
      </c>
      <c r="Q127" s="4" t="s">
        <v>139</v>
      </c>
      <c r="R127" s="8" t="n">
        <v>17</v>
      </c>
      <c r="S127" s="6" t="n">
        <v>129.5</v>
      </c>
      <c r="T127" s="7" t="n">
        <f aca="false">IFERROR(S127/R127,"")</f>
        <v>7.61764705882353</v>
      </c>
      <c r="U127" s="6" t="n">
        <v>109</v>
      </c>
      <c r="V127" s="6" t="n">
        <v>88.5</v>
      </c>
      <c r="W127" s="8" t="n">
        <v>46</v>
      </c>
      <c r="X127" s="7" t="n">
        <f aca="false">IFERROR(S127/AH127,"")</f>
        <v>1.90441176470588</v>
      </c>
      <c r="Y127" s="9" t="n">
        <f aca="false">IFERROR(S127/AF127,"")</f>
        <v>0.192995529061103</v>
      </c>
      <c r="Z127" s="6" t="n">
        <v>2.7</v>
      </c>
      <c r="AA127" s="6" t="n">
        <v>7.2</v>
      </c>
      <c r="AB127" s="6" t="n">
        <v>13.64</v>
      </c>
      <c r="AC127" s="10" t="n">
        <v>0.059</v>
      </c>
      <c r="AD127" s="10" t="n">
        <v>0.235</v>
      </c>
      <c r="AE127" s="7" t="n">
        <v>0.746</v>
      </c>
      <c r="AF127" s="8" t="n">
        <v>671</v>
      </c>
      <c r="AG127" s="10" t="n">
        <v>0.572</v>
      </c>
      <c r="AH127" s="8" t="n">
        <v>68</v>
      </c>
      <c r="AI127" s="8" t="n">
        <v>68</v>
      </c>
      <c r="AJ127" s="6" t="n">
        <f aca="false">IFERROR(AI127/R127,"")</f>
        <v>4</v>
      </c>
      <c r="AK127" s="10" t="n">
        <v>0.123</v>
      </c>
      <c r="AL127" s="10" t="n">
        <v>0.1826</v>
      </c>
      <c r="AM127" s="9" t="n">
        <v>0.3123</v>
      </c>
      <c r="AN127" s="8" t="n">
        <v>41</v>
      </c>
      <c r="AO127" s="10" t="n">
        <f aca="false">IFERROR(AN127/AI127,"")</f>
        <v>0.602941176470588</v>
      </c>
      <c r="AP127" s="8" t="n">
        <v>525</v>
      </c>
      <c r="AQ127" s="7" t="n">
        <f aca="false">IFERROR(AP127/AI127,"")</f>
        <v>7.72058823529412</v>
      </c>
      <c r="AR127" s="6" t="n">
        <v>12.338</v>
      </c>
      <c r="AS127" s="7" t="n">
        <v>3</v>
      </c>
      <c r="AT127" s="7" t="n">
        <v>0.626</v>
      </c>
      <c r="AU127" s="7" t="n">
        <v>2.69887169910163</v>
      </c>
      <c r="AV127" s="7" t="n">
        <v>5.73820895522388</v>
      </c>
      <c r="AW127" s="7" t="n">
        <v>-0.092312284365053</v>
      </c>
      <c r="AX127" s="10" t="n">
        <v>0.0441</v>
      </c>
      <c r="AY127" s="8" t="n">
        <v>0</v>
      </c>
      <c r="AZ127" s="6" t="n">
        <f aca="false">IFERROR(AY127/R127,"")</f>
        <v>0</v>
      </c>
      <c r="BA127" s="10" t="n">
        <v>0</v>
      </c>
      <c r="BB127" s="8" t="n">
        <v>0</v>
      </c>
      <c r="BC127" s="7"/>
      <c r="BD127" s="7"/>
      <c r="BE127" s="7"/>
      <c r="BF127" s="8"/>
      <c r="BG127" s="7"/>
      <c r="BH127" s="6"/>
      <c r="BI127" s="7"/>
      <c r="BJ127" s="8" t="n">
        <v>8</v>
      </c>
      <c r="BK127" s="8" t="n">
        <v>3</v>
      </c>
      <c r="BL127" s="8" t="n">
        <v>1</v>
      </c>
      <c r="BM127" s="8" t="n">
        <v>6</v>
      </c>
      <c r="BN127" s="7" t="n">
        <v>2.94</v>
      </c>
      <c r="BO127" s="7" t="n">
        <f aca="false">IFERROR(BM127-BN127,"")</f>
        <v>3.06</v>
      </c>
      <c r="BP127" s="9" t="n">
        <f aca="false">IFERROR(BM127/AH127,"")</f>
        <v>0.0882352941176471</v>
      </c>
      <c r="BQ127" s="6" t="n">
        <v>45.8</v>
      </c>
      <c r="BR127" s="6" t="n">
        <v>34.1</v>
      </c>
      <c r="BS127" s="6" t="n">
        <v>59.3</v>
      </c>
      <c r="BT127" s="7" t="n">
        <v>2.812</v>
      </c>
      <c r="BU127" s="10" t="n">
        <v>0.1937</v>
      </c>
      <c r="BV127" s="10" t="n">
        <v>0.485714285714286</v>
      </c>
      <c r="BW127" s="7" t="n">
        <v>2.099</v>
      </c>
      <c r="BX127" s="10" t="n">
        <v>0.2216</v>
      </c>
      <c r="BY127" s="10" t="n">
        <v>0.0526</v>
      </c>
      <c r="BZ127" s="7" t="n">
        <v>2.345</v>
      </c>
      <c r="CA127" s="10" t="n">
        <v>0.713</v>
      </c>
      <c r="CB127" s="8" t="n">
        <v>2</v>
      </c>
      <c r="CC127" s="10" t="n">
        <v>-0.0098</v>
      </c>
      <c r="CD127" s="10" t="n">
        <v>0.5638</v>
      </c>
      <c r="CE127" s="6" t="n">
        <v>63.41</v>
      </c>
      <c r="CF127" s="6" t="n">
        <v>38</v>
      </c>
      <c r="CG127" s="7" t="n">
        <v>3.41</v>
      </c>
      <c r="CH127" s="6" t="n">
        <v>23.8</v>
      </c>
      <c r="CI127" s="9" t="n">
        <v>-0.0779</v>
      </c>
      <c r="CJ127" s="9" t="n">
        <v>0.036</v>
      </c>
      <c r="CK127" s="8" t="n">
        <v>82</v>
      </c>
      <c r="CL127" s="10" t="n">
        <v>0.148</v>
      </c>
      <c r="CM127" s="8" t="n">
        <v>21</v>
      </c>
      <c r="CN127" s="10" t="n">
        <v>0.044</v>
      </c>
      <c r="CO127" s="8" t="n">
        <v>18</v>
      </c>
      <c r="CP127" s="7" t="n">
        <v>-0.21</v>
      </c>
      <c r="CQ127" s="7" t="n">
        <v>-0.868</v>
      </c>
      <c r="CR127" s="4" t="s">
        <v>102</v>
      </c>
      <c r="CS127" s="4"/>
    </row>
    <row r="128" customFormat="false" ht="15" hidden="false" customHeight="false" outlineLevel="0" collapsed="false">
      <c r="A128" s="3" t="n">
        <v>126</v>
      </c>
      <c r="B128" s="4" t="s">
        <v>393</v>
      </c>
      <c r="C128" s="5" t="s">
        <v>99</v>
      </c>
      <c r="D128" s="4" t="s">
        <v>394</v>
      </c>
      <c r="E128" s="4" t="s">
        <v>191</v>
      </c>
      <c r="F128" s="4" t="s">
        <v>99</v>
      </c>
      <c r="G128" s="3" t="n">
        <v>2</v>
      </c>
      <c r="H128" s="6" t="n">
        <v>24.8</v>
      </c>
      <c r="I128" s="3" t="n">
        <v>3</v>
      </c>
      <c r="J128" s="3" t="n">
        <v>5</v>
      </c>
      <c r="K128" s="7" t="n">
        <v>125.3</v>
      </c>
      <c r="L128" s="7" t="n">
        <v>13.93</v>
      </c>
      <c r="M128" s="8" t="n">
        <v>90</v>
      </c>
      <c r="N128" s="8" t="n">
        <v>163</v>
      </c>
      <c r="O128" s="7" t="n">
        <v>125.3</v>
      </c>
      <c r="P128" s="6" t="n">
        <v>45.2</v>
      </c>
      <c r="Q128" s="4" t="s">
        <v>191</v>
      </c>
      <c r="R128" s="8" t="n">
        <v>11</v>
      </c>
      <c r="S128" s="6" t="n">
        <v>90.4</v>
      </c>
      <c r="T128" s="7" t="n">
        <f aca="false">IFERROR(S128/R128,"")</f>
        <v>8.21818181818182</v>
      </c>
      <c r="U128" s="6" t="n">
        <v>73.9</v>
      </c>
      <c r="V128" s="6" t="n">
        <v>57.4</v>
      </c>
      <c r="W128" s="8" t="n">
        <v>63</v>
      </c>
      <c r="X128" s="7" t="n">
        <f aca="false">IFERROR(S128/AH128,"")</f>
        <v>2.10232558139535</v>
      </c>
      <c r="Y128" s="9" t="n">
        <f aca="false">IFERROR(S128/AF128,"")</f>
        <v>0.205922551252847</v>
      </c>
      <c r="Z128" s="6" t="n">
        <v>4.35</v>
      </c>
      <c r="AA128" s="6" t="n">
        <v>6.6</v>
      </c>
      <c r="AB128" s="6" t="n">
        <v>15.35</v>
      </c>
      <c r="AC128" s="10" t="n">
        <v>0.091</v>
      </c>
      <c r="AD128" s="10" t="n">
        <v>0.091</v>
      </c>
      <c r="AE128" s="7" t="n">
        <v>0.889</v>
      </c>
      <c r="AF128" s="8" t="n">
        <v>439</v>
      </c>
      <c r="AG128" s="10" t="n">
        <v>0.694</v>
      </c>
      <c r="AH128" s="8" t="n">
        <v>43</v>
      </c>
      <c r="AI128" s="8" t="n">
        <v>43</v>
      </c>
      <c r="AJ128" s="6" t="n">
        <f aca="false">IFERROR(AI128/R128,"")</f>
        <v>3.90909090909091</v>
      </c>
      <c r="AK128" s="10" t="n">
        <v>0.1488</v>
      </c>
      <c r="AL128" s="10" t="n">
        <v>0.2211</v>
      </c>
      <c r="AM128" s="9" t="n">
        <v>0.378</v>
      </c>
      <c r="AN128" s="8" t="n">
        <v>33</v>
      </c>
      <c r="AO128" s="10" t="n">
        <f aca="false">IFERROR(AN128/AI128,"")</f>
        <v>0.767441860465116</v>
      </c>
      <c r="AP128" s="8" t="n">
        <v>394</v>
      </c>
      <c r="AQ128" s="7" t="n">
        <f aca="false">IFERROR(AP128/AI128,"")</f>
        <v>9.16279069767442</v>
      </c>
      <c r="AR128" s="6" t="n">
        <v>10.116</v>
      </c>
      <c r="AS128" s="7" t="n">
        <v>3.091</v>
      </c>
      <c r="AT128" s="7" t="n">
        <v>0.906</v>
      </c>
      <c r="AU128" s="7"/>
      <c r="AV128" s="7"/>
      <c r="AW128" s="7"/>
      <c r="AX128" s="10" t="n">
        <v>0</v>
      </c>
      <c r="AY128" s="8" t="n">
        <v>0</v>
      </c>
      <c r="AZ128" s="6" t="n">
        <f aca="false">IFERROR(AY128/R128,"")</f>
        <v>0</v>
      </c>
      <c r="BA128" s="10" t="n">
        <v>0</v>
      </c>
      <c r="BB128" s="8" t="n">
        <v>0</v>
      </c>
      <c r="BC128" s="7"/>
      <c r="BD128" s="7"/>
      <c r="BE128" s="7"/>
      <c r="BF128" s="8"/>
      <c r="BG128" s="7"/>
      <c r="BH128" s="6"/>
      <c r="BI128" s="7"/>
      <c r="BJ128" s="8" t="n">
        <v>3</v>
      </c>
      <c r="BK128" s="8" t="n">
        <v>2</v>
      </c>
      <c r="BL128" s="8" t="n">
        <v>0</v>
      </c>
      <c r="BM128" s="8" t="n">
        <v>3</v>
      </c>
      <c r="BN128" s="7" t="n">
        <v>1.34</v>
      </c>
      <c r="BO128" s="7" t="n">
        <f aca="false">IFERROR(BM128-BN128,"")</f>
        <v>1.66</v>
      </c>
      <c r="BP128" s="9" t="n">
        <f aca="false">IFERROR(BM128/AH128,"")</f>
        <v>0.0697674418604651</v>
      </c>
      <c r="BQ128" s="6" t="n">
        <v>56.6</v>
      </c>
      <c r="BR128" s="6" t="n">
        <v>63.1</v>
      </c>
      <c r="BS128" s="6" t="n">
        <v>47.3</v>
      </c>
      <c r="BT128" s="7" t="n">
        <v>3.179</v>
      </c>
      <c r="BU128" s="10" t="n">
        <v>0.1391</v>
      </c>
      <c r="BV128" s="10" t="n">
        <v>0.689655172413793</v>
      </c>
      <c r="BW128" s="7" t="n">
        <v>2.49</v>
      </c>
      <c r="BX128" s="10" t="n">
        <v>0.2718</v>
      </c>
      <c r="BY128" s="10" t="n">
        <v>0.0629</v>
      </c>
      <c r="BZ128" s="7" t="n">
        <v>2.4</v>
      </c>
      <c r="CA128" s="10" t="n">
        <v>0.596</v>
      </c>
      <c r="CB128" s="8" t="n">
        <v>3</v>
      </c>
      <c r="CC128" s="10" t="n">
        <v>-0.061</v>
      </c>
      <c r="CD128" s="10" t="n">
        <v>0.5106</v>
      </c>
      <c r="CE128" s="6" t="n">
        <v>58.59</v>
      </c>
      <c r="CF128" s="6" t="n">
        <v>39</v>
      </c>
      <c r="CG128" s="7" t="n">
        <v>2.82</v>
      </c>
      <c r="CH128" s="6" t="n">
        <v>18.3</v>
      </c>
      <c r="CI128" s="9" t="n">
        <v>-0.0262</v>
      </c>
      <c r="CJ128" s="9" t="n">
        <v>-0.0498</v>
      </c>
      <c r="CK128" s="8" t="n">
        <v>50</v>
      </c>
      <c r="CL128" s="10" t="n">
        <v>0.104</v>
      </c>
      <c r="CM128" s="8" t="n">
        <v>242</v>
      </c>
      <c r="CN128" s="10" t="n">
        <v>0.525</v>
      </c>
      <c r="CO128" s="8" t="n">
        <v>40</v>
      </c>
      <c r="CP128" s="7" t="n">
        <v>-0.919</v>
      </c>
      <c r="CQ128" s="7" t="n">
        <v>-0.701</v>
      </c>
      <c r="CR128" s="4" t="s">
        <v>121</v>
      </c>
      <c r="CS128" s="4"/>
    </row>
    <row r="129" customFormat="false" ht="15" hidden="false" customHeight="false" outlineLevel="0" collapsed="false">
      <c r="A129" s="3" t="n">
        <v>127</v>
      </c>
      <c r="B129" s="4" t="s">
        <v>395</v>
      </c>
      <c r="C129" s="5" t="s">
        <v>99</v>
      </c>
      <c r="D129" s="4" t="s">
        <v>396</v>
      </c>
      <c r="E129" s="4" t="s">
        <v>164</v>
      </c>
      <c r="F129" s="4" t="s">
        <v>99</v>
      </c>
      <c r="G129" s="3" t="n">
        <v>2</v>
      </c>
      <c r="H129" s="6" t="n">
        <v>23.3</v>
      </c>
      <c r="I129" s="3" t="n">
        <v>3</v>
      </c>
      <c r="J129" s="3" t="n">
        <v>5</v>
      </c>
      <c r="K129" s="7" t="n">
        <v>127.07</v>
      </c>
      <c r="L129" s="7" t="n">
        <v>13.27</v>
      </c>
      <c r="M129" s="8" t="n">
        <v>90</v>
      </c>
      <c r="N129" s="8" t="n">
        <v>180</v>
      </c>
      <c r="O129" s="7" t="n">
        <v>127.07</v>
      </c>
      <c r="P129" s="6" t="n">
        <v>67.3</v>
      </c>
      <c r="Q129" s="4" t="s">
        <v>164</v>
      </c>
      <c r="R129" s="8" t="n">
        <v>14</v>
      </c>
      <c r="S129" s="6" t="n">
        <v>109.9</v>
      </c>
      <c r="T129" s="7" t="n">
        <f aca="false">IFERROR(S129/R129,"")</f>
        <v>7.85</v>
      </c>
      <c r="U129" s="6" t="n">
        <v>88.9</v>
      </c>
      <c r="V129" s="6" t="n">
        <v>67.9</v>
      </c>
      <c r="W129" s="8" t="n">
        <v>57</v>
      </c>
      <c r="X129" s="7" t="n">
        <f aca="false">IFERROR(S129/AH129,"")</f>
        <v>1.30833333333333</v>
      </c>
      <c r="Y129" s="9" t="n">
        <f aca="false">IFERROR(S129/AF129,"")</f>
        <v>0.170387596899225</v>
      </c>
      <c r="Z129" s="6" t="n">
        <v>5.62</v>
      </c>
      <c r="AA129" s="6" t="n">
        <v>8.15</v>
      </c>
      <c r="AB129" s="6" t="n">
        <v>11.12</v>
      </c>
      <c r="AC129" s="10" t="n">
        <v>0</v>
      </c>
      <c r="AD129" s="10" t="n">
        <v>0.143</v>
      </c>
      <c r="AE129" s="7" t="n">
        <v>0.555</v>
      </c>
      <c r="AF129" s="8" t="n">
        <v>645</v>
      </c>
      <c r="AG129" s="10" t="n">
        <v>0.706</v>
      </c>
      <c r="AH129" s="8" t="n">
        <v>84</v>
      </c>
      <c r="AI129" s="8" t="n">
        <v>73</v>
      </c>
      <c r="AJ129" s="6" t="n">
        <f aca="false">IFERROR(AI129/R129,"")</f>
        <v>5.21428571428571</v>
      </c>
      <c r="AK129" s="10" t="n">
        <v>0.1604</v>
      </c>
      <c r="AL129" s="10" t="n">
        <v>0.2729</v>
      </c>
      <c r="AM129" s="9" t="n">
        <v>0.4316</v>
      </c>
      <c r="AN129" s="8" t="n">
        <v>42</v>
      </c>
      <c r="AO129" s="10" t="n">
        <f aca="false">IFERROR(AN129/AI129,"")</f>
        <v>0.575342465753425</v>
      </c>
      <c r="AP129" s="8" t="n">
        <v>532</v>
      </c>
      <c r="AQ129" s="7" t="n">
        <f aca="false">IFERROR(AP129/AI129,"")</f>
        <v>7.28767123287671</v>
      </c>
      <c r="AR129" s="6" t="n">
        <v>12.932</v>
      </c>
      <c r="AS129" s="7" t="n">
        <v>4.595</v>
      </c>
      <c r="AT129" s="7" t="n">
        <v>0.564</v>
      </c>
      <c r="AU129" s="7" t="n">
        <v>3.45903024945309</v>
      </c>
      <c r="AV129" s="7" t="n">
        <v>6.29442857142857</v>
      </c>
      <c r="AW129" s="7" t="n">
        <v>-0.46204643103519</v>
      </c>
      <c r="AX129" s="10" t="n">
        <v>0.0137</v>
      </c>
      <c r="AY129" s="8" t="n">
        <v>11</v>
      </c>
      <c r="AZ129" s="6" t="n">
        <f aca="false">IFERROR(AY129/R129,"")</f>
        <v>0.785714285714286</v>
      </c>
      <c r="BA129" s="10" t="n">
        <v>0.0312</v>
      </c>
      <c r="BB129" s="8" t="n">
        <v>87</v>
      </c>
      <c r="BC129" s="7"/>
      <c r="BD129" s="7"/>
      <c r="BE129" s="7"/>
      <c r="BF129" s="8" t="n">
        <v>1</v>
      </c>
      <c r="BG129" s="7"/>
      <c r="BH129" s="6"/>
      <c r="BI129" s="7"/>
      <c r="BJ129" s="8" t="n">
        <v>6</v>
      </c>
      <c r="BK129" s="8" t="n">
        <v>2</v>
      </c>
      <c r="BL129" s="8" t="n">
        <v>1</v>
      </c>
      <c r="BM129" s="8" t="n">
        <v>1</v>
      </c>
      <c r="BN129" s="7" t="n">
        <v>2.42</v>
      </c>
      <c r="BO129" s="7" t="n">
        <f aca="false">IFERROR(BM129-BN129,"")</f>
        <v>-1.42</v>
      </c>
      <c r="BP129" s="9" t="n">
        <f aca="false">IFERROR(BM129/AH129,"")</f>
        <v>0.0119047619047619</v>
      </c>
      <c r="BQ129" s="6" t="n">
        <v>50.1</v>
      </c>
      <c r="BR129" s="6" t="n">
        <v>66.2</v>
      </c>
      <c r="BS129" s="6" t="n">
        <v>34</v>
      </c>
      <c r="BT129" s="7" t="n">
        <v>3.062</v>
      </c>
      <c r="BU129" s="10" t="n">
        <v>0.1258</v>
      </c>
      <c r="BV129" s="10" t="n">
        <v>0.8125</v>
      </c>
      <c r="BW129" s="7" t="n">
        <v>2.623</v>
      </c>
      <c r="BX129" s="10" t="n">
        <v>0.2877</v>
      </c>
      <c r="BY129" s="10" t="n">
        <v>0.0659</v>
      </c>
      <c r="BZ129" s="7" t="n">
        <v>2.212</v>
      </c>
      <c r="CA129" s="10" t="n">
        <v>0.864</v>
      </c>
      <c r="CB129" s="8" t="n">
        <v>5</v>
      </c>
      <c r="CC129" s="10" t="n">
        <v>0.0395</v>
      </c>
      <c r="CD129" s="10" t="n">
        <v>0.5721</v>
      </c>
      <c r="CE129" s="6" t="n">
        <v>61.65</v>
      </c>
      <c r="CF129" s="6" t="n">
        <v>38</v>
      </c>
      <c r="CG129" s="7" t="n">
        <v>3.71</v>
      </c>
      <c r="CH129" s="6" t="n">
        <v>21.3</v>
      </c>
      <c r="CI129" s="9" t="n">
        <v>0.0273</v>
      </c>
      <c r="CJ129" s="9" t="n">
        <v>0.0399</v>
      </c>
      <c r="CK129" s="8" t="n">
        <v>147</v>
      </c>
      <c r="CL129" s="10" t="n">
        <v>0.268</v>
      </c>
      <c r="CM129" s="8" t="n">
        <v>129</v>
      </c>
      <c r="CN129" s="10" t="n">
        <v>0.3</v>
      </c>
      <c r="CO129" s="8" t="n">
        <v>43</v>
      </c>
      <c r="CP129" s="7" t="n">
        <v>-0.621</v>
      </c>
      <c r="CQ129" s="7" t="n">
        <v>-0.753</v>
      </c>
      <c r="CR129" s="4" t="s">
        <v>121</v>
      </c>
      <c r="CS129" s="4"/>
    </row>
    <row r="130" customFormat="false" ht="15" hidden="false" customHeight="false" outlineLevel="0" collapsed="false">
      <c r="A130" s="3" t="n">
        <v>128</v>
      </c>
      <c r="B130" s="4" t="s">
        <v>397</v>
      </c>
      <c r="C130" s="12" t="s">
        <v>149</v>
      </c>
      <c r="D130" s="4" t="s">
        <v>398</v>
      </c>
      <c r="E130" s="4" t="s">
        <v>183</v>
      </c>
      <c r="F130" s="4" t="s">
        <v>149</v>
      </c>
      <c r="G130" s="3" t="n">
        <v>1</v>
      </c>
      <c r="H130" s="6" t="n">
        <v>30.9</v>
      </c>
      <c r="I130" s="3" t="n">
        <v>9</v>
      </c>
      <c r="J130" s="3" t="n">
        <v>13</v>
      </c>
      <c r="K130" s="7" t="n">
        <v>127.48</v>
      </c>
      <c r="L130" s="7" t="n">
        <v>20.12</v>
      </c>
      <c r="M130" s="8" t="n">
        <v>95</v>
      </c>
      <c r="N130" s="8" t="n">
        <v>173</v>
      </c>
      <c r="O130" s="7" t="n">
        <v>127.48</v>
      </c>
      <c r="P130" s="6" t="n">
        <v>81.9</v>
      </c>
      <c r="Q130" s="4" t="s">
        <v>183</v>
      </c>
      <c r="R130" s="8" t="n">
        <v>17</v>
      </c>
      <c r="S130" s="6" t="n">
        <v>131</v>
      </c>
      <c r="T130" s="7" t="n">
        <f aca="false">IFERROR(S130/R130,"")</f>
        <v>7.70588235294118</v>
      </c>
      <c r="U130" s="6" t="n">
        <v>107</v>
      </c>
      <c r="V130" s="6" t="n">
        <v>83</v>
      </c>
      <c r="W130" s="8" t="n">
        <v>16</v>
      </c>
      <c r="X130" s="7" t="n">
        <f aca="false">IFERROR(S130/AH130,"")</f>
        <v>1.6375</v>
      </c>
      <c r="Y130" s="9" t="n">
        <f aca="false">IFERROR(S130/AF130,"")</f>
        <v>0.207936507936508</v>
      </c>
      <c r="Z130" s="6" t="n">
        <v>3.4</v>
      </c>
      <c r="AA130" s="6" t="n">
        <v>6.4</v>
      </c>
      <c r="AB130" s="6" t="n">
        <v>13.58</v>
      </c>
      <c r="AC130" s="10" t="n">
        <v>0.176</v>
      </c>
      <c r="AD130" s="10" t="n">
        <v>0.059</v>
      </c>
      <c r="AE130" s="7" t="n">
        <v>1.06</v>
      </c>
      <c r="AF130" s="8" t="n">
        <v>630</v>
      </c>
      <c r="AG130" s="10" t="n">
        <v>0.617</v>
      </c>
      <c r="AH130" s="8" t="n">
        <v>80</v>
      </c>
      <c r="AI130" s="8" t="n">
        <v>70</v>
      </c>
      <c r="AJ130" s="6" t="n">
        <f aca="false">IFERROR(AI130/R130,"")</f>
        <v>4.11764705882353</v>
      </c>
      <c r="AK130" s="10" t="n">
        <v>0.172</v>
      </c>
      <c r="AL130" s="10" t="n">
        <v>0.1505</v>
      </c>
      <c r="AM130" s="9" t="n">
        <v>0.3634</v>
      </c>
      <c r="AN130" s="8" t="n">
        <v>48</v>
      </c>
      <c r="AO130" s="10" t="n">
        <f aca="false">IFERROR(AN130/AI130,"")</f>
        <v>0.685714285714286</v>
      </c>
      <c r="AP130" s="8" t="n">
        <v>422</v>
      </c>
      <c r="AQ130" s="7" t="n">
        <f aca="false">IFERROR(AP130/AI130,"")</f>
        <v>6.02857142857143</v>
      </c>
      <c r="AR130" s="6" t="n">
        <v>7.257</v>
      </c>
      <c r="AS130" s="7" t="n">
        <v>2.104</v>
      </c>
      <c r="AT130" s="7" t="n">
        <v>0.831</v>
      </c>
      <c r="AU130" s="7" t="n">
        <v>2.91067902892665</v>
      </c>
      <c r="AV130" s="7" t="n">
        <v>4.64952380952381</v>
      </c>
      <c r="AW130" s="7" t="n">
        <v>-0.408672437986961</v>
      </c>
      <c r="AX130" s="10" t="n">
        <v>0.0429</v>
      </c>
      <c r="AY130" s="8" t="n">
        <v>10</v>
      </c>
      <c r="AZ130" s="6" t="n">
        <f aca="false">IFERROR(AY130/R130,"")</f>
        <v>0.588235294117647</v>
      </c>
      <c r="BA130" s="10" t="n">
        <v>0.0197</v>
      </c>
      <c r="BB130" s="8" t="n">
        <v>48</v>
      </c>
      <c r="BC130" s="7"/>
      <c r="BD130" s="7"/>
      <c r="BE130" s="7"/>
      <c r="BF130" s="8" t="n">
        <v>0</v>
      </c>
      <c r="BG130" s="7"/>
      <c r="BH130" s="6"/>
      <c r="BI130" s="7"/>
      <c r="BJ130" s="8" t="n">
        <v>18</v>
      </c>
      <c r="BK130" s="8" t="n">
        <v>12</v>
      </c>
      <c r="BL130" s="8" t="n">
        <v>10</v>
      </c>
      <c r="BM130" s="8" t="n">
        <v>6</v>
      </c>
      <c r="BN130" s="7" t="n">
        <v>7.27</v>
      </c>
      <c r="BO130" s="7" t="n">
        <f aca="false">IFERROR(BM130-BN130,"")</f>
        <v>-1.27</v>
      </c>
      <c r="BP130" s="9" t="n">
        <f aca="false">IFERROR(BM130/AH130,"")</f>
        <v>0.075</v>
      </c>
      <c r="BQ130" s="6" t="n">
        <v>53.2</v>
      </c>
      <c r="BR130" s="6" t="n">
        <v>64.1</v>
      </c>
      <c r="BS130" s="6" t="n">
        <v>41</v>
      </c>
      <c r="BT130" s="7" t="n">
        <v>3.032</v>
      </c>
      <c r="BU130" s="10" t="n">
        <v>0.1574</v>
      </c>
      <c r="BV130" s="10" t="n">
        <v>0.648648648648649</v>
      </c>
      <c r="BW130" s="7" t="n">
        <v>3.144</v>
      </c>
      <c r="BX130" s="10" t="n">
        <v>0.2725</v>
      </c>
      <c r="BY130" s="10" t="n">
        <v>0.0849</v>
      </c>
      <c r="BZ130" s="7" t="n">
        <v>2.454</v>
      </c>
      <c r="CA130" s="10" t="n">
        <v>0.572</v>
      </c>
      <c r="CB130" s="8" t="n">
        <v>2</v>
      </c>
      <c r="CC130" s="10" t="n">
        <v>-0.0884</v>
      </c>
      <c r="CD130" s="10" t="n">
        <v>0.4667</v>
      </c>
      <c r="CE130" s="6" t="n">
        <v>56.24</v>
      </c>
      <c r="CF130" s="6" t="n">
        <v>39</v>
      </c>
      <c r="CG130" s="7" t="n">
        <v>3.59</v>
      </c>
      <c r="CH130" s="6" t="n">
        <v>24.9</v>
      </c>
      <c r="CI130" s="9" t="n">
        <v>0.0996</v>
      </c>
      <c r="CJ130" s="9" t="n">
        <v>-0.035</v>
      </c>
      <c r="CK130" s="8" t="n">
        <v>75</v>
      </c>
      <c r="CL130" s="10" t="n">
        <v>0.184</v>
      </c>
      <c r="CM130" s="8" t="n">
        <v>64</v>
      </c>
      <c r="CN130" s="10" t="n">
        <v>0.126</v>
      </c>
      <c r="CO130" s="8" t="n">
        <v>26</v>
      </c>
      <c r="CP130" s="7" t="n">
        <v>-0.135</v>
      </c>
      <c r="CQ130" s="7" t="n">
        <v>-0.442</v>
      </c>
      <c r="CR130" s="4" t="s">
        <v>102</v>
      </c>
      <c r="CS130" s="4"/>
    </row>
    <row r="131" customFormat="false" ht="15" hidden="false" customHeight="false" outlineLevel="0" collapsed="false">
      <c r="A131" s="3" t="n">
        <v>129</v>
      </c>
      <c r="B131" s="4" t="s">
        <v>399</v>
      </c>
      <c r="C131" s="5" t="s">
        <v>99</v>
      </c>
      <c r="D131" s="4" t="s">
        <v>400</v>
      </c>
      <c r="E131" s="4" t="s">
        <v>135</v>
      </c>
      <c r="F131" s="4" t="s">
        <v>99</v>
      </c>
      <c r="G131" s="3" t="n">
        <v>2</v>
      </c>
      <c r="H131" s="6" t="n">
        <v>26.3</v>
      </c>
      <c r="I131" s="3" t="n">
        <v>5</v>
      </c>
      <c r="J131" s="3" t="n">
        <v>11</v>
      </c>
      <c r="K131" s="7" t="n">
        <v>129.36</v>
      </c>
      <c r="L131" s="7" t="n">
        <v>13.92</v>
      </c>
      <c r="M131" s="8" t="n">
        <v>96</v>
      </c>
      <c r="N131" s="8" t="n">
        <v>170</v>
      </c>
      <c r="O131" s="7" t="n">
        <v>129.36</v>
      </c>
      <c r="P131" s="6" t="n">
        <v>58.8</v>
      </c>
      <c r="Q131" s="4" t="s">
        <v>218</v>
      </c>
      <c r="R131" s="8" t="n">
        <v>16</v>
      </c>
      <c r="S131" s="6" t="n">
        <v>165.4</v>
      </c>
      <c r="T131" s="7" t="n">
        <f aca="false">IFERROR(S131/R131,"")</f>
        <v>10.3375</v>
      </c>
      <c r="U131" s="6" t="n">
        <v>137.9</v>
      </c>
      <c r="V131" s="6" t="n">
        <v>110.4</v>
      </c>
      <c r="W131" s="8" t="n">
        <v>37</v>
      </c>
      <c r="X131" s="7" t="n">
        <f aca="false">IFERROR(S131/AH131,"")</f>
        <v>1.94588235294118</v>
      </c>
      <c r="Y131" s="9" t="n">
        <f aca="false">IFERROR(S131/AF131,"")</f>
        <v>0.212051282051282</v>
      </c>
      <c r="Z131" s="6" t="n">
        <v>5.32</v>
      </c>
      <c r="AA131" s="6" t="n">
        <v>9.35</v>
      </c>
      <c r="AB131" s="6" t="n">
        <v>15.38</v>
      </c>
      <c r="AC131" s="10" t="n">
        <v>0.062</v>
      </c>
      <c r="AD131" s="10" t="n">
        <v>0.125</v>
      </c>
      <c r="AE131" s="7" t="n">
        <v>0.777</v>
      </c>
      <c r="AF131" s="8" t="n">
        <v>780</v>
      </c>
      <c r="AG131" s="10" t="n">
        <v>0.776</v>
      </c>
      <c r="AH131" s="8" t="n">
        <v>85</v>
      </c>
      <c r="AI131" s="8" t="n">
        <v>85</v>
      </c>
      <c r="AJ131" s="6" t="n">
        <f aca="false">IFERROR(AI131/R131,"")</f>
        <v>5.3125</v>
      </c>
      <c r="AK131" s="10" t="n">
        <v>0.1889</v>
      </c>
      <c r="AL131" s="10" t="n">
        <v>0.267</v>
      </c>
      <c r="AM131" s="9" t="n">
        <v>0.4702</v>
      </c>
      <c r="AN131" s="8" t="n">
        <v>55</v>
      </c>
      <c r="AO131" s="10" t="n">
        <f aca="false">IFERROR(AN131/AI131,"")</f>
        <v>0.647058823529412</v>
      </c>
      <c r="AP131" s="8" t="n">
        <v>724</v>
      </c>
      <c r="AQ131" s="7" t="n">
        <f aca="false">IFERROR(AP131/AI131,"")</f>
        <v>8.51764705882353</v>
      </c>
      <c r="AR131" s="6" t="n">
        <v>12.765</v>
      </c>
      <c r="AS131" s="7" t="n">
        <v>2.964</v>
      </c>
      <c r="AT131" s="7" t="n">
        <v>0.667</v>
      </c>
      <c r="AU131" s="7" t="n">
        <v>2.26600953315946</v>
      </c>
      <c r="AV131" s="7" t="n">
        <v>5.98717647058823</v>
      </c>
      <c r="AW131" s="7" t="n">
        <v>0.362418291722585</v>
      </c>
      <c r="AX131" s="10" t="n">
        <v>0.0353</v>
      </c>
      <c r="AY131" s="8" t="n">
        <v>0</v>
      </c>
      <c r="AZ131" s="6" t="n">
        <f aca="false">IFERROR(AY131/R131,"")</f>
        <v>0</v>
      </c>
      <c r="BA131" s="10" t="n">
        <v>0</v>
      </c>
      <c r="BB131" s="8" t="n">
        <v>0</v>
      </c>
      <c r="BC131" s="7"/>
      <c r="BD131" s="7"/>
      <c r="BE131" s="7"/>
      <c r="BF131" s="8"/>
      <c r="BG131" s="7"/>
      <c r="BH131" s="6"/>
      <c r="BI131" s="7"/>
      <c r="BJ131" s="8" t="n">
        <v>17</v>
      </c>
      <c r="BK131" s="8" t="n">
        <v>8</v>
      </c>
      <c r="BL131" s="8" t="n">
        <v>5</v>
      </c>
      <c r="BM131" s="8" t="n">
        <v>6</v>
      </c>
      <c r="BN131" s="7" t="n">
        <v>6.03</v>
      </c>
      <c r="BO131" s="7" t="n">
        <f aca="false">IFERROR(BM131-BN131,"")</f>
        <v>-0.0300000000000003</v>
      </c>
      <c r="BP131" s="9" t="n">
        <f aca="false">IFERROR(BM131/AH131,"")</f>
        <v>0.0705882352941177</v>
      </c>
      <c r="BQ131" s="6" t="n">
        <v>41.6</v>
      </c>
      <c r="BR131" s="6" t="n">
        <v>43.3</v>
      </c>
      <c r="BS131" s="6" t="n">
        <v>43.5</v>
      </c>
      <c r="BT131" s="7" t="n">
        <v>2.802</v>
      </c>
      <c r="BU131" s="10" t="n">
        <v>0.1883</v>
      </c>
      <c r="BV131" s="10" t="n">
        <v>0.575757575757576</v>
      </c>
      <c r="BW131" s="7" t="n">
        <v>2.561</v>
      </c>
      <c r="BX131" s="10" t="n">
        <v>0.261</v>
      </c>
      <c r="BY131" s="10" t="n">
        <v>0.0789</v>
      </c>
      <c r="BZ131" s="7" t="n">
        <v>2.406</v>
      </c>
      <c r="CA131" s="10" t="n">
        <v>0.533</v>
      </c>
      <c r="CB131" s="8" t="n">
        <v>3</v>
      </c>
      <c r="CC131" s="10" t="n">
        <v>0.0242</v>
      </c>
      <c r="CD131" s="10" t="n">
        <v>0.5691</v>
      </c>
      <c r="CE131" s="6" t="n">
        <v>59.82</v>
      </c>
      <c r="CF131" s="6" t="n">
        <v>38</v>
      </c>
      <c r="CG131" s="7" t="n">
        <v>3.76</v>
      </c>
      <c r="CH131" s="6" t="n">
        <v>28.8</v>
      </c>
      <c r="CI131" s="9" t="n">
        <v>0.0077</v>
      </c>
      <c r="CJ131" s="9" t="n">
        <v>0.2873</v>
      </c>
      <c r="CK131" s="8" t="n">
        <v>128</v>
      </c>
      <c r="CL131" s="10" t="n">
        <v>0.266</v>
      </c>
      <c r="CM131" s="8" t="n">
        <v>10</v>
      </c>
      <c r="CN131" s="10" t="n">
        <v>0.02</v>
      </c>
      <c r="CO131" s="8" t="n">
        <v>17</v>
      </c>
      <c r="CP131" s="7" t="n">
        <v>0.291</v>
      </c>
      <c r="CQ131" s="7" t="n">
        <v>-0.06</v>
      </c>
      <c r="CR131" s="4" t="s">
        <v>102</v>
      </c>
      <c r="CS131" s="4"/>
    </row>
    <row r="132" customFormat="false" ht="15" hidden="false" customHeight="false" outlineLevel="0" collapsed="false">
      <c r="A132" s="3" t="n">
        <v>130</v>
      </c>
      <c r="B132" s="4" t="s">
        <v>401</v>
      </c>
      <c r="C132" s="13" t="s">
        <v>172</v>
      </c>
      <c r="D132" s="4" t="s">
        <v>402</v>
      </c>
      <c r="E132" s="4" t="s">
        <v>161</v>
      </c>
      <c r="F132" s="4" t="s">
        <v>172</v>
      </c>
      <c r="G132" s="3" t="n">
        <v>1</v>
      </c>
      <c r="H132" s="6" t="n">
        <v>27.2</v>
      </c>
      <c r="I132" s="3" t="n">
        <v>5</v>
      </c>
      <c r="J132" s="3" t="n">
        <v>6</v>
      </c>
      <c r="K132" s="7" t="n">
        <v>130.22</v>
      </c>
      <c r="L132" s="7" t="n">
        <v>23.63</v>
      </c>
      <c r="M132" s="8" t="n">
        <v>101</v>
      </c>
      <c r="N132" s="8" t="n">
        <v>300</v>
      </c>
      <c r="O132" s="7" t="n">
        <v>130.22</v>
      </c>
      <c r="P132" s="6" t="n">
        <v>37.4</v>
      </c>
      <c r="Q132" s="4" t="s">
        <v>218</v>
      </c>
      <c r="R132" s="8" t="n">
        <v>4</v>
      </c>
      <c r="S132" s="6" t="n">
        <v>51.18</v>
      </c>
      <c r="T132" s="7" t="n">
        <f aca="false">IFERROR(S132/R132,"")</f>
        <v>12.795</v>
      </c>
      <c r="U132" s="6" t="n">
        <v>51.18</v>
      </c>
      <c r="V132" s="6" t="n">
        <v>51.18</v>
      </c>
      <c r="W132" s="8" t="n">
        <v>30</v>
      </c>
      <c r="X132" s="7" t="n">
        <f aca="false">IFERROR(S132/AH132,"")</f>
        <v>2.32636363636364</v>
      </c>
      <c r="Y132" s="9" t="n">
        <f aca="false">IFERROR(S132/AF132,"")</f>
        <v>0.522244897959184</v>
      </c>
      <c r="Z132" s="6" t="n">
        <v>4.53</v>
      </c>
      <c r="AA132" s="6" t="n">
        <v>9.54</v>
      </c>
      <c r="AB132" s="6" t="n">
        <v>23.29</v>
      </c>
      <c r="AC132" s="10" t="n">
        <v>0.25</v>
      </c>
      <c r="AD132" s="10" t="n">
        <v>0.5</v>
      </c>
      <c r="AE132" s="7" t="n">
        <v>1.417</v>
      </c>
      <c r="AF132" s="8" t="n">
        <v>98</v>
      </c>
      <c r="AG132" s="10" t="n">
        <v>0.422</v>
      </c>
      <c r="AH132" s="8" t="n">
        <v>22</v>
      </c>
      <c r="AI132" s="8" t="n">
        <v>0</v>
      </c>
      <c r="AJ132" s="6" t="n">
        <f aca="false">IFERROR(AI132/R132,"")</f>
        <v>0</v>
      </c>
      <c r="AK132" s="10" t="n">
        <v>0</v>
      </c>
      <c r="AL132" s="10" t="n">
        <v>0</v>
      </c>
      <c r="AM132" s="9" t="n">
        <v>0</v>
      </c>
      <c r="AN132" s="8" t="n">
        <v>0</v>
      </c>
      <c r="AO132" s="10"/>
      <c r="AP132" s="8" t="n">
        <v>0</v>
      </c>
      <c r="AQ132" s="7"/>
      <c r="AR132" s="6"/>
      <c r="AS132" s="7"/>
      <c r="AT132" s="7"/>
      <c r="AU132" s="7"/>
      <c r="AV132" s="7"/>
      <c r="AW132" s="7"/>
      <c r="AX132" s="10"/>
      <c r="AY132" s="8" t="n">
        <v>22</v>
      </c>
      <c r="AZ132" s="6" t="n">
        <f aca="false">IFERROR(AY132/R132,"")</f>
        <v>5.5</v>
      </c>
      <c r="BA132" s="10" t="n">
        <v>0.1746</v>
      </c>
      <c r="BB132" s="8" t="n">
        <v>123</v>
      </c>
      <c r="BC132" s="7" t="n">
        <f aca="false">IFERROR(BB132/AY132,"")</f>
        <v>5.59090909090909</v>
      </c>
      <c r="BD132" s="7" t="n">
        <v>4.545</v>
      </c>
      <c r="BE132" s="7" t="n">
        <v>1.045</v>
      </c>
      <c r="BF132" s="8" t="n">
        <v>0</v>
      </c>
      <c r="BG132" s="7"/>
      <c r="BH132" s="6"/>
      <c r="BI132" s="7"/>
      <c r="BJ132" s="8" t="n">
        <v>5</v>
      </c>
      <c r="BK132" s="8" t="n">
        <v>3</v>
      </c>
      <c r="BL132" s="8" t="n">
        <v>1</v>
      </c>
      <c r="BM132" s="8" t="n">
        <v>2</v>
      </c>
      <c r="BN132" s="7" t="n">
        <v>0.73</v>
      </c>
      <c r="BO132" s="7" t="n">
        <f aca="false">IFERROR(BM132-BN132,"")</f>
        <v>1.27</v>
      </c>
      <c r="BP132" s="9" t="n">
        <f aca="false">IFERROR(BM132/AH132,"")</f>
        <v>0.0909090909090909</v>
      </c>
      <c r="BQ132" s="6" t="n">
        <v>38.6</v>
      </c>
      <c r="BR132" s="6" t="n">
        <v>37.5</v>
      </c>
      <c r="BS132" s="6" t="n">
        <v>44.5</v>
      </c>
      <c r="BT132" s="7" t="n">
        <v>2.839</v>
      </c>
      <c r="BU132" s="10" t="n">
        <v>0.2101</v>
      </c>
      <c r="BV132" s="10" t="n">
        <v>0.586206896551724</v>
      </c>
      <c r="BW132" s="7" t="n">
        <v>2.199</v>
      </c>
      <c r="BX132" s="10" t="n">
        <v>0.2422</v>
      </c>
      <c r="BY132" s="10" t="n">
        <v>0.0727</v>
      </c>
      <c r="BZ132" s="7" t="n">
        <v>2.29</v>
      </c>
      <c r="CA132" s="10" t="n">
        <v>0.672</v>
      </c>
      <c r="CB132" s="8" t="n">
        <v>4</v>
      </c>
      <c r="CC132" s="10" t="n">
        <v>-0.0584</v>
      </c>
      <c r="CD132" s="10" t="n">
        <v>0.5279</v>
      </c>
      <c r="CE132" s="6" t="n">
        <v>55.41</v>
      </c>
      <c r="CF132" s="6" t="n">
        <v>41</v>
      </c>
      <c r="CG132" s="7" t="n">
        <v>2.82</v>
      </c>
      <c r="CH132" s="6" t="n">
        <v>20.4</v>
      </c>
      <c r="CI132" s="9" t="n">
        <v>-0.026</v>
      </c>
      <c r="CJ132" s="9" t="n">
        <v>-0.0093</v>
      </c>
      <c r="CK132" s="8" t="n">
        <v>209</v>
      </c>
      <c r="CL132" s="10" t="n">
        <v>0.452</v>
      </c>
      <c r="CM132" s="8" t="n">
        <v>28</v>
      </c>
      <c r="CN132" s="10" t="n">
        <v>0.065</v>
      </c>
      <c r="CO132" s="8" t="n">
        <v>32</v>
      </c>
      <c r="CP132" s="7" t="n">
        <v>-0.536</v>
      </c>
      <c r="CQ132" s="7" t="n">
        <v>-0.405</v>
      </c>
      <c r="CR132" s="4" t="s">
        <v>121</v>
      </c>
      <c r="CS132" s="4"/>
    </row>
    <row r="133" customFormat="false" ht="15" hidden="false" customHeight="false" outlineLevel="0" collapsed="false">
      <c r="A133" s="3" t="n">
        <v>131</v>
      </c>
      <c r="B133" s="4" t="s">
        <v>403</v>
      </c>
      <c r="C133" s="5" t="s">
        <v>99</v>
      </c>
      <c r="D133" s="4" t="s">
        <v>404</v>
      </c>
      <c r="E133" s="4" t="s">
        <v>218</v>
      </c>
      <c r="F133" s="4" t="s">
        <v>99</v>
      </c>
      <c r="G133" s="3" t="n">
        <v>3</v>
      </c>
      <c r="H133" s="6" t="n">
        <v>23</v>
      </c>
      <c r="I133" s="3" t="n">
        <v>2</v>
      </c>
      <c r="J133" s="3" t="n">
        <v>11</v>
      </c>
      <c r="K133" s="7" t="n">
        <v>131.5</v>
      </c>
      <c r="L133" s="7" t="n">
        <v>17.42</v>
      </c>
      <c r="M133" s="8" t="n">
        <v>82</v>
      </c>
      <c r="N133" s="8" t="n">
        <v>183</v>
      </c>
      <c r="O133" s="7" t="n">
        <v>131.5</v>
      </c>
      <c r="P133" s="6" t="n">
        <v>68.4</v>
      </c>
      <c r="Q133" s="4" t="s">
        <v>218</v>
      </c>
      <c r="R133" s="8" t="n">
        <v>14</v>
      </c>
      <c r="S133" s="6" t="n">
        <v>70</v>
      </c>
      <c r="T133" s="7" t="n">
        <f aca="false">IFERROR(S133/R133,"")</f>
        <v>5</v>
      </c>
      <c r="U133" s="6" t="n">
        <v>55.5</v>
      </c>
      <c r="V133" s="6" t="n">
        <v>41</v>
      </c>
      <c r="W133" s="8" t="n">
        <v>73</v>
      </c>
      <c r="X133" s="7" t="n">
        <f aca="false">IFERROR(S133/AH133,"")</f>
        <v>1.2962962962963</v>
      </c>
      <c r="Y133" s="9" t="n">
        <f aca="false">IFERROR(S133/AF133,"")</f>
        <v>0.154867256637168</v>
      </c>
      <c r="Z133" s="6" t="n">
        <v>1.9</v>
      </c>
      <c r="AA133" s="6" t="n">
        <v>3.4</v>
      </c>
      <c r="AB133" s="6" t="n">
        <v>10.16</v>
      </c>
      <c r="AC133" s="10" t="n">
        <v>0</v>
      </c>
      <c r="AD133" s="10" t="n">
        <v>0.214</v>
      </c>
      <c r="AE133" s="7" t="n">
        <v>1.265</v>
      </c>
      <c r="AF133" s="8" t="n">
        <v>452</v>
      </c>
      <c r="AG133" s="10" t="n">
        <v>0.532</v>
      </c>
      <c r="AH133" s="8" t="n">
        <v>54</v>
      </c>
      <c r="AI133" s="8" t="n">
        <v>44</v>
      </c>
      <c r="AJ133" s="6" t="n">
        <f aca="false">IFERROR(AI133/R133,"")</f>
        <v>3.14285714285714</v>
      </c>
      <c r="AK133" s="10" t="n">
        <v>0.1167</v>
      </c>
      <c r="AL133" s="10" t="n">
        <v>0.1683</v>
      </c>
      <c r="AM133" s="9" t="n">
        <v>0.2929</v>
      </c>
      <c r="AN133" s="8" t="n">
        <v>29</v>
      </c>
      <c r="AO133" s="10" t="n">
        <f aca="false">IFERROR(AN133/AI133,"")</f>
        <v>0.659090909090909</v>
      </c>
      <c r="AP133" s="8" t="n">
        <v>361</v>
      </c>
      <c r="AQ133" s="7" t="n">
        <f aca="false">IFERROR(AP133/AI133,"")</f>
        <v>8.20454545454546</v>
      </c>
      <c r="AR133" s="6" t="n">
        <v>12.545</v>
      </c>
      <c r="AS133" s="7" t="n">
        <v>3.483</v>
      </c>
      <c r="AT133" s="7" t="n">
        <v>0.654</v>
      </c>
      <c r="AU133" s="7"/>
      <c r="AV133" s="7"/>
      <c r="AW133" s="7"/>
      <c r="AX133" s="10" t="n">
        <v>0.0227</v>
      </c>
      <c r="AY133" s="8" t="n">
        <v>10</v>
      </c>
      <c r="AZ133" s="6" t="n">
        <f aca="false">IFERROR(AY133/R133,"")</f>
        <v>0.714285714285714</v>
      </c>
      <c r="BA133" s="10" t="n">
        <v>0.0254</v>
      </c>
      <c r="BB133" s="8" t="n">
        <v>49</v>
      </c>
      <c r="BC133" s="7"/>
      <c r="BD133" s="7"/>
      <c r="BE133" s="7"/>
      <c r="BF133" s="8" t="n">
        <v>1</v>
      </c>
      <c r="BG133" s="7"/>
      <c r="BH133" s="6"/>
      <c r="BI133" s="7"/>
      <c r="BJ133" s="8" t="n">
        <v>4</v>
      </c>
      <c r="BK133" s="8" t="n">
        <v>0</v>
      </c>
      <c r="BL133" s="8" t="n">
        <v>0</v>
      </c>
      <c r="BM133" s="8" t="n">
        <v>0</v>
      </c>
      <c r="BN133" s="7" t="n">
        <v>1.14</v>
      </c>
      <c r="BO133" s="7" t="n">
        <f aca="false">IFERROR(BM133-BN133,"")</f>
        <v>-1.14</v>
      </c>
      <c r="BP133" s="9" t="n">
        <f aca="false">IFERROR(BM133/AH133,"")</f>
        <v>0</v>
      </c>
      <c r="BQ133" s="6" t="n">
        <v>52.5</v>
      </c>
      <c r="BR133" s="6" t="n">
        <v>45.3</v>
      </c>
      <c r="BS133" s="6" t="n">
        <v>58.7</v>
      </c>
      <c r="BT133" s="7" t="n">
        <v>2.905</v>
      </c>
      <c r="BU133" s="10" t="n">
        <v>0.1629</v>
      </c>
      <c r="BV133" s="10" t="n">
        <v>0.604651162790698</v>
      </c>
      <c r="BW133" s="7" t="n">
        <v>2.199</v>
      </c>
      <c r="BX133" s="10" t="n">
        <v>0.2454</v>
      </c>
      <c r="BY133" s="10" t="n">
        <v>0.0493</v>
      </c>
      <c r="BZ133" s="7" t="n">
        <v>2.41</v>
      </c>
      <c r="CA133" s="10" t="n">
        <v>0.704</v>
      </c>
      <c r="CB133" s="8" t="n">
        <v>4</v>
      </c>
      <c r="CC133" s="10" t="n">
        <v>-0.0441</v>
      </c>
      <c r="CD133" s="10" t="n">
        <v>0.5063</v>
      </c>
      <c r="CE133" s="6" t="n">
        <v>58.41</v>
      </c>
      <c r="CF133" s="6" t="n">
        <v>39</v>
      </c>
      <c r="CG133" s="7" t="n">
        <v>3.47</v>
      </c>
      <c r="CH133" s="6" t="n">
        <v>23</v>
      </c>
      <c r="CI133" s="9" t="n">
        <v>-0.0102</v>
      </c>
      <c r="CJ133" s="9" t="n">
        <v>0.229</v>
      </c>
      <c r="CK133" s="8" t="n">
        <v>155</v>
      </c>
      <c r="CL133" s="10" t="n">
        <v>0.337</v>
      </c>
      <c r="CM133" s="8" t="n">
        <v>148</v>
      </c>
      <c r="CN133" s="10" t="n">
        <v>0.301</v>
      </c>
      <c r="CO133" s="8" t="n">
        <v>52</v>
      </c>
      <c r="CP133" s="7" t="n">
        <v>-1.251</v>
      </c>
      <c r="CQ133" s="7" t="n">
        <v>-1.602</v>
      </c>
      <c r="CR133" s="4" t="s">
        <v>165</v>
      </c>
      <c r="CS133" s="4"/>
    </row>
    <row r="134" customFormat="false" ht="15" hidden="false" customHeight="false" outlineLevel="0" collapsed="false">
      <c r="A134" s="3" t="n">
        <v>132</v>
      </c>
      <c r="B134" s="4" t="s">
        <v>405</v>
      </c>
      <c r="C134" s="5" t="s">
        <v>99</v>
      </c>
      <c r="D134" s="4" t="s">
        <v>406</v>
      </c>
      <c r="E134" s="4" t="s">
        <v>258</v>
      </c>
      <c r="F134" s="4" t="s">
        <v>99</v>
      </c>
      <c r="G134" s="3" t="n">
        <v>2</v>
      </c>
      <c r="H134" s="6" t="n">
        <v>21.9</v>
      </c>
      <c r="I134" s="3" t="n">
        <v>0</v>
      </c>
      <c r="J134" s="3" t="n">
        <v>11</v>
      </c>
      <c r="K134" s="7" t="n">
        <v>131.55</v>
      </c>
      <c r="L134" s="7" t="n">
        <v>30.01</v>
      </c>
      <c r="M134" s="8" t="n">
        <v>90</v>
      </c>
      <c r="N134" s="8" t="n">
        <v>298</v>
      </c>
      <c r="O134" s="7" t="n">
        <v>131.55</v>
      </c>
      <c r="P134" s="6" t="n">
        <v>59.2</v>
      </c>
      <c r="Q134" s="4"/>
      <c r="R134" s="8"/>
      <c r="S134" s="6"/>
      <c r="T134" s="7"/>
      <c r="U134" s="6"/>
      <c r="V134" s="6"/>
      <c r="W134" s="8"/>
      <c r="X134" s="7"/>
      <c r="Y134" s="9"/>
      <c r="Z134" s="6"/>
      <c r="AA134" s="6"/>
      <c r="AB134" s="6"/>
      <c r="AC134" s="10"/>
      <c r="AD134" s="10"/>
      <c r="AE134" s="7"/>
      <c r="AF134" s="8"/>
      <c r="AG134" s="10"/>
      <c r="AH134" s="8"/>
      <c r="AI134" s="8"/>
      <c r="AJ134" s="6"/>
      <c r="AK134" s="10"/>
      <c r="AL134" s="10"/>
      <c r="AM134" s="9"/>
      <c r="AN134" s="8"/>
      <c r="AO134" s="10"/>
      <c r="AP134" s="8"/>
      <c r="AQ134" s="7"/>
      <c r="AR134" s="6"/>
      <c r="AS134" s="7"/>
      <c r="AT134" s="7"/>
      <c r="AU134" s="7"/>
      <c r="AV134" s="7"/>
      <c r="AW134" s="7"/>
      <c r="AX134" s="10"/>
      <c r="AY134" s="8"/>
      <c r="AZ134" s="6"/>
      <c r="BA134" s="10"/>
      <c r="BB134" s="8"/>
      <c r="BC134" s="7"/>
      <c r="BD134" s="7"/>
      <c r="BE134" s="7"/>
      <c r="BF134" s="8"/>
      <c r="BG134" s="7"/>
      <c r="BH134" s="6"/>
      <c r="BI134" s="7"/>
      <c r="BJ134" s="8"/>
      <c r="BK134" s="8"/>
      <c r="BL134" s="8"/>
      <c r="BM134" s="8"/>
      <c r="BN134" s="7"/>
      <c r="BO134" s="7"/>
      <c r="BP134" s="9"/>
      <c r="BQ134" s="6" t="n">
        <v>15.1</v>
      </c>
      <c r="BR134" s="6" t="n">
        <v>18.5</v>
      </c>
      <c r="BS134" s="6" t="n">
        <v>26.5</v>
      </c>
      <c r="BT134" s="7" t="n">
        <v>2.392</v>
      </c>
      <c r="BU134" s="10" t="n">
        <v>0.225</v>
      </c>
      <c r="BV134" s="10" t="n">
        <v>0.666666666666667</v>
      </c>
      <c r="BW134" s="7" t="n">
        <v>1.808</v>
      </c>
      <c r="BX134" s="10" t="n">
        <v>0.3405</v>
      </c>
      <c r="BY134" s="10" t="n">
        <v>0.0842</v>
      </c>
      <c r="BZ134" s="7" t="n">
        <v>2.444</v>
      </c>
      <c r="CA134" s="10" t="n">
        <v>0.261</v>
      </c>
      <c r="CB134" s="8" t="n">
        <v>1</v>
      </c>
      <c r="CC134" s="10" t="n">
        <v>-0.0372</v>
      </c>
      <c r="CD134" s="10" t="n">
        <v>0.5161</v>
      </c>
      <c r="CE134" s="6" t="n">
        <v>60.47</v>
      </c>
      <c r="CF134" s="6" t="n">
        <v>39</v>
      </c>
      <c r="CG134" s="7" t="n">
        <v>2.47</v>
      </c>
      <c r="CH134" s="6" t="n">
        <v>16.4</v>
      </c>
      <c r="CI134" s="9" t="n">
        <v>-0.0478</v>
      </c>
      <c r="CJ134" s="9" t="n">
        <v>-0.2882</v>
      </c>
      <c r="CK134" s="8" t="n">
        <v>88</v>
      </c>
      <c r="CL134" s="10" t="n">
        <v>0.169</v>
      </c>
      <c r="CM134" s="8" t="n">
        <v>37</v>
      </c>
      <c r="CN134" s="10" t="n">
        <v>0.088</v>
      </c>
      <c r="CO134" s="8" t="n">
        <v>23</v>
      </c>
      <c r="CP134" s="7"/>
      <c r="CQ134" s="7"/>
      <c r="CR134" s="4"/>
      <c r="CS134" s="4" t="s">
        <v>206</v>
      </c>
    </row>
    <row r="135" customFormat="false" ht="15" hidden="false" customHeight="false" outlineLevel="0" collapsed="false">
      <c r="A135" s="3" t="n">
        <v>133</v>
      </c>
      <c r="B135" s="4" t="s">
        <v>407</v>
      </c>
      <c r="C135" s="11" t="s">
        <v>104</v>
      </c>
      <c r="D135" s="4" t="s">
        <v>408</v>
      </c>
      <c r="E135" s="4" t="s">
        <v>178</v>
      </c>
      <c r="F135" s="4" t="s">
        <v>104</v>
      </c>
      <c r="G135" s="3" t="n">
        <v>2</v>
      </c>
      <c r="H135" s="6" t="n">
        <v>26.7</v>
      </c>
      <c r="I135" s="3" t="n">
        <v>3</v>
      </c>
      <c r="J135" s="3" t="n">
        <v>8</v>
      </c>
      <c r="K135" s="7" t="n">
        <v>132.07</v>
      </c>
      <c r="L135" s="7" t="n">
        <v>10.77</v>
      </c>
      <c r="M135" s="8" t="n">
        <v>113</v>
      </c>
      <c r="N135" s="8" t="n">
        <v>177</v>
      </c>
      <c r="O135" s="7" t="n">
        <v>132.07</v>
      </c>
      <c r="P135" s="6" t="n">
        <v>38</v>
      </c>
      <c r="Q135" s="4" t="s">
        <v>178</v>
      </c>
      <c r="R135" s="8" t="n">
        <v>15</v>
      </c>
      <c r="S135" s="6" t="n">
        <v>160.8</v>
      </c>
      <c r="T135" s="7" t="n">
        <f aca="false">IFERROR(S135/R135,"")</f>
        <v>10.72</v>
      </c>
      <c r="U135" s="6" t="n">
        <v>142.8</v>
      </c>
      <c r="V135" s="6" t="n">
        <v>124.8</v>
      </c>
      <c r="W135" s="8" t="n">
        <v>28</v>
      </c>
      <c r="X135" s="7" t="n">
        <f aca="false">IFERROR(S135/AH135,"")</f>
        <v>0.717857142857143</v>
      </c>
      <c r="Y135" s="9" t="n">
        <f aca="false">IFERROR(S135/AF135,"")</f>
        <v>0.293430656934307</v>
      </c>
      <c r="Z135" s="6" t="n">
        <v>6.15</v>
      </c>
      <c r="AA135" s="6" t="n">
        <v>8.1</v>
      </c>
      <c r="AB135" s="6" t="n">
        <v>17.71</v>
      </c>
      <c r="AC135" s="10" t="n">
        <v>0.2</v>
      </c>
      <c r="AD135" s="10" t="n">
        <v>0.067</v>
      </c>
      <c r="AE135" s="7" t="n">
        <v>0.946</v>
      </c>
      <c r="AF135" s="8" t="n">
        <v>548</v>
      </c>
      <c r="AG135" s="10" t="n">
        <v>0.545</v>
      </c>
      <c r="AH135" s="8" t="n">
        <v>224</v>
      </c>
      <c r="AI135" s="8" t="n">
        <v>48</v>
      </c>
      <c r="AJ135" s="6" t="n">
        <f aca="false">IFERROR(AI135/R135,"")</f>
        <v>3.2</v>
      </c>
      <c r="AK135" s="10" t="n">
        <v>0.1081</v>
      </c>
      <c r="AL135" s="10" t="n">
        <v>0.0049</v>
      </c>
      <c r="AM135" s="9" t="n">
        <v>0.1656</v>
      </c>
      <c r="AN135" s="8" t="n">
        <v>36</v>
      </c>
      <c r="AO135" s="10" t="n">
        <f aca="false">IFERROR(AN135/AI135,"")</f>
        <v>0.75</v>
      </c>
      <c r="AP135" s="8" t="n">
        <v>288</v>
      </c>
      <c r="AQ135" s="7" t="n">
        <f aca="false">IFERROR(AP135/AI135,"")</f>
        <v>6</v>
      </c>
      <c r="AR135" s="6" t="n">
        <v>0.396</v>
      </c>
      <c r="AS135" s="7" t="n">
        <v>8.722</v>
      </c>
      <c r="AT135" s="7" t="n">
        <v>15.158</v>
      </c>
      <c r="AU135" s="7"/>
      <c r="AV135" s="7"/>
      <c r="AW135" s="7"/>
      <c r="AX135" s="10" t="n">
        <v>0.0417</v>
      </c>
      <c r="AY135" s="8" t="n">
        <v>176</v>
      </c>
      <c r="AZ135" s="6" t="n">
        <f aca="false">IFERROR(AY135/R135,"")</f>
        <v>11.7333333333333</v>
      </c>
      <c r="BA135" s="10" t="n">
        <v>0.4</v>
      </c>
      <c r="BB135" s="8" t="n">
        <v>740</v>
      </c>
      <c r="BC135" s="7" t="n">
        <f aca="false">IFERROR(BB135/AY135,"")</f>
        <v>4.20454545454545</v>
      </c>
      <c r="BD135" s="7" t="n">
        <v>2.494</v>
      </c>
      <c r="BE135" s="7" t="n">
        <v>1.71</v>
      </c>
      <c r="BF135" s="8" t="n">
        <v>5</v>
      </c>
      <c r="BG135" s="7" t="n">
        <v>0.0883866573705913</v>
      </c>
      <c r="BH135" s="6" t="n">
        <v>17.0454545454545</v>
      </c>
      <c r="BI135" s="7" t="n">
        <v>3.9590945945946</v>
      </c>
      <c r="BJ135" s="8" t="n">
        <v>26</v>
      </c>
      <c r="BK135" s="8" t="n">
        <v>7</v>
      </c>
      <c r="BL135" s="8" t="n">
        <v>2</v>
      </c>
      <c r="BM135" s="8" t="n">
        <v>4</v>
      </c>
      <c r="BN135" s="7" t="n">
        <v>4.49</v>
      </c>
      <c r="BO135" s="7" t="n">
        <f aca="false">IFERROR(BM135-BN135,"")</f>
        <v>-0.49</v>
      </c>
      <c r="BP135" s="9" t="n">
        <f aca="false">IFERROR(BM135/AH135,"")</f>
        <v>0.0178571428571429</v>
      </c>
      <c r="BQ135" s="6" t="n">
        <v>45.9</v>
      </c>
      <c r="BR135" s="6" t="n">
        <v>56.8</v>
      </c>
      <c r="BS135" s="6" t="n">
        <v>36.8</v>
      </c>
      <c r="BT135" s="7" t="n">
        <v>2.974</v>
      </c>
      <c r="BU135" s="10" t="n">
        <v>0.1475</v>
      </c>
      <c r="BV135" s="10" t="n">
        <v>0.625</v>
      </c>
      <c r="BW135" s="7" t="n">
        <v>2.714</v>
      </c>
      <c r="BX135" s="10" t="n">
        <v>0.2947</v>
      </c>
      <c r="BY135" s="10" t="n">
        <v>0.076</v>
      </c>
      <c r="BZ135" s="7" t="n">
        <v>2.388</v>
      </c>
      <c r="CA135" s="10" t="n">
        <v>0.723</v>
      </c>
      <c r="CB135" s="8" t="n">
        <v>4</v>
      </c>
      <c r="CC135" s="10" t="n">
        <v>-0.0466</v>
      </c>
      <c r="CD135" s="10" t="n">
        <v>0.494</v>
      </c>
      <c r="CE135" s="6" t="n">
        <v>63.47</v>
      </c>
      <c r="CF135" s="6" t="n">
        <v>36</v>
      </c>
      <c r="CG135" s="7" t="n">
        <v>3.59</v>
      </c>
      <c r="CH135" s="6" t="n">
        <v>22.4</v>
      </c>
      <c r="CI135" s="9" t="n">
        <v>0.0356</v>
      </c>
      <c r="CJ135" s="9" t="n">
        <v>-0.008</v>
      </c>
      <c r="CK135" s="8" t="n">
        <v>177</v>
      </c>
      <c r="CL135" s="10" t="n">
        <v>0.352</v>
      </c>
      <c r="CM135" s="8" t="n">
        <v>3</v>
      </c>
      <c r="CN135" s="10" t="n">
        <v>0.006</v>
      </c>
      <c r="CO135" s="8" t="n">
        <v>21</v>
      </c>
      <c r="CP135" s="7" t="n">
        <v>0.296</v>
      </c>
      <c r="CQ135" s="7" t="n">
        <v>0.12</v>
      </c>
      <c r="CR135" s="4" t="s">
        <v>102</v>
      </c>
      <c r="CS135" s="4"/>
    </row>
    <row r="136" customFormat="false" ht="15" hidden="false" customHeight="false" outlineLevel="0" collapsed="false">
      <c r="A136" s="3" t="n">
        <v>134</v>
      </c>
      <c r="B136" s="4" t="s">
        <v>409</v>
      </c>
      <c r="C136" s="11" t="s">
        <v>104</v>
      </c>
      <c r="D136" s="4" t="s">
        <v>410</v>
      </c>
      <c r="E136" s="4" t="s">
        <v>151</v>
      </c>
      <c r="F136" s="4" t="s">
        <v>104</v>
      </c>
      <c r="G136" s="3" t="n">
        <v>2</v>
      </c>
      <c r="H136" s="6" t="n">
        <v>26.3</v>
      </c>
      <c r="I136" s="3" t="n">
        <v>5</v>
      </c>
      <c r="J136" s="3" t="n">
        <v>14</v>
      </c>
      <c r="K136" s="7" t="n">
        <v>139.38</v>
      </c>
      <c r="L136" s="7" t="n">
        <v>11.82</v>
      </c>
      <c r="M136" s="8" t="n">
        <v>103</v>
      </c>
      <c r="N136" s="8" t="n">
        <v>164</v>
      </c>
      <c r="O136" s="7" t="n">
        <v>139.38</v>
      </c>
      <c r="P136" s="6" t="n">
        <v>38.8</v>
      </c>
      <c r="Q136" s="4" t="s">
        <v>112</v>
      </c>
      <c r="R136" s="8" t="n">
        <v>17</v>
      </c>
      <c r="S136" s="6" t="n">
        <v>123</v>
      </c>
      <c r="T136" s="7" t="n">
        <f aca="false">IFERROR(S136/R136,"")</f>
        <v>7.23529411764706</v>
      </c>
      <c r="U136" s="6" t="n">
        <v>116</v>
      </c>
      <c r="V136" s="6" t="n">
        <v>109</v>
      </c>
      <c r="W136" s="8" t="n">
        <v>38</v>
      </c>
      <c r="X136" s="7" t="n">
        <f aca="false">IFERROR(S136/AH136,"")</f>
        <v>0.773584905660377</v>
      </c>
      <c r="Y136" s="9" t="n">
        <f aca="false">IFERROR(S136/AF136,"")</f>
        <v>0.375</v>
      </c>
      <c r="Z136" s="6" t="n">
        <v>2.3</v>
      </c>
      <c r="AA136" s="6" t="n">
        <v>8.3</v>
      </c>
      <c r="AB136" s="6" t="n">
        <v>12.54</v>
      </c>
      <c r="AC136" s="10" t="n">
        <v>0.059</v>
      </c>
      <c r="AD136" s="10" t="n">
        <v>0.235</v>
      </c>
      <c r="AE136" s="7" t="n">
        <v>0.645</v>
      </c>
      <c r="AF136" s="8" t="n">
        <v>328</v>
      </c>
      <c r="AG136" s="10" t="n">
        <v>0.302</v>
      </c>
      <c r="AH136" s="8" t="n">
        <v>159</v>
      </c>
      <c r="AI136" s="8" t="n">
        <v>16</v>
      </c>
      <c r="AJ136" s="6" t="n">
        <f aca="false">IFERROR(AI136/R136,"")</f>
        <v>0.941176470588235</v>
      </c>
      <c r="AK136" s="10" t="n">
        <v>0.0308</v>
      </c>
      <c r="AL136" s="10" t="n">
        <v>-0.0062</v>
      </c>
      <c r="AM136" s="9" t="n">
        <v>0.0419</v>
      </c>
      <c r="AN136" s="8" t="n">
        <v>14</v>
      </c>
      <c r="AO136" s="10" t="n">
        <f aca="false">IFERROR(AN136/AI136,"")</f>
        <v>0.875</v>
      </c>
      <c r="AP136" s="8" t="n">
        <v>96</v>
      </c>
      <c r="AQ136" s="7" t="n">
        <f aca="false">IFERROR(AP136/AI136,"")</f>
        <v>6</v>
      </c>
      <c r="AR136" s="6" t="n">
        <v>-1.625</v>
      </c>
      <c r="AS136" s="7" t="n">
        <v>8.571</v>
      </c>
      <c r="AT136" s="7" t="n">
        <v>-3.692</v>
      </c>
      <c r="AU136" s="7"/>
      <c r="AV136" s="7"/>
      <c r="AW136" s="7"/>
      <c r="AX136" s="10" t="n">
        <v>0.0625</v>
      </c>
      <c r="AY136" s="8" t="n">
        <v>143</v>
      </c>
      <c r="AZ136" s="6" t="n">
        <f aca="false">IFERROR(AY136/R136,"")</f>
        <v>8.41176470588235</v>
      </c>
      <c r="BA136" s="10" t="n">
        <v>0.2998</v>
      </c>
      <c r="BB136" s="8" t="n">
        <v>514</v>
      </c>
      <c r="BC136" s="7" t="n">
        <f aca="false">IFERROR(BB136/AY136,"")</f>
        <v>3.59440559440559</v>
      </c>
      <c r="BD136" s="7" t="n">
        <v>1.986</v>
      </c>
      <c r="BE136" s="7" t="n">
        <v>1.608</v>
      </c>
      <c r="BF136" s="8" t="n">
        <v>9</v>
      </c>
      <c r="BG136" s="7" t="n">
        <v>-0.177434600903399</v>
      </c>
      <c r="BH136" s="6" t="n">
        <v>24.4755244755245</v>
      </c>
      <c r="BI136" s="7" t="n">
        <v>4.71330739299611</v>
      </c>
      <c r="BJ136" s="8" t="n">
        <v>33</v>
      </c>
      <c r="BK136" s="8" t="n">
        <v>19</v>
      </c>
      <c r="BL136" s="8" t="n">
        <v>10</v>
      </c>
      <c r="BM136" s="8" t="n">
        <v>8</v>
      </c>
      <c r="BN136" s="7" t="n">
        <v>6.98</v>
      </c>
      <c r="BO136" s="7" t="n">
        <f aca="false">IFERROR(BM136-BN136,"")</f>
        <v>1.02</v>
      </c>
      <c r="BP136" s="9" t="n">
        <f aca="false">IFERROR(BM136/AH136,"")</f>
        <v>0.050314465408805</v>
      </c>
      <c r="BQ136" s="6" t="n">
        <v>36.9</v>
      </c>
      <c r="BR136" s="6" t="n">
        <v>43.8</v>
      </c>
      <c r="BS136" s="6" t="n">
        <v>35.6</v>
      </c>
      <c r="BT136" s="7" t="n">
        <v>2.771</v>
      </c>
      <c r="BU136" s="10" t="n">
        <v>0.2005</v>
      </c>
      <c r="BV136" s="10" t="n">
        <v>0.65625</v>
      </c>
      <c r="BW136" s="7" t="n">
        <v>2.593</v>
      </c>
      <c r="BX136" s="10" t="n">
        <v>0.282</v>
      </c>
      <c r="BY136" s="10" t="n">
        <v>0.0839</v>
      </c>
      <c r="BZ136" s="7" t="n">
        <v>2.373</v>
      </c>
      <c r="CA136" s="10" t="n">
        <v>0.686</v>
      </c>
      <c r="CB136" s="8" t="n">
        <v>3</v>
      </c>
      <c r="CC136" s="10" t="n">
        <v>0.0399</v>
      </c>
      <c r="CD136" s="10" t="n">
        <v>0.6204</v>
      </c>
      <c r="CE136" s="6" t="n">
        <v>63.18</v>
      </c>
      <c r="CF136" s="6" t="n">
        <v>39</v>
      </c>
      <c r="CG136" s="7" t="n">
        <v>3.59</v>
      </c>
      <c r="CH136" s="6" t="n">
        <v>20.9</v>
      </c>
      <c r="CI136" s="9" t="n">
        <v>-0.0591</v>
      </c>
      <c r="CJ136" s="9" t="n">
        <v>0.0023</v>
      </c>
      <c r="CK136" s="8" t="n">
        <v>106</v>
      </c>
      <c r="CL136" s="10" t="n">
        <v>0.172</v>
      </c>
      <c r="CM136" s="8" t="n">
        <v>173</v>
      </c>
      <c r="CN136" s="10" t="n">
        <v>0.473</v>
      </c>
      <c r="CO136" s="8" t="n">
        <v>41</v>
      </c>
      <c r="CP136" s="7" t="n">
        <v>-0.107</v>
      </c>
      <c r="CQ136" s="7" t="n">
        <v>-0.458</v>
      </c>
      <c r="CR136" s="4" t="s">
        <v>102</v>
      </c>
      <c r="CS136" s="4"/>
    </row>
    <row r="137" customFormat="false" ht="15" hidden="false" customHeight="false" outlineLevel="0" collapsed="false">
      <c r="A137" s="3" t="n">
        <v>135</v>
      </c>
      <c r="B137" s="4" t="s">
        <v>411</v>
      </c>
      <c r="C137" s="11" t="s">
        <v>104</v>
      </c>
      <c r="D137" s="4" t="s">
        <v>412</v>
      </c>
      <c r="E137" s="4" t="s">
        <v>139</v>
      </c>
      <c r="F137" s="4" t="s">
        <v>104</v>
      </c>
      <c r="G137" s="3" t="n">
        <v>2</v>
      </c>
      <c r="H137" s="6" t="n">
        <v>25.6</v>
      </c>
      <c r="I137" s="3" t="n">
        <v>2</v>
      </c>
      <c r="J137" s="3" t="n">
        <v>8</v>
      </c>
      <c r="K137" s="7" t="n">
        <v>140.38</v>
      </c>
      <c r="L137" s="7" t="n">
        <v>12.45</v>
      </c>
      <c r="M137" s="8" t="n">
        <v>99</v>
      </c>
      <c r="N137" s="8" t="n">
        <v>175</v>
      </c>
      <c r="O137" s="7" t="n">
        <v>140.38</v>
      </c>
      <c r="P137" s="6" t="n">
        <v>49.5</v>
      </c>
      <c r="Q137" s="4" t="s">
        <v>139</v>
      </c>
      <c r="R137" s="8" t="n">
        <v>16</v>
      </c>
      <c r="S137" s="6" t="n">
        <v>145.1</v>
      </c>
      <c r="T137" s="7" t="n">
        <f aca="false">IFERROR(S137/R137,"")</f>
        <v>9.06875</v>
      </c>
      <c r="U137" s="6" t="n">
        <v>133.1</v>
      </c>
      <c r="V137" s="6" t="n">
        <v>121.1</v>
      </c>
      <c r="W137" s="8" t="n">
        <v>30</v>
      </c>
      <c r="X137" s="7" t="n">
        <f aca="false">IFERROR(S137/AH137,"")</f>
        <v>0.625431034482759</v>
      </c>
      <c r="Y137" s="9" t="n">
        <f aca="false">IFERROR(S137/AF137,"")</f>
        <v>0.254115586690018</v>
      </c>
      <c r="Z137" s="6" t="n">
        <v>4.75</v>
      </c>
      <c r="AA137" s="6" t="n">
        <v>7.25</v>
      </c>
      <c r="AB137" s="6" t="n">
        <v>15.48</v>
      </c>
      <c r="AC137" s="10" t="n">
        <v>0.125</v>
      </c>
      <c r="AD137" s="10" t="n">
        <v>0.062</v>
      </c>
      <c r="AE137" s="7" t="n">
        <v>0.956</v>
      </c>
      <c r="AF137" s="8" t="n">
        <v>571</v>
      </c>
      <c r="AG137" s="10" t="n">
        <v>0.515</v>
      </c>
      <c r="AH137" s="8" t="n">
        <v>232</v>
      </c>
      <c r="AI137" s="8" t="n">
        <v>36</v>
      </c>
      <c r="AJ137" s="6" t="n">
        <f aca="false">IFERROR(AI137/R137,"")</f>
        <v>2.25</v>
      </c>
      <c r="AK137" s="10" t="n">
        <v>0.0694</v>
      </c>
      <c r="AL137" s="10" t="n">
        <v>0.0179</v>
      </c>
      <c r="AM137" s="9" t="n">
        <v>0.1166</v>
      </c>
      <c r="AN137" s="8" t="n">
        <v>24</v>
      </c>
      <c r="AO137" s="10" t="n">
        <f aca="false">IFERROR(AN137/AI137,"")</f>
        <v>0.666666666666667</v>
      </c>
      <c r="AP137" s="8" t="n">
        <v>208</v>
      </c>
      <c r="AQ137" s="7" t="n">
        <f aca="false">IFERROR(AP137/AI137,"")</f>
        <v>5.77777777777778</v>
      </c>
      <c r="AR137" s="6" t="n">
        <v>2.139</v>
      </c>
      <c r="AS137" s="7" t="n">
        <v>9.292</v>
      </c>
      <c r="AT137" s="7" t="n">
        <v>2.701</v>
      </c>
      <c r="AU137" s="7"/>
      <c r="AV137" s="7"/>
      <c r="AW137" s="7"/>
      <c r="AX137" s="10" t="n">
        <v>0.0556</v>
      </c>
      <c r="AY137" s="8" t="n">
        <v>196</v>
      </c>
      <c r="AZ137" s="6" t="n">
        <f aca="false">IFERROR(AY137/R137,"")</f>
        <v>12.25</v>
      </c>
      <c r="BA137" s="10" t="n">
        <v>0.4365</v>
      </c>
      <c r="BB137" s="8" t="n">
        <v>703</v>
      </c>
      <c r="BC137" s="7" t="n">
        <f aca="false">IFERROR(BB137/AY137,"")</f>
        <v>3.58673469387755</v>
      </c>
      <c r="BD137" s="7" t="n">
        <v>1.816</v>
      </c>
      <c r="BE137" s="7" t="n">
        <v>1.77</v>
      </c>
      <c r="BF137" s="8" t="n">
        <v>6</v>
      </c>
      <c r="BG137" s="7" t="n">
        <v>0.162302199972177</v>
      </c>
      <c r="BH137" s="6" t="n">
        <v>27.5510204081633</v>
      </c>
      <c r="BI137" s="7" t="n">
        <v>4.1198719772404</v>
      </c>
      <c r="BJ137" s="8" t="n">
        <v>41</v>
      </c>
      <c r="BK137" s="8" t="n">
        <v>18</v>
      </c>
      <c r="BL137" s="8" t="n">
        <v>11</v>
      </c>
      <c r="BM137" s="8" t="n">
        <v>5</v>
      </c>
      <c r="BN137" s="7" t="n">
        <v>8.39</v>
      </c>
      <c r="BO137" s="7" t="n">
        <f aca="false">IFERROR(BM137-BN137,"")</f>
        <v>-3.39</v>
      </c>
      <c r="BP137" s="9" t="n">
        <f aca="false">IFERROR(BM137/AH137,"")</f>
        <v>0.021551724137931</v>
      </c>
      <c r="BQ137" s="6" t="n">
        <v>45.8</v>
      </c>
      <c r="BR137" s="6" t="n">
        <v>34.1</v>
      </c>
      <c r="BS137" s="6" t="n">
        <v>59.3</v>
      </c>
      <c r="BT137" s="7" t="n">
        <v>2.812</v>
      </c>
      <c r="BU137" s="10" t="n">
        <v>0.1937</v>
      </c>
      <c r="BV137" s="10" t="n">
        <v>0.485714285714286</v>
      </c>
      <c r="BW137" s="7" t="n">
        <v>2.099</v>
      </c>
      <c r="BX137" s="10" t="n">
        <v>0.2216</v>
      </c>
      <c r="BY137" s="10" t="n">
        <v>0.0526</v>
      </c>
      <c r="BZ137" s="7" t="n">
        <v>2.345</v>
      </c>
      <c r="CA137" s="10" t="n">
        <v>0.713</v>
      </c>
      <c r="CB137" s="8" t="n">
        <v>2</v>
      </c>
      <c r="CC137" s="10" t="n">
        <v>-0.0098</v>
      </c>
      <c r="CD137" s="10" t="n">
        <v>0.5638</v>
      </c>
      <c r="CE137" s="6" t="n">
        <v>63.41</v>
      </c>
      <c r="CF137" s="6" t="n">
        <v>38</v>
      </c>
      <c r="CG137" s="7" t="n">
        <v>3.41</v>
      </c>
      <c r="CH137" s="6" t="n">
        <v>23.8</v>
      </c>
      <c r="CI137" s="9" t="n">
        <v>-0.0779</v>
      </c>
      <c r="CJ137" s="9" t="n">
        <v>0.036</v>
      </c>
      <c r="CK137" s="8" t="n">
        <v>82</v>
      </c>
      <c r="CL137" s="10" t="n">
        <v>0.148</v>
      </c>
      <c r="CM137" s="8" t="n">
        <v>21</v>
      </c>
      <c r="CN137" s="10" t="n">
        <v>0.044</v>
      </c>
      <c r="CO137" s="8" t="n">
        <v>18</v>
      </c>
      <c r="CP137" s="7" t="n">
        <v>0.279</v>
      </c>
      <c r="CQ137" s="7" t="n">
        <v>0.015</v>
      </c>
      <c r="CR137" s="4" t="s">
        <v>102</v>
      </c>
      <c r="CS137" s="4"/>
    </row>
    <row r="138" customFormat="false" ht="15" hidden="false" customHeight="false" outlineLevel="0" collapsed="false">
      <c r="A138" s="3" t="n">
        <v>136</v>
      </c>
      <c r="B138" s="4" t="s">
        <v>413</v>
      </c>
      <c r="C138" s="13" t="s">
        <v>172</v>
      </c>
      <c r="D138" s="4" t="s">
        <v>414</v>
      </c>
      <c r="E138" s="4" t="s">
        <v>139</v>
      </c>
      <c r="F138" s="4" t="s">
        <v>172</v>
      </c>
      <c r="G138" s="3" t="n">
        <v>1</v>
      </c>
      <c r="H138" s="6" t="n">
        <v>24.9</v>
      </c>
      <c r="I138" s="3" t="n">
        <v>4</v>
      </c>
      <c r="J138" s="3" t="n">
        <v>8</v>
      </c>
      <c r="K138" s="7" t="n">
        <v>140.95</v>
      </c>
      <c r="L138" s="7" t="n">
        <v>17.22</v>
      </c>
      <c r="M138" s="8" t="n">
        <v>104</v>
      </c>
      <c r="N138" s="8" t="n">
        <v>214</v>
      </c>
      <c r="O138" s="7" t="n">
        <v>140.95</v>
      </c>
      <c r="P138" s="6" t="n">
        <v>31.8</v>
      </c>
      <c r="Q138" s="4" t="s">
        <v>139</v>
      </c>
      <c r="R138" s="8" t="n">
        <v>14</v>
      </c>
      <c r="S138" s="6" t="n">
        <v>208.54</v>
      </c>
      <c r="T138" s="7" t="n">
        <f aca="false">IFERROR(S138/R138,"")</f>
        <v>14.8957142857143</v>
      </c>
      <c r="U138" s="6" t="n">
        <v>208.54</v>
      </c>
      <c r="V138" s="6" t="n">
        <v>208.54</v>
      </c>
      <c r="W138" s="8" t="n">
        <v>21</v>
      </c>
      <c r="X138" s="7" t="n">
        <f aca="false">IFERROR(S138/AH138,"")</f>
        <v>4.34458333333333</v>
      </c>
      <c r="Y138" s="9" t="n">
        <f aca="false">IFERROR(S138/AF138,"")</f>
        <v>0.240253456221198</v>
      </c>
      <c r="Z138" s="6" t="n">
        <v>10.64</v>
      </c>
      <c r="AA138" s="6" t="n">
        <v>13.71</v>
      </c>
      <c r="AB138" s="6" t="n">
        <v>21.8</v>
      </c>
      <c r="AC138" s="10" t="n">
        <v>0.286</v>
      </c>
      <c r="AD138" s="10" t="n">
        <v>0.071</v>
      </c>
      <c r="AE138" s="7" t="n">
        <v>0.476</v>
      </c>
      <c r="AF138" s="8" t="n">
        <v>868</v>
      </c>
      <c r="AG138" s="10" t="n">
        <v>0.912</v>
      </c>
      <c r="AH138" s="8" t="n">
        <v>48</v>
      </c>
      <c r="AI138" s="8" t="n">
        <v>0</v>
      </c>
      <c r="AJ138" s="6" t="n">
        <f aca="false">IFERROR(AI138/R138,"")</f>
        <v>0</v>
      </c>
      <c r="AK138" s="10" t="n">
        <v>0</v>
      </c>
      <c r="AL138" s="10" t="n">
        <v>0</v>
      </c>
      <c r="AM138" s="9" t="n">
        <v>0</v>
      </c>
      <c r="AN138" s="8" t="n">
        <v>0</v>
      </c>
      <c r="AO138" s="10"/>
      <c r="AP138" s="8" t="n">
        <v>0</v>
      </c>
      <c r="AQ138" s="7"/>
      <c r="AR138" s="6"/>
      <c r="AS138" s="7"/>
      <c r="AT138" s="7"/>
      <c r="AU138" s="7"/>
      <c r="AV138" s="7"/>
      <c r="AW138" s="7"/>
      <c r="AX138" s="10"/>
      <c r="AY138" s="8" t="n">
        <v>48</v>
      </c>
      <c r="AZ138" s="6" t="n">
        <f aca="false">IFERROR(AY138/R138,"")</f>
        <v>3.42857142857143</v>
      </c>
      <c r="BA138" s="10" t="n">
        <v>0.1188</v>
      </c>
      <c r="BB138" s="8" t="n">
        <v>209</v>
      </c>
      <c r="BC138" s="7" t="n">
        <f aca="false">IFERROR(BB138/AY138,"")</f>
        <v>4.35416666666667</v>
      </c>
      <c r="BD138" s="7" t="n">
        <v>3.792</v>
      </c>
      <c r="BE138" s="7" t="n">
        <v>0.562</v>
      </c>
      <c r="BF138" s="8" t="n">
        <v>0</v>
      </c>
      <c r="BG138" s="7"/>
      <c r="BH138" s="6"/>
      <c r="BI138" s="7"/>
      <c r="BJ138" s="8" t="n">
        <v>6</v>
      </c>
      <c r="BK138" s="8" t="n">
        <v>3</v>
      </c>
      <c r="BL138" s="8" t="n">
        <v>2</v>
      </c>
      <c r="BM138" s="8" t="n">
        <v>1</v>
      </c>
      <c r="BN138" s="7" t="n">
        <v>1.55</v>
      </c>
      <c r="BO138" s="7" t="n">
        <f aca="false">IFERROR(BM138-BN138,"")</f>
        <v>-0.55</v>
      </c>
      <c r="BP138" s="9" t="n">
        <f aca="false">IFERROR(BM138/AH138,"")</f>
        <v>0.0208333333333333</v>
      </c>
      <c r="BQ138" s="6" t="n">
        <v>45.8</v>
      </c>
      <c r="BR138" s="6" t="n">
        <v>34.1</v>
      </c>
      <c r="BS138" s="6" t="n">
        <v>59.3</v>
      </c>
      <c r="BT138" s="7" t="n">
        <v>2.812</v>
      </c>
      <c r="BU138" s="10" t="n">
        <v>0.1937</v>
      </c>
      <c r="BV138" s="10" t="n">
        <v>0.485714285714286</v>
      </c>
      <c r="BW138" s="7" t="n">
        <v>2.099</v>
      </c>
      <c r="BX138" s="10" t="n">
        <v>0.2216</v>
      </c>
      <c r="BY138" s="10" t="n">
        <v>0.0526</v>
      </c>
      <c r="BZ138" s="7" t="n">
        <v>2.345</v>
      </c>
      <c r="CA138" s="10" t="n">
        <v>0.713</v>
      </c>
      <c r="CB138" s="8" t="n">
        <v>2</v>
      </c>
      <c r="CC138" s="10" t="n">
        <v>-0.0098</v>
      </c>
      <c r="CD138" s="10" t="n">
        <v>0.5638</v>
      </c>
      <c r="CE138" s="6" t="n">
        <v>63.41</v>
      </c>
      <c r="CF138" s="6" t="n">
        <v>38</v>
      </c>
      <c r="CG138" s="7" t="n">
        <v>3.41</v>
      </c>
      <c r="CH138" s="6" t="n">
        <v>23.8</v>
      </c>
      <c r="CI138" s="9" t="n">
        <v>-0.0779</v>
      </c>
      <c r="CJ138" s="9" t="n">
        <v>0.036</v>
      </c>
      <c r="CK138" s="8" t="n">
        <v>82</v>
      </c>
      <c r="CL138" s="10" t="n">
        <v>0.148</v>
      </c>
      <c r="CM138" s="8" t="n">
        <v>21</v>
      </c>
      <c r="CN138" s="10" t="n">
        <v>0.044</v>
      </c>
      <c r="CO138" s="8" t="n">
        <v>18</v>
      </c>
      <c r="CP138" s="7" t="n">
        <v>-0.106</v>
      </c>
      <c r="CQ138" s="7" t="n">
        <v>-0.15</v>
      </c>
      <c r="CR138" s="4" t="s">
        <v>102</v>
      </c>
      <c r="CS138" s="4"/>
    </row>
    <row r="139" customFormat="false" ht="15" hidden="false" customHeight="false" outlineLevel="0" collapsed="false">
      <c r="A139" s="3" t="n">
        <v>137</v>
      </c>
      <c r="B139" s="4" t="s">
        <v>415</v>
      </c>
      <c r="C139" s="13" t="s">
        <v>172</v>
      </c>
      <c r="D139" s="4" t="s">
        <v>416</v>
      </c>
      <c r="E139" s="4" t="s">
        <v>115</v>
      </c>
      <c r="F139" s="4" t="s">
        <v>172</v>
      </c>
      <c r="G139" s="3" t="n">
        <v>1</v>
      </c>
      <c r="H139" s="6" t="n">
        <v>29.2</v>
      </c>
      <c r="I139" s="3" t="n">
        <v>9</v>
      </c>
      <c r="J139" s="3" t="n">
        <v>11</v>
      </c>
      <c r="K139" s="7" t="n">
        <v>141.92</v>
      </c>
      <c r="L139" s="7" t="n">
        <v>13.57</v>
      </c>
      <c r="M139" s="8" t="n">
        <v>119</v>
      </c>
      <c r="N139" s="8" t="n">
        <v>203</v>
      </c>
      <c r="O139" s="7" t="n">
        <v>141.92</v>
      </c>
      <c r="P139" s="6" t="n">
        <v>36.3</v>
      </c>
      <c r="Q139" s="4" t="s">
        <v>115</v>
      </c>
      <c r="R139" s="8" t="n">
        <v>17</v>
      </c>
      <c r="S139" s="6" t="n">
        <v>235.42</v>
      </c>
      <c r="T139" s="7" t="n">
        <f aca="false">IFERROR(S139/R139,"")</f>
        <v>13.8482352941176</v>
      </c>
      <c r="U139" s="6" t="n">
        <v>235.42</v>
      </c>
      <c r="V139" s="6" t="n">
        <v>235.42</v>
      </c>
      <c r="W139" s="8" t="n">
        <v>14</v>
      </c>
      <c r="X139" s="7" t="n">
        <f aca="false">IFERROR(S139/AH139,"")</f>
        <v>6.72628571428571</v>
      </c>
      <c r="Y139" s="9" t="n">
        <f aca="false">IFERROR(S139/AF139,"")</f>
        <v>0.229454191033138</v>
      </c>
      <c r="Z139" s="6" t="n">
        <v>6.08</v>
      </c>
      <c r="AA139" s="6" t="n">
        <v>15.8</v>
      </c>
      <c r="AB139" s="6" t="n">
        <v>21.36</v>
      </c>
      <c r="AC139" s="10" t="n">
        <v>0.412</v>
      </c>
      <c r="AD139" s="10" t="n">
        <v>0.294</v>
      </c>
      <c r="AE139" s="7" t="n">
        <v>0.505</v>
      </c>
      <c r="AF139" s="8" t="n">
        <v>1026</v>
      </c>
      <c r="AG139" s="10" t="n">
        <v>0.962</v>
      </c>
      <c r="AH139" s="8" t="n">
        <v>35</v>
      </c>
      <c r="AI139" s="8" t="n">
        <v>0</v>
      </c>
      <c r="AJ139" s="6" t="n">
        <f aca="false">IFERROR(AI139/R139,"")</f>
        <v>0</v>
      </c>
      <c r="AK139" s="10" t="n">
        <v>0</v>
      </c>
      <c r="AL139" s="10" t="n">
        <v>0</v>
      </c>
      <c r="AM139" s="9" t="n">
        <v>0</v>
      </c>
      <c r="AN139" s="8" t="n">
        <v>0</v>
      </c>
      <c r="AO139" s="10"/>
      <c r="AP139" s="8" t="n">
        <v>0</v>
      </c>
      <c r="AQ139" s="7"/>
      <c r="AR139" s="6"/>
      <c r="AS139" s="7"/>
      <c r="AT139" s="7"/>
      <c r="AU139" s="7"/>
      <c r="AV139" s="7"/>
      <c r="AW139" s="7"/>
      <c r="AX139" s="10"/>
      <c r="AY139" s="8" t="n">
        <v>35</v>
      </c>
      <c r="AZ139" s="6" t="n">
        <f aca="false">IFERROR(AY139/R139,"")</f>
        <v>2.05882352941176</v>
      </c>
      <c r="BA139" s="10" t="n">
        <v>0.069</v>
      </c>
      <c r="BB139" s="8" t="n">
        <v>95</v>
      </c>
      <c r="BC139" s="7" t="n">
        <f aca="false">IFERROR(BB139/AY139,"")</f>
        <v>2.71428571428571</v>
      </c>
      <c r="BD139" s="7" t="n">
        <v>2.486</v>
      </c>
      <c r="BE139" s="7" t="n">
        <v>0.229</v>
      </c>
      <c r="BF139" s="8" t="n">
        <v>0</v>
      </c>
      <c r="BG139" s="7"/>
      <c r="BH139" s="6"/>
      <c r="BI139" s="7"/>
      <c r="BJ139" s="8" t="n">
        <v>2</v>
      </c>
      <c r="BK139" s="8" t="n">
        <v>1</v>
      </c>
      <c r="BL139" s="8" t="n">
        <v>0</v>
      </c>
      <c r="BM139" s="8" t="n">
        <v>0</v>
      </c>
      <c r="BN139" s="7" t="n">
        <v>0.34</v>
      </c>
      <c r="BO139" s="7" t="n">
        <f aca="false">IFERROR(BM139-BN139,"")</f>
        <v>-0.34</v>
      </c>
      <c r="BP139" s="9" t="n">
        <f aca="false">IFERROR(BM139/AH139,"")</f>
        <v>0</v>
      </c>
      <c r="BQ139" s="6" t="n">
        <v>49.9</v>
      </c>
      <c r="BR139" s="6" t="n">
        <v>39.3</v>
      </c>
      <c r="BS139" s="6" t="n">
        <v>60.5</v>
      </c>
      <c r="BT139" s="7" t="n">
        <v>2.758</v>
      </c>
      <c r="BU139" s="10" t="n">
        <v>0.2121</v>
      </c>
      <c r="BV139" s="10" t="n">
        <v>0.612903225806452</v>
      </c>
      <c r="BW139" s="7" t="n">
        <v>2.477</v>
      </c>
      <c r="BX139" s="10" t="n">
        <v>0.2266</v>
      </c>
      <c r="BY139" s="10" t="n">
        <v>0.0535</v>
      </c>
      <c r="BZ139" s="7" t="n">
        <v>2.4</v>
      </c>
      <c r="CA139" s="10" t="n">
        <v>0.942</v>
      </c>
      <c r="CB139" s="8" t="n">
        <v>5</v>
      </c>
      <c r="CC139" s="10" t="n">
        <v>-0.0677</v>
      </c>
      <c r="CD139" s="10" t="n">
        <v>0.5204</v>
      </c>
      <c r="CE139" s="6" t="n">
        <v>58.65</v>
      </c>
      <c r="CF139" s="6" t="n">
        <v>39</v>
      </c>
      <c r="CG139" s="7" t="n">
        <v>3.53</v>
      </c>
      <c r="CH139" s="6" t="n">
        <v>28.4</v>
      </c>
      <c r="CI139" s="9" t="n">
        <v>-0.0491</v>
      </c>
      <c r="CJ139" s="9" t="n">
        <v>0.1122</v>
      </c>
      <c r="CK139" s="8" t="n">
        <v>39</v>
      </c>
      <c r="CL139" s="10" t="n">
        <v>0.086</v>
      </c>
      <c r="CM139" s="8" t="n">
        <v>221</v>
      </c>
      <c r="CN139" s="10" t="n">
        <v>0.436</v>
      </c>
      <c r="CO139" s="8" t="n">
        <v>37</v>
      </c>
      <c r="CP139" s="7" t="n">
        <v>0.236</v>
      </c>
      <c r="CQ139" s="7" t="n">
        <v>-0.246</v>
      </c>
      <c r="CR139" s="4" t="s">
        <v>102</v>
      </c>
      <c r="CS139" s="4"/>
    </row>
    <row r="140" customFormat="false" ht="15" hidden="false" customHeight="false" outlineLevel="0" collapsed="false">
      <c r="A140" s="3" t="n">
        <v>138</v>
      </c>
      <c r="B140" s="4" t="s">
        <v>417</v>
      </c>
      <c r="C140" s="5" t="s">
        <v>99</v>
      </c>
      <c r="D140" s="4" t="s">
        <v>418</v>
      </c>
      <c r="E140" s="4" t="s">
        <v>124</v>
      </c>
      <c r="F140" s="4" t="s">
        <v>99</v>
      </c>
      <c r="G140" s="3" t="n">
        <v>2</v>
      </c>
      <c r="H140" s="6" t="n">
        <v>30.6</v>
      </c>
      <c r="I140" s="3" t="n">
        <v>8</v>
      </c>
      <c r="J140" s="3" t="n">
        <v>8</v>
      </c>
      <c r="K140" s="7" t="n">
        <v>142.01</v>
      </c>
      <c r="L140" s="7" t="n">
        <v>34.85</v>
      </c>
      <c r="M140" s="8" t="n">
        <v>83</v>
      </c>
      <c r="N140" s="8" t="n">
        <v>241</v>
      </c>
      <c r="O140" s="7" t="n">
        <v>142.01</v>
      </c>
      <c r="P140" s="6" t="n">
        <v>58.5</v>
      </c>
      <c r="Q140" s="4" t="s">
        <v>221</v>
      </c>
      <c r="R140" s="8" t="n">
        <v>16</v>
      </c>
      <c r="S140" s="6" t="n">
        <v>188.2</v>
      </c>
      <c r="T140" s="7" t="n">
        <f aca="false">IFERROR(S140/R140,"")</f>
        <v>11.7625</v>
      </c>
      <c r="U140" s="6" t="n">
        <v>152.2</v>
      </c>
      <c r="V140" s="6" t="n">
        <v>116.2</v>
      </c>
      <c r="W140" s="8" t="n">
        <v>25</v>
      </c>
      <c r="X140" s="7" t="n">
        <f aca="false">IFERROR(S140/AH140,"")</f>
        <v>1.62241379310345</v>
      </c>
      <c r="Y140" s="9" t="n">
        <f aca="false">IFERROR(S140/AF140,"")</f>
        <v>0.263955119214586</v>
      </c>
      <c r="Z140" s="6" t="n">
        <v>6.22</v>
      </c>
      <c r="AA140" s="6" t="n">
        <v>10.25</v>
      </c>
      <c r="AB140" s="6" t="n">
        <v>20.55</v>
      </c>
      <c r="AC140" s="10" t="n">
        <v>0.25</v>
      </c>
      <c r="AD140" s="10" t="n">
        <v>0</v>
      </c>
      <c r="AE140" s="7" t="n">
        <v>0.677</v>
      </c>
      <c r="AF140" s="8" t="n">
        <v>713</v>
      </c>
      <c r="AG140" s="10" t="n">
        <v>0.722</v>
      </c>
      <c r="AH140" s="8" t="n">
        <v>116</v>
      </c>
      <c r="AI140" s="8" t="n">
        <v>99</v>
      </c>
      <c r="AJ140" s="6" t="n">
        <f aca="false">IFERROR(AI140/R140,"")</f>
        <v>6.1875</v>
      </c>
      <c r="AK140" s="10" t="n">
        <v>0.2469</v>
      </c>
      <c r="AL140" s="10" t="n">
        <v>0.1532</v>
      </c>
      <c r="AM140" s="9" t="n">
        <v>0.4776</v>
      </c>
      <c r="AN140" s="8" t="n">
        <v>72</v>
      </c>
      <c r="AO140" s="10" t="n">
        <f aca="false">IFERROR(AN140/AI140,"")</f>
        <v>0.727272727272727</v>
      </c>
      <c r="AP140" s="8" t="n">
        <v>727</v>
      </c>
      <c r="AQ140" s="7" t="n">
        <f aca="false">IFERROR(AP140/AI140,"")</f>
        <v>7.34343434343434</v>
      </c>
      <c r="AR140" s="6" t="n">
        <v>5.323</v>
      </c>
      <c r="AS140" s="7" t="n">
        <v>6.472</v>
      </c>
      <c r="AT140" s="7" t="n">
        <v>1.38</v>
      </c>
      <c r="AU140" s="7" t="n">
        <v>3.5421433779842</v>
      </c>
      <c r="AV140" s="7" t="n">
        <v>6.29160493827161</v>
      </c>
      <c r="AW140" s="7" t="n">
        <v>1.08871252755439</v>
      </c>
      <c r="AX140" s="10" t="n">
        <v>0.0606</v>
      </c>
      <c r="AY140" s="8" t="n">
        <v>17</v>
      </c>
      <c r="AZ140" s="6" t="n">
        <f aca="false">IFERROR(AY140/R140,"")</f>
        <v>1.0625</v>
      </c>
      <c r="BA140" s="10" t="n">
        <v>0.0373</v>
      </c>
      <c r="BB140" s="8" t="n">
        <v>75</v>
      </c>
      <c r="BC140" s="7"/>
      <c r="BD140" s="7"/>
      <c r="BE140" s="7"/>
      <c r="BF140" s="8" t="n">
        <v>2</v>
      </c>
      <c r="BG140" s="7"/>
      <c r="BH140" s="6"/>
      <c r="BI140" s="7"/>
      <c r="BJ140" s="8" t="n">
        <v>16</v>
      </c>
      <c r="BK140" s="8" t="n">
        <v>9</v>
      </c>
      <c r="BL140" s="8" t="n">
        <v>4</v>
      </c>
      <c r="BM140" s="8" t="n">
        <v>6</v>
      </c>
      <c r="BN140" s="7" t="n">
        <v>5.64</v>
      </c>
      <c r="BO140" s="7" t="n">
        <f aca="false">IFERROR(BM140-BN140,"")</f>
        <v>0.36</v>
      </c>
      <c r="BP140" s="9" t="n">
        <f aca="false">IFERROR(BM140/AH140,"")</f>
        <v>0.0517241379310345</v>
      </c>
      <c r="BQ140" s="6" t="n">
        <v>63.3</v>
      </c>
      <c r="BR140" s="6" t="n">
        <v>46.4</v>
      </c>
      <c r="BS140" s="6" t="n">
        <v>74.5</v>
      </c>
      <c r="BT140" s="7" t="n">
        <v>2.906</v>
      </c>
      <c r="BU140" s="10" t="n">
        <v>0.1848</v>
      </c>
      <c r="BV140" s="10" t="n">
        <v>0.655172413793103</v>
      </c>
      <c r="BW140" s="7" t="n">
        <v>2.349</v>
      </c>
      <c r="BX140" s="10" t="n">
        <v>0.2125</v>
      </c>
      <c r="BY140" s="10" t="n">
        <v>0.0428</v>
      </c>
      <c r="BZ140" s="7" t="n">
        <v>2.547</v>
      </c>
      <c r="CA140" s="10" t="n">
        <v>0.852</v>
      </c>
      <c r="CB140" s="8" t="n">
        <v>4</v>
      </c>
      <c r="CC140" s="10" t="n">
        <v>-0.0088</v>
      </c>
      <c r="CD140" s="10" t="n">
        <v>0.5521</v>
      </c>
      <c r="CE140" s="6" t="n">
        <v>62.65</v>
      </c>
      <c r="CF140" s="6" t="n">
        <v>38</v>
      </c>
      <c r="CG140" s="7" t="n">
        <v>3.88</v>
      </c>
      <c r="CH140" s="6" t="n">
        <v>25.7</v>
      </c>
      <c r="CI140" s="9" t="n">
        <v>-0.0044</v>
      </c>
      <c r="CJ140" s="9" t="n">
        <v>0.1587</v>
      </c>
      <c r="CK140" s="8" t="n">
        <v>170</v>
      </c>
      <c r="CL140" s="10" t="n">
        <v>0.309</v>
      </c>
      <c r="CM140" s="8" t="n">
        <v>94</v>
      </c>
      <c r="CN140" s="10" t="n">
        <v>0.195</v>
      </c>
      <c r="CO140" s="8" t="n">
        <v>38</v>
      </c>
      <c r="CP140" s="7" t="n">
        <v>0.923</v>
      </c>
      <c r="CQ140" s="7" t="n">
        <v>0.572</v>
      </c>
      <c r="CR140" s="4" t="s">
        <v>232</v>
      </c>
      <c r="CS140" s="4"/>
    </row>
    <row r="141" customFormat="false" ht="15" hidden="false" customHeight="false" outlineLevel="0" collapsed="false">
      <c r="A141" s="3" t="n">
        <v>139</v>
      </c>
      <c r="B141" s="4" t="s">
        <v>419</v>
      </c>
      <c r="C141" s="11" t="s">
        <v>104</v>
      </c>
      <c r="D141" s="4" t="s">
        <v>420</v>
      </c>
      <c r="E141" s="4" t="s">
        <v>235</v>
      </c>
      <c r="F141" s="4" t="s">
        <v>104</v>
      </c>
      <c r="G141" s="3" t="n">
        <v>2</v>
      </c>
      <c r="H141" s="6" t="n">
        <v>26.9</v>
      </c>
      <c r="I141" s="3" t="n">
        <v>4</v>
      </c>
      <c r="J141" s="3" t="n">
        <v>7</v>
      </c>
      <c r="K141" s="7" t="n">
        <v>143.1</v>
      </c>
      <c r="L141" s="7" t="n">
        <v>20.38</v>
      </c>
      <c r="M141" s="8" t="n">
        <v>118</v>
      </c>
      <c r="N141" s="8" t="n">
        <v>263</v>
      </c>
      <c r="O141" s="7" t="n">
        <v>143.1</v>
      </c>
      <c r="P141" s="6" t="n">
        <v>39</v>
      </c>
      <c r="Q141" s="4" t="s">
        <v>221</v>
      </c>
      <c r="R141" s="8" t="n">
        <v>12</v>
      </c>
      <c r="S141" s="6" t="n">
        <v>92</v>
      </c>
      <c r="T141" s="7" t="n">
        <f aca="false">IFERROR(S141/R141,"")</f>
        <v>7.66666666666667</v>
      </c>
      <c r="U141" s="6" t="n">
        <v>90.5</v>
      </c>
      <c r="V141" s="6" t="n">
        <v>89</v>
      </c>
      <c r="W141" s="8" t="n">
        <v>47</v>
      </c>
      <c r="X141" s="7" t="n">
        <f aca="false">IFERROR(S141/AH141,"")</f>
        <v>0.793103448275862</v>
      </c>
      <c r="Y141" s="9" t="n">
        <f aca="false">IFERROR(S141/AF141,"")</f>
        <v>0.36078431372549</v>
      </c>
      <c r="Z141" s="6" t="n">
        <v>4.88</v>
      </c>
      <c r="AA141" s="6" t="n">
        <v>7.4</v>
      </c>
      <c r="AB141" s="6" t="n">
        <v>12.99</v>
      </c>
      <c r="AC141" s="10" t="n">
        <v>0</v>
      </c>
      <c r="AD141" s="10" t="n">
        <v>0.167</v>
      </c>
      <c r="AE141" s="7" t="n">
        <v>0.654</v>
      </c>
      <c r="AF141" s="8" t="n">
        <v>255</v>
      </c>
      <c r="AG141" s="10" t="n">
        <v>0.312</v>
      </c>
      <c r="AH141" s="8" t="n">
        <v>116</v>
      </c>
      <c r="AI141" s="8" t="n">
        <v>4</v>
      </c>
      <c r="AJ141" s="6" t="n">
        <f aca="false">IFERROR(AI141/R141,"")</f>
        <v>0.333333333333333</v>
      </c>
      <c r="AK141" s="10" t="n">
        <v>0.0132</v>
      </c>
      <c r="AL141" s="10" t="n">
        <v>0.0061</v>
      </c>
      <c r="AM141" s="9" t="n">
        <v>0.0241</v>
      </c>
      <c r="AN141" s="8" t="n">
        <v>3</v>
      </c>
      <c r="AO141" s="10"/>
      <c r="AP141" s="8" t="n">
        <v>30</v>
      </c>
      <c r="AQ141" s="7"/>
      <c r="AR141" s="6"/>
      <c r="AS141" s="7"/>
      <c r="AT141" s="7"/>
      <c r="AU141" s="7"/>
      <c r="AV141" s="7"/>
      <c r="AW141" s="7"/>
      <c r="AX141" s="10"/>
      <c r="AY141" s="8" t="n">
        <v>112</v>
      </c>
      <c r="AZ141" s="6" t="n">
        <f aca="false">IFERROR(AY141/R141,"")</f>
        <v>9.33333333333333</v>
      </c>
      <c r="BA141" s="10" t="n">
        <v>0.3209</v>
      </c>
      <c r="BB141" s="8" t="n">
        <v>500</v>
      </c>
      <c r="BC141" s="7" t="n">
        <f aca="false">IFERROR(BB141/AY141,"")</f>
        <v>4.46428571428571</v>
      </c>
      <c r="BD141" s="7" t="n">
        <v>1.491</v>
      </c>
      <c r="BE141" s="7" t="n">
        <v>2.973</v>
      </c>
      <c r="BF141" s="8" t="n">
        <v>13</v>
      </c>
      <c r="BG141" s="7" t="n">
        <v>0.69514541097149</v>
      </c>
      <c r="BH141" s="6" t="n">
        <v>31.25</v>
      </c>
      <c r="BI141" s="7" t="n">
        <v>3.33612</v>
      </c>
      <c r="BJ141" s="8" t="n">
        <v>34</v>
      </c>
      <c r="BK141" s="8" t="n">
        <v>22</v>
      </c>
      <c r="BL141" s="8" t="n">
        <v>14</v>
      </c>
      <c r="BM141" s="8" t="n">
        <v>6</v>
      </c>
      <c r="BN141" s="7" t="n">
        <v>7.52</v>
      </c>
      <c r="BO141" s="7" t="n">
        <f aca="false">IFERROR(BM141-BN141,"")</f>
        <v>-1.52</v>
      </c>
      <c r="BP141" s="9" t="n">
        <f aca="false">IFERROR(BM141/AH141,"")</f>
        <v>0.0517241379310345</v>
      </c>
      <c r="BQ141" s="6" t="n">
        <v>44.3</v>
      </c>
      <c r="BR141" s="6" t="n">
        <v>40.2</v>
      </c>
      <c r="BS141" s="6" t="n">
        <v>50.8</v>
      </c>
      <c r="BT141" s="7" t="n">
        <v>2.885</v>
      </c>
      <c r="BU141" s="10" t="n">
        <v>0.1784</v>
      </c>
      <c r="BV141" s="10" t="n">
        <v>0.5</v>
      </c>
      <c r="BW141" s="7" t="n">
        <v>2.219</v>
      </c>
      <c r="BX141" s="10" t="n">
        <v>0.2504</v>
      </c>
      <c r="BY141" s="10" t="n">
        <v>0.0647</v>
      </c>
      <c r="BZ141" s="7" t="n">
        <v>2.395</v>
      </c>
      <c r="CA141" s="10" t="n">
        <v>1</v>
      </c>
      <c r="CB141" s="8" t="n">
        <v>5</v>
      </c>
      <c r="CC141" s="10" t="n">
        <v>0.0164</v>
      </c>
      <c r="CD141" s="10" t="n">
        <v>0.5756</v>
      </c>
      <c r="CE141" s="6" t="n">
        <v>63.18</v>
      </c>
      <c r="CF141" s="6" t="n">
        <v>40</v>
      </c>
      <c r="CG141" s="7" t="n">
        <v>4.24</v>
      </c>
      <c r="CH141" s="6" t="n">
        <v>27.9</v>
      </c>
      <c r="CI141" s="9" t="n">
        <v>-0.0041</v>
      </c>
      <c r="CJ141" s="9" t="n">
        <v>0.0592</v>
      </c>
      <c r="CK141" s="8" t="n">
        <v>132</v>
      </c>
      <c r="CL141" s="10" t="n">
        <v>0.241</v>
      </c>
      <c r="CM141" s="8" t="n">
        <v>271</v>
      </c>
      <c r="CN141" s="10" t="n">
        <v>0.554</v>
      </c>
      <c r="CO141" s="8" t="n">
        <v>85</v>
      </c>
      <c r="CP141" s="7" t="n">
        <v>-0.431</v>
      </c>
      <c r="CQ141" s="7" t="n">
        <v>-0.344</v>
      </c>
      <c r="CR141" s="4" t="s">
        <v>121</v>
      </c>
      <c r="CS141" s="4"/>
    </row>
    <row r="142" customFormat="false" ht="15" hidden="false" customHeight="false" outlineLevel="0" collapsed="false">
      <c r="A142" s="3" t="n">
        <v>140</v>
      </c>
      <c r="B142" s="4" t="s">
        <v>421</v>
      </c>
      <c r="C142" s="11" t="s">
        <v>104</v>
      </c>
      <c r="D142" s="4" t="s">
        <v>422</v>
      </c>
      <c r="E142" s="4" t="s">
        <v>115</v>
      </c>
      <c r="F142" s="4" t="s">
        <v>104</v>
      </c>
      <c r="G142" s="3" t="n">
        <v>1</v>
      </c>
      <c r="H142" s="6" t="n">
        <v>25.6</v>
      </c>
      <c r="I142" s="3" t="n">
        <v>4</v>
      </c>
      <c r="J142" s="3" t="n">
        <v>11</v>
      </c>
      <c r="K142" s="7" t="n">
        <v>143.64</v>
      </c>
      <c r="L142" s="7" t="n">
        <v>19.97</v>
      </c>
      <c r="M142" s="8" t="n">
        <v>102</v>
      </c>
      <c r="N142" s="8" t="n">
        <v>245</v>
      </c>
      <c r="O142" s="7" t="n">
        <v>143.64</v>
      </c>
      <c r="P142" s="6" t="n">
        <v>62.5</v>
      </c>
      <c r="Q142" s="4" t="s">
        <v>115</v>
      </c>
      <c r="R142" s="8" t="n">
        <v>16</v>
      </c>
      <c r="S142" s="6" t="n">
        <v>181.4</v>
      </c>
      <c r="T142" s="7" t="n">
        <f aca="false">IFERROR(S142/R142,"")</f>
        <v>11.3375</v>
      </c>
      <c r="U142" s="6" t="n">
        <v>171.4</v>
      </c>
      <c r="V142" s="6" t="n">
        <v>161.4</v>
      </c>
      <c r="W142" s="8" t="n">
        <v>24</v>
      </c>
      <c r="X142" s="7" t="n">
        <f aca="false">IFERROR(S142/AH142,"")</f>
        <v>0.872115384615385</v>
      </c>
      <c r="Y142" s="9" t="n">
        <f aca="false">IFERROR(S142/AF142,"")</f>
        <v>0.370961145194274</v>
      </c>
      <c r="Z142" s="6" t="n">
        <v>6.43</v>
      </c>
      <c r="AA142" s="6" t="n">
        <v>10.95</v>
      </c>
      <c r="AB142" s="6" t="n">
        <v>18.38</v>
      </c>
      <c r="AC142" s="10" t="n">
        <v>0.188</v>
      </c>
      <c r="AD142" s="10" t="n">
        <v>0.062</v>
      </c>
      <c r="AE142" s="7" t="n">
        <v>0.612</v>
      </c>
      <c r="AF142" s="8" t="n">
        <v>489</v>
      </c>
      <c r="AG142" s="10" t="n">
        <v>0.484</v>
      </c>
      <c r="AH142" s="8" t="n">
        <v>208</v>
      </c>
      <c r="AI142" s="8" t="n">
        <v>24</v>
      </c>
      <c r="AJ142" s="6" t="n">
        <f aca="false">IFERROR(AI142/R142,"")</f>
        <v>1.5</v>
      </c>
      <c r="AK142" s="10" t="n">
        <v>0.0552</v>
      </c>
      <c r="AL142" s="10" t="n">
        <v>0.0115</v>
      </c>
      <c r="AM142" s="9" t="n">
        <v>0.0908</v>
      </c>
      <c r="AN142" s="8" t="n">
        <v>20</v>
      </c>
      <c r="AO142" s="10" t="n">
        <f aca="false">IFERROR(AN142/AI142,"")</f>
        <v>0.833333333333333</v>
      </c>
      <c r="AP142" s="8" t="n">
        <v>144</v>
      </c>
      <c r="AQ142" s="7" t="n">
        <f aca="false">IFERROR(AP142/AI142,"")</f>
        <v>6</v>
      </c>
      <c r="AR142" s="6" t="n">
        <v>1.667</v>
      </c>
      <c r="AS142" s="7" t="n">
        <v>6.15</v>
      </c>
      <c r="AT142" s="7" t="n">
        <v>3.6</v>
      </c>
      <c r="AU142" s="7"/>
      <c r="AV142" s="7"/>
      <c r="AW142" s="7"/>
      <c r="AX142" s="10" t="n">
        <v>0.0417</v>
      </c>
      <c r="AY142" s="8" t="n">
        <v>184</v>
      </c>
      <c r="AZ142" s="6" t="n">
        <f aca="false">IFERROR(AY142/R142,"")</f>
        <v>11.5</v>
      </c>
      <c r="BA142" s="10" t="n">
        <v>0.3882</v>
      </c>
      <c r="BB142" s="8" t="n">
        <v>730</v>
      </c>
      <c r="BC142" s="7" t="n">
        <f aca="false">IFERROR(BB142/AY142,"")</f>
        <v>3.96739130434783</v>
      </c>
      <c r="BD142" s="7" t="n">
        <v>2.136</v>
      </c>
      <c r="BE142" s="7" t="n">
        <v>1.832</v>
      </c>
      <c r="BF142" s="8" t="n">
        <v>14</v>
      </c>
      <c r="BG142" s="7" t="n">
        <v>0.329518560351908</v>
      </c>
      <c r="BH142" s="6" t="n">
        <v>35.3260869565217</v>
      </c>
      <c r="BI142" s="7" t="n">
        <v>4.30943835616439</v>
      </c>
      <c r="BJ142" s="8" t="n">
        <v>54</v>
      </c>
      <c r="BK142" s="8" t="n">
        <v>32</v>
      </c>
      <c r="BL142" s="8" t="n">
        <v>19</v>
      </c>
      <c r="BM142" s="8" t="n">
        <v>12</v>
      </c>
      <c r="BN142" s="7" t="n">
        <v>12.42</v>
      </c>
      <c r="BO142" s="7" t="n">
        <f aca="false">IFERROR(BM142-BN142,"")</f>
        <v>-0.42</v>
      </c>
      <c r="BP142" s="9" t="n">
        <f aca="false">IFERROR(BM142/AH142,"")</f>
        <v>0.0576923076923077</v>
      </c>
      <c r="BQ142" s="6" t="n">
        <v>49.9</v>
      </c>
      <c r="BR142" s="6" t="n">
        <v>39.3</v>
      </c>
      <c r="BS142" s="6" t="n">
        <v>60.5</v>
      </c>
      <c r="BT142" s="7" t="n">
        <v>2.758</v>
      </c>
      <c r="BU142" s="10" t="n">
        <v>0.2121</v>
      </c>
      <c r="BV142" s="10" t="n">
        <v>0.612903225806452</v>
      </c>
      <c r="BW142" s="7" t="n">
        <v>2.477</v>
      </c>
      <c r="BX142" s="10" t="n">
        <v>0.2266</v>
      </c>
      <c r="BY142" s="10" t="n">
        <v>0.0535</v>
      </c>
      <c r="BZ142" s="7" t="n">
        <v>2.4</v>
      </c>
      <c r="CA142" s="10" t="n">
        <v>0.942</v>
      </c>
      <c r="CB142" s="8" t="n">
        <v>5</v>
      </c>
      <c r="CC142" s="10" t="n">
        <v>-0.0677</v>
      </c>
      <c r="CD142" s="10" t="n">
        <v>0.5204</v>
      </c>
      <c r="CE142" s="6" t="n">
        <v>58.65</v>
      </c>
      <c r="CF142" s="6" t="n">
        <v>39</v>
      </c>
      <c r="CG142" s="7" t="n">
        <v>3.53</v>
      </c>
      <c r="CH142" s="6" t="n">
        <v>28.4</v>
      </c>
      <c r="CI142" s="9" t="n">
        <v>-0.0491</v>
      </c>
      <c r="CJ142" s="9" t="n">
        <v>0.1122</v>
      </c>
      <c r="CK142" s="8" t="n">
        <v>39</v>
      </c>
      <c r="CL142" s="10" t="n">
        <v>0.086</v>
      </c>
      <c r="CM142" s="8" t="n">
        <v>221</v>
      </c>
      <c r="CN142" s="10" t="n">
        <v>0.436</v>
      </c>
      <c r="CO142" s="8" t="n">
        <v>37</v>
      </c>
      <c r="CP142" s="7" t="n">
        <v>0.613</v>
      </c>
      <c r="CQ142" s="7" t="n">
        <v>0.437</v>
      </c>
      <c r="CR142" s="4" t="s">
        <v>232</v>
      </c>
      <c r="CS142" s="4"/>
    </row>
    <row r="143" customFormat="false" ht="15" hidden="false" customHeight="false" outlineLevel="0" collapsed="false">
      <c r="A143" s="3" t="n">
        <v>141</v>
      </c>
      <c r="B143" s="4" t="s">
        <v>423</v>
      </c>
      <c r="C143" s="12" t="s">
        <v>149</v>
      </c>
      <c r="D143" s="4" t="s">
        <v>424</v>
      </c>
      <c r="E143" s="4" t="s">
        <v>158</v>
      </c>
      <c r="F143" s="4" t="s">
        <v>149</v>
      </c>
      <c r="G143" s="3" t="n">
        <v>1</v>
      </c>
      <c r="H143" s="6" t="n">
        <v>29.9</v>
      </c>
      <c r="I143" s="3" t="n">
        <v>7</v>
      </c>
      <c r="J143" s="3" t="n">
        <v>8</v>
      </c>
      <c r="K143" s="7" t="n">
        <v>143.94</v>
      </c>
      <c r="L143" s="7" t="n">
        <v>21.06</v>
      </c>
      <c r="M143" s="8" t="n">
        <v>106</v>
      </c>
      <c r="N143" s="8" t="n">
        <v>209</v>
      </c>
      <c r="O143" s="7" t="n">
        <v>143.94</v>
      </c>
      <c r="P143" s="6" t="n">
        <v>40.5</v>
      </c>
      <c r="Q143" s="4" t="s">
        <v>158</v>
      </c>
      <c r="R143" s="8" t="n">
        <v>17</v>
      </c>
      <c r="S143" s="6" t="n">
        <v>179.9</v>
      </c>
      <c r="T143" s="7" t="n">
        <f aca="false">IFERROR(S143/R143,"")</f>
        <v>10.5823529411765</v>
      </c>
      <c r="U143" s="6" t="n">
        <v>141.4</v>
      </c>
      <c r="V143" s="6" t="n">
        <v>102.9</v>
      </c>
      <c r="W143" s="8" t="n">
        <v>8</v>
      </c>
      <c r="X143" s="7" t="n">
        <f aca="false">IFERROR(S143/AH143,"")</f>
        <v>1.76372549019608</v>
      </c>
      <c r="Y143" s="9" t="n">
        <f aca="false">IFERROR(S143/AF143,"")</f>
        <v>0.211647058823529</v>
      </c>
      <c r="Z143" s="6" t="n">
        <v>7.1</v>
      </c>
      <c r="AA143" s="6" t="n">
        <v>10.6</v>
      </c>
      <c r="AB143" s="6" t="n">
        <v>15.78</v>
      </c>
      <c r="AC143" s="10" t="n">
        <v>0.235</v>
      </c>
      <c r="AD143" s="10" t="n">
        <v>0.059</v>
      </c>
      <c r="AE143" s="7" t="n">
        <v>0.455</v>
      </c>
      <c r="AF143" s="8" t="n">
        <v>850</v>
      </c>
      <c r="AG143" s="10" t="n">
        <v>0.75</v>
      </c>
      <c r="AH143" s="8" t="n">
        <v>102</v>
      </c>
      <c r="AI143" s="8" t="n">
        <v>102</v>
      </c>
      <c r="AJ143" s="6" t="n">
        <f aca="false">IFERROR(AI143/R143,"")</f>
        <v>6</v>
      </c>
      <c r="AK143" s="10" t="n">
        <v>0.1805</v>
      </c>
      <c r="AL143" s="10" t="n">
        <v>0.1652</v>
      </c>
      <c r="AM143" s="9" t="n">
        <v>0.3864</v>
      </c>
      <c r="AN143" s="8" t="n">
        <v>77</v>
      </c>
      <c r="AO143" s="10" t="n">
        <f aca="false">IFERROR(AN143/AI143,"")</f>
        <v>0.754901960784314</v>
      </c>
      <c r="AP143" s="8" t="n">
        <v>889</v>
      </c>
      <c r="AQ143" s="7" t="n">
        <f aca="false">IFERROR(AP143/AI143,"")</f>
        <v>8.7156862745098</v>
      </c>
      <c r="AR143" s="6" t="n">
        <v>7.578</v>
      </c>
      <c r="AS143" s="7" t="n">
        <v>4.701</v>
      </c>
      <c r="AT143" s="7" t="n">
        <v>1.15</v>
      </c>
      <c r="AU143" s="7" t="n">
        <v>3.64880989742619</v>
      </c>
      <c r="AV143" s="7" t="n">
        <v>5.99666666666667</v>
      </c>
      <c r="AW143" s="7" t="n">
        <v>0.088777625175851</v>
      </c>
      <c r="AX143" s="10" t="n">
        <v>0.0588</v>
      </c>
      <c r="AY143" s="8" t="n">
        <v>0</v>
      </c>
      <c r="AZ143" s="6" t="n">
        <f aca="false">IFERROR(AY143/R143,"")</f>
        <v>0</v>
      </c>
      <c r="BA143" s="10" t="n">
        <v>0</v>
      </c>
      <c r="BB143" s="8" t="n">
        <v>0</v>
      </c>
      <c r="BC143" s="7"/>
      <c r="BD143" s="7"/>
      <c r="BE143" s="7"/>
      <c r="BF143" s="8"/>
      <c r="BG143" s="7"/>
      <c r="BH143" s="6"/>
      <c r="BI143" s="7"/>
      <c r="BJ143" s="8" t="n">
        <v>8</v>
      </c>
      <c r="BK143" s="8" t="n">
        <v>1</v>
      </c>
      <c r="BL143" s="8" t="n">
        <v>0</v>
      </c>
      <c r="BM143" s="8" t="n">
        <v>3</v>
      </c>
      <c r="BN143" s="7" t="n">
        <v>2.98</v>
      </c>
      <c r="BO143" s="7" t="n">
        <f aca="false">IFERROR(BM143-BN143,"")</f>
        <v>0.02</v>
      </c>
      <c r="BP143" s="9" t="n">
        <f aca="false">IFERROR(BM143/AH143,"")</f>
        <v>0.0294117647058824</v>
      </c>
      <c r="BQ143" s="6" t="n">
        <v>41.9</v>
      </c>
      <c r="BR143" s="6" t="n">
        <v>42.4</v>
      </c>
      <c r="BS143" s="6" t="n">
        <v>44.9</v>
      </c>
      <c r="BT143" s="7" t="n">
        <v>2.883</v>
      </c>
      <c r="BU143" s="10" t="n">
        <v>0.1505</v>
      </c>
      <c r="BV143" s="10" t="n">
        <v>0.55</v>
      </c>
      <c r="BW143" s="7" t="n">
        <v>2.057</v>
      </c>
      <c r="BX143" s="10" t="n">
        <v>0.2132</v>
      </c>
      <c r="BY143" s="10" t="n">
        <v>0.0763</v>
      </c>
      <c r="BZ143" s="7" t="n">
        <v>2.2</v>
      </c>
      <c r="CA143" s="10" t="n">
        <v>0.784</v>
      </c>
      <c r="CB143" s="8" t="n">
        <v>4</v>
      </c>
      <c r="CC143" s="10" t="n">
        <v>-0.0301</v>
      </c>
      <c r="CD143" s="10" t="n">
        <v>0.5383</v>
      </c>
      <c r="CE143" s="6" t="n">
        <v>62.59</v>
      </c>
      <c r="CF143" s="6" t="n">
        <v>35</v>
      </c>
      <c r="CG143" s="7" t="n">
        <v>2.82</v>
      </c>
      <c r="CH143" s="6" t="n">
        <v>18</v>
      </c>
      <c r="CI143" s="9" t="n">
        <v>-0.1008</v>
      </c>
      <c r="CJ143" s="9" t="n">
        <v>-0.0795</v>
      </c>
      <c r="CK143" s="8" t="n">
        <v>127</v>
      </c>
      <c r="CL143" s="10" t="n">
        <v>0.225</v>
      </c>
      <c r="CM143" s="8" t="n">
        <v>21</v>
      </c>
      <c r="CN143" s="10" t="n">
        <v>0.048</v>
      </c>
      <c r="CO143" s="8" t="n">
        <v>15</v>
      </c>
      <c r="CP143" s="7" t="n">
        <v>0.251</v>
      </c>
      <c r="CQ143" s="7" t="n">
        <v>0.076</v>
      </c>
      <c r="CR143" s="4" t="s">
        <v>102</v>
      </c>
      <c r="CS143" s="4"/>
    </row>
    <row r="144" customFormat="false" ht="15" hidden="false" customHeight="false" outlineLevel="0" collapsed="false">
      <c r="A144" s="3" t="n">
        <v>142</v>
      </c>
      <c r="B144" s="4" t="s">
        <v>425</v>
      </c>
      <c r="C144" s="11" t="s">
        <v>104</v>
      </c>
      <c r="D144" s="4" t="s">
        <v>426</v>
      </c>
      <c r="E144" s="4" t="s">
        <v>265</v>
      </c>
      <c r="F144" s="4" t="s">
        <v>104</v>
      </c>
      <c r="G144" s="3" t="n">
        <v>2</v>
      </c>
      <c r="H144" s="6" t="n">
        <v>25.2</v>
      </c>
      <c r="I144" s="3" t="n">
        <v>4</v>
      </c>
      <c r="J144" s="3" t="n">
        <v>9</v>
      </c>
      <c r="K144" s="7" t="n">
        <v>145.85</v>
      </c>
      <c r="L144" s="7" t="n">
        <v>17.52</v>
      </c>
      <c r="M144" s="8" t="n">
        <v>103</v>
      </c>
      <c r="N144" s="8" t="n">
        <v>228</v>
      </c>
      <c r="O144" s="7" t="n">
        <v>145.85</v>
      </c>
      <c r="P144" s="6" t="n">
        <v>36.9</v>
      </c>
      <c r="Q144" s="4" t="s">
        <v>265</v>
      </c>
      <c r="R144" s="8" t="n">
        <v>13</v>
      </c>
      <c r="S144" s="6" t="n">
        <v>111.7</v>
      </c>
      <c r="T144" s="7" t="n">
        <f aca="false">IFERROR(S144/R144,"")</f>
        <v>8.59230769230769</v>
      </c>
      <c r="U144" s="6" t="n">
        <v>89.2</v>
      </c>
      <c r="V144" s="6" t="n">
        <v>66.7</v>
      </c>
      <c r="W144" s="8" t="n">
        <v>43</v>
      </c>
      <c r="X144" s="7" t="n">
        <f aca="false">IFERROR(S144/AH144,"")</f>
        <v>0.915573770491803</v>
      </c>
      <c r="Y144" s="9" t="n">
        <f aca="false">IFERROR(S144/AF144,"")</f>
        <v>0.298663101604278</v>
      </c>
      <c r="Z144" s="6" t="n">
        <v>6.5</v>
      </c>
      <c r="AA144" s="6" t="n">
        <v>8.4</v>
      </c>
      <c r="AB144" s="6" t="n">
        <v>11.2</v>
      </c>
      <c r="AC144" s="10" t="n">
        <v>0.154</v>
      </c>
      <c r="AD144" s="10" t="n">
        <v>0.154</v>
      </c>
      <c r="AE144" s="7" t="n">
        <v>0.661</v>
      </c>
      <c r="AF144" s="8" t="n">
        <v>374</v>
      </c>
      <c r="AG144" s="10" t="n">
        <v>0.459</v>
      </c>
      <c r="AH144" s="8" t="n">
        <v>122</v>
      </c>
      <c r="AI144" s="8" t="n">
        <v>50</v>
      </c>
      <c r="AJ144" s="6" t="n">
        <f aca="false">IFERROR(AI144/R144,"")</f>
        <v>3.84615384615385</v>
      </c>
      <c r="AK144" s="10" t="n">
        <v>0.1199</v>
      </c>
      <c r="AL144" s="10" t="n">
        <v>-0.038</v>
      </c>
      <c r="AM144" s="9" t="n">
        <v>0.1532</v>
      </c>
      <c r="AN144" s="8" t="n">
        <v>45</v>
      </c>
      <c r="AO144" s="10" t="n">
        <f aca="false">IFERROR(AN144/AI144,"")</f>
        <v>0.9</v>
      </c>
      <c r="AP144" s="8" t="n">
        <v>264</v>
      </c>
      <c r="AQ144" s="7" t="n">
        <f aca="false">IFERROR(AP144/AI144,"")</f>
        <v>5.28</v>
      </c>
      <c r="AR144" s="6" t="n">
        <v>-2.3</v>
      </c>
      <c r="AS144" s="7" t="n">
        <v>8.022</v>
      </c>
      <c r="AT144" s="7" t="n">
        <v>-2.296</v>
      </c>
      <c r="AU144" s="7"/>
      <c r="AV144" s="7"/>
      <c r="AW144" s="7"/>
      <c r="AX144" s="10" t="n">
        <v>0.04</v>
      </c>
      <c r="AY144" s="8" t="n">
        <v>72</v>
      </c>
      <c r="AZ144" s="6" t="n">
        <f aca="false">IFERROR(AY144/R144,"")</f>
        <v>5.53846153846154</v>
      </c>
      <c r="BA144" s="10" t="n">
        <v>0.2483</v>
      </c>
      <c r="BB144" s="8" t="n">
        <v>283</v>
      </c>
      <c r="BC144" s="7" t="n">
        <f aca="false">IFERROR(BB144/AY144,"")</f>
        <v>3.93055555555556</v>
      </c>
      <c r="BD144" s="7" t="n">
        <v>2.583</v>
      </c>
      <c r="BE144" s="7" t="n">
        <v>1.347</v>
      </c>
      <c r="BF144" s="8" t="n">
        <v>4</v>
      </c>
      <c r="BG144" s="7"/>
      <c r="BH144" s="6"/>
      <c r="BI144" s="7"/>
      <c r="BJ144" s="8" t="n">
        <v>17</v>
      </c>
      <c r="BK144" s="8" t="n">
        <v>8</v>
      </c>
      <c r="BL144" s="8" t="n">
        <v>2</v>
      </c>
      <c r="BM144" s="8" t="n">
        <v>2</v>
      </c>
      <c r="BN144" s="7" t="n">
        <v>3.61</v>
      </c>
      <c r="BO144" s="7" t="n">
        <f aca="false">IFERROR(BM144-BN144,"")</f>
        <v>-1.61</v>
      </c>
      <c r="BP144" s="9" t="n">
        <f aca="false">IFERROR(BM144/AH144,"")</f>
        <v>0.0163934426229508</v>
      </c>
      <c r="BQ144" s="6" t="n">
        <v>41.1</v>
      </c>
      <c r="BR144" s="6" t="n">
        <v>58.4</v>
      </c>
      <c r="BS144" s="6" t="n">
        <v>27.6</v>
      </c>
      <c r="BT144" s="7" t="n">
        <v>3.085</v>
      </c>
      <c r="BU144" s="10" t="n">
        <v>0.1549</v>
      </c>
      <c r="BV144" s="10" t="n">
        <v>0.666666666666667</v>
      </c>
      <c r="BW144" s="7" t="n">
        <v>2.54</v>
      </c>
      <c r="BX144" s="10" t="n">
        <v>0.3175</v>
      </c>
      <c r="BY144" s="10" t="n">
        <v>0.0872</v>
      </c>
      <c r="BZ144" s="7" t="n">
        <v>2.389</v>
      </c>
      <c r="CA144" s="10" t="n">
        <v>0.527</v>
      </c>
      <c r="CB144" s="8" t="n">
        <v>3</v>
      </c>
      <c r="CC144" s="10" t="n">
        <v>-0.0385</v>
      </c>
      <c r="CD144" s="10" t="n">
        <v>0.5401</v>
      </c>
      <c r="CE144" s="6" t="n">
        <v>58.53</v>
      </c>
      <c r="CF144" s="6" t="n">
        <v>40</v>
      </c>
      <c r="CG144" s="7" t="n">
        <v>2.06</v>
      </c>
      <c r="CH144" s="6" t="n">
        <v>16.7</v>
      </c>
      <c r="CI144" s="9" t="n">
        <v>-0.0573</v>
      </c>
      <c r="CJ144" s="9" t="n">
        <v>-0.2208</v>
      </c>
      <c r="CK144" s="8" t="n">
        <v>152</v>
      </c>
      <c r="CL144" s="10" t="n">
        <v>0.287</v>
      </c>
      <c r="CM144" s="8" t="n">
        <v>0</v>
      </c>
      <c r="CN144" s="10" t="n">
        <v>0</v>
      </c>
      <c r="CO144" s="8" t="n">
        <v>8</v>
      </c>
      <c r="CP144" s="7" t="n">
        <v>-0.185</v>
      </c>
      <c r="CQ144" s="7" t="n">
        <v>-0.054</v>
      </c>
      <c r="CR144" s="4" t="s">
        <v>102</v>
      </c>
      <c r="CS144" s="4"/>
    </row>
    <row r="145" customFormat="false" ht="15" hidden="false" customHeight="false" outlineLevel="0" collapsed="false">
      <c r="A145" s="3" t="n">
        <v>143</v>
      </c>
      <c r="B145" s="4" t="s">
        <v>427</v>
      </c>
      <c r="C145" s="5" t="s">
        <v>99</v>
      </c>
      <c r="D145" s="4" t="s">
        <v>428</v>
      </c>
      <c r="E145" s="4" t="s">
        <v>115</v>
      </c>
      <c r="F145" s="4" t="s">
        <v>270</v>
      </c>
      <c r="G145" s="3" t="n">
        <v>1</v>
      </c>
      <c r="H145" s="6" t="n">
        <v>28</v>
      </c>
      <c r="I145" s="3" t="n">
        <v>5</v>
      </c>
      <c r="J145" s="3" t="n">
        <v>11</v>
      </c>
      <c r="K145" s="7" t="n">
        <v>146.85</v>
      </c>
      <c r="L145" s="7" t="n">
        <v>14.62</v>
      </c>
      <c r="M145" s="8" t="n">
        <v>121</v>
      </c>
      <c r="N145" s="8" t="n">
        <v>208</v>
      </c>
      <c r="O145" s="7" t="n">
        <v>146.85</v>
      </c>
      <c r="P145" s="6" t="n">
        <v>42.8</v>
      </c>
      <c r="Q145" s="4" t="s">
        <v>115</v>
      </c>
      <c r="R145" s="8" t="n">
        <v>18</v>
      </c>
      <c r="S145" s="6" t="n">
        <v>156.6</v>
      </c>
      <c r="T145" s="7" t="n">
        <f aca="false">IFERROR(S145/R145,"")</f>
        <v>8.7</v>
      </c>
      <c r="U145" s="6" t="n">
        <v>127.1</v>
      </c>
      <c r="V145" s="6" t="n">
        <v>97.6</v>
      </c>
      <c r="W145" s="8" t="n">
        <v>39</v>
      </c>
      <c r="X145" s="7" t="n">
        <f aca="false">IFERROR(S145/AH145,"")</f>
        <v>1.55049504950495</v>
      </c>
      <c r="Y145" s="9" t="n">
        <f aca="false">IFERROR(S145/AF145,"")</f>
        <v>0.222127659574468</v>
      </c>
      <c r="Z145" s="6" t="n">
        <v>3.7</v>
      </c>
      <c r="AA145" s="6" t="n">
        <v>8.65</v>
      </c>
      <c r="AB145" s="6" t="n">
        <v>14.82</v>
      </c>
      <c r="AC145" s="10" t="n">
        <v>0.056</v>
      </c>
      <c r="AD145" s="10" t="n">
        <v>0.167</v>
      </c>
      <c r="AE145" s="7" t="n">
        <v>0.675</v>
      </c>
      <c r="AF145" s="8" t="n">
        <v>705</v>
      </c>
      <c r="AG145" s="10" t="n">
        <v>0.609</v>
      </c>
      <c r="AH145" s="8" t="n">
        <v>101</v>
      </c>
      <c r="AI145" s="8" t="n">
        <v>92</v>
      </c>
      <c r="AJ145" s="6" t="n">
        <f aca="false">IFERROR(AI145/R145,"")</f>
        <v>5.11111111111111</v>
      </c>
      <c r="AK145" s="10" t="n">
        <v>0.167</v>
      </c>
      <c r="AL145" s="10" t="n">
        <v>0.2509</v>
      </c>
      <c r="AM145" s="9" t="n">
        <v>0.4261</v>
      </c>
      <c r="AN145" s="8" t="n">
        <v>59</v>
      </c>
      <c r="AO145" s="10" t="n">
        <f aca="false">IFERROR(AN145/AI145,"")</f>
        <v>0.641304347826087</v>
      </c>
      <c r="AP145" s="8" t="n">
        <v>687</v>
      </c>
      <c r="AQ145" s="7" t="n">
        <f aca="false">IFERROR(AP145/AI145,"")</f>
        <v>7.46739130434783</v>
      </c>
      <c r="AR145" s="6" t="n">
        <v>11.446</v>
      </c>
      <c r="AS145" s="7" t="n">
        <v>3</v>
      </c>
      <c r="AT145" s="7" t="n">
        <v>0.652</v>
      </c>
      <c r="AU145" s="7" t="n">
        <v>2.76169942287021</v>
      </c>
      <c r="AV145" s="7" t="n">
        <v>6.37022222222222</v>
      </c>
      <c r="AW145" s="7" t="n">
        <v>-0.252102321205265</v>
      </c>
      <c r="AX145" s="10" t="n">
        <v>0</v>
      </c>
      <c r="AY145" s="8" t="n">
        <v>9</v>
      </c>
      <c r="AZ145" s="6" t="n">
        <f aca="false">IFERROR(AY145/R145,"")</f>
        <v>0.5</v>
      </c>
      <c r="BA145" s="10" t="n">
        <v>0.0183</v>
      </c>
      <c r="BB145" s="8" t="n">
        <v>69</v>
      </c>
      <c r="BC145" s="7"/>
      <c r="BD145" s="7"/>
      <c r="BE145" s="7"/>
      <c r="BF145" s="8" t="n">
        <v>0</v>
      </c>
      <c r="BG145" s="7"/>
      <c r="BH145" s="6"/>
      <c r="BI145" s="7"/>
      <c r="BJ145" s="8" t="n">
        <v>10</v>
      </c>
      <c r="BK145" s="8" t="n">
        <v>2</v>
      </c>
      <c r="BL145" s="8" t="n">
        <v>2</v>
      </c>
      <c r="BM145" s="8" t="n">
        <v>2</v>
      </c>
      <c r="BN145" s="7" t="n">
        <v>3.58</v>
      </c>
      <c r="BO145" s="7" t="n">
        <f aca="false">IFERROR(BM145-BN145,"")</f>
        <v>-1.58</v>
      </c>
      <c r="BP145" s="9" t="n">
        <f aca="false">IFERROR(BM145/AH145,"")</f>
        <v>0.0198019801980198</v>
      </c>
      <c r="BQ145" s="6" t="n">
        <v>49.9</v>
      </c>
      <c r="BR145" s="6" t="n">
        <v>39.3</v>
      </c>
      <c r="BS145" s="6" t="n">
        <v>60.5</v>
      </c>
      <c r="BT145" s="7" t="n">
        <v>2.758</v>
      </c>
      <c r="BU145" s="10" t="n">
        <v>0.2121</v>
      </c>
      <c r="BV145" s="10" t="n">
        <v>0.612903225806452</v>
      </c>
      <c r="BW145" s="7" t="n">
        <v>2.477</v>
      </c>
      <c r="BX145" s="10" t="n">
        <v>0.2266</v>
      </c>
      <c r="BY145" s="10" t="n">
        <v>0.0535</v>
      </c>
      <c r="BZ145" s="7" t="n">
        <v>2.4</v>
      </c>
      <c r="CA145" s="10" t="n">
        <v>0.942</v>
      </c>
      <c r="CB145" s="8" t="n">
        <v>5</v>
      </c>
      <c r="CC145" s="10" t="n">
        <v>-0.0677</v>
      </c>
      <c r="CD145" s="10" t="n">
        <v>0.5204</v>
      </c>
      <c r="CE145" s="6" t="n">
        <v>58.65</v>
      </c>
      <c r="CF145" s="6" t="n">
        <v>39</v>
      </c>
      <c r="CG145" s="7" t="n">
        <v>3.53</v>
      </c>
      <c r="CH145" s="6" t="n">
        <v>28.4</v>
      </c>
      <c r="CI145" s="9" t="n">
        <v>-0.0491</v>
      </c>
      <c r="CJ145" s="9" t="n">
        <v>0.1122</v>
      </c>
      <c r="CK145" s="8" t="n">
        <v>39</v>
      </c>
      <c r="CL145" s="10" t="n">
        <v>0.086</v>
      </c>
      <c r="CM145" s="8" t="n">
        <v>221</v>
      </c>
      <c r="CN145" s="10" t="n">
        <v>0.436</v>
      </c>
      <c r="CO145" s="8" t="n">
        <v>37</v>
      </c>
      <c r="CP145" s="7" t="n">
        <v>0.345</v>
      </c>
      <c r="CQ145" s="7" t="n">
        <v>-0.313</v>
      </c>
      <c r="CR145" s="4" t="s">
        <v>102</v>
      </c>
      <c r="CS145" s="4"/>
    </row>
    <row r="146" customFormat="false" ht="15" hidden="false" customHeight="false" outlineLevel="0" collapsed="false">
      <c r="A146" s="3" t="n">
        <v>144</v>
      </c>
      <c r="B146" s="4" t="s">
        <v>429</v>
      </c>
      <c r="C146" s="11" t="s">
        <v>104</v>
      </c>
      <c r="D146" s="4" t="s">
        <v>430</v>
      </c>
      <c r="E146" s="4" t="s">
        <v>158</v>
      </c>
      <c r="F146" s="4" t="s">
        <v>104</v>
      </c>
      <c r="G146" s="3" t="n">
        <v>2</v>
      </c>
      <c r="H146" s="6" t="n">
        <v>31.1</v>
      </c>
      <c r="I146" s="3" t="n">
        <v>10</v>
      </c>
      <c r="J146" s="3" t="n">
        <v>8</v>
      </c>
      <c r="K146" s="7" t="n">
        <v>148.76</v>
      </c>
      <c r="L146" s="7" t="n">
        <v>17.47</v>
      </c>
      <c r="M146" s="8" t="n">
        <v>103</v>
      </c>
      <c r="N146" s="8" t="n">
        <v>214</v>
      </c>
      <c r="O146" s="7" t="n">
        <v>148.76</v>
      </c>
      <c r="P146" s="6" t="n">
        <v>46</v>
      </c>
      <c r="Q146" s="4" t="s">
        <v>158</v>
      </c>
      <c r="R146" s="8" t="n">
        <v>11</v>
      </c>
      <c r="S146" s="6" t="n">
        <v>100.7</v>
      </c>
      <c r="T146" s="7" t="n">
        <f aca="false">IFERROR(S146/R146,"")</f>
        <v>9.15454545454545</v>
      </c>
      <c r="U146" s="6" t="n">
        <v>84.2</v>
      </c>
      <c r="V146" s="6" t="n">
        <v>67.7</v>
      </c>
      <c r="W146" s="8" t="n">
        <v>44</v>
      </c>
      <c r="X146" s="7" t="n">
        <f aca="false">IFERROR(S146/AH146,"")</f>
        <v>0.592352941176471</v>
      </c>
      <c r="Y146" s="9" t="n">
        <f aca="false">IFERROR(S146/AF146,"")</f>
        <v>0.22035010940919</v>
      </c>
      <c r="Z146" s="6" t="n">
        <v>6.2</v>
      </c>
      <c r="AA146" s="6" t="n">
        <v>9.5</v>
      </c>
      <c r="AB146" s="6" t="n">
        <v>14.1</v>
      </c>
      <c r="AC146" s="10" t="n">
        <v>0</v>
      </c>
      <c r="AD146" s="10" t="n">
        <v>0.091</v>
      </c>
      <c r="AE146" s="7" t="n">
        <v>0.516</v>
      </c>
      <c r="AF146" s="8" t="n">
        <v>457</v>
      </c>
      <c r="AG146" s="10" t="n">
        <v>0.637</v>
      </c>
      <c r="AH146" s="8" t="n">
        <v>170</v>
      </c>
      <c r="AI146" s="8" t="n">
        <v>39</v>
      </c>
      <c r="AJ146" s="6" t="n">
        <f aca="false">IFERROR(AI146/R146,"")</f>
        <v>3.54545454545455</v>
      </c>
      <c r="AK146" s="10" t="n">
        <v>0.1048</v>
      </c>
      <c r="AL146" s="10" t="n">
        <v>0.0109</v>
      </c>
      <c r="AM146" s="9" t="n">
        <v>0.1648</v>
      </c>
      <c r="AN146" s="8" t="n">
        <v>33</v>
      </c>
      <c r="AO146" s="10" t="n">
        <f aca="false">IFERROR(AN146/AI146,"")</f>
        <v>0.846153846153846</v>
      </c>
      <c r="AP146" s="8" t="n">
        <v>186</v>
      </c>
      <c r="AQ146" s="7" t="n">
        <f aca="false">IFERROR(AP146/AI146,"")</f>
        <v>4.76923076923077</v>
      </c>
      <c r="AR146" s="6" t="n">
        <v>0.846</v>
      </c>
      <c r="AS146" s="7" t="n">
        <v>6.121</v>
      </c>
      <c r="AT146" s="7" t="n">
        <v>5.636</v>
      </c>
      <c r="AU146" s="7"/>
      <c r="AV146" s="7"/>
      <c r="AW146" s="7"/>
      <c r="AX146" s="10" t="n">
        <v>0.0513</v>
      </c>
      <c r="AY146" s="8" t="n">
        <v>131</v>
      </c>
      <c r="AZ146" s="6" t="n">
        <f aca="false">IFERROR(AY146/R146,"")</f>
        <v>11.9090909090909</v>
      </c>
      <c r="BA146" s="10" t="n">
        <v>0.4729</v>
      </c>
      <c r="BB146" s="8" t="n">
        <v>471</v>
      </c>
      <c r="BC146" s="7" t="n">
        <f aca="false">IFERROR(BB146/AY146,"")</f>
        <v>3.59541984732824</v>
      </c>
      <c r="BD146" s="7" t="n">
        <v>2.153</v>
      </c>
      <c r="BE146" s="7" t="n">
        <v>1.443</v>
      </c>
      <c r="BF146" s="8" t="n">
        <v>7</v>
      </c>
      <c r="BG146" s="7" t="n">
        <v>-0.73372035596954</v>
      </c>
      <c r="BH146" s="6" t="n">
        <v>10.6870229007634</v>
      </c>
      <c r="BI146" s="7" t="n">
        <v>4.15912951167728</v>
      </c>
      <c r="BJ146" s="8" t="n">
        <v>20</v>
      </c>
      <c r="BK146" s="8" t="n">
        <v>8</v>
      </c>
      <c r="BL146" s="8" t="n">
        <v>2</v>
      </c>
      <c r="BM146" s="8" t="n">
        <v>1</v>
      </c>
      <c r="BN146" s="7" t="n">
        <v>4.14</v>
      </c>
      <c r="BO146" s="7" t="n">
        <f aca="false">IFERROR(BM146-BN146,"")</f>
        <v>-3.14</v>
      </c>
      <c r="BP146" s="9" t="n">
        <f aca="false">IFERROR(BM146/AH146,"")</f>
        <v>0.00588235294117647</v>
      </c>
      <c r="BQ146" s="6" t="n">
        <v>41.9</v>
      </c>
      <c r="BR146" s="6" t="n">
        <v>42.4</v>
      </c>
      <c r="BS146" s="6" t="n">
        <v>44.9</v>
      </c>
      <c r="BT146" s="7" t="n">
        <v>2.883</v>
      </c>
      <c r="BU146" s="10" t="n">
        <v>0.1505</v>
      </c>
      <c r="BV146" s="10" t="n">
        <v>0.55</v>
      </c>
      <c r="BW146" s="7" t="n">
        <v>2.057</v>
      </c>
      <c r="BX146" s="10" t="n">
        <v>0.2132</v>
      </c>
      <c r="BY146" s="10" t="n">
        <v>0.0763</v>
      </c>
      <c r="BZ146" s="7" t="n">
        <v>2.2</v>
      </c>
      <c r="CA146" s="10" t="n">
        <v>0.784</v>
      </c>
      <c r="CB146" s="8" t="n">
        <v>4</v>
      </c>
      <c r="CC146" s="10" t="n">
        <v>-0.0301</v>
      </c>
      <c r="CD146" s="10" t="n">
        <v>0.5383</v>
      </c>
      <c r="CE146" s="6" t="n">
        <v>62.59</v>
      </c>
      <c r="CF146" s="6" t="n">
        <v>35</v>
      </c>
      <c r="CG146" s="7" t="n">
        <v>2.82</v>
      </c>
      <c r="CH146" s="6" t="n">
        <v>18</v>
      </c>
      <c r="CI146" s="9" t="n">
        <v>-0.1008</v>
      </c>
      <c r="CJ146" s="9" t="n">
        <v>-0.0795</v>
      </c>
      <c r="CK146" s="8" t="n">
        <v>127</v>
      </c>
      <c r="CL146" s="10" t="n">
        <v>0.225</v>
      </c>
      <c r="CM146" s="8" t="n">
        <v>21</v>
      </c>
      <c r="CN146" s="10" t="n">
        <v>0.048</v>
      </c>
      <c r="CO146" s="8" t="n">
        <v>15</v>
      </c>
      <c r="CP146" s="7" t="n">
        <v>-0.193</v>
      </c>
      <c r="CQ146" s="7" t="n">
        <v>0.201</v>
      </c>
      <c r="CR146" s="4" t="s">
        <v>102</v>
      </c>
      <c r="CS146" s="4"/>
    </row>
    <row r="147" customFormat="false" ht="15" hidden="false" customHeight="false" outlineLevel="0" collapsed="false">
      <c r="A147" s="3" t="n">
        <v>145</v>
      </c>
      <c r="B147" s="4" t="s">
        <v>431</v>
      </c>
      <c r="C147" s="11" t="s">
        <v>104</v>
      </c>
      <c r="D147" s="4" t="s">
        <v>432</v>
      </c>
      <c r="E147" s="4" t="s">
        <v>258</v>
      </c>
      <c r="F147" s="4" t="s">
        <v>104</v>
      </c>
      <c r="G147" s="3" t="n">
        <v>2</v>
      </c>
      <c r="H147" s="6" t="n">
        <v>21.9</v>
      </c>
      <c r="I147" s="3" t="n">
        <v>2</v>
      </c>
      <c r="J147" s="3" t="n">
        <v>11</v>
      </c>
      <c r="K147" s="7" t="n">
        <v>149.56</v>
      </c>
      <c r="L147" s="7" t="n">
        <v>17.35</v>
      </c>
      <c r="M147" s="8" t="n">
        <v>103</v>
      </c>
      <c r="N147" s="8" t="n">
        <v>203</v>
      </c>
      <c r="O147" s="7" t="n">
        <v>149.56</v>
      </c>
      <c r="P147" s="6" t="n">
        <v>21.1</v>
      </c>
      <c r="Q147" s="4" t="s">
        <v>258</v>
      </c>
      <c r="R147" s="8" t="n">
        <v>15</v>
      </c>
      <c r="S147" s="6" t="n">
        <v>87.6</v>
      </c>
      <c r="T147" s="7" t="n">
        <f aca="false">IFERROR(S147/R147,"")</f>
        <v>5.84</v>
      </c>
      <c r="U147" s="6" t="n">
        <v>71.1</v>
      </c>
      <c r="V147" s="6" t="n">
        <v>54.6</v>
      </c>
      <c r="W147" s="8" t="n">
        <v>50</v>
      </c>
      <c r="X147" s="7" t="n">
        <f aca="false">IFERROR(S147/AH147,"")</f>
        <v>0.834285714285714</v>
      </c>
      <c r="Y147" s="9" t="n">
        <f aca="false">IFERROR(S147/AF147,"")</f>
        <v>0.351807228915663</v>
      </c>
      <c r="Z147" s="6" t="n">
        <v>1.55</v>
      </c>
      <c r="AA147" s="6" t="n">
        <v>4.4</v>
      </c>
      <c r="AB147" s="6" t="n">
        <v>10.79</v>
      </c>
      <c r="AC147" s="10" t="n">
        <v>0.133</v>
      </c>
      <c r="AD147" s="10" t="n">
        <v>0.4</v>
      </c>
      <c r="AE147" s="7" t="n">
        <v>1.272</v>
      </c>
      <c r="AF147" s="8" t="n">
        <v>249</v>
      </c>
      <c r="AG147" s="10" t="n">
        <v>0.265</v>
      </c>
      <c r="AH147" s="8" t="n">
        <v>105</v>
      </c>
      <c r="AI147" s="8" t="n">
        <v>40</v>
      </c>
      <c r="AJ147" s="6" t="n">
        <f aca="false">IFERROR(AI147/R147,"")</f>
        <v>2.66666666666667</v>
      </c>
      <c r="AK147" s="10" t="n">
        <v>0.0862</v>
      </c>
      <c r="AL147" s="10" t="n">
        <v>-0.019</v>
      </c>
      <c r="AM147" s="9" t="n">
        <v>0.116</v>
      </c>
      <c r="AN147" s="8" t="n">
        <v>33</v>
      </c>
      <c r="AO147" s="10" t="n">
        <f aca="false">IFERROR(AN147/AI147,"")</f>
        <v>0.825</v>
      </c>
      <c r="AP147" s="8" t="n">
        <v>271</v>
      </c>
      <c r="AQ147" s="7" t="n">
        <f aca="false">IFERROR(AP147/AI147,"")</f>
        <v>6.775</v>
      </c>
      <c r="AR147" s="6" t="n">
        <v>-1.55</v>
      </c>
      <c r="AS147" s="7" t="n">
        <v>9.636</v>
      </c>
      <c r="AT147" s="7" t="n">
        <v>-4.371</v>
      </c>
      <c r="AU147" s="7"/>
      <c r="AV147" s="7"/>
      <c r="AW147" s="7"/>
      <c r="AX147" s="10" t="n">
        <v>0</v>
      </c>
      <c r="AY147" s="8" t="n">
        <v>65</v>
      </c>
      <c r="AZ147" s="6" t="n">
        <f aca="false">IFERROR(AY147/R147,"")</f>
        <v>4.33333333333333</v>
      </c>
      <c r="BA147" s="10" t="n">
        <v>0.1738</v>
      </c>
      <c r="BB147" s="8" t="n">
        <v>175</v>
      </c>
      <c r="BC147" s="7" t="n">
        <f aca="false">IFERROR(BB147/AY147,"")</f>
        <v>2.69230769230769</v>
      </c>
      <c r="BD147" s="7" t="n">
        <v>1.154</v>
      </c>
      <c r="BE147" s="7" t="n">
        <v>1.538</v>
      </c>
      <c r="BF147" s="8" t="n">
        <v>6</v>
      </c>
      <c r="BG147" s="7"/>
      <c r="BH147" s="6"/>
      <c r="BI147" s="7"/>
      <c r="BJ147" s="8" t="n">
        <v>13</v>
      </c>
      <c r="BK147" s="8" t="n">
        <v>3</v>
      </c>
      <c r="BL147" s="8" t="n">
        <v>0</v>
      </c>
      <c r="BM147" s="8" t="n">
        <v>2</v>
      </c>
      <c r="BN147" s="7" t="n">
        <v>2.52</v>
      </c>
      <c r="BO147" s="7" t="n">
        <f aca="false">IFERROR(BM147-BN147,"")</f>
        <v>-0.52</v>
      </c>
      <c r="BP147" s="9" t="n">
        <f aca="false">IFERROR(BM147/AH147,"")</f>
        <v>0.0190476190476191</v>
      </c>
      <c r="BQ147" s="6" t="n">
        <v>15.1</v>
      </c>
      <c r="BR147" s="6" t="n">
        <v>18.5</v>
      </c>
      <c r="BS147" s="6" t="n">
        <v>26.5</v>
      </c>
      <c r="BT147" s="7" t="n">
        <v>2.392</v>
      </c>
      <c r="BU147" s="10" t="n">
        <v>0.225</v>
      </c>
      <c r="BV147" s="10" t="n">
        <v>0.666666666666667</v>
      </c>
      <c r="BW147" s="7" t="n">
        <v>1.808</v>
      </c>
      <c r="BX147" s="10" t="n">
        <v>0.3405</v>
      </c>
      <c r="BY147" s="10" t="n">
        <v>0.0842</v>
      </c>
      <c r="BZ147" s="7" t="n">
        <v>2.444</v>
      </c>
      <c r="CA147" s="10" t="n">
        <v>0.261</v>
      </c>
      <c r="CB147" s="8" t="n">
        <v>1</v>
      </c>
      <c r="CC147" s="10" t="n">
        <v>-0.0372</v>
      </c>
      <c r="CD147" s="10" t="n">
        <v>0.5161</v>
      </c>
      <c r="CE147" s="6" t="n">
        <v>60.47</v>
      </c>
      <c r="CF147" s="6" t="n">
        <v>39</v>
      </c>
      <c r="CG147" s="7" t="n">
        <v>2.47</v>
      </c>
      <c r="CH147" s="6" t="n">
        <v>16.4</v>
      </c>
      <c r="CI147" s="9" t="n">
        <v>-0.0478</v>
      </c>
      <c r="CJ147" s="9" t="n">
        <v>-0.2882</v>
      </c>
      <c r="CK147" s="8" t="n">
        <v>88</v>
      </c>
      <c r="CL147" s="10" t="n">
        <v>0.169</v>
      </c>
      <c r="CM147" s="8" t="n">
        <v>37</v>
      </c>
      <c r="CN147" s="10" t="n">
        <v>0.088</v>
      </c>
      <c r="CO147" s="8" t="n">
        <v>23</v>
      </c>
      <c r="CP147" s="7" t="n">
        <v>-0.421</v>
      </c>
      <c r="CQ147" s="7" t="n">
        <v>-0.509</v>
      </c>
      <c r="CR147" s="4" t="s">
        <v>121</v>
      </c>
      <c r="CS147" s="4"/>
    </row>
    <row r="148" customFormat="false" ht="15" hidden="false" customHeight="false" outlineLevel="0" collapsed="false">
      <c r="A148" s="3" t="n">
        <v>146</v>
      </c>
      <c r="B148" s="4" t="s">
        <v>433</v>
      </c>
      <c r="C148" s="11" t="s">
        <v>104</v>
      </c>
      <c r="D148" s="4" t="s">
        <v>434</v>
      </c>
      <c r="E148" s="4" t="s">
        <v>106</v>
      </c>
      <c r="F148" s="4" t="s">
        <v>104</v>
      </c>
      <c r="G148" s="3" t="n">
        <v>2</v>
      </c>
      <c r="H148" s="6" t="n">
        <v>27.5</v>
      </c>
      <c r="I148" s="3" t="n">
        <v>5</v>
      </c>
      <c r="J148" s="3" t="n">
        <v>6</v>
      </c>
      <c r="K148" s="7" t="n">
        <v>151.56</v>
      </c>
      <c r="L148" s="7" t="n">
        <v>12.45</v>
      </c>
      <c r="M148" s="8" t="n">
        <v>118</v>
      </c>
      <c r="N148" s="8" t="n">
        <v>189</v>
      </c>
      <c r="O148" s="7" t="n">
        <v>151.56</v>
      </c>
      <c r="P148" s="6" t="n">
        <v>43</v>
      </c>
      <c r="Q148" s="4" t="s">
        <v>164</v>
      </c>
      <c r="R148" s="8" t="n">
        <v>13</v>
      </c>
      <c r="S148" s="6" t="n">
        <v>87.3</v>
      </c>
      <c r="T148" s="7" t="n">
        <f aca="false">IFERROR(S148/R148,"")</f>
        <v>6.71538461538462</v>
      </c>
      <c r="U148" s="6" t="n">
        <v>77.8</v>
      </c>
      <c r="V148" s="6" t="n">
        <v>68.3</v>
      </c>
      <c r="W148" s="8" t="n">
        <v>51</v>
      </c>
      <c r="X148" s="7" t="n">
        <f aca="false">IFERROR(S148/AH148,"")</f>
        <v>0.60625</v>
      </c>
      <c r="Y148" s="9" t="n">
        <f aca="false">IFERROR(S148/AF148,"")</f>
        <v>0.205896226415094</v>
      </c>
      <c r="Z148" s="6" t="n">
        <v>3.9</v>
      </c>
      <c r="AA148" s="6" t="n">
        <v>5.8</v>
      </c>
      <c r="AB148" s="6" t="n">
        <v>12.48</v>
      </c>
      <c r="AC148" s="10" t="n">
        <v>0</v>
      </c>
      <c r="AD148" s="10" t="n">
        <v>0.077</v>
      </c>
      <c r="AE148" s="7" t="n">
        <v>0.672</v>
      </c>
      <c r="AF148" s="8" t="n">
        <v>424</v>
      </c>
      <c r="AG148" s="10" t="n">
        <v>0.517</v>
      </c>
      <c r="AH148" s="8" t="n">
        <v>144</v>
      </c>
      <c r="AI148" s="8" t="n">
        <v>26</v>
      </c>
      <c r="AJ148" s="6" t="n">
        <f aca="false">IFERROR(AI148/R148,"")</f>
        <v>2</v>
      </c>
      <c r="AK148" s="10" t="n">
        <v>0.0644</v>
      </c>
      <c r="AL148" s="10" t="n">
        <v>-0.009</v>
      </c>
      <c r="AM148" s="9" t="n">
        <v>0.0903</v>
      </c>
      <c r="AN148" s="8" t="n">
        <v>19</v>
      </c>
      <c r="AO148" s="10" t="n">
        <f aca="false">IFERROR(AN148/AI148,"")</f>
        <v>0.730769230769231</v>
      </c>
      <c r="AP148" s="8" t="n">
        <v>101</v>
      </c>
      <c r="AQ148" s="7" t="n">
        <f aca="false">IFERROR(AP148/AI148,"")</f>
        <v>3.88461538461538</v>
      </c>
      <c r="AR148" s="6" t="n">
        <v>-1.038</v>
      </c>
      <c r="AS148" s="7" t="n">
        <v>6.368</v>
      </c>
      <c r="AT148" s="7" t="n">
        <v>-3.741</v>
      </c>
      <c r="AU148" s="7"/>
      <c r="AV148" s="7"/>
      <c r="AW148" s="7"/>
      <c r="AX148" s="10" t="n">
        <v>0.1154</v>
      </c>
      <c r="AY148" s="8" t="n">
        <v>118</v>
      </c>
      <c r="AZ148" s="6" t="n">
        <f aca="false">IFERROR(AY148/R148,"")</f>
        <v>9.07692307692308</v>
      </c>
      <c r="BA148" s="10" t="n">
        <v>0.3554</v>
      </c>
      <c r="BB148" s="8" t="n">
        <v>462</v>
      </c>
      <c r="BC148" s="7" t="n">
        <f aca="false">IFERROR(BB148/AY148,"")</f>
        <v>3.91525423728814</v>
      </c>
      <c r="BD148" s="7" t="n">
        <v>2.161</v>
      </c>
      <c r="BE148" s="7" t="n">
        <v>1.754</v>
      </c>
      <c r="BF148" s="8" t="n">
        <v>2</v>
      </c>
      <c r="BG148" s="7" t="n">
        <v>-0.412150317992779</v>
      </c>
      <c r="BH148" s="6" t="n">
        <v>14.406779661017</v>
      </c>
      <c r="BI148" s="7" t="n">
        <v>3.87748917748918</v>
      </c>
      <c r="BJ148" s="8" t="n">
        <v>24</v>
      </c>
      <c r="BK148" s="8" t="n">
        <v>9</v>
      </c>
      <c r="BL148" s="8" t="n">
        <v>1</v>
      </c>
      <c r="BM148" s="8" t="n">
        <v>2</v>
      </c>
      <c r="BN148" s="7" t="n">
        <v>3.45</v>
      </c>
      <c r="BO148" s="7" t="n">
        <f aca="false">IFERROR(BM148-BN148,"")</f>
        <v>-1.45</v>
      </c>
      <c r="BP148" s="9" t="n">
        <f aca="false">IFERROR(BM148/AH148,"")</f>
        <v>0.0138888888888889</v>
      </c>
      <c r="BQ148" s="6" t="n">
        <v>46.7</v>
      </c>
      <c r="BR148" s="6" t="n">
        <v>50</v>
      </c>
      <c r="BS148" s="6" t="n">
        <v>44.8</v>
      </c>
      <c r="BT148" s="7" t="n">
        <v>2.796</v>
      </c>
      <c r="BU148" s="10" t="n">
        <v>0.1795</v>
      </c>
      <c r="BV148" s="10" t="n">
        <v>0.645161290322581</v>
      </c>
      <c r="BW148" s="7" t="n">
        <v>2.844</v>
      </c>
      <c r="BX148" s="10" t="n">
        <v>0.2646</v>
      </c>
      <c r="BY148" s="10" t="n">
        <v>0.0608</v>
      </c>
      <c r="BZ148" s="7" t="n">
        <v>2.297</v>
      </c>
      <c r="CA148" s="10" t="n">
        <v>0.521</v>
      </c>
      <c r="CB148" s="8" t="n">
        <v>3</v>
      </c>
      <c r="CC148" s="10" t="n">
        <v>-0.0456</v>
      </c>
      <c r="CD148" s="10" t="n">
        <v>0.5469</v>
      </c>
      <c r="CE148" s="6" t="n">
        <v>61.82</v>
      </c>
      <c r="CF148" s="6" t="n">
        <v>38</v>
      </c>
      <c r="CG148" s="7" t="n">
        <v>3.82</v>
      </c>
      <c r="CH148" s="6" t="n">
        <v>28.3</v>
      </c>
      <c r="CI148" s="9" t="n">
        <v>-0.0408</v>
      </c>
      <c r="CJ148" s="9" t="n">
        <v>0.1681</v>
      </c>
      <c r="CK148" s="8" t="n">
        <v>79</v>
      </c>
      <c r="CL148" s="10" t="n">
        <v>0.144</v>
      </c>
      <c r="CM148" s="8" t="n">
        <v>167</v>
      </c>
      <c r="CN148" s="10" t="n">
        <v>0.378</v>
      </c>
      <c r="CO148" s="8" t="n">
        <v>45</v>
      </c>
      <c r="CP148" s="7" t="n">
        <v>-0.429</v>
      </c>
      <c r="CQ148" s="7" t="n">
        <v>-0.298</v>
      </c>
      <c r="CR148" s="4" t="s">
        <v>121</v>
      </c>
      <c r="CS148" s="4"/>
    </row>
    <row r="149" customFormat="false" ht="15" hidden="false" customHeight="false" outlineLevel="0" collapsed="false">
      <c r="A149" s="3" t="n">
        <v>147</v>
      </c>
      <c r="B149" s="4" t="s">
        <v>435</v>
      </c>
      <c r="C149" s="13" t="s">
        <v>172</v>
      </c>
      <c r="D149" s="4" t="s">
        <v>436</v>
      </c>
      <c r="E149" s="4" t="s">
        <v>265</v>
      </c>
      <c r="F149" s="4" t="s">
        <v>172</v>
      </c>
      <c r="G149" s="3" t="n">
        <v>1</v>
      </c>
      <c r="H149" s="6" t="n">
        <v>24.2</v>
      </c>
      <c r="I149" s="3" t="n">
        <v>2</v>
      </c>
      <c r="J149" s="3" t="n">
        <v>9</v>
      </c>
      <c r="K149" s="7" t="n">
        <v>152.29</v>
      </c>
      <c r="L149" s="7" t="n">
        <v>21.15</v>
      </c>
      <c r="M149" s="8" t="n">
        <v>125</v>
      </c>
      <c r="N149" s="8" t="n">
        <v>246</v>
      </c>
      <c r="O149" s="7" t="n">
        <v>152.29</v>
      </c>
      <c r="P149" s="6" t="n">
        <v>25.5</v>
      </c>
      <c r="Q149" s="4" t="s">
        <v>265</v>
      </c>
      <c r="R149" s="8" t="n">
        <v>17</v>
      </c>
      <c r="S149" s="6" t="n">
        <v>186.66</v>
      </c>
      <c r="T149" s="7" t="n">
        <f aca="false">IFERROR(S149/R149,"")</f>
        <v>10.98</v>
      </c>
      <c r="U149" s="6" t="n">
        <v>186.66</v>
      </c>
      <c r="V149" s="6" t="n">
        <v>186.66</v>
      </c>
      <c r="W149" s="8" t="n">
        <v>22</v>
      </c>
      <c r="X149" s="7" t="n">
        <f aca="false">IFERROR(S149/AH149,"")</f>
        <v>4.78615384615385</v>
      </c>
      <c r="Y149" s="9" t="n">
        <f aca="false">IFERROR(S149/AF149,"")</f>
        <v>0.185362462760675</v>
      </c>
      <c r="Z149" s="6" t="n">
        <v>6.88</v>
      </c>
      <c r="AA149" s="6" t="n">
        <v>10.2</v>
      </c>
      <c r="AB149" s="6" t="n">
        <v>16.22</v>
      </c>
      <c r="AC149" s="10" t="n">
        <v>0.118</v>
      </c>
      <c r="AD149" s="10" t="n">
        <v>0.353</v>
      </c>
      <c r="AE149" s="7" t="n">
        <v>0.529</v>
      </c>
      <c r="AF149" s="8" t="n">
        <v>1007</v>
      </c>
      <c r="AG149" s="10" t="n">
        <v>0.946</v>
      </c>
      <c r="AH149" s="8" t="n">
        <v>39</v>
      </c>
      <c r="AI149" s="8" t="n">
        <v>0</v>
      </c>
      <c r="AJ149" s="6" t="n">
        <f aca="false">IFERROR(AI149/R149,"")</f>
        <v>0</v>
      </c>
      <c r="AK149" s="10" t="n">
        <v>0</v>
      </c>
      <c r="AL149" s="10" t="n">
        <v>0</v>
      </c>
      <c r="AM149" s="9" t="n">
        <v>0</v>
      </c>
      <c r="AN149" s="8" t="n">
        <v>0</v>
      </c>
      <c r="AO149" s="10"/>
      <c r="AP149" s="8" t="n">
        <v>0</v>
      </c>
      <c r="AQ149" s="7"/>
      <c r="AR149" s="6"/>
      <c r="AS149" s="7"/>
      <c r="AT149" s="7"/>
      <c r="AU149" s="7"/>
      <c r="AV149" s="7"/>
      <c r="AW149" s="7"/>
      <c r="AX149" s="10"/>
      <c r="AY149" s="8" t="n">
        <v>39</v>
      </c>
      <c r="AZ149" s="6" t="n">
        <f aca="false">IFERROR(AY149/R149,"")</f>
        <v>2.29411764705882</v>
      </c>
      <c r="BA149" s="10" t="n">
        <v>0.1032</v>
      </c>
      <c r="BB149" s="8" t="n">
        <v>159</v>
      </c>
      <c r="BC149" s="7" t="n">
        <f aca="false">IFERROR(BB149/AY149,"")</f>
        <v>4.07692307692308</v>
      </c>
      <c r="BD149" s="7" t="n">
        <v>2.487</v>
      </c>
      <c r="BE149" s="7" t="n">
        <v>1.59</v>
      </c>
      <c r="BF149" s="8" t="n">
        <v>3</v>
      </c>
      <c r="BG149" s="7"/>
      <c r="BH149" s="6"/>
      <c r="BI149" s="7"/>
      <c r="BJ149" s="8" t="n">
        <v>7</v>
      </c>
      <c r="BK149" s="8" t="n">
        <v>5</v>
      </c>
      <c r="BL149" s="8" t="n">
        <v>1</v>
      </c>
      <c r="BM149" s="8" t="n">
        <v>2</v>
      </c>
      <c r="BN149" s="7" t="n">
        <v>1.03</v>
      </c>
      <c r="BO149" s="7" t="n">
        <f aca="false">IFERROR(BM149-BN149,"")</f>
        <v>0.97</v>
      </c>
      <c r="BP149" s="9" t="n">
        <f aca="false">IFERROR(BM149/AH149,"")</f>
        <v>0.0512820512820513</v>
      </c>
      <c r="BQ149" s="6" t="n">
        <v>41.1</v>
      </c>
      <c r="BR149" s="6" t="n">
        <v>58.4</v>
      </c>
      <c r="BS149" s="6" t="n">
        <v>27.6</v>
      </c>
      <c r="BT149" s="7" t="n">
        <v>3.085</v>
      </c>
      <c r="BU149" s="10" t="n">
        <v>0.1549</v>
      </c>
      <c r="BV149" s="10" t="n">
        <v>0.666666666666667</v>
      </c>
      <c r="BW149" s="7" t="n">
        <v>2.54</v>
      </c>
      <c r="BX149" s="10" t="n">
        <v>0.3175</v>
      </c>
      <c r="BY149" s="10" t="n">
        <v>0.0872</v>
      </c>
      <c r="BZ149" s="7" t="n">
        <v>2.389</v>
      </c>
      <c r="CA149" s="10" t="n">
        <v>0.527</v>
      </c>
      <c r="CB149" s="8" t="n">
        <v>3</v>
      </c>
      <c r="CC149" s="10" t="n">
        <v>-0.0385</v>
      </c>
      <c r="CD149" s="10" t="n">
        <v>0.5401</v>
      </c>
      <c r="CE149" s="6" t="n">
        <v>58.53</v>
      </c>
      <c r="CF149" s="6" t="n">
        <v>40</v>
      </c>
      <c r="CG149" s="7" t="n">
        <v>2.06</v>
      </c>
      <c r="CH149" s="6" t="n">
        <v>16.7</v>
      </c>
      <c r="CI149" s="9" t="n">
        <v>-0.0573</v>
      </c>
      <c r="CJ149" s="9" t="n">
        <v>-0.2208</v>
      </c>
      <c r="CK149" s="8" t="n">
        <v>152</v>
      </c>
      <c r="CL149" s="10" t="n">
        <v>0.287</v>
      </c>
      <c r="CM149" s="8" t="n">
        <v>0</v>
      </c>
      <c r="CN149" s="10" t="n">
        <v>0</v>
      </c>
      <c r="CO149" s="8" t="n">
        <v>8</v>
      </c>
      <c r="CP149" s="7" t="n">
        <v>-0.079</v>
      </c>
      <c r="CQ149" s="7" t="n">
        <v>-0.43</v>
      </c>
      <c r="CR149" s="4" t="s">
        <v>102</v>
      </c>
      <c r="CS149" s="4"/>
    </row>
    <row r="150" customFormat="false" ht="15" hidden="false" customHeight="false" outlineLevel="0" collapsed="false">
      <c r="A150" s="3" t="n">
        <v>148</v>
      </c>
      <c r="B150" s="4" t="s">
        <v>437</v>
      </c>
      <c r="C150" s="12" t="s">
        <v>149</v>
      </c>
      <c r="D150" s="4" t="s">
        <v>438</v>
      </c>
      <c r="E150" s="4" t="s">
        <v>221</v>
      </c>
      <c r="F150" s="4" t="s">
        <v>149</v>
      </c>
      <c r="G150" s="3" t="n">
        <v>1</v>
      </c>
      <c r="H150" s="6" t="n">
        <v>26.9</v>
      </c>
      <c r="I150" s="3" t="n">
        <v>5</v>
      </c>
      <c r="J150" s="3" t="n">
        <v>7</v>
      </c>
      <c r="K150" s="7" t="n">
        <v>153.41</v>
      </c>
      <c r="L150" s="7" t="n">
        <v>26.85</v>
      </c>
      <c r="M150" s="8" t="n">
        <v>111</v>
      </c>
      <c r="N150" s="8" t="n">
        <v>229</v>
      </c>
      <c r="O150" s="7" t="n">
        <v>153.41</v>
      </c>
      <c r="P150" s="6" t="n">
        <v>38.5</v>
      </c>
      <c r="Q150" s="4" t="s">
        <v>265</v>
      </c>
      <c r="R150" s="8" t="n">
        <v>17</v>
      </c>
      <c r="S150" s="6" t="n">
        <v>124</v>
      </c>
      <c r="T150" s="7" t="n">
        <f aca="false">IFERROR(S150/R150,"")</f>
        <v>7.29411764705882</v>
      </c>
      <c r="U150" s="6" t="n">
        <v>96</v>
      </c>
      <c r="V150" s="6" t="n">
        <v>68</v>
      </c>
      <c r="W150" s="8" t="n">
        <v>19</v>
      </c>
      <c r="X150" s="7" t="n">
        <f aca="false">IFERROR(S150/AH150,"")</f>
        <v>1.56962025316456</v>
      </c>
      <c r="Y150" s="9" t="n">
        <f aca="false">IFERROR(S150/AF150,"")</f>
        <v>0.186186186186186</v>
      </c>
      <c r="Z150" s="6" t="n">
        <v>4</v>
      </c>
      <c r="AA150" s="6" t="n">
        <v>7.3</v>
      </c>
      <c r="AB150" s="6" t="n">
        <v>11.2</v>
      </c>
      <c r="AC150" s="10" t="n">
        <v>0.118</v>
      </c>
      <c r="AD150" s="10" t="n">
        <v>0.118</v>
      </c>
      <c r="AE150" s="7" t="n">
        <v>0.614</v>
      </c>
      <c r="AF150" s="8" t="n">
        <v>666</v>
      </c>
      <c r="AG150" s="10" t="n">
        <v>0.637</v>
      </c>
      <c r="AH150" s="8" t="n">
        <v>79</v>
      </c>
      <c r="AI150" s="8" t="n">
        <v>79</v>
      </c>
      <c r="AJ150" s="6" t="n">
        <f aca="false">IFERROR(AI150/R150,"")</f>
        <v>4.64705882352941</v>
      </c>
      <c r="AK150" s="10" t="n">
        <v>0.1491</v>
      </c>
      <c r="AL150" s="10" t="n">
        <v>0.0933</v>
      </c>
      <c r="AM150" s="9" t="n">
        <v>0.289</v>
      </c>
      <c r="AN150" s="8" t="n">
        <v>56</v>
      </c>
      <c r="AO150" s="10" t="n">
        <f aca="false">IFERROR(AN150/AI150,"")</f>
        <v>0.708860759493671</v>
      </c>
      <c r="AP150" s="8" t="n">
        <v>560</v>
      </c>
      <c r="AQ150" s="7" t="n">
        <f aca="false">IFERROR(AP150/AI150,"")</f>
        <v>7.08860759493671</v>
      </c>
      <c r="AR150" s="6" t="n">
        <v>4.633</v>
      </c>
      <c r="AS150" s="7" t="n">
        <v>6.107</v>
      </c>
      <c r="AT150" s="7" t="n">
        <v>1.53</v>
      </c>
      <c r="AU150" s="7" t="n">
        <v>3.8640859936595</v>
      </c>
      <c r="AV150" s="7" t="n">
        <v>5.80684210526316</v>
      </c>
      <c r="AW150" s="7" t="n">
        <v>1.17209589774727</v>
      </c>
      <c r="AX150" s="10" t="n">
        <v>0.0633</v>
      </c>
      <c r="AY150" s="8" t="n">
        <v>0</v>
      </c>
      <c r="AZ150" s="6" t="n">
        <f aca="false">IFERROR(AY150/R150,"")</f>
        <v>0</v>
      </c>
      <c r="BA150" s="10" t="n">
        <v>0</v>
      </c>
      <c r="BB150" s="8" t="n">
        <v>0</v>
      </c>
      <c r="BC150" s="7"/>
      <c r="BD150" s="7"/>
      <c r="BE150" s="7"/>
      <c r="BF150" s="8"/>
      <c r="BG150" s="7"/>
      <c r="BH150" s="6"/>
      <c r="BI150" s="7"/>
      <c r="BJ150" s="8" t="n">
        <v>5</v>
      </c>
      <c r="BK150" s="8" t="n">
        <v>3</v>
      </c>
      <c r="BL150" s="8" t="n">
        <v>0</v>
      </c>
      <c r="BM150" s="8" t="n">
        <v>2</v>
      </c>
      <c r="BN150" s="7" t="n">
        <v>2.18</v>
      </c>
      <c r="BO150" s="7" t="n">
        <f aca="false">IFERROR(BM150-BN150,"")</f>
        <v>-0.18</v>
      </c>
      <c r="BP150" s="9" t="n">
        <f aca="false">IFERROR(BM150/AH150,"")</f>
        <v>0.0253164556962025</v>
      </c>
      <c r="BQ150" s="6" t="n">
        <v>54.8</v>
      </c>
      <c r="BR150" s="6" t="n">
        <v>50.7</v>
      </c>
      <c r="BS150" s="6" t="n">
        <v>56.8</v>
      </c>
      <c r="BT150" s="7" t="n">
        <v>2.998</v>
      </c>
      <c r="BU150" s="10" t="n">
        <v>0.1651</v>
      </c>
      <c r="BV150" s="10" t="n">
        <v>0.548387096774194</v>
      </c>
      <c r="BW150" s="7" t="n">
        <v>2.512</v>
      </c>
      <c r="BX150" s="10" t="n">
        <v>0.2217</v>
      </c>
      <c r="BY150" s="10" t="n">
        <v>0.0606</v>
      </c>
      <c r="BZ150" s="7" t="n">
        <v>2.36</v>
      </c>
      <c r="CA150" s="10" t="n">
        <v>0.706</v>
      </c>
      <c r="CB150" s="8" t="n">
        <v>4</v>
      </c>
      <c r="CC150" s="10" t="n">
        <v>-0.0427</v>
      </c>
      <c r="CD150" s="10" t="n">
        <v>0.4747</v>
      </c>
      <c r="CE150" s="6" t="n">
        <v>57.59</v>
      </c>
      <c r="CF150" s="6" t="n">
        <v>38</v>
      </c>
      <c r="CG150" s="7" t="n">
        <v>2.94</v>
      </c>
      <c r="CH150" s="6" t="n">
        <v>20.9</v>
      </c>
      <c r="CI150" s="9" t="n">
        <v>0.0192</v>
      </c>
      <c r="CJ150" s="9" t="n">
        <v>-0.0055</v>
      </c>
      <c r="CK150" s="8" t="n">
        <v>138</v>
      </c>
      <c r="CL150" s="10" t="n">
        <v>0.319</v>
      </c>
      <c r="CM150" s="8" t="n">
        <v>142</v>
      </c>
      <c r="CN150" s="10" t="n">
        <v>0.293</v>
      </c>
      <c r="CO150" s="8" t="n">
        <v>56</v>
      </c>
      <c r="CP150" s="7" t="n">
        <v>-0.195</v>
      </c>
      <c r="CQ150" s="7" t="n">
        <v>-0.503</v>
      </c>
      <c r="CR150" s="4" t="s">
        <v>102</v>
      </c>
      <c r="CS150" s="4"/>
    </row>
    <row r="151" customFormat="false" ht="15" hidden="false" customHeight="false" outlineLevel="0" collapsed="false">
      <c r="A151" s="3" t="n">
        <v>149</v>
      </c>
      <c r="B151" s="4" t="s">
        <v>439</v>
      </c>
      <c r="C151" s="11" t="s">
        <v>104</v>
      </c>
      <c r="D151" s="4" t="s">
        <v>440</v>
      </c>
      <c r="E151" s="4" t="s">
        <v>170</v>
      </c>
      <c r="F151" s="4" t="s">
        <v>281</v>
      </c>
      <c r="G151" s="3" t="n">
        <v>2</v>
      </c>
      <c r="H151" s="6" t="n">
        <v>24.6</v>
      </c>
      <c r="I151" s="3" t="n">
        <v>4</v>
      </c>
      <c r="J151" s="3" t="n">
        <v>7</v>
      </c>
      <c r="K151" s="7" t="n">
        <v>155.54</v>
      </c>
      <c r="L151" s="7" t="n">
        <v>27.44</v>
      </c>
      <c r="M151" s="8" t="n">
        <v>122</v>
      </c>
      <c r="N151" s="8" t="n">
        <v>275</v>
      </c>
      <c r="O151" s="7" t="n">
        <v>155.54</v>
      </c>
      <c r="P151" s="6" t="n">
        <v>28</v>
      </c>
      <c r="Q151" s="4" t="s">
        <v>183</v>
      </c>
      <c r="R151" s="8" t="n">
        <v>13</v>
      </c>
      <c r="S151" s="6" t="n">
        <v>55.4</v>
      </c>
      <c r="T151" s="7" t="n">
        <f aca="false">IFERROR(S151/R151,"")</f>
        <v>4.26153846153846</v>
      </c>
      <c r="U151" s="6" t="n">
        <v>50.9</v>
      </c>
      <c r="V151" s="6" t="n">
        <v>46.4</v>
      </c>
      <c r="W151" s="8" t="n">
        <v>57</v>
      </c>
      <c r="X151" s="7" t="n">
        <f aca="false">IFERROR(S151/AH151,"")</f>
        <v>0.780281690140845</v>
      </c>
      <c r="Y151" s="9" t="n">
        <f aca="false">IFERROR(S151/AF151,"")</f>
        <v>0.41969696969697</v>
      </c>
      <c r="Z151" s="6" t="n">
        <v>2.3</v>
      </c>
      <c r="AA151" s="6" t="n">
        <v>3.1</v>
      </c>
      <c r="AB151" s="6" t="n">
        <v>7.44</v>
      </c>
      <c r="AC151" s="10" t="n">
        <v>0</v>
      </c>
      <c r="AD151" s="10" t="n">
        <v>0.231</v>
      </c>
      <c r="AE151" s="7" t="n">
        <v>1.054</v>
      </c>
      <c r="AF151" s="8" t="n">
        <v>132</v>
      </c>
      <c r="AG151" s="10" t="n">
        <v>0.175</v>
      </c>
      <c r="AH151" s="8" t="n">
        <v>71</v>
      </c>
      <c r="AI151" s="8" t="n">
        <v>12</v>
      </c>
      <c r="AJ151" s="6" t="n">
        <f aca="false">IFERROR(AI151/R151,"")</f>
        <v>0.923076923076923</v>
      </c>
      <c r="AK151" s="10" t="n">
        <v>0.0397</v>
      </c>
      <c r="AL151" s="10" t="n">
        <v>-0.0112</v>
      </c>
      <c r="AM151" s="9" t="n">
        <v>0.0517</v>
      </c>
      <c r="AN151" s="8" t="n">
        <v>9</v>
      </c>
      <c r="AO151" s="10" t="n">
        <f aca="false">IFERROR(AN151/AI151,"")</f>
        <v>0.75</v>
      </c>
      <c r="AP151" s="8" t="n">
        <v>63</v>
      </c>
      <c r="AQ151" s="7" t="n">
        <f aca="false">IFERROR(AP151/AI151,"")</f>
        <v>5.25</v>
      </c>
      <c r="AR151" s="6" t="n">
        <v>-2.333</v>
      </c>
      <c r="AS151" s="7" t="n">
        <v>9.444</v>
      </c>
      <c r="AT151" s="7" t="n">
        <v>-2.25</v>
      </c>
      <c r="AU151" s="7"/>
      <c r="AV151" s="7"/>
      <c r="AW151" s="7"/>
      <c r="AX151" s="10" t="n">
        <v>0.0833</v>
      </c>
      <c r="AY151" s="8" t="n">
        <v>59</v>
      </c>
      <c r="AZ151" s="6" t="n">
        <f aca="false">IFERROR(AY151/R151,"")</f>
        <v>4.53846153846154</v>
      </c>
      <c r="BA151" s="10" t="n">
        <v>0.1401</v>
      </c>
      <c r="BB151" s="8" t="n">
        <v>341</v>
      </c>
      <c r="BC151" s="7" t="n">
        <f aca="false">IFERROR(BB151/AY151,"")</f>
        <v>5.77966101694915</v>
      </c>
      <c r="BD151" s="7" t="n">
        <v>3.61</v>
      </c>
      <c r="BE151" s="7" t="n">
        <v>2.169</v>
      </c>
      <c r="BF151" s="8" t="n">
        <v>2</v>
      </c>
      <c r="BG151" s="7"/>
      <c r="BH151" s="6"/>
      <c r="BI151" s="7"/>
      <c r="BJ151" s="8" t="n">
        <v>14</v>
      </c>
      <c r="BK151" s="8" t="n">
        <v>2</v>
      </c>
      <c r="BL151" s="8" t="n">
        <v>0</v>
      </c>
      <c r="BM151" s="8" t="n">
        <v>1</v>
      </c>
      <c r="BN151" s="7" t="n">
        <v>1.41</v>
      </c>
      <c r="BO151" s="7" t="n">
        <f aca="false">IFERROR(BM151-BN151,"")</f>
        <v>-0.41</v>
      </c>
      <c r="BP151" s="9" t="n">
        <f aca="false">IFERROR(BM151/AH151,"")</f>
        <v>0.0140845070422535</v>
      </c>
      <c r="BQ151" s="6" t="n">
        <v>26.9</v>
      </c>
      <c r="BR151" s="6" t="n">
        <v>40.7</v>
      </c>
      <c r="BS151" s="6" t="n">
        <v>23</v>
      </c>
      <c r="BT151" s="7" t="n">
        <v>2.77</v>
      </c>
      <c r="BU151" s="10" t="n">
        <v>0.2195</v>
      </c>
      <c r="BV151" s="10" t="n">
        <v>0.611111111111111</v>
      </c>
      <c r="BW151" s="7" t="n">
        <v>2.614</v>
      </c>
      <c r="BX151" s="10" t="n">
        <v>0.3427</v>
      </c>
      <c r="BY151" s="10" t="n">
        <v>0.0832</v>
      </c>
      <c r="BZ151" s="7" t="n">
        <v>2.37</v>
      </c>
      <c r="CA151" s="10" t="n">
        <v>0.205</v>
      </c>
      <c r="CB151" s="8" t="n">
        <v>1</v>
      </c>
      <c r="CC151" s="10" t="n">
        <v>0.0064</v>
      </c>
      <c r="CD151" s="10" t="n">
        <v>0.579</v>
      </c>
      <c r="CE151" s="6" t="n">
        <v>63.53</v>
      </c>
      <c r="CF151" s="6" t="n">
        <v>39</v>
      </c>
      <c r="CG151" s="7" t="n">
        <v>3.47</v>
      </c>
      <c r="CH151" s="6" t="n">
        <v>21.6</v>
      </c>
      <c r="CI151" s="9" t="n">
        <v>0.0187</v>
      </c>
      <c r="CJ151" s="9" t="n">
        <v>-0.0542</v>
      </c>
      <c r="CK151" s="8" t="n">
        <v>15</v>
      </c>
      <c r="CL151" s="10" t="n">
        <v>0.028</v>
      </c>
      <c r="CM151" s="8" t="n">
        <v>23</v>
      </c>
      <c r="CN151" s="10" t="n">
        <v>0.049</v>
      </c>
      <c r="CO151" s="8" t="n">
        <v>2</v>
      </c>
      <c r="CP151" s="7" t="n">
        <v>-0.657</v>
      </c>
      <c r="CQ151" s="7" t="n">
        <v>-0.701</v>
      </c>
      <c r="CR151" s="4" t="s">
        <v>121</v>
      </c>
      <c r="CS151" s="4"/>
    </row>
    <row r="152" customFormat="false" ht="15" hidden="false" customHeight="false" outlineLevel="0" collapsed="false">
      <c r="A152" s="3" t="n">
        <v>150</v>
      </c>
      <c r="B152" s="4" t="s">
        <v>441</v>
      </c>
      <c r="C152" s="12" t="s">
        <v>149</v>
      </c>
      <c r="D152" s="4" t="s">
        <v>442</v>
      </c>
      <c r="E152" s="4" t="s">
        <v>235</v>
      </c>
      <c r="F152" s="4" t="s">
        <v>149</v>
      </c>
      <c r="G152" s="3" t="n">
        <v>1</v>
      </c>
      <c r="H152" s="6" t="n">
        <v>25.6</v>
      </c>
      <c r="I152" s="3" t="n">
        <v>4</v>
      </c>
      <c r="J152" s="3" t="n">
        <v>7</v>
      </c>
      <c r="K152" s="7" t="n">
        <v>156.63</v>
      </c>
      <c r="L152" s="7" t="n">
        <v>25.26</v>
      </c>
      <c r="M152" s="8" t="n">
        <v>111</v>
      </c>
      <c r="N152" s="8" t="n">
        <v>236</v>
      </c>
      <c r="O152" s="7" t="n">
        <v>156.63</v>
      </c>
      <c r="P152" s="6" t="n">
        <v>43.4</v>
      </c>
      <c r="Q152" s="4" t="s">
        <v>235</v>
      </c>
      <c r="R152" s="8" t="n">
        <v>12</v>
      </c>
      <c r="S152" s="6" t="n">
        <v>118</v>
      </c>
      <c r="T152" s="7" t="n">
        <f aca="false">IFERROR(S152/R152,"")</f>
        <v>9.83333333333333</v>
      </c>
      <c r="U152" s="6" t="n">
        <v>95</v>
      </c>
      <c r="V152" s="6" t="n">
        <v>72</v>
      </c>
      <c r="W152" s="8" t="n">
        <v>21</v>
      </c>
      <c r="X152" s="7" t="n">
        <f aca="false">IFERROR(S152/AH152,"")</f>
        <v>1.96666666666667</v>
      </c>
      <c r="Y152" s="9" t="n">
        <f aca="false">IFERROR(S152/AF152,"")</f>
        <v>0.199661590524535</v>
      </c>
      <c r="Z152" s="6" t="n">
        <v>5.45</v>
      </c>
      <c r="AA152" s="6" t="n">
        <v>10.2</v>
      </c>
      <c r="AB152" s="6" t="n">
        <v>14.51</v>
      </c>
      <c r="AC152" s="10" t="n">
        <v>0.167</v>
      </c>
      <c r="AD152" s="10" t="n">
        <v>0</v>
      </c>
      <c r="AE152" s="7" t="n">
        <v>0.465</v>
      </c>
      <c r="AF152" s="8" t="n">
        <v>591</v>
      </c>
      <c r="AG152" s="10" t="n">
        <v>0.748</v>
      </c>
      <c r="AH152" s="8" t="n">
        <v>60</v>
      </c>
      <c r="AI152" s="8" t="n">
        <v>60</v>
      </c>
      <c r="AJ152" s="6" t="n">
        <f aca="false">IFERROR(AI152/R152,"")</f>
        <v>5</v>
      </c>
      <c r="AK152" s="10" t="n">
        <v>0.1579</v>
      </c>
      <c r="AL152" s="10" t="n">
        <v>0.1215</v>
      </c>
      <c r="AM152" s="9" t="n">
        <v>0.3219</v>
      </c>
      <c r="AN152" s="8" t="n">
        <v>46</v>
      </c>
      <c r="AO152" s="10" t="n">
        <f aca="false">IFERROR(AN152/AI152,"")</f>
        <v>0.766666666666667</v>
      </c>
      <c r="AP152" s="8" t="n">
        <v>540</v>
      </c>
      <c r="AQ152" s="7" t="n">
        <f aca="false">IFERROR(AP152/AI152,"")</f>
        <v>9</v>
      </c>
      <c r="AR152" s="6" t="n">
        <v>6.9</v>
      </c>
      <c r="AS152" s="7" t="n">
        <v>5.37</v>
      </c>
      <c r="AT152" s="7" t="n">
        <v>1.304</v>
      </c>
      <c r="AU152" s="7" t="n">
        <v>3.90547401628174</v>
      </c>
      <c r="AV152" s="7" t="n">
        <v>6.4606</v>
      </c>
      <c r="AW152" s="7" t="n">
        <v>-0.228699741922007</v>
      </c>
      <c r="AX152" s="10" t="n">
        <v>0.0667</v>
      </c>
      <c r="AY152" s="8" t="n">
        <v>0</v>
      </c>
      <c r="AZ152" s="6" t="n">
        <f aca="false">IFERROR(AY152/R152,"")</f>
        <v>0</v>
      </c>
      <c r="BA152" s="10" t="n">
        <v>0</v>
      </c>
      <c r="BB152" s="8" t="n">
        <v>0</v>
      </c>
      <c r="BC152" s="7"/>
      <c r="BD152" s="7"/>
      <c r="BE152" s="7"/>
      <c r="BF152" s="8"/>
      <c r="BG152" s="7"/>
      <c r="BH152" s="6"/>
      <c r="BI152" s="7"/>
      <c r="BJ152" s="8" t="n">
        <v>10</v>
      </c>
      <c r="BK152" s="8" t="n">
        <v>3</v>
      </c>
      <c r="BL152" s="8" t="n">
        <v>1</v>
      </c>
      <c r="BM152" s="8" t="n">
        <v>3</v>
      </c>
      <c r="BN152" s="7" t="n">
        <v>2.96</v>
      </c>
      <c r="BO152" s="7" t="n">
        <f aca="false">IFERROR(BM152-BN152,"")</f>
        <v>0.04</v>
      </c>
      <c r="BP152" s="9" t="n">
        <f aca="false">IFERROR(BM152/AH152,"")</f>
        <v>0.05</v>
      </c>
      <c r="BQ152" s="6" t="n">
        <v>44.3</v>
      </c>
      <c r="BR152" s="6" t="n">
        <v>40.2</v>
      </c>
      <c r="BS152" s="6" t="n">
        <v>50.8</v>
      </c>
      <c r="BT152" s="7" t="n">
        <v>2.885</v>
      </c>
      <c r="BU152" s="10" t="n">
        <v>0.1784</v>
      </c>
      <c r="BV152" s="10" t="n">
        <v>0.5</v>
      </c>
      <c r="BW152" s="7" t="n">
        <v>2.219</v>
      </c>
      <c r="BX152" s="10" t="n">
        <v>0.2504</v>
      </c>
      <c r="BY152" s="10" t="n">
        <v>0.0647</v>
      </c>
      <c r="BZ152" s="7" t="n">
        <v>2.395</v>
      </c>
      <c r="CA152" s="10" t="n">
        <v>1</v>
      </c>
      <c r="CB152" s="8" t="n">
        <v>5</v>
      </c>
      <c r="CC152" s="10" t="n">
        <v>0.0164</v>
      </c>
      <c r="CD152" s="10" t="n">
        <v>0.5756</v>
      </c>
      <c r="CE152" s="6" t="n">
        <v>63.18</v>
      </c>
      <c r="CF152" s="6" t="n">
        <v>40</v>
      </c>
      <c r="CG152" s="7" t="n">
        <v>4.24</v>
      </c>
      <c r="CH152" s="6" t="n">
        <v>27.9</v>
      </c>
      <c r="CI152" s="9" t="n">
        <v>-0.0041</v>
      </c>
      <c r="CJ152" s="9" t="n">
        <v>0.0592</v>
      </c>
      <c r="CK152" s="8" t="n">
        <v>132</v>
      </c>
      <c r="CL152" s="10" t="n">
        <v>0.241</v>
      </c>
      <c r="CM152" s="8" t="n">
        <v>271</v>
      </c>
      <c r="CN152" s="10" t="n">
        <v>0.554</v>
      </c>
      <c r="CO152" s="8" t="n">
        <v>85</v>
      </c>
      <c r="CP152" s="7" t="n">
        <v>-0.248</v>
      </c>
      <c r="CQ152" s="7" t="n">
        <v>-0.073</v>
      </c>
      <c r="CR152" s="4" t="s">
        <v>102</v>
      </c>
      <c r="CS152" s="4"/>
    </row>
    <row r="153" customFormat="false" ht="15" hidden="false" customHeight="false" outlineLevel="0" collapsed="false">
      <c r="A153" s="3" t="n">
        <v>151</v>
      </c>
      <c r="B153" s="4" t="s">
        <v>443</v>
      </c>
      <c r="C153" s="5" t="s">
        <v>99</v>
      </c>
      <c r="D153" s="4" t="s">
        <v>444</v>
      </c>
      <c r="E153" s="4" t="s">
        <v>258</v>
      </c>
      <c r="F153" s="4" t="s">
        <v>99</v>
      </c>
      <c r="G153" s="3" t="n">
        <v>3</v>
      </c>
      <c r="H153" s="6" t="n">
        <v>22.7</v>
      </c>
      <c r="I153" s="3" t="n">
        <v>0</v>
      </c>
      <c r="J153" s="3" t="n">
        <v>11</v>
      </c>
      <c r="K153" s="7" t="n">
        <v>157.29</v>
      </c>
      <c r="L153" s="7" t="n">
        <v>31.44</v>
      </c>
      <c r="M153" s="8" t="n">
        <v>115</v>
      </c>
      <c r="N153" s="8" t="n">
        <v>304</v>
      </c>
      <c r="O153" s="7" t="n">
        <v>157.29</v>
      </c>
      <c r="P153" s="6" t="n">
        <v>31.5</v>
      </c>
      <c r="Q153" s="4"/>
      <c r="R153" s="8"/>
      <c r="S153" s="6"/>
      <c r="T153" s="7"/>
      <c r="U153" s="6"/>
      <c r="V153" s="6"/>
      <c r="W153" s="8"/>
      <c r="X153" s="7"/>
      <c r="Y153" s="9"/>
      <c r="Z153" s="6"/>
      <c r="AA153" s="6"/>
      <c r="AB153" s="6"/>
      <c r="AC153" s="10"/>
      <c r="AD153" s="10"/>
      <c r="AE153" s="7"/>
      <c r="AF153" s="8"/>
      <c r="AG153" s="10"/>
      <c r="AH153" s="8"/>
      <c r="AI153" s="8"/>
      <c r="AJ153" s="6"/>
      <c r="AK153" s="10"/>
      <c r="AL153" s="10"/>
      <c r="AM153" s="9"/>
      <c r="AN153" s="8"/>
      <c r="AO153" s="10"/>
      <c r="AP153" s="8"/>
      <c r="AQ153" s="7"/>
      <c r="AR153" s="6"/>
      <c r="AS153" s="7"/>
      <c r="AT153" s="7"/>
      <c r="AU153" s="7"/>
      <c r="AV153" s="7"/>
      <c r="AW153" s="7"/>
      <c r="AX153" s="10"/>
      <c r="AY153" s="8"/>
      <c r="AZ153" s="6"/>
      <c r="BA153" s="10"/>
      <c r="BB153" s="8"/>
      <c r="BC153" s="7"/>
      <c r="BD153" s="7"/>
      <c r="BE153" s="7"/>
      <c r="BF153" s="8"/>
      <c r="BG153" s="7"/>
      <c r="BH153" s="6"/>
      <c r="BI153" s="7"/>
      <c r="BJ153" s="8"/>
      <c r="BK153" s="8"/>
      <c r="BL153" s="8"/>
      <c r="BM153" s="8"/>
      <c r="BN153" s="7"/>
      <c r="BO153" s="7"/>
      <c r="BP153" s="9"/>
      <c r="BQ153" s="6" t="n">
        <v>15.1</v>
      </c>
      <c r="BR153" s="6" t="n">
        <v>18.5</v>
      </c>
      <c r="BS153" s="6" t="n">
        <v>26.5</v>
      </c>
      <c r="BT153" s="7" t="n">
        <v>2.392</v>
      </c>
      <c r="BU153" s="10" t="n">
        <v>0.225</v>
      </c>
      <c r="BV153" s="10" t="n">
        <v>0.666666666666667</v>
      </c>
      <c r="BW153" s="7" t="n">
        <v>1.808</v>
      </c>
      <c r="BX153" s="10" t="n">
        <v>0.3405</v>
      </c>
      <c r="BY153" s="10" t="n">
        <v>0.0842</v>
      </c>
      <c r="BZ153" s="7" t="n">
        <v>2.444</v>
      </c>
      <c r="CA153" s="10" t="n">
        <v>0.261</v>
      </c>
      <c r="CB153" s="8" t="n">
        <v>1</v>
      </c>
      <c r="CC153" s="10" t="n">
        <v>-0.0372</v>
      </c>
      <c r="CD153" s="10" t="n">
        <v>0.5161</v>
      </c>
      <c r="CE153" s="6" t="n">
        <v>60.47</v>
      </c>
      <c r="CF153" s="6" t="n">
        <v>39</v>
      </c>
      <c r="CG153" s="7" t="n">
        <v>2.47</v>
      </c>
      <c r="CH153" s="6" t="n">
        <v>16.4</v>
      </c>
      <c r="CI153" s="9" t="n">
        <v>-0.0478</v>
      </c>
      <c r="CJ153" s="9" t="n">
        <v>-0.2882</v>
      </c>
      <c r="CK153" s="8" t="n">
        <v>88</v>
      </c>
      <c r="CL153" s="10" t="n">
        <v>0.169</v>
      </c>
      <c r="CM153" s="8" t="n">
        <v>37</v>
      </c>
      <c r="CN153" s="10" t="n">
        <v>0.088</v>
      </c>
      <c r="CO153" s="8" t="n">
        <v>23</v>
      </c>
      <c r="CP153" s="7"/>
      <c r="CQ153" s="7"/>
      <c r="CR153" s="4"/>
      <c r="CS153" s="4" t="s">
        <v>206</v>
      </c>
    </row>
    <row r="154" customFormat="false" ht="15" hidden="false" customHeight="false" outlineLevel="0" collapsed="false">
      <c r="A154" s="3" t="n">
        <v>152</v>
      </c>
      <c r="B154" s="4" t="s">
        <v>445</v>
      </c>
      <c r="C154" s="5" t="s">
        <v>99</v>
      </c>
      <c r="D154" s="4" t="s">
        <v>446</v>
      </c>
      <c r="E154" s="4" t="s">
        <v>127</v>
      </c>
      <c r="F154" s="4" t="s">
        <v>99</v>
      </c>
      <c r="G154" s="3" t="n">
        <v>3</v>
      </c>
      <c r="H154" s="6" t="n">
        <v>29.1</v>
      </c>
      <c r="I154" s="3" t="n">
        <v>6</v>
      </c>
      <c r="J154" s="3" t="n">
        <v>6</v>
      </c>
      <c r="K154" s="7" t="n">
        <v>157.65</v>
      </c>
      <c r="L154" s="7" t="n">
        <v>28.04</v>
      </c>
      <c r="M154" s="8" t="n">
        <v>94</v>
      </c>
      <c r="N154" s="8" t="n">
        <v>283</v>
      </c>
      <c r="O154" s="7" t="n">
        <v>157.65</v>
      </c>
      <c r="P154" s="6" t="n">
        <v>27.4</v>
      </c>
      <c r="Q154" s="4" t="s">
        <v>124</v>
      </c>
      <c r="R154" s="8" t="n">
        <v>15</v>
      </c>
      <c r="S154" s="6" t="n">
        <v>173.3</v>
      </c>
      <c r="T154" s="7" t="n">
        <f aca="false">IFERROR(S154/R154,"")</f>
        <v>11.5533333333333</v>
      </c>
      <c r="U154" s="6" t="n">
        <v>145.8</v>
      </c>
      <c r="V154" s="6" t="n">
        <v>118.3</v>
      </c>
      <c r="W154" s="8" t="n">
        <v>33</v>
      </c>
      <c r="X154" s="7" t="n">
        <f aca="false">IFERROR(S154/AH154,"")</f>
        <v>1.92555555555556</v>
      </c>
      <c r="Y154" s="9" t="n">
        <f aca="false">IFERROR(S154/AF154,"")</f>
        <v>0.217987421383648</v>
      </c>
      <c r="Z154" s="6" t="n">
        <v>7.3</v>
      </c>
      <c r="AA154" s="6" t="n">
        <v>12.2</v>
      </c>
      <c r="AB154" s="6" t="n">
        <v>18</v>
      </c>
      <c r="AC154" s="10" t="n">
        <v>0.133</v>
      </c>
      <c r="AD154" s="10" t="n">
        <v>0.067</v>
      </c>
      <c r="AE154" s="7" t="n">
        <v>0.468</v>
      </c>
      <c r="AF154" s="8" t="n">
        <v>795</v>
      </c>
      <c r="AG154" s="10" t="n">
        <v>0.821</v>
      </c>
      <c r="AH154" s="8" t="n">
        <v>90</v>
      </c>
      <c r="AI154" s="8" t="n">
        <v>90</v>
      </c>
      <c r="AJ154" s="6" t="n">
        <f aca="false">IFERROR(AI154/R154,"")</f>
        <v>6</v>
      </c>
      <c r="AK154" s="10" t="n">
        <v>0.194</v>
      </c>
      <c r="AL154" s="10" t="n">
        <v>0.2545</v>
      </c>
      <c r="AM154" s="9" t="n">
        <v>0.4692</v>
      </c>
      <c r="AN154" s="8" t="n">
        <v>55</v>
      </c>
      <c r="AO154" s="10" t="n">
        <f aca="false">IFERROR(AN154/AI154,"")</f>
        <v>0.611111111111111</v>
      </c>
      <c r="AP154" s="8" t="n">
        <v>643</v>
      </c>
      <c r="AQ154" s="7" t="n">
        <f aca="false">IFERROR(AP154/AI154,"")</f>
        <v>7.14444444444445</v>
      </c>
      <c r="AR154" s="6" t="n">
        <v>10.056</v>
      </c>
      <c r="AS154" s="7" t="n">
        <v>3.291</v>
      </c>
      <c r="AT154" s="7" t="n">
        <v>0.71</v>
      </c>
      <c r="AU154" s="7" t="n">
        <v>2.21303908948132</v>
      </c>
      <c r="AV154" s="7" t="n">
        <v>5.64835294117647</v>
      </c>
      <c r="AW154" s="7" t="n">
        <v>0.710569590015091</v>
      </c>
      <c r="AX154" s="10" t="n">
        <v>0.0333</v>
      </c>
      <c r="AY154" s="8" t="n">
        <v>0</v>
      </c>
      <c r="AZ154" s="6" t="n">
        <f aca="false">IFERROR(AY154/R154,"")</f>
        <v>0</v>
      </c>
      <c r="BA154" s="10" t="n">
        <v>0</v>
      </c>
      <c r="BB154" s="8" t="n">
        <v>0</v>
      </c>
      <c r="BC154" s="7"/>
      <c r="BD154" s="7"/>
      <c r="BE154" s="7"/>
      <c r="BF154" s="8"/>
      <c r="BG154" s="7"/>
      <c r="BH154" s="6"/>
      <c r="BI154" s="7"/>
      <c r="BJ154" s="8" t="n">
        <v>19</v>
      </c>
      <c r="BK154" s="8" t="n">
        <v>8</v>
      </c>
      <c r="BL154" s="8" t="n">
        <v>5</v>
      </c>
      <c r="BM154" s="8" t="n">
        <v>9</v>
      </c>
      <c r="BN154" s="7" t="n">
        <v>6.09</v>
      </c>
      <c r="BO154" s="7" t="n">
        <f aca="false">IFERROR(BM154-BN154,"")</f>
        <v>2.91</v>
      </c>
      <c r="BP154" s="9" t="n">
        <f aca="false">IFERROR(BM154/AH154,"")</f>
        <v>0.1</v>
      </c>
      <c r="BQ154" s="6" t="n">
        <v>36</v>
      </c>
      <c r="BR154" s="6" t="n">
        <v>51.8</v>
      </c>
      <c r="BS154" s="6" t="n">
        <v>26.2</v>
      </c>
      <c r="BT154" s="7" t="n">
        <v>2.961</v>
      </c>
      <c r="BU154" s="10" t="n">
        <v>0.1751</v>
      </c>
      <c r="BV154" s="10" t="n">
        <v>0.7</v>
      </c>
      <c r="BW154" s="7" t="n">
        <v>2.441</v>
      </c>
      <c r="BX154" s="10" t="n">
        <v>0.3037</v>
      </c>
      <c r="BY154" s="10" t="n">
        <v>0.1028</v>
      </c>
      <c r="BZ154" s="7" t="n">
        <v>2.429</v>
      </c>
      <c r="CA154" s="10" t="n">
        <v>0.819</v>
      </c>
      <c r="CB154" s="8" t="n">
        <v>5</v>
      </c>
      <c r="CC154" s="10" t="n">
        <v>-0.012</v>
      </c>
      <c r="CD154" s="10" t="n">
        <v>0.5369</v>
      </c>
      <c r="CE154" s="6" t="n">
        <v>55.47</v>
      </c>
      <c r="CF154" s="6" t="n">
        <v>39</v>
      </c>
      <c r="CG154" s="7" t="n">
        <v>3.12</v>
      </c>
      <c r="CH154" s="6" t="n">
        <v>20.2</v>
      </c>
      <c r="CI154" s="9" t="n">
        <v>-0.0149</v>
      </c>
      <c r="CJ154" s="9" t="n">
        <v>-0.1883</v>
      </c>
      <c r="CK154" s="8" t="n">
        <v>82</v>
      </c>
      <c r="CL154" s="10" t="n">
        <v>0.175</v>
      </c>
      <c r="CM154" s="8" t="n">
        <v>24</v>
      </c>
      <c r="CN154" s="10" t="n">
        <v>0.059</v>
      </c>
      <c r="CO154" s="8" t="n">
        <v>17</v>
      </c>
      <c r="CP154" s="7" t="n">
        <v>0.679</v>
      </c>
      <c r="CQ154" s="7" t="n">
        <v>0.634</v>
      </c>
      <c r="CR154" s="4" t="s">
        <v>232</v>
      </c>
      <c r="CS154" s="4"/>
    </row>
    <row r="155" customFormat="false" ht="15" hidden="false" customHeight="false" outlineLevel="0" collapsed="false">
      <c r="A155" s="3" t="n">
        <v>153</v>
      </c>
      <c r="B155" s="4" t="s">
        <v>447</v>
      </c>
      <c r="C155" s="13" t="s">
        <v>172</v>
      </c>
      <c r="D155" s="4" t="s">
        <v>448</v>
      </c>
      <c r="E155" s="4" t="s">
        <v>130</v>
      </c>
      <c r="F155" s="4" t="s">
        <v>172</v>
      </c>
      <c r="G155" s="3" t="n">
        <v>1</v>
      </c>
      <c r="H155" s="6" t="n">
        <v>29.2</v>
      </c>
      <c r="I155" s="3" t="n">
        <v>8</v>
      </c>
      <c r="J155" s="3" t="n">
        <v>13</v>
      </c>
      <c r="K155" s="7" t="n">
        <v>159.26</v>
      </c>
      <c r="L155" s="7" t="n">
        <v>33.56</v>
      </c>
      <c r="M155" s="8" t="n">
        <v>113</v>
      </c>
      <c r="N155" s="8" t="n">
        <v>295</v>
      </c>
      <c r="O155" s="7" t="n">
        <v>159.26</v>
      </c>
      <c r="P155" s="6" t="n">
        <v>32.9</v>
      </c>
      <c r="Q155" s="4" t="s">
        <v>130</v>
      </c>
      <c r="R155" s="8" t="n">
        <v>13</v>
      </c>
      <c r="S155" s="6" t="n">
        <v>226.44</v>
      </c>
      <c r="T155" s="7" t="n">
        <f aca="false">IFERROR(S155/R155,"")</f>
        <v>17.4184615384615</v>
      </c>
      <c r="U155" s="6" t="n">
        <v>226.44</v>
      </c>
      <c r="V155" s="6" t="n">
        <v>226.44</v>
      </c>
      <c r="W155" s="8" t="n">
        <v>18</v>
      </c>
      <c r="X155" s="7" t="n">
        <f aca="false">IFERROR(S155/AH155,"")</f>
        <v>5.032</v>
      </c>
      <c r="Y155" s="9" t="n">
        <f aca="false">IFERROR(S155/AF155,"")</f>
        <v>0.29952380952381</v>
      </c>
      <c r="Z155" s="6" t="n">
        <v>15.5</v>
      </c>
      <c r="AA155" s="6" t="n">
        <v>16.68</v>
      </c>
      <c r="AB155" s="6" t="n">
        <v>22.91</v>
      </c>
      <c r="AC155" s="10" t="n">
        <v>0.538</v>
      </c>
      <c r="AD155" s="10" t="n">
        <v>0.077</v>
      </c>
      <c r="AE155" s="7" t="n">
        <v>0.425</v>
      </c>
      <c r="AF155" s="8" t="n">
        <v>756</v>
      </c>
      <c r="AG155" s="10" t="n">
        <v>0.915</v>
      </c>
      <c r="AH155" s="8" t="n">
        <v>45</v>
      </c>
      <c r="AI155" s="8" t="n">
        <v>0</v>
      </c>
      <c r="AJ155" s="6" t="n">
        <f aca="false">IFERROR(AI155/R155,"")</f>
        <v>0</v>
      </c>
      <c r="AK155" s="10" t="n">
        <v>0</v>
      </c>
      <c r="AL155" s="10" t="n">
        <v>0</v>
      </c>
      <c r="AM155" s="9" t="n">
        <v>0</v>
      </c>
      <c r="AN155" s="8" t="n">
        <v>0</v>
      </c>
      <c r="AO155" s="10"/>
      <c r="AP155" s="8" t="n">
        <v>0</v>
      </c>
      <c r="AQ155" s="7"/>
      <c r="AR155" s="6"/>
      <c r="AS155" s="7"/>
      <c r="AT155" s="7"/>
      <c r="AU155" s="7"/>
      <c r="AV155" s="7"/>
      <c r="AW155" s="7"/>
      <c r="AX155" s="10"/>
      <c r="AY155" s="8" t="n">
        <v>45</v>
      </c>
      <c r="AZ155" s="6" t="n">
        <f aca="false">IFERROR(AY155/R155,"")</f>
        <v>3.46153846153846</v>
      </c>
      <c r="BA155" s="10" t="n">
        <v>0.1316</v>
      </c>
      <c r="BB155" s="8" t="n">
        <v>164</v>
      </c>
      <c r="BC155" s="7" t="n">
        <f aca="false">IFERROR(BB155/AY155,"")</f>
        <v>3.64444444444444</v>
      </c>
      <c r="BD155" s="7" t="n">
        <v>3.044</v>
      </c>
      <c r="BE155" s="7" t="n">
        <v>0.6</v>
      </c>
      <c r="BF155" s="8" t="n">
        <v>1</v>
      </c>
      <c r="BG155" s="7"/>
      <c r="BH155" s="6"/>
      <c r="BI155" s="7"/>
      <c r="BJ155" s="8" t="n">
        <v>16</v>
      </c>
      <c r="BK155" s="8" t="n">
        <v>10</v>
      </c>
      <c r="BL155" s="8" t="n">
        <v>6</v>
      </c>
      <c r="BM155" s="8" t="n">
        <v>5</v>
      </c>
      <c r="BN155" s="7" t="n">
        <v>3.79</v>
      </c>
      <c r="BO155" s="7" t="n">
        <f aca="false">IFERROR(BM155-BN155,"")</f>
        <v>1.21</v>
      </c>
      <c r="BP155" s="9" t="n">
        <f aca="false">IFERROR(BM155/AH155,"")</f>
        <v>0.111111111111111</v>
      </c>
      <c r="BQ155" s="6" t="n">
        <v>60.3</v>
      </c>
      <c r="BR155" s="6" t="n">
        <v>57.7</v>
      </c>
      <c r="BS155" s="6" t="n">
        <v>58.5</v>
      </c>
      <c r="BT155" s="7" t="n">
        <v>3.072</v>
      </c>
      <c r="BU155" s="10" t="n">
        <v>0.1487</v>
      </c>
      <c r="BV155" s="10" t="n">
        <v>0.6875</v>
      </c>
      <c r="BW155" s="7" t="n">
        <v>2.428</v>
      </c>
      <c r="BX155" s="10" t="n">
        <v>0.2121</v>
      </c>
      <c r="BY155" s="10" t="n">
        <v>0.047</v>
      </c>
      <c r="BZ155" s="7" t="n">
        <v>2.237</v>
      </c>
      <c r="CA155" s="10" t="n">
        <v>0.832</v>
      </c>
      <c r="CB155" s="8" t="n">
        <v>5</v>
      </c>
      <c r="CC155" s="10" t="n">
        <v>-0.0091</v>
      </c>
      <c r="CD155" s="10" t="n">
        <v>0.5637</v>
      </c>
      <c r="CE155" s="6" t="n">
        <v>59.47</v>
      </c>
      <c r="CF155" s="6" t="n">
        <v>39</v>
      </c>
      <c r="CG155" s="7" t="n">
        <v>4.12</v>
      </c>
      <c r="CH155" s="6" t="n">
        <v>27.4</v>
      </c>
      <c r="CI155" s="9" t="n">
        <v>0.094</v>
      </c>
      <c r="CJ155" s="9" t="n">
        <v>0.0558</v>
      </c>
      <c r="CK155" s="8" t="n">
        <v>147</v>
      </c>
      <c r="CL155" s="10" t="n">
        <v>0.277</v>
      </c>
      <c r="CM155" s="8" t="n">
        <v>24</v>
      </c>
      <c r="CN155" s="10" t="n">
        <v>0.054</v>
      </c>
      <c r="CO155" s="8" t="n">
        <v>20</v>
      </c>
      <c r="CP155" s="7" t="n">
        <v>0.132</v>
      </c>
      <c r="CQ155" s="7" t="n">
        <v>0.35</v>
      </c>
      <c r="CR155" s="4" t="s">
        <v>102</v>
      </c>
      <c r="CS155" s="4"/>
    </row>
    <row r="156" customFormat="false" ht="15" hidden="false" customHeight="false" outlineLevel="0" collapsed="false">
      <c r="A156" s="3" t="n">
        <v>154</v>
      </c>
      <c r="B156" s="4" t="s">
        <v>449</v>
      </c>
      <c r="C156" s="5" t="s">
        <v>99</v>
      </c>
      <c r="D156" s="4" t="s">
        <v>450</v>
      </c>
      <c r="E156" s="4" t="s">
        <v>258</v>
      </c>
      <c r="F156" s="4" t="s">
        <v>99</v>
      </c>
      <c r="G156" s="3" t="n">
        <v>1</v>
      </c>
      <c r="H156" s="6" t="n">
        <v>27.3</v>
      </c>
      <c r="I156" s="3" t="n">
        <v>7</v>
      </c>
      <c r="J156" s="3" t="n">
        <v>11</v>
      </c>
      <c r="K156" s="7" t="n">
        <v>160.55</v>
      </c>
      <c r="L156" s="7" t="n">
        <v>23.44</v>
      </c>
      <c r="M156" s="8" t="n">
        <v>115</v>
      </c>
      <c r="N156" s="8" t="n">
        <v>269</v>
      </c>
      <c r="O156" s="7" t="n">
        <v>160.55</v>
      </c>
      <c r="P156" s="6" t="n">
        <v>27.9</v>
      </c>
      <c r="Q156" s="4" t="s">
        <v>258</v>
      </c>
      <c r="R156" s="8" t="n">
        <v>17</v>
      </c>
      <c r="S156" s="6" t="n">
        <v>120.7</v>
      </c>
      <c r="T156" s="7" t="n">
        <f aca="false">IFERROR(S156/R156,"")</f>
        <v>7.1</v>
      </c>
      <c r="U156" s="6" t="n">
        <v>95.7</v>
      </c>
      <c r="V156" s="6" t="n">
        <v>70.7</v>
      </c>
      <c r="W156" s="8" t="n">
        <v>51</v>
      </c>
      <c r="X156" s="7" t="n">
        <f aca="false">IFERROR(S156/AH156,"")</f>
        <v>1.12803738317757</v>
      </c>
      <c r="Y156" s="9" t="n">
        <f aca="false">IFERROR(S156/AF156,"")</f>
        <v>0.131053203040174</v>
      </c>
      <c r="Z156" s="6" t="n">
        <v>3.7</v>
      </c>
      <c r="AA156" s="6" t="n">
        <v>5.1</v>
      </c>
      <c r="AB156" s="6" t="n">
        <v>11.12</v>
      </c>
      <c r="AC156" s="10" t="n">
        <v>0.059</v>
      </c>
      <c r="AD156" s="10" t="n">
        <v>0.059</v>
      </c>
      <c r="AE156" s="7" t="n">
        <v>1.023</v>
      </c>
      <c r="AF156" s="8" t="n">
        <v>921</v>
      </c>
      <c r="AG156" s="10" t="n">
        <v>0.845</v>
      </c>
      <c r="AH156" s="8" t="n">
        <v>107</v>
      </c>
      <c r="AI156" s="8" t="n">
        <v>106</v>
      </c>
      <c r="AJ156" s="6" t="n">
        <f aca="false">IFERROR(AI156/R156,"")</f>
        <v>6.23529411764706</v>
      </c>
      <c r="AK156" s="10" t="n">
        <v>0.2031</v>
      </c>
      <c r="AL156" s="10" t="n">
        <v>0.3587</v>
      </c>
      <c r="AM156" s="9" t="n">
        <v>0.5557</v>
      </c>
      <c r="AN156" s="8" t="n">
        <v>50</v>
      </c>
      <c r="AO156" s="10" t="n">
        <f aca="false">IFERROR(AN156/AI156,"")</f>
        <v>0.471698113207547</v>
      </c>
      <c r="AP156" s="8" t="n">
        <v>602</v>
      </c>
      <c r="AQ156" s="7" t="n">
        <f aca="false">IFERROR(AP156/AI156,"")</f>
        <v>5.67924528301887</v>
      </c>
      <c r="AR156" s="6" t="n">
        <v>12.151</v>
      </c>
      <c r="AS156" s="7" t="n">
        <v>3.32</v>
      </c>
      <c r="AT156" s="7" t="n">
        <v>0.467</v>
      </c>
      <c r="AU156" s="7" t="n">
        <v>2.47205060721396</v>
      </c>
      <c r="AV156" s="7" t="n">
        <v>5.62685714285714</v>
      </c>
      <c r="AW156" s="7" t="n">
        <v>-0.0249336892853878</v>
      </c>
      <c r="AX156" s="10" t="n">
        <v>0.0943</v>
      </c>
      <c r="AY156" s="8" t="n">
        <v>1</v>
      </c>
      <c r="AZ156" s="6" t="n">
        <f aca="false">IFERROR(AY156/R156,"")</f>
        <v>0.0588235294117647</v>
      </c>
      <c r="BA156" s="10" t="n">
        <v>0.0024</v>
      </c>
      <c r="BB156" s="8" t="n">
        <v>5</v>
      </c>
      <c r="BC156" s="7"/>
      <c r="BD156" s="7"/>
      <c r="BE156" s="7"/>
      <c r="BF156" s="8" t="n">
        <v>0</v>
      </c>
      <c r="BG156" s="7"/>
      <c r="BH156" s="6"/>
      <c r="BI156" s="7"/>
      <c r="BJ156" s="8" t="n">
        <v>9</v>
      </c>
      <c r="BK156" s="8" t="n">
        <v>3</v>
      </c>
      <c r="BL156" s="8" t="n">
        <v>0</v>
      </c>
      <c r="BM156" s="8" t="n">
        <v>2</v>
      </c>
      <c r="BN156" s="7" t="n">
        <v>3.16</v>
      </c>
      <c r="BO156" s="7" t="n">
        <f aca="false">IFERROR(BM156-BN156,"")</f>
        <v>-1.16</v>
      </c>
      <c r="BP156" s="9" t="n">
        <f aca="false">IFERROR(BM156/AH156,"")</f>
        <v>0.0186915887850467</v>
      </c>
      <c r="BQ156" s="6" t="n">
        <v>15.1</v>
      </c>
      <c r="BR156" s="6" t="n">
        <v>18.5</v>
      </c>
      <c r="BS156" s="6" t="n">
        <v>26.5</v>
      </c>
      <c r="BT156" s="7" t="n">
        <v>2.392</v>
      </c>
      <c r="BU156" s="10" t="n">
        <v>0.225</v>
      </c>
      <c r="BV156" s="10" t="n">
        <v>0.666666666666667</v>
      </c>
      <c r="BW156" s="7" t="n">
        <v>1.808</v>
      </c>
      <c r="BX156" s="10" t="n">
        <v>0.3405</v>
      </c>
      <c r="BY156" s="10" t="n">
        <v>0.0842</v>
      </c>
      <c r="BZ156" s="7" t="n">
        <v>2.444</v>
      </c>
      <c r="CA156" s="10" t="n">
        <v>0.261</v>
      </c>
      <c r="CB156" s="8" t="n">
        <v>1</v>
      </c>
      <c r="CC156" s="10" t="n">
        <v>-0.0372</v>
      </c>
      <c r="CD156" s="10" t="n">
        <v>0.5161</v>
      </c>
      <c r="CE156" s="6" t="n">
        <v>60.47</v>
      </c>
      <c r="CF156" s="6" t="n">
        <v>39</v>
      </c>
      <c r="CG156" s="7" t="n">
        <v>2.47</v>
      </c>
      <c r="CH156" s="6" t="n">
        <v>16.4</v>
      </c>
      <c r="CI156" s="9" t="n">
        <v>-0.0478</v>
      </c>
      <c r="CJ156" s="9" t="n">
        <v>-0.2882</v>
      </c>
      <c r="CK156" s="8" t="n">
        <v>88</v>
      </c>
      <c r="CL156" s="10" t="n">
        <v>0.169</v>
      </c>
      <c r="CM156" s="8" t="n">
        <v>37</v>
      </c>
      <c r="CN156" s="10" t="n">
        <v>0.088</v>
      </c>
      <c r="CO156" s="8" t="n">
        <v>23</v>
      </c>
      <c r="CP156" s="7" t="n">
        <v>-0.075</v>
      </c>
      <c r="CQ156" s="7" t="n">
        <v>-0.776</v>
      </c>
      <c r="CR156" s="4" t="s">
        <v>102</v>
      </c>
      <c r="CS156" s="4"/>
    </row>
    <row r="157" customFormat="false" ht="15" hidden="false" customHeight="false" outlineLevel="0" collapsed="false">
      <c r="A157" s="3" t="n">
        <v>155</v>
      </c>
      <c r="B157" s="4" t="s">
        <v>451</v>
      </c>
      <c r="C157" s="11" t="s">
        <v>104</v>
      </c>
      <c r="D157" s="4" t="s">
        <v>452</v>
      </c>
      <c r="E157" s="4" t="s">
        <v>209</v>
      </c>
      <c r="F157" s="4" t="s">
        <v>104</v>
      </c>
      <c r="G157" s="3" t="n">
        <v>3</v>
      </c>
      <c r="H157" s="6" t="n">
        <v>23</v>
      </c>
      <c r="I157" s="3" t="n">
        <v>0</v>
      </c>
      <c r="J157" s="3" t="n">
        <v>10</v>
      </c>
      <c r="K157" s="7" t="n">
        <v>165.71</v>
      </c>
      <c r="L157" s="7" t="n">
        <v>32.36</v>
      </c>
      <c r="M157" s="8" t="n">
        <v>127</v>
      </c>
      <c r="N157" s="8" t="n">
        <v>322</v>
      </c>
      <c r="O157" s="7" t="n">
        <v>165.71</v>
      </c>
      <c r="P157" s="6" t="n">
        <v>26.5</v>
      </c>
      <c r="Q157" s="4"/>
      <c r="R157" s="8"/>
      <c r="S157" s="6"/>
      <c r="T157" s="7"/>
      <c r="U157" s="6"/>
      <c r="V157" s="6"/>
      <c r="W157" s="8"/>
      <c r="X157" s="7"/>
      <c r="Y157" s="9"/>
      <c r="Z157" s="6"/>
      <c r="AA157" s="6"/>
      <c r="AB157" s="6"/>
      <c r="AC157" s="10"/>
      <c r="AD157" s="10"/>
      <c r="AE157" s="7"/>
      <c r="AF157" s="8"/>
      <c r="AG157" s="10"/>
      <c r="AH157" s="8"/>
      <c r="AI157" s="8"/>
      <c r="AJ157" s="6"/>
      <c r="AK157" s="10"/>
      <c r="AL157" s="10"/>
      <c r="AM157" s="9"/>
      <c r="AN157" s="8"/>
      <c r="AO157" s="10"/>
      <c r="AP157" s="8"/>
      <c r="AQ157" s="7"/>
      <c r="AR157" s="6"/>
      <c r="AS157" s="7"/>
      <c r="AT157" s="7"/>
      <c r="AU157" s="7"/>
      <c r="AV157" s="7"/>
      <c r="AW157" s="7"/>
      <c r="AX157" s="10"/>
      <c r="AY157" s="8"/>
      <c r="AZ157" s="6"/>
      <c r="BA157" s="10"/>
      <c r="BB157" s="8"/>
      <c r="BC157" s="7"/>
      <c r="BD157" s="7"/>
      <c r="BE157" s="7"/>
      <c r="BF157" s="8"/>
      <c r="BG157" s="7"/>
      <c r="BH157" s="6"/>
      <c r="BI157" s="7"/>
      <c r="BJ157" s="8"/>
      <c r="BK157" s="8"/>
      <c r="BL157" s="8"/>
      <c r="BM157" s="8"/>
      <c r="BN157" s="7"/>
      <c r="BO157" s="7"/>
      <c r="BP157" s="9"/>
      <c r="BQ157" s="6" t="n">
        <v>63.2</v>
      </c>
      <c r="BR157" s="6" t="n">
        <v>50</v>
      </c>
      <c r="BS157" s="6" t="n">
        <v>70.8</v>
      </c>
      <c r="BT157" s="7" t="n">
        <v>2.952</v>
      </c>
      <c r="BU157" s="10" t="n">
        <v>0.1682</v>
      </c>
      <c r="BV157" s="10" t="n">
        <v>0.551724137931035</v>
      </c>
      <c r="BW157" s="7" t="n">
        <v>2.592</v>
      </c>
      <c r="BX157" s="10" t="n">
        <v>0.2088</v>
      </c>
      <c r="BY157" s="10" t="n">
        <v>0.037</v>
      </c>
      <c r="BZ157" s="7" t="n">
        <v>2.401</v>
      </c>
      <c r="CA157" s="10" t="n">
        <v>0.999</v>
      </c>
      <c r="CB157" s="8" t="n">
        <v>5</v>
      </c>
      <c r="CC157" s="10" t="n">
        <v>0.0157</v>
      </c>
      <c r="CD157" s="10" t="n">
        <v>0.59</v>
      </c>
      <c r="CE157" s="6" t="n">
        <v>63.47</v>
      </c>
      <c r="CF157" s="6" t="n">
        <v>38</v>
      </c>
      <c r="CG157" s="7" t="n">
        <v>3.47</v>
      </c>
      <c r="CH157" s="6" t="n">
        <v>23.6</v>
      </c>
      <c r="CI157" s="9" t="n">
        <v>0.0004</v>
      </c>
      <c r="CJ157" s="9" t="n">
        <v>0.0835</v>
      </c>
      <c r="CK157" s="8" t="n">
        <v>4</v>
      </c>
      <c r="CL157" s="10" t="n">
        <v>0.007</v>
      </c>
      <c r="CM157" s="8" t="n">
        <v>0</v>
      </c>
      <c r="CN157" s="10" t="n">
        <v>0</v>
      </c>
      <c r="CO157" s="8" t="n">
        <v>1</v>
      </c>
      <c r="CP157" s="7"/>
      <c r="CQ157" s="7"/>
      <c r="CR157" s="4"/>
      <c r="CS157" s="4" t="s">
        <v>206</v>
      </c>
    </row>
    <row r="158" customFormat="false" ht="15" hidden="false" customHeight="false" outlineLevel="0" collapsed="false">
      <c r="A158" s="3" t="n">
        <v>156</v>
      </c>
      <c r="B158" s="4" t="s">
        <v>453</v>
      </c>
      <c r="C158" s="13" t="s">
        <v>172</v>
      </c>
      <c r="D158" s="4" t="s">
        <v>454</v>
      </c>
      <c r="E158" s="4" t="s">
        <v>191</v>
      </c>
      <c r="F158" s="4" t="s">
        <v>172</v>
      </c>
      <c r="G158" s="3" t="n">
        <v>1</v>
      </c>
      <c r="H158" s="6" t="n">
        <v>25.1</v>
      </c>
      <c r="I158" s="3" t="n">
        <v>4</v>
      </c>
      <c r="J158" s="3" t="n">
        <v>5</v>
      </c>
      <c r="K158" s="7" t="n">
        <v>165.87</v>
      </c>
      <c r="L158" s="7" t="n">
        <v>21.76</v>
      </c>
      <c r="M158" s="8" t="n">
        <v>134</v>
      </c>
      <c r="N158" s="8" t="n">
        <v>276</v>
      </c>
      <c r="O158" s="7" t="n">
        <v>165.87</v>
      </c>
      <c r="P158" s="6" t="n">
        <v>23.8</v>
      </c>
      <c r="Q158" s="4" t="s">
        <v>191</v>
      </c>
      <c r="R158" s="8" t="n">
        <v>16</v>
      </c>
      <c r="S158" s="6" t="n">
        <v>218.04</v>
      </c>
      <c r="T158" s="7" t="n">
        <f aca="false">IFERROR(S158/R158,"")</f>
        <v>13.6275</v>
      </c>
      <c r="U158" s="6" t="n">
        <v>218.04</v>
      </c>
      <c r="V158" s="6" t="n">
        <v>218.04</v>
      </c>
      <c r="W158" s="8" t="n">
        <v>19</v>
      </c>
      <c r="X158" s="7" t="n">
        <f aca="false">IFERROR(S158/AH158,"")</f>
        <v>4.03777777777778</v>
      </c>
      <c r="Y158" s="9" t="n">
        <f aca="false">IFERROR(S158/AF158,"")</f>
        <v>0.226182572614108</v>
      </c>
      <c r="Z158" s="6" t="n">
        <v>8.71</v>
      </c>
      <c r="AA158" s="6" t="n">
        <v>11.83</v>
      </c>
      <c r="AB158" s="6" t="n">
        <v>20.6</v>
      </c>
      <c r="AC158" s="10" t="n">
        <v>0.25</v>
      </c>
      <c r="AD158" s="10" t="n">
        <v>0.125</v>
      </c>
      <c r="AE158" s="7" t="n">
        <v>0.651</v>
      </c>
      <c r="AF158" s="8" t="n">
        <v>964</v>
      </c>
      <c r="AG158" s="10" t="n">
        <v>0.968</v>
      </c>
      <c r="AH158" s="8" t="n">
        <v>54</v>
      </c>
      <c r="AI158" s="8" t="n">
        <v>0</v>
      </c>
      <c r="AJ158" s="6" t="n">
        <f aca="false">IFERROR(AI158/R158,"")</f>
        <v>0</v>
      </c>
      <c r="AK158" s="10" t="n">
        <v>0</v>
      </c>
      <c r="AL158" s="10" t="n">
        <v>0</v>
      </c>
      <c r="AM158" s="9" t="n">
        <v>0</v>
      </c>
      <c r="AN158" s="8" t="n">
        <v>0</v>
      </c>
      <c r="AO158" s="10"/>
      <c r="AP158" s="8" t="n">
        <v>0</v>
      </c>
      <c r="AQ158" s="7"/>
      <c r="AR158" s="6"/>
      <c r="AS158" s="7"/>
      <c r="AT158" s="7"/>
      <c r="AU158" s="7"/>
      <c r="AV158" s="7"/>
      <c r="AW158" s="7"/>
      <c r="AX158" s="10"/>
      <c r="AY158" s="8" t="n">
        <v>54</v>
      </c>
      <c r="AZ158" s="6" t="n">
        <f aca="false">IFERROR(AY158/R158,"")</f>
        <v>3.375</v>
      </c>
      <c r="BA158" s="10" t="n">
        <v>0.1247</v>
      </c>
      <c r="BB158" s="8" t="n">
        <v>216</v>
      </c>
      <c r="BC158" s="7" t="n">
        <f aca="false">IFERROR(BB158/AY158,"")</f>
        <v>4</v>
      </c>
      <c r="BD158" s="7" t="n">
        <v>3.278</v>
      </c>
      <c r="BE158" s="7" t="n">
        <v>0.722</v>
      </c>
      <c r="BF158" s="8" t="n">
        <v>2</v>
      </c>
      <c r="BG158" s="7"/>
      <c r="BH158" s="6"/>
      <c r="BI158" s="7"/>
      <c r="BJ158" s="8" t="n">
        <v>9</v>
      </c>
      <c r="BK158" s="8" t="n">
        <v>5</v>
      </c>
      <c r="BL158" s="8" t="n">
        <v>2</v>
      </c>
      <c r="BM158" s="8" t="n">
        <v>2</v>
      </c>
      <c r="BN158" s="7" t="n">
        <v>1.3</v>
      </c>
      <c r="BO158" s="7" t="n">
        <f aca="false">IFERROR(BM158-BN158,"")</f>
        <v>0.7</v>
      </c>
      <c r="BP158" s="9" t="n">
        <f aca="false">IFERROR(BM158/AH158,"")</f>
        <v>0.037037037037037</v>
      </c>
      <c r="BQ158" s="6" t="n">
        <v>56.6</v>
      </c>
      <c r="BR158" s="6" t="n">
        <v>63.1</v>
      </c>
      <c r="BS158" s="6" t="n">
        <v>47.3</v>
      </c>
      <c r="BT158" s="7" t="n">
        <v>3.179</v>
      </c>
      <c r="BU158" s="10" t="n">
        <v>0.1391</v>
      </c>
      <c r="BV158" s="10" t="n">
        <v>0.689655172413793</v>
      </c>
      <c r="BW158" s="7" t="n">
        <v>2.49</v>
      </c>
      <c r="BX158" s="10" t="n">
        <v>0.2718</v>
      </c>
      <c r="BY158" s="10" t="n">
        <v>0.0629</v>
      </c>
      <c r="BZ158" s="7" t="n">
        <v>2.4</v>
      </c>
      <c r="CA158" s="10" t="n">
        <v>0.596</v>
      </c>
      <c r="CB158" s="8" t="n">
        <v>3</v>
      </c>
      <c r="CC158" s="10" t="n">
        <v>-0.061</v>
      </c>
      <c r="CD158" s="10" t="n">
        <v>0.5106</v>
      </c>
      <c r="CE158" s="6" t="n">
        <v>58.59</v>
      </c>
      <c r="CF158" s="6" t="n">
        <v>39</v>
      </c>
      <c r="CG158" s="7" t="n">
        <v>2.82</v>
      </c>
      <c r="CH158" s="6" t="n">
        <v>18.3</v>
      </c>
      <c r="CI158" s="9" t="n">
        <v>-0.0262</v>
      </c>
      <c r="CJ158" s="9" t="n">
        <v>-0.0498</v>
      </c>
      <c r="CK158" s="8" t="n">
        <v>50</v>
      </c>
      <c r="CL158" s="10" t="n">
        <v>0.104</v>
      </c>
      <c r="CM158" s="8" t="n">
        <v>242</v>
      </c>
      <c r="CN158" s="10" t="n">
        <v>0.525</v>
      </c>
      <c r="CO158" s="8" t="n">
        <v>40</v>
      </c>
      <c r="CP158" s="7" t="n">
        <v>0.123</v>
      </c>
      <c r="CQ158" s="7" t="n">
        <v>-0.184</v>
      </c>
      <c r="CR158" s="4" t="s">
        <v>102</v>
      </c>
      <c r="CS158" s="4"/>
    </row>
    <row r="159" customFormat="false" ht="15" hidden="false" customHeight="false" outlineLevel="0" collapsed="false">
      <c r="A159" s="3" t="n">
        <v>157</v>
      </c>
      <c r="B159" s="4" t="s">
        <v>455</v>
      </c>
      <c r="C159" s="12" t="s">
        <v>149</v>
      </c>
      <c r="D159" s="4" t="s">
        <v>456</v>
      </c>
      <c r="E159" s="4" t="s">
        <v>135</v>
      </c>
      <c r="F159" s="4" t="s">
        <v>149</v>
      </c>
      <c r="G159" s="3" t="n">
        <v>1</v>
      </c>
      <c r="H159" s="6" t="n">
        <v>31.7</v>
      </c>
      <c r="I159" s="3" t="n">
        <v>11</v>
      </c>
      <c r="J159" s="3" t="n">
        <v>11</v>
      </c>
      <c r="K159" s="7" t="n">
        <v>166.29</v>
      </c>
      <c r="L159" s="7" t="n">
        <v>22.34</v>
      </c>
      <c r="M159" s="8" t="n">
        <v>131</v>
      </c>
      <c r="N159" s="8" t="n">
        <v>228</v>
      </c>
      <c r="O159" s="7" t="n">
        <v>166.29</v>
      </c>
      <c r="P159" s="6" t="n">
        <v>63.7</v>
      </c>
      <c r="Q159" s="4" t="s">
        <v>135</v>
      </c>
      <c r="R159" s="8" t="n">
        <v>17</v>
      </c>
      <c r="S159" s="6" t="n">
        <v>178.8</v>
      </c>
      <c r="T159" s="7" t="n">
        <f aca="false">IFERROR(S159/R159,"")</f>
        <v>10.5176470588235</v>
      </c>
      <c r="U159" s="6" t="n">
        <v>148.8</v>
      </c>
      <c r="V159" s="6" t="n">
        <v>118.8</v>
      </c>
      <c r="W159" s="8" t="n">
        <v>9</v>
      </c>
      <c r="X159" s="7" t="n">
        <f aca="false">IFERROR(S159/AH159,"")</f>
        <v>2.0551724137931</v>
      </c>
      <c r="Y159" s="9" t="n">
        <f aca="false">IFERROR(S159/AF159,"")</f>
        <v>0.205753739930955</v>
      </c>
      <c r="Z159" s="6" t="n">
        <v>6.6</v>
      </c>
      <c r="AA159" s="6" t="n">
        <v>9.1</v>
      </c>
      <c r="AB159" s="6" t="n">
        <v>14.86</v>
      </c>
      <c r="AC159" s="10" t="n">
        <v>0.118</v>
      </c>
      <c r="AD159" s="10" t="n">
        <v>0.059</v>
      </c>
      <c r="AE159" s="7" t="n">
        <v>0.8</v>
      </c>
      <c r="AF159" s="8" t="n">
        <v>869</v>
      </c>
      <c r="AG159" s="10" t="n">
        <v>0.794</v>
      </c>
      <c r="AH159" s="8" t="n">
        <v>87</v>
      </c>
      <c r="AI159" s="8" t="n">
        <v>87</v>
      </c>
      <c r="AJ159" s="6" t="n">
        <f aca="false">IFERROR(AI159/R159,"")</f>
        <v>5.11764705882353</v>
      </c>
      <c r="AK159" s="10" t="n">
        <v>0.1805</v>
      </c>
      <c r="AL159" s="10" t="n">
        <v>0.1587</v>
      </c>
      <c r="AM159" s="9" t="n">
        <v>0.3818</v>
      </c>
      <c r="AN159" s="8" t="n">
        <v>60</v>
      </c>
      <c r="AO159" s="10" t="n">
        <f aca="false">IFERROR(AN159/AI159,"")</f>
        <v>0.689655172413793</v>
      </c>
      <c r="AP159" s="8" t="n">
        <v>768</v>
      </c>
      <c r="AQ159" s="7" t="n">
        <f aca="false">IFERROR(AP159/AI159,"")</f>
        <v>8.82758620689655</v>
      </c>
      <c r="AR159" s="6" t="n">
        <v>8.161</v>
      </c>
      <c r="AS159" s="7" t="n">
        <v>5.583</v>
      </c>
      <c r="AT159" s="7" t="n">
        <v>1.082</v>
      </c>
      <c r="AU159" s="7" t="n">
        <v>3.01504326959347</v>
      </c>
      <c r="AV159" s="7" t="n">
        <v>6.01625</v>
      </c>
      <c r="AW159" s="7" t="n">
        <v>0.324564541084164</v>
      </c>
      <c r="AX159" s="10" t="n">
        <v>0.0345</v>
      </c>
      <c r="AY159" s="8" t="n">
        <v>0</v>
      </c>
      <c r="AZ159" s="6" t="n">
        <f aca="false">IFERROR(AY159/R159,"")</f>
        <v>0</v>
      </c>
      <c r="BA159" s="10" t="n">
        <v>0</v>
      </c>
      <c r="BB159" s="8" t="n">
        <v>0</v>
      </c>
      <c r="BC159" s="7"/>
      <c r="BD159" s="7"/>
      <c r="BE159" s="7"/>
      <c r="BF159" s="8"/>
      <c r="BG159" s="7"/>
      <c r="BH159" s="6"/>
      <c r="BI159" s="7"/>
      <c r="BJ159" s="8" t="n">
        <v>22</v>
      </c>
      <c r="BK159" s="8" t="n">
        <v>10</v>
      </c>
      <c r="BL159" s="8" t="n">
        <v>6</v>
      </c>
      <c r="BM159" s="8" t="n">
        <v>7</v>
      </c>
      <c r="BN159" s="7" t="n">
        <v>6.95</v>
      </c>
      <c r="BO159" s="7" t="n">
        <f aca="false">IFERROR(BM159-BN159,"")</f>
        <v>0.0499999999999998</v>
      </c>
      <c r="BP159" s="9" t="n">
        <f aca="false">IFERROR(BM159/AH159,"")</f>
        <v>0.0804597701149425</v>
      </c>
      <c r="BQ159" s="6" t="n">
        <v>41.6</v>
      </c>
      <c r="BR159" s="6" t="n">
        <v>43.3</v>
      </c>
      <c r="BS159" s="6" t="n">
        <v>43.5</v>
      </c>
      <c r="BT159" s="7" t="n">
        <v>2.802</v>
      </c>
      <c r="BU159" s="10" t="n">
        <v>0.1883</v>
      </c>
      <c r="BV159" s="10" t="n">
        <v>0.575757575757576</v>
      </c>
      <c r="BW159" s="7" t="n">
        <v>2.561</v>
      </c>
      <c r="BX159" s="10" t="n">
        <v>0.261</v>
      </c>
      <c r="BY159" s="10" t="n">
        <v>0.0789</v>
      </c>
      <c r="BZ159" s="7" t="n">
        <v>2.406</v>
      </c>
      <c r="CA159" s="10" t="n">
        <v>0.533</v>
      </c>
      <c r="CB159" s="8" t="n">
        <v>3</v>
      </c>
      <c r="CC159" s="10" t="n">
        <v>0.0242</v>
      </c>
      <c r="CD159" s="10" t="n">
        <v>0.5691</v>
      </c>
      <c r="CE159" s="6" t="n">
        <v>59.82</v>
      </c>
      <c r="CF159" s="6" t="n">
        <v>38</v>
      </c>
      <c r="CG159" s="7" t="n">
        <v>3.76</v>
      </c>
      <c r="CH159" s="6" t="n">
        <v>28.8</v>
      </c>
      <c r="CI159" s="9" t="n">
        <v>0.0077</v>
      </c>
      <c r="CJ159" s="9" t="n">
        <v>0.2873</v>
      </c>
      <c r="CK159" s="8" t="n">
        <v>128</v>
      </c>
      <c r="CL159" s="10" t="n">
        <v>0.266</v>
      </c>
      <c r="CM159" s="8" t="n">
        <v>10</v>
      </c>
      <c r="CN159" s="10" t="n">
        <v>0.02</v>
      </c>
      <c r="CO159" s="8" t="n">
        <v>17</v>
      </c>
      <c r="CP159" s="7" t="n">
        <v>0.314</v>
      </c>
      <c r="CQ159" s="7" t="n">
        <v>0.138</v>
      </c>
      <c r="CR159" s="4" t="s">
        <v>102</v>
      </c>
      <c r="CS159" s="4"/>
    </row>
    <row r="160" customFormat="false" ht="15" hidden="false" customHeight="false" outlineLevel="0" collapsed="false">
      <c r="A160" s="3" t="n">
        <v>158</v>
      </c>
      <c r="B160" s="4" t="s">
        <v>457</v>
      </c>
      <c r="C160" s="5" t="s">
        <v>99</v>
      </c>
      <c r="D160" s="4" t="s">
        <v>458</v>
      </c>
      <c r="E160" s="4" t="s">
        <v>186</v>
      </c>
      <c r="F160" s="4" t="s">
        <v>99</v>
      </c>
      <c r="G160" s="3" t="n">
        <v>3</v>
      </c>
      <c r="H160" s="6" t="n">
        <v>22.7</v>
      </c>
      <c r="I160" s="3" t="n">
        <v>0</v>
      </c>
      <c r="J160" s="3" t="n">
        <v>13</v>
      </c>
      <c r="K160" s="7" t="n">
        <v>167.8</v>
      </c>
      <c r="L160" s="7" t="n">
        <v>31.69</v>
      </c>
      <c r="M160" s="8" t="n">
        <v>133</v>
      </c>
      <c r="N160" s="8" t="n">
        <v>301</v>
      </c>
      <c r="O160" s="7" t="n">
        <v>167.8</v>
      </c>
      <c r="P160" s="6" t="n">
        <v>29.3</v>
      </c>
      <c r="Q160" s="4"/>
      <c r="R160" s="8"/>
      <c r="S160" s="6"/>
      <c r="T160" s="7"/>
      <c r="U160" s="6"/>
      <c r="V160" s="6"/>
      <c r="W160" s="8"/>
      <c r="X160" s="7"/>
      <c r="Y160" s="9"/>
      <c r="Z160" s="6"/>
      <c r="AA160" s="6"/>
      <c r="AB160" s="6"/>
      <c r="AC160" s="10"/>
      <c r="AD160" s="10"/>
      <c r="AE160" s="7"/>
      <c r="AF160" s="8"/>
      <c r="AG160" s="10"/>
      <c r="AH160" s="8"/>
      <c r="AI160" s="8"/>
      <c r="AJ160" s="6"/>
      <c r="AK160" s="10"/>
      <c r="AL160" s="10"/>
      <c r="AM160" s="9"/>
      <c r="AN160" s="8"/>
      <c r="AO160" s="10"/>
      <c r="AP160" s="8"/>
      <c r="AQ160" s="7"/>
      <c r="AR160" s="6"/>
      <c r="AS160" s="7"/>
      <c r="AT160" s="7"/>
      <c r="AU160" s="7"/>
      <c r="AV160" s="7"/>
      <c r="AW160" s="7"/>
      <c r="AX160" s="10"/>
      <c r="AY160" s="8"/>
      <c r="AZ160" s="6"/>
      <c r="BA160" s="10"/>
      <c r="BB160" s="8"/>
      <c r="BC160" s="7"/>
      <c r="BD160" s="7"/>
      <c r="BE160" s="7"/>
      <c r="BF160" s="8"/>
      <c r="BG160" s="7"/>
      <c r="BH160" s="6"/>
      <c r="BI160" s="7"/>
      <c r="BJ160" s="8"/>
      <c r="BK160" s="8"/>
      <c r="BL160" s="8"/>
      <c r="BM160" s="8"/>
      <c r="BN160" s="7"/>
      <c r="BO160" s="7"/>
      <c r="BP160" s="9"/>
      <c r="BQ160" s="6" t="n">
        <v>38.6</v>
      </c>
      <c r="BR160" s="6" t="n">
        <v>56.3</v>
      </c>
      <c r="BS160" s="6" t="n">
        <v>25.8</v>
      </c>
      <c r="BT160" s="7" t="n">
        <v>2.892</v>
      </c>
      <c r="BU160" s="10" t="n">
        <v>0.1813</v>
      </c>
      <c r="BV160" s="10" t="n">
        <v>0.739130434782609</v>
      </c>
      <c r="BW160" s="7" t="n">
        <v>2.899</v>
      </c>
      <c r="BX160" s="10" t="n">
        <v>0.3117</v>
      </c>
      <c r="BY160" s="10" t="n">
        <v>0.0989</v>
      </c>
      <c r="BZ160" s="7" t="n">
        <v>2.423</v>
      </c>
      <c r="CA160" s="10" t="n">
        <v>0.808</v>
      </c>
      <c r="CB160" s="8" t="n">
        <v>3</v>
      </c>
      <c r="CC160" s="10" t="n">
        <v>-0.0877</v>
      </c>
      <c r="CD160" s="10" t="n">
        <v>0.4319</v>
      </c>
      <c r="CE160" s="6" t="n">
        <v>59.35</v>
      </c>
      <c r="CF160" s="6" t="n">
        <v>38</v>
      </c>
      <c r="CG160" s="7" t="n">
        <v>2.47</v>
      </c>
      <c r="CH160" s="6" t="n">
        <v>17.6</v>
      </c>
      <c r="CI160" s="9" t="n">
        <v>-0.061</v>
      </c>
      <c r="CJ160" s="9" t="n">
        <v>-0.1799</v>
      </c>
      <c r="CK160" s="8" t="n">
        <v>76</v>
      </c>
      <c r="CL160" s="10" t="n">
        <v>0.161</v>
      </c>
      <c r="CM160" s="8" t="n">
        <v>117</v>
      </c>
      <c r="CN160" s="10" t="n">
        <v>0.257</v>
      </c>
      <c r="CO160" s="8" t="n">
        <v>27</v>
      </c>
      <c r="CP160" s="7"/>
      <c r="CQ160" s="7"/>
      <c r="CR160" s="4"/>
      <c r="CS160" s="4" t="s">
        <v>206</v>
      </c>
    </row>
    <row r="161" customFormat="false" ht="15" hidden="false" customHeight="false" outlineLevel="0" collapsed="false">
      <c r="A161" s="3" t="n">
        <v>159</v>
      </c>
      <c r="B161" s="4" t="s">
        <v>459</v>
      </c>
      <c r="C161" s="11" t="s">
        <v>104</v>
      </c>
      <c r="D161" s="4" t="s">
        <v>460</v>
      </c>
      <c r="E161" s="4" t="s">
        <v>136</v>
      </c>
      <c r="F161" s="4" t="s">
        <v>281</v>
      </c>
      <c r="G161" s="3" t="n">
        <v>2</v>
      </c>
      <c r="H161" s="6" t="n">
        <v>24</v>
      </c>
      <c r="I161" s="3" t="n">
        <v>4</v>
      </c>
      <c r="J161" s="3" t="n">
        <v>10</v>
      </c>
      <c r="K161" s="7" t="n">
        <v>168.33</v>
      </c>
      <c r="L161" s="7" t="n">
        <v>22.85</v>
      </c>
      <c r="M161" s="8" t="n">
        <v>132</v>
      </c>
      <c r="N161" s="8" t="n">
        <v>234</v>
      </c>
      <c r="O161" s="7" t="n">
        <v>168.33</v>
      </c>
      <c r="P161" s="6" t="n">
        <v>25.9</v>
      </c>
      <c r="Q161" s="4" t="s">
        <v>136</v>
      </c>
      <c r="R161" s="8" t="n">
        <v>15</v>
      </c>
      <c r="S161" s="6" t="n">
        <v>53.8</v>
      </c>
      <c r="T161" s="7" t="n">
        <f aca="false">IFERROR(S161/R161,"")</f>
        <v>3.58666666666667</v>
      </c>
      <c r="U161" s="6" t="n">
        <v>52.3</v>
      </c>
      <c r="V161" s="6" t="n">
        <v>50.8</v>
      </c>
      <c r="W161" s="8" t="n">
        <v>59</v>
      </c>
      <c r="X161" s="7" t="n">
        <f aca="false">IFERROR(S161/AH161,"")</f>
        <v>0.802985074626866</v>
      </c>
      <c r="Y161" s="9" t="n">
        <f aca="false">IFERROR(S161/AF161,"")</f>
        <v>0.38705035971223</v>
      </c>
      <c r="Z161" s="6" t="n">
        <v>0.7</v>
      </c>
      <c r="AA161" s="6" t="n">
        <v>1.9</v>
      </c>
      <c r="AB161" s="6" t="n">
        <v>9.84</v>
      </c>
      <c r="AC161" s="10" t="n">
        <v>0.077</v>
      </c>
      <c r="AD161" s="10" t="n">
        <v>0.615</v>
      </c>
      <c r="AE161" s="7" t="n">
        <v>2.817</v>
      </c>
      <c r="AF161" s="8" t="n">
        <v>139</v>
      </c>
      <c r="AG161" s="10" t="n">
        <v>0.126</v>
      </c>
      <c r="AH161" s="8" t="n">
        <v>67</v>
      </c>
      <c r="AI161" s="8" t="n">
        <v>4</v>
      </c>
      <c r="AJ161" s="6" t="n">
        <f aca="false">IFERROR(AI161/R161,"")</f>
        <v>0.266666666666667</v>
      </c>
      <c r="AK161" s="10" t="n">
        <v>0.0134</v>
      </c>
      <c r="AL161" s="10" t="n">
        <v>-0.0022</v>
      </c>
      <c r="AM161" s="9" t="n">
        <v>0.0186</v>
      </c>
      <c r="AN161" s="8" t="n">
        <v>3</v>
      </c>
      <c r="AO161" s="10"/>
      <c r="AP161" s="8" t="n">
        <v>32</v>
      </c>
      <c r="AQ161" s="7"/>
      <c r="AR161" s="6"/>
      <c r="AS161" s="7"/>
      <c r="AT161" s="7"/>
      <c r="AU161" s="7"/>
      <c r="AV161" s="7"/>
      <c r="AW161" s="7"/>
      <c r="AX161" s="10"/>
      <c r="AY161" s="8" t="n">
        <v>63</v>
      </c>
      <c r="AZ161" s="6" t="n">
        <f aca="false">IFERROR(AY161/R161,"")</f>
        <v>4.2</v>
      </c>
      <c r="BA161" s="10" t="n">
        <v>0.1903</v>
      </c>
      <c r="BB161" s="8" t="n">
        <v>356</v>
      </c>
      <c r="BC161" s="7" t="n">
        <f aca="false">IFERROR(BB161/AY161,"")</f>
        <v>5.65079365079365</v>
      </c>
      <c r="BD161" s="7" t="n">
        <v>2.984</v>
      </c>
      <c r="BE161" s="7" t="n">
        <v>2.667</v>
      </c>
      <c r="BF161" s="8" t="n">
        <v>10</v>
      </c>
      <c r="BG161" s="7"/>
      <c r="BH161" s="6"/>
      <c r="BI161" s="7"/>
      <c r="BJ161" s="8" t="n">
        <v>19</v>
      </c>
      <c r="BK161" s="8" t="n">
        <v>9</v>
      </c>
      <c r="BL161" s="8" t="n">
        <v>6</v>
      </c>
      <c r="BM161" s="8" t="n">
        <v>2</v>
      </c>
      <c r="BN161" s="7" t="n">
        <v>3.91</v>
      </c>
      <c r="BO161" s="7" t="n">
        <f aca="false">IFERROR(BM161-BN161,"")</f>
        <v>-1.91</v>
      </c>
      <c r="BP161" s="9" t="n">
        <f aca="false">IFERROR(BM161/AH161,"")</f>
        <v>0.0298507462686567</v>
      </c>
      <c r="BQ161" s="6" t="n">
        <v>48.2</v>
      </c>
      <c r="BR161" s="6" t="n">
        <v>35.6</v>
      </c>
      <c r="BS161" s="6" t="n">
        <v>61.6</v>
      </c>
      <c r="BT161" s="7" t="n">
        <v>2.749</v>
      </c>
      <c r="BU161" s="10" t="n">
        <v>0.2192</v>
      </c>
      <c r="BV161" s="10" t="n">
        <v>0.466666666666667</v>
      </c>
      <c r="BW161" s="7" t="n">
        <v>2.6</v>
      </c>
      <c r="BX161" s="10" t="n">
        <v>0.2334</v>
      </c>
      <c r="BY161" s="10" t="n">
        <v>0.0577</v>
      </c>
      <c r="BZ161" s="7" t="n">
        <v>2.491</v>
      </c>
      <c r="CA161" s="10" t="n">
        <v>0.909</v>
      </c>
      <c r="CB161" s="8" t="n">
        <v>5</v>
      </c>
      <c r="CC161" s="10" t="n">
        <v>-0.0248</v>
      </c>
      <c r="CD161" s="10" t="n">
        <v>0.5347</v>
      </c>
      <c r="CE161" s="6" t="n">
        <v>58.53</v>
      </c>
      <c r="CF161" s="6" t="n">
        <v>39</v>
      </c>
      <c r="CG161" s="7" t="n">
        <v>2.76</v>
      </c>
      <c r="CH161" s="6" t="n">
        <v>22.3</v>
      </c>
      <c r="CI161" s="9" t="n">
        <v>0.0054</v>
      </c>
      <c r="CJ161" s="9" t="n">
        <v>0.0436</v>
      </c>
      <c r="CK161" s="8" t="n">
        <v>175</v>
      </c>
      <c r="CL161" s="10" t="n">
        <v>0.377</v>
      </c>
      <c r="CM161" s="8" t="n">
        <v>12</v>
      </c>
      <c r="CN161" s="10" t="n">
        <v>0.025</v>
      </c>
      <c r="CO161" s="8" t="n">
        <v>23</v>
      </c>
      <c r="CP161" s="7" t="n">
        <v>-0.673</v>
      </c>
      <c r="CQ161" s="7" t="n">
        <v>-0.849</v>
      </c>
      <c r="CR161" s="4" t="s">
        <v>121</v>
      </c>
      <c r="CS161" s="4"/>
    </row>
    <row r="162" customFormat="false" ht="15" hidden="false" customHeight="false" outlineLevel="0" collapsed="false">
      <c r="A162" s="3" t="n">
        <v>160</v>
      </c>
      <c r="B162" s="4" t="s">
        <v>461</v>
      </c>
      <c r="C162" s="5" t="s">
        <v>99</v>
      </c>
      <c r="D162" s="4" t="s">
        <v>462</v>
      </c>
      <c r="E162" s="4" t="s">
        <v>198</v>
      </c>
      <c r="F162" s="4" t="s">
        <v>99</v>
      </c>
      <c r="G162" s="3" t="n">
        <v>3</v>
      </c>
      <c r="H162" s="6" t="n">
        <v>24.7</v>
      </c>
      <c r="I162" s="3" t="n">
        <v>3</v>
      </c>
      <c r="J162" s="3" t="n">
        <v>10</v>
      </c>
      <c r="K162" s="7" t="n">
        <v>168.98</v>
      </c>
      <c r="L162" s="7" t="n">
        <v>24.54</v>
      </c>
      <c r="M162" s="8" t="n">
        <v>128</v>
      </c>
      <c r="N162" s="8" t="n">
        <v>293</v>
      </c>
      <c r="O162" s="7" t="n">
        <v>168.98</v>
      </c>
      <c r="P162" s="6" t="n">
        <v>26.9</v>
      </c>
      <c r="Q162" s="4" t="s">
        <v>198</v>
      </c>
      <c r="R162" s="8" t="n">
        <v>4</v>
      </c>
      <c r="S162" s="6" t="n">
        <v>29.9</v>
      </c>
      <c r="T162" s="7" t="n">
        <f aca="false">IFERROR(S162/R162,"")</f>
        <v>7.475</v>
      </c>
      <c r="U162" s="6" t="n">
        <v>23.9</v>
      </c>
      <c r="V162" s="6" t="n">
        <v>17.9</v>
      </c>
      <c r="W162" s="8" t="n">
        <v>86</v>
      </c>
      <c r="X162" s="7" t="n">
        <f aca="false">IFERROR(S162/AH162,"")</f>
        <v>1.86875</v>
      </c>
      <c r="Y162" s="9" t="n">
        <f aca="false">IFERROR(S162/AF162,"")</f>
        <v>0.216666666666667</v>
      </c>
      <c r="Z162" s="6" t="n">
        <v>3.22</v>
      </c>
      <c r="AA162" s="6" t="n">
        <v>4.7</v>
      </c>
      <c r="AB162" s="6" t="n">
        <v>12.73</v>
      </c>
      <c r="AC162" s="10" t="n">
        <v>0.25</v>
      </c>
      <c r="AD162" s="10" t="n">
        <v>0</v>
      </c>
      <c r="AE162" s="7" t="n">
        <v>1.583</v>
      </c>
      <c r="AF162" s="8" t="n">
        <v>138</v>
      </c>
      <c r="AG162" s="10" t="n">
        <v>0.515</v>
      </c>
      <c r="AH162" s="8" t="n">
        <v>16</v>
      </c>
      <c r="AI162" s="8" t="n">
        <v>15</v>
      </c>
      <c r="AJ162" s="6" t="n">
        <f aca="false">IFERROR(AI162/R162,"")</f>
        <v>3.75</v>
      </c>
      <c r="AK162" s="10" t="n">
        <v>0.122</v>
      </c>
      <c r="AL162" s="10" t="n">
        <v>0.175</v>
      </c>
      <c r="AM162" s="9" t="n">
        <v>0.3055</v>
      </c>
      <c r="AN162" s="8" t="n">
        <v>12</v>
      </c>
      <c r="AO162" s="10" t="n">
        <f aca="false">IFERROR(AN162/AI162,"")</f>
        <v>0.8</v>
      </c>
      <c r="AP162" s="8" t="n">
        <v>178</v>
      </c>
      <c r="AQ162" s="7" t="n">
        <f aca="false">IFERROR(AP162/AI162,"")</f>
        <v>11.8666666666667</v>
      </c>
      <c r="AR162" s="6" t="n">
        <v>11.933</v>
      </c>
      <c r="AS162" s="7" t="n">
        <v>4.917</v>
      </c>
      <c r="AT162" s="7" t="n">
        <v>0.994</v>
      </c>
      <c r="AU162" s="7"/>
      <c r="AV162" s="7"/>
      <c r="AW162" s="7"/>
      <c r="AX162" s="10" t="n">
        <v>0.0667</v>
      </c>
      <c r="AY162" s="8" t="n">
        <v>1</v>
      </c>
      <c r="AZ162" s="6" t="n">
        <f aca="false">IFERROR(AY162/R162,"")</f>
        <v>0.25</v>
      </c>
      <c r="BA162" s="10" t="n">
        <v>0.0088</v>
      </c>
      <c r="BB162" s="8" t="n">
        <v>1</v>
      </c>
      <c r="BC162" s="7"/>
      <c r="BD162" s="7"/>
      <c r="BE162" s="7"/>
      <c r="BF162" s="8" t="n">
        <v>0</v>
      </c>
      <c r="BG162" s="7"/>
      <c r="BH162" s="6"/>
      <c r="BI162" s="7"/>
      <c r="BJ162" s="8" t="n">
        <v>2</v>
      </c>
      <c r="BK162" s="8" t="n">
        <v>0</v>
      </c>
      <c r="BL162" s="8" t="n">
        <v>0</v>
      </c>
      <c r="BM162" s="8" t="n">
        <v>0</v>
      </c>
      <c r="BN162" s="7" t="n">
        <v>0.42</v>
      </c>
      <c r="BO162" s="7" t="n">
        <f aca="false">IFERROR(BM162-BN162,"")</f>
        <v>-0.42</v>
      </c>
      <c r="BP162" s="9" t="n">
        <f aca="false">IFERROR(BM162/AH162,"")</f>
        <v>0</v>
      </c>
      <c r="BQ162" s="6" t="n">
        <v>57.4</v>
      </c>
      <c r="BR162" s="6" t="n">
        <v>46.3</v>
      </c>
      <c r="BS162" s="6" t="n">
        <v>65.4</v>
      </c>
      <c r="BT162" s="7" t="n">
        <v>2.736</v>
      </c>
      <c r="BU162" s="10" t="n">
        <v>0.1938</v>
      </c>
      <c r="BV162" s="10" t="n">
        <v>0.708333333333333</v>
      </c>
      <c r="BW162" s="7" t="n">
        <v>2.699</v>
      </c>
      <c r="BX162" s="10" t="n">
        <v>0.172</v>
      </c>
      <c r="BY162" s="10" t="n">
        <v>0.0571</v>
      </c>
      <c r="BZ162" s="7" t="n">
        <v>2.292</v>
      </c>
      <c r="CA162" s="10" t="n">
        <v>0.791</v>
      </c>
      <c r="CB162" s="8" t="n">
        <v>4</v>
      </c>
      <c r="CC162" s="10" t="n">
        <v>-0.0347</v>
      </c>
      <c r="CD162" s="10" t="n">
        <v>0.5148</v>
      </c>
      <c r="CE162" s="6" t="n">
        <v>62.65</v>
      </c>
      <c r="CF162" s="6" t="n">
        <v>41</v>
      </c>
      <c r="CG162" s="7" t="n">
        <v>3.12</v>
      </c>
      <c r="CH162" s="6" t="n">
        <v>22.4</v>
      </c>
      <c r="CI162" s="9" t="n">
        <v>0.0138</v>
      </c>
      <c r="CJ162" s="9" t="n">
        <v>-0.0264</v>
      </c>
      <c r="CK162" s="8" t="n">
        <v>111</v>
      </c>
      <c r="CL162" s="10" t="n">
        <v>0.205</v>
      </c>
      <c r="CM162" s="8" t="n">
        <v>138</v>
      </c>
      <c r="CN162" s="10" t="n">
        <v>0.292</v>
      </c>
      <c r="CO162" s="8" t="n">
        <v>38</v>
      </c>
      <c r="CP162" s="7" t="n">
        <v>-1.538</v>
      </c>
      <c r="CQ162" s="7" t="n">
        <v>-0.574</v>
      </c>
      <c r="CR162" s="4" t="s">
        <v>165</v>
      </c>
      <c r="CS162" s="4"/>
    </row>
    <row r="163" customFormat="false" ht="15" hidden="false" customHeight="false" outlineLevel="0" collapsed="false">
      <c r="A163" s="3" t="n">
        <v>161</v>
      </c>
      <c r="B163" s="4" t="s">
        <v>463</v>
      </c>
      <c r="C163" s="11" t="s">
        <v>104</v>
      </c>
      <c r="D163" s="4" t="s">
        <v>464</v>
      </c>
      <c r="E163" s="4" t="s">
        <v>112</v>
      </c>
      <c r="F163" s="4" t="s">
        <v>104</v>
      </c>
      <c r="G163" s="3" t="n">
        <v>2</v>
      </c>
      <c r="H163" s="6" t="n">
        <v>27.4</v>
      </c>
      <c r="I163" s="3" t="n">
        <v>3</v>
      </c>
      <c r="J163" s="3" t="n">
        <v>11</v>
      </c>
      <c r="K163" s="7" t="n">
        <v>170.02</v>
      </c>
      <c r="L163" s="7" t="n">
        <v>20.52</v>
      </c>
      <c r="M163" s="8" t="n">
        <v>144</v>
      </c>
      <c r="N163" s="8" t="n">
        <v>234</v>
      </c>
      <c r="O163" s="7" t="n">
        <v>170.02</v>
      </c>
      <c r="P163" s="6" t="n">
        <v>32.8</v>
      </c>
      <c r="Q163" s="4" t="s">
        <v>124</v>
      </c>
      <c r="R163" s="8" t="n">
        <v>17</v>
      </c>
      <c r="S163" s="6" t="n">
        <v>62.5</v>
      </c>
      <c r="T163" s="7" t="n">
        <f aca="false">IFERROR(S163/R163,"")</f>
        <v>3.67647058823529</v>
      </c>
      <c r="U163" s="6" t="n">
        <v>58.5</v>
      </c>
      <c r="V163" s="6" t="n">
        <v>54.5</v>
      </c>
      <c r="W163" s="8" t="n">
        <v>56</v>
      </c>
      <c r="X163" s="7" t="n">
        <f aca="false">IFERROR(S163/AH163,"")</f>
        <v>0.600961538461538</v>
      </c>
      <c r="Y163" s="9" t="n">
        <f aca="false">IFERROR(S163/AF163,"")</f>
        <v>0.328947368421053</v>
      </c>
      <c r="Z163" s="6" t="n">
        <v>2.1</v>
      </c>
      <c r="AA163" s="6" t="n">
        <v>2.6</v>
      </c>
      <c r="AB163" s="6" t="n">
        <v>5.12</v>
      </c>
      <c r="AC163" s="10" t="n">
        <v>0</v>
      </c>
      <c r="AD163" s="10" t="n">
        <v>0.529</v>
      </c>
      <c r="AE163" s="7" t="n">
        <v>1.232</v>
      </c>
      <c r="AF163" s="8" t="n">
        <v>190</v>
      </c>
      <c r="AG163" s="10" t="n">
        <v>0.167</v>
      </c>
      <c r="AH163" s="8" t="n">
        <v>104</v>
      </c>
      <c r="AI163" s="8" t="n">
        <v>12</v>
      </c>
      <c r="AJ163" s="6" t="n">
        <f aca="false">IFERROR(AI163/R163,"")</f>
        <v>0.705882352941177</v>
      </c>
      <c r="AK163" s="10" t="n">
        <v>0.0218</v>
      </c>
      <c r="AL163" s="10" t="n">
        <v>0</v>
      </c>
      <c r="AM163" s="9" t="n">
        <v>0.0327</v>
      </c>
      <c r="AN163" s="8" t="n">
        <v>8</v>
      </c>
      <c r="AO163" s="10" t="n">
        <f aca="false">IFERROR(AN163/AI163,"")</f>
        <v>0.666666666666667</v>
      </c>
      <c r="AP163" s="8" t="n">
        <v>25</v>
      </c>
      <c r="AQ163" s="7" t="n">
        <f aca="false">IFERROR(AP163/AI163,"")</f>
        <v>2.08333333333333</v>
      </c>
      <c r="AR163" s="6" t="n">
        <v>0</v>
      </c>
      <c r="AS163" s="7" t="n">
        <v>4.375</v>
      </c>
      <c r="AT163" s="7"/>
      <c r="AU163" s="7"/>
      <c r="AV163" s="7"/>
      <c r="AW163" s="7"/>
      <c r="AX163" s="10" t="n">
        <v>0</v>
      </c>
      <c r="AY163" s="8" t="n">
        <v>92</v>
      </c>
      <c r="AZ163" s="6" t="n">
        <f aca="false">IFERROR(AY163/R163,"")</f>
        <v>5.41176470588235</v>
      </c>
      <c r="BA163" s="10" t="n">
        <v>0.1913</v>
      </c>
      <c r="BB163" s="8" t="n">
        <v>400</v>
      </c>
      <c r="BC163" s="7" t="n">
        <f aca="false">IFERROR(BB163/AY163,"")</f>
        <v>4.34782608695652</v>
      </c>
      <c r="BD163" s="7" t="n">
        <v>2.576</v>
      </c>
      <c r="BE163" s="7" t="n">
        <v>1.772</v>
      </c>
      <c r="BF163" s="8" t="n">
        <v>10</v>
      </c>
      <c r="BG163" s="7" t="n">
        <v>-0.0642848940231071</v>
      </c>
      <c r="BH163" s="6" t="n">
        <v>30.4347826086957</v>
      </c>
      <c r="BI163" s="7" t="n">
        <v>3.75625</v>
      </c>
      <c r="BJ163" s="8" t="n">
        <v>17</v>
      </c>
      <c r="BK163" s="8" t="n">
        <v>5</v>
      </c>
      <c r="BL163" s="8" t="n">
        <v>3</v>
      </c>
      <c r="BM163" s="8" t="n">
        <v>2</v>
      </c>
      <c r="BN163" s="7" t="n">
        <v>3.24</v>
      </c>
      <c r="BO163" s="7" t="n">
        <f aca="false">IFERROR(BM163-BN163,"")</f>
        <v>-1.24</v>
      </c>
      <c r="BP163" s="9" t="n">
        <f aca="false">IFERROR(BM163/AH163,"")</f>
        <v>0.0192307692307692</v>
      </c>
      <c r="BQ163" s="6" t="n">
        <v>62.4</v>
      </c>
      <c r="BR163" s="6" t="n">
        <v>52.7</v>
      </c>
      <c r="BS163" s="6" t="n">
        <v>66.9</v>
      </c>
      <c r="BT163" s="7" t="n">
        <v>3.071</v>
      </c>
      <c r="BU163" s="10" t="n">
        <v>0.1627</v>
      </c>
      <c r="BV163" s="10" t="n">
        <v>0.523809523809524</v>
      </c>
      <c r="BW163" s="7" t="n">
        <v>2.522</v>
      </c>
      <c r="BX163" s="10" t="n">
        <v>0.2037</v>
      </c>
      <c r="BY163" s="10" t="n">
        <v>0.0494</v>
      </c>
      <c r="BZ163" s="7" t="n">
        <v>2.4</v>
      </c>
      <c r="CA163" s="10" t="n">
        <v>0.798</v>
      </c>
      <c r="CB163" s="8" t="n">
        <v>4</v>
      </c>
      <c r="CC163" s="10" t="n">
        <v>-0.0621</v>
      </c>
      <c r="CD163" s="10" t="n">
        <v>0.549</v>
      </c>
      <c r="CE163" s="6" t="n">
        <v>60.94</v>
      </c>
      <c r="CF163" s="6" t="n">
        <v>38</v>
      </c>
      <c r="CG163" s="7" t="n">
        <v>3.12</v>
      </c>
      <c r="CH163" s="6" t="n">
        <v>20.8</v>
      </c>
      <c r="CI163" s="9" t="n">
        <v>-0.0314</v>
      </c>
      <c r="CJ163" s="9" t="n">
        <v>-0.0132</v>
      </c>
      <c r="CK163" s="8" t="n">
        <v>151</v>
      </c>
      <c r="CL163" s="10" t="n">
        <v>0.291</v>
      </c>
      <c r="CM163" s="8" t="n">
        <v>160</v>
      </c>
      <c r="CN163" s="10" t="n">
        <v>0.335</v>
      </c>
      <c r="CO163" s="8" t="n">
        <v>49</v>
      </c>
      <c r="CP163" s="7" t="n">
        <v>-0.506</v>
      </c>
      <c r="CQ163" s="7" t="n">
        <v>-0.77</v>
      </c>
      <c r="CR163" s="4" t="s">
        <v>121</v>
      </c>
      <c r="CS163" s="4"/>
    </row>
    <row r="164" customFormat="false" ht="15" hidden="false" customHeight="false" outlineLevel="0" collapsed="false">
      <c r="A164" s="3" t="n">
        <v>162</v>
      </c>
      <c r="B164" s="4" t="s">
        <v>465</v>
      </c>
      <c r="C164" s="5" t="s">
        <v>99</v>
      </c>
      <c r="D164" s="4" t="s">
        <v>466</v>
      </c>
      <c r="E164" s="4" t="s">
        <v>186</v>
      </c>
      <c r="F164" s="4" t="s">
        <v>99</v>
      </c>
      <c r="G164" s="3" t="n">
        <v>2</v>
      </c>
      <c r="H164" s="6" t="n">
        <v>23.9</v>
      </c>
      <c r="I164" s="3" t="n">
        <v>3</v>
      </c>
      <c r="J164" s="3" t="n">
        <v>13</v>
      </c>
      <c r="K164" s="7" t="n">
        <v>171.09</v>
      </c>
      <c r="L164" s="7" t="n">
        <v>24.55</v>
      </c>
      <c r="M164" s="8" t="n">
        <v>133</v>
      </c>
      <c r="N164" s="8" t="n">
        <v>270</v>
      </c>
      <c r="O164" s="7" t="n">
        <v>171.09</v>
      </c>
      <c r="P164" s="6" t="n">
        <v>17.1</v>
      </c>
      <c r="Q164" s="4" t="s">
        <v>186</v>
      </c>
      <c r="R164" s="8" t="n">
        <v>16</v>
      </c>
      <c r="S164" s="6" t="n">
        <v>87.9</v>
      </c>
      <c r="T164" s="7" t="n">
        <f aca="false">IFERROR(S164/R164,"")</f>
        <v>5.49375</v>
      </c>
      <c r="U164" s="6" t="n">
        <v>71.4</v>
      </c>
      <c r="V164" s="6" t="n">
        <v>54.9</v>
      </c>
      <c r="W164" s="8" t="n">
        <v>65</v>
      </c>
      <c r="X164" s="7" t="n">
        <f aca="false">IFERROR(S164/AH164,"")</f>
        <v>1.172</v>
      </c>
      <c r="Y164" s="9" t="n">
        <f aca="false">IFERROR(S164/AF164,"")</f>
        <v>0.176506024096386</v>
      </c>
      <c r="Z164" s="6" t="n">
        <v>1.28</v>
      </c>
      <c r="AA164" s="6" t="n">
        <v>3.7</v>
      </c>
      <c r="AB164" s="6" t="n">
        <v>9.78</v>
      </c>
      <c r="AC164" s="10" t="n">
        <v>0.062</v>
      </c>
      <c r="AD164" s="10" t="n">
        <v>0.375</v>
      </c>
      <c r="AE164" s="7" t="n">
        <v>1.835</v>
      </c>
      <c r="AF164" s="8" t="n">
        <v>498</v>
      </c>
      <c r="AG164" s="10" t="n">
        <v>0.506</v>
      </c>
      <c r="AH164" s="8" t="n">
        <v>75</v>
      </c>
      <c r="AI164" s="8" t="n">
        <v>74</v>
      </c>
      <c r="AJ164" s="6" t="n">
        <f aca="false">IFERROR(AI164/R164,"")</f>
        <v>4.625</v>
      </c>
      <c r="AK164" s="10" t="n">
        <v>0.1498</v>
      </c>
      <c r="AL164" s="10" t="n">
        <v>0.2846</v>
      </c>
      <c r="AM164" s="9" t="n">
        <v>0.4239</v>
      </c>
      <c r="AN164" s="8" t="n">
        <v>33</v>
      </c>
      <c r="AO164" s="10" t="n">
        <f aca="false">IFERROR(AN164/AI164,"")</f>
        <v>0.445945945945946</v>
      </c>
      <c r="AP164" s="8" t="n">
        <v>453</v>
      </c>
      <c r="AQ164" s="7" t="n">
        <f aca="false">IFERROR(AP164/AI164,"")</f>
        <v>6.12162162162162</v>
      </c>
      <c r="AR164" s="6" t="n">
        <v>14.892</v>
      </c>
      <c r="AS164" s="7" t="n">
        <v>2.424</v>
      </c>
      <c r="AT164" s="7" t="n">
        <v>0.411</v>
      </c>
      <c r="AU164" s="7" t="n">
        <v>2.75514206986972</v>
      </c>
      <c r="AV164" s="7" t="n">
        <v>5.78756756756757</v>
      </c>
      <c r="AW164" s="7" t="n">
        <v>0.837069484350886</v>
      </c>
      <c r="AX164" s="10" t="n">
        <v>0.027</v>
      </c>
      <c r="AY164" s="8" t="n">
        <v>1</v>
      </c>
      <c r="AZ164" s="6" t="n">
        <f aca="false">IFERROR(AY164/R164,"")</f>
        <v>0.0625</v>
      </c>
      <c r="BA164" s="10" t="n">
        <v>0.0025</v>
      </c>
      <c r="BB164" s="8" t="n">
        <v>-4</v>
      </c>
      <c r="BC164" s="7"/>
      <c r="BD164" s="7"/>
      <c r="BE164" s="7"/>
      <c r="BF164" s="8" t="n">
        <v>0</v>
      </c>
      <c r="BG164" s="7"/>
      <c r="BH164" s="6"/>
      <c r="BI164" s="7"/>
      <c r="BJ164" s="8" t="n">
        <v>8</v>
      </c>
      <c r="BK164" s="8" t="n">
        <v>2</v>
      </c>
      <c r="BL164" s="8" t="n">
        <v>0</v>
      </c>
      <c r="BM164" s="8" t="n">
        <v>2</v>
      </c>
      <c r="BN164" s="7" t="n">
        <v>2.18</v>
      </c>
      <c r="BO164" s="7" t="n">
        <f aca="false">IFERROR(BM164-BN164,"")</f>
        <v>-0.18</v>
      </c>
      <c r="BP164" s="9" t="n">
        <f aca="false">IFERROR(BM164/AH164,"")</f>
        <v>0.0266666666666667</v>
      </c>
      <c r="BQ164" s="6" t="n">
        <v>38.6</v>
      </c>
      <c r="BR164" s="6" t="n">
        <v>56.3</v>
      </c>
      <c r="BS164" s="6" t="n">
        <v>25.8</v>
      </c>
      <c r="BT164" s="7" t="n">
        <v>2.892</v>
      </c>
      <c r="BU164" s="10" t="n">
        <v>0.1813</v>
      </c>
      <c r="BV164" s="10" t="n">
        <v>0.739130434782609</v>
      </c>
      <c r="BW164" s="7" t="n">
        <v>2.899</v>
      </c>
      <c r="BX164" s="10" t="n">
        <v>0.3117</v>
      </c>
      <c r="BY164" s="10" t="n">
        <v>0.0989</v>
      </c>
      <c r="BZ164" s="7" t="n">
        <v>2.423</v>
      </c>
      <c r="CA164" s="10" t="n">
        <v>0.808</v>
      </c>
      <c r="CB164" s="8" t="n">
        <v>3</v>
      </c>
      <c r="CC164" s="10" t="n">
        <v>-0.0877</v>
      </c>
      <c r="CD164" s="10" t="n">
        <v>0.4319</v>
      </c>
      <c r="CE164" s="6" t="n">
        <v>59.35</v>
      </c>
      <c r="CF164" s="6" t="n">
        <v>38</v>
      </c>
      <c r="CG164" s="7" t="n">
        <v>2.47</v>
      </c>
      <c r="CH164" s="6" t="n">
        <v>17.6</v>
      </c>
      <c r="CI164" s="9" t="n">
        <v>-0.061</v>
      </c>
      <c r="CJ164" s="9" t="n">
        <v>-0.1799</v>
      </c>
      <c r="CK164" s="8" t="n">
        <v>76</v>
      </c>
      <c r="CL164" s="10" t="n">
        <v>0.161</v>
      </c>
      <c r="CM164" s="8" t="n">
        <v>117</v>
      </c>
      <c r="CN164" s="10" t="n">
        <v>0.257</v>
      </c>
      <c r="CO164" s="8" t="n">
        <v>27</v>
      </c>
      <c r="CP164" s="7" t="n">
        <v>-0.582</v>
      </c>
      <c r="CQ164" s="7" t="n">
        <v>-1.108</v>
      </c>
      <c r="CR164" s="4" t="s">
        <v>121</v>
      </c>
      <c r="CS164" s="4"/>
    </row>
    <row r="165" customFormat="false" ht="15" hidden="false" customHeight="false" outlineLevel="0" collapsed="false">
      <c r="A165" s="3" t="n">
        <v>163</v>
      </c>
      <c r="B165" s="4" t="s">
        <v>467</v>
      </c>
      <c r="C165" s="5" t="s">
        <v>99</v>
      </c>
      <c r="D165" s="4" t="s">
        <v>468</v>
      </c>
      <c r="E165" s="4" t="s">
        <v>142</v>
      </c>
      <c r="F165" s="4" t="s">
        <v>270</v>
      </c>
      <c r="G165" s="3" t="n">
        <v>1</v>
      </c>
      <c r="H165" s="6" t="n">
        <v>25.4</v>
      </c>
      <c r="I165" s="3" t="n">
        <v>4</v>
      </c>
      <c r="J165" s="3" t="n">
        <v>13</v>
      </c>
      <c r="K165" s="7" t="n">
        <v>172.63</v>
      </c>
      <c r="L165" s="7" t="n">
        <v>28.44</v>
      </c>
      <c r="M165" s="8" t="n">
        <v>109</v>
      </c>
      <c r="N165" s="8" t="n">
        <v>289</v>
      </c>
      <c r="O165" s="7" t="n">
        <v>172.63</v>
      </c>
      <c r="P165" s="6" t="n">
        <v>20.2</v>
      </c>
      <c r="Q165" s="4" t="s">
        <v>142</v>
      </c>
      <c r="R165" s="8" t="n">
        <v>17</v>
      </c>
      <c r="S165" s="6" t="n">
        <v>161.7</v>
      </c>
      <c r="T165" s="7" t="n">
        <f aca="false">IFERROR(S165/R165,"")</f>
        <v>9.51176470588235</v>
      </c>
      <c r="U165" s="6" t="n">
        <v>133.2</v>
      </c>
      <c r="V165" s="6" t="n">
        <v>104.7</v>
      </c>
      <c r="W165" s="8" t="n">
        <v>38</v>
      </c>
      <c r="X165" s="7" t="n">
        <f aca="false">IFERROR(S165/AH165,"")</f>
        <v>1.56990291262136</v>
      </c>
      <c r="Y165" s="9" t="n">
        <f aca="false">IFERROR(S165/AF165,"")</f>
        <v>0.171656050955414</v>
      </c>
      <c r="Z165" s="6" t="n">
        <v>5</v>
      </c>
      <c r="AA165" s="6" t="n">
        <v>6.8</v>
      </c>
      <c r="AB165" s="6" t="n">
        <v>12.84</v>
      </c>
      <c r="AC165" s="10" t="n">
        <v>0.059</v>
      </c>
      <c r="AD165" s="10" t="n">
        <v>0.059</v>
      </c>
      <c r="AE165" s="7" t="n">
        <v>1.314</v>
      </c>
      <c r="AF165" s="8" t="n">
        <v>942</v>
      </c>
      <c r="AG165" s="10" t="n">
        <v>0.948</v>
      </c>
      <c r="AH165" s="8" t="n">
        <v>103</v>
      </c>
      <c r="AI165" s="8" t="n">
        <v>92</v>
      </c>
      <c r="AJ165" s="6" t="n">
        <f aca="false">IFERROR(AI165/R165,"")</f>
        <v>5.41176470588235</v>
      </c>
      <c r="AK165" s="10" t="n">
        <v>0.1862</v>
      </c>
      <c r="AL165" s="10" t="n">
        <v>0.2923</v>
      </c>
      <c r="AM165" s="9" t="n">
        <v>0.4839</v>
      </c>
      <c r="AN165" s="8" t="n">
        <v>57</v>
      </c>
      <c r="AO165" s="10" t="n">
        <f aca="false">IFERROR(AN165/AI165,"")</f>
        <v>0.619565217391304</v>
      </c>
      <c r="AP165" s="8" t="n">
        <v>696</v>
      </c>
      <c r="AQ165" s="7" t="n">
        <f aca="false">IFERROR(AP165/AI165,"")</f>
        <v>7.56521739130435</v>
      </c>
      <c r="AR165" s="6" t="n">
        <v>10.163</v>
      </c>
      <c r="AS165" s="7" t="n">
        <v>5.105</v>
      </c>
      <c r="AT165" s="7" t="n">
        <v>0.744</v>
      </c>
      <c r="AU165" s="7" t="n">
        <v>3.6219217863116</v>
      </c>
      <c r="AV165" s="7" t="n">
        <v>7.61873563218391</v>
      </c>
      <c r="AW165" s="7" t="n">
        <v>0.232019825940532</v>
      </c>
      <c r="AX165" s="10" t="n">
        <v>0.0435</v>
      </c>
      <c r="AY165" s="8" t="n">
        <v>11</v>
      </c>
      <c r="AZ165" s="6" t="n">
        <f aca="false">IFERROR(AY165/R165,"")</f>
        <v>0.647058823529412</v>
      </c>
      <c r="BA165" s="10" t="n">
        <v>0.0298</v>
      </c>
      <c r="BB165" s="8" t="n">
        <v>51</v>
      </c>
      <c r="BC165" s="7"/>
      <c r="BD165" s="7"/>
      <c r="BE165" s="7"/>
      <c r="BF165" s="8" t="n">
        <v>1</v>
      </c>
      <c r="BG165" s="7"/>
      <c r="BH165" s="6"/>
      <c r="BI165" s="7"/>
      <c r="BJ165" s="8" t="n">
        <v>11</v>
      </c>
      <c r="BK165" s="8" t="n">
        <v>5</v>
      </c>
      <c r="BL165" s="8" t="n">
        <v>1</v>
      </c>
      <c r="BM165" s="8" t="n">
        <v>5</v>
      </c>
      <c r="BN165" s="7" t="n">
        <v>3.72</v>
      </c>
      <c r="BO165" s="7" t="n">
        <f aca="false">IFERROR(BM165-BN165,"")</f>
        <v>1.28</v>
      </c>
      <c r="BP165" s="9" t="n">
        <f aca="false">IFERROR(BM165/AH165,"")</f>
        <v>0.0485436893203884</v>
      </c>
      <c r="BQ165" s="6" t="n">
        <v>15.2</v>
      </c>
      <c r="BR165" s="6" t="n">
        <v>7.8</v>
      </c>
      <c r="BS165" s="6" t="n">
        <v>37.5</v>
      </c>
      <c r="BT165" s="7" t="n">
        <v>2.49</v>
      </c>
      <c r="BU165" s="10" t="n">
        <v>0.2502</v>
      </c>
      <c r="BV165" s="10" t="n">
        <v>0.366666666666667</v>
      </c>
      <c r="BW165" s="7" t="n">
        <v>1.629</v>
      </c>
      <c r="BX165" s="10" t="n">
        <v>0.2641</v>
      </c>
      <c r="BY165" s="10" t="n">
        <v>0.1019</v>
      </c>
      <c r="BZ165" s="7" t="n">
        <v>2.487</v>
      </c>
      <c r="CA165" s="10" t="n">
        <v>0.384</v>
      </c>
      <c r="CB165" s="8" t="n">
        <v>2</v>
      </c>
      <c r="CC165" s="10" t="n">
        <v>-0.0175</v>
      </c>
      <c r="CD165" s="10" t="n">
        <v>0.5679</v>
      </c>
      <c r="CE165" s="6" t="n">
        <v>55.41</v>
      </c>
      <c r="CF165" s="6" t="n">
        <v>38</v>
      </c>
      <c r="CG165" s="7" t="n">
        <v>2.24</v>
      </c>
      <c r="CH165" s="6" t="n">
        <v>14.2</v>
      </c>
      <c r="CI165" s="9" t="n">
        <v>-0.2605</v>
      </c>
      <c r="CJ165" s="9" t="n">
        <v>-0.187</v>
      </c>
      <c r="CK165" s="8" t="n">
        <v>55</v>
      </c>
      <c r="CL165" s="10" t="n">
        <v>0.111</v>
      </c>
      <c r="CM165" s="8" t="n">
        <v>58</v>
      </c>
      <c r="CN165" s="10" t="n">
        <v>0.157</v>
      </c>
      <c r="CO165" s="8" t="n">
        <v>13</v>
      </c>
      <c r="CP165" s="7" t="n">
        <v>0.636</v>
      </c>
      <c r="CQ165" s="7" t="n">
        <v>0.11</v>
      </c>
      <c r="CR165" s="4" t="s">
        <v>232</v>
      </c>
      <c r="CS165" s="4"/>
    </row>
    <row r="166" customFormat="false" ht="15" hidden="false" customHeight="false" outlineLevel="0" collapsed="false">
      <c r="A166" s="3" t="n">
        <v>164</v>
      </c>
      <c r="B166" s="4" t="s">
        <v>469</v>
      </c>
      <c r="C166" s="5" t="s">
        <v>99</v>
      </c>
      <c r="D166" s="4" t="s">
        <v>470</v>
      </c>
      <c r="E166" s="4" t="s">
        <v>124</v>
      </c>
      <c r="F166" s="4" t="s">
        <v>99</v>
      </c>
      <c r="G166" s="3" t="n">
        <v>4</v>
      </c>
      <c r="H166" s="6" t="n">
        <v>23.7</v>
      </c>
      <c r="I166" s="3" t="n">
        <v>0</v>
      </c>
      <c r="J166" s="3" t="n">
        <v>8</v>
      </c>
      <c r="K166" s="7" t="n">
        <v>174.84</v>
      </c>
      <c r="L166" s="7" t="n">
        <v>42.74</v>
      </c>
      <c r="M166" s="8" t="n">
        <v>100</v>
      </c>
      <c r="N166" s="8" t="n">
        <v>290</v>
      </c>
      <c r="O166" s="7" t="n">
        <v>174.84</v>
      </c>
      <c r="P166" s="6" t="n">
        <v>22.7</v>
      </c>
      <c r="Q166" s="4"/>
      <c r="R166" s="8"/>
      <c r="S166" s="6"/>
      <c r="T166" s="7"/>
      <c r="U166" s="6"/>
      <c r="V166" s="6"/>
      <c r="W166" s="8"/>
      <c r="X166" s="7"/>
      <c r="Y166" s="9"/>
      <c r="Z166" s="6"/>
      <c r="AA166" s="6"/>
      <c r="AB166" s="6"/>
      <c r="AC166" s="10"/>
      <c r="AD166" s="10"/>
      <c r="AE166" s="7"/>
      <c r="AF166" s="8"/>
      <c r="AG166" s="10"/>
      <c r="AH166" s="8"/>
      <c r="AI166" s="8"/>
      <c r="AJ166" s="6"/>
      <c r="AK166" s="10"/>
      <c r="AL166" s="10"/>
      <c r="AM166" s="9"/>
      <c r="AN166" s="8"/>
      <c r="AO166" s="10"/>
      <c r="AP166" s="8"/>
      <c r="AQ166" s="7"/>
      <c r="AR166" s="6"/>
      <c r="AS166" s="7"/>
      <c r="AT166" s="7"/>
      <c r="AU166" s="7"/>
      <c r="AV166" s="7"/>
      <c r="AW166" s="7"/>
      <c r="AX166" s="10"/>
      <c r="AY166" s="8"/>
      <c r="AZ166" s="6"/>
      <c r="BA166" s="10"/>
      <c r="BB166" s="8"/>
      <c r="BC166" s="7"/>
      <c r="BD166" s="7"/>
      <c r="BE166" s="7"/>
      <c r="BF166" s="8"/>
      <c r="BG166" s="7"/>
      <c r="BH166" s="6"/>
      <c r="BI166" s="7"/>
      <c r="BJ166" s="8"/>
      <c r="BK166" s="8"/>
      <c r="BL166" s="8"/>
      <c r="BM166" s="8"/>
      <c r="BN166" s="7"/>
      <c r="BO166" s="7"/>
      <c r="BP166" s="9"/>
      <c r="BQ166" s="6" t="n">
        <v>63.3</v>
      </c>
      <c r="BR166" s="6" t="n">
        <v>46.4</v>
      </c>
      <c r="BS166" s="6" t="n">
        <v>74.5</v>
      </c>
      <c r="BT166" s="7" t="n">
        <v>2.906</v>
      </c>
      <c r="BU166" s="10" t="n">
        <v>0.1848</v>
      </c>
      <c r="BV166" s="10" t="n">
        <v>0.655172413793103</v>
      </c>
      <c r="BW166" s="7" t="n">
        <v>2.349</v>
      </c>
      <c r="BX166" s="10" t="n">
        <v>0.2125</v>
      </c>
      <c r="BY166" s="10" t="n">
        <v>0.0428</v>
      </c>
      <c r="BZ166" s="7" t="n">
        <v>2.547</v>
      </c>
      <c r="CA166" s="10" t="n">
        <v>0.852</v>
      </c>
      <c r="CB166" s="8" t="n">
        <v>4</v>
      </c>
      <c r="CC166" s="10" t="n">
        <v>-0.0088</v>
      </c>
      <c r="CD166" s="10" t="n">
        <v>0.5521</v>
      </c>
      <c r="CE166" s="6" t="n">
        <v>62.65</v>
      </c>
      <c r="CF166" s="6" t="n">
        <v>38</v>
      </c>
      <c r="CG166" s="7" t="n">
        <v>3.88</v>
      </c>
      <c r="CH166" s="6" t="n">
        <v>25.7</v>
      </c>
      <c r="CI166" s="9" t="n">
        <v>-0.0044</v>
      </c>
      <c r="CJ166" s="9" t="n">
        <v>0.1587</v>
      </c>
      <c r="CK166" s="8" t="n">
        <v>170</v>
      </c>
      <c r="CL166" s="10" t="n">
        <v>0.309</v>
      </c>
      <c r="CM166" s="8" t="n">
        <v>94</v>
      </c>
      <c r="CN166" s="10" t="n">
        <v>0.195</v>
      </c>
      <c r="CO166" s="8" t="n">
        <v>38</v>
      </c>
      <c r="CP166" s="7"/>
      <c r="CQ166" s="7"/>
      <c r="CR166" s="4"/>
      <c r="CS166" s="4" t="s">
        <v>206</v>
      </c>
    </row>
    <row r="167" customFormat="false" ht="15" hidden="false" customHeight="false" outlineLevel="0" collapsed="false">
      <c r="A167" s="3" t="n">
        <v>165</v>
      </c>
      <c r="B167" s="4" t="s">
        <v>471</v>
      </c>
      <c r="C167" s="5" t="s">
        <v>99</v>
      </c>
      <c r="D167" s="4" t="s">
        <v>472</v>
      </c>
      <c r="E167" s="4" t="s">
        <v>235</v>
      </c>
      <c r="F167" s="4" t="s">
        <v>473</v>
      </c>
      <c r="G167" s="3" t="n">
        <v>1</v>
      </c>
      <c r="H167" s="6" t="n">
        <v>23.3</v>
      </c>
      <c r="I167" s="3" t="n">
        <v>2</v>
      </c>
      <c r="J167" s="3" t="n">
        <v>7</v>
      </c>
      <c r="K167" s="7" t="n">
        <v>175.65</v>
      </c>
      <c r="L167" s="7" t="n">
        <v>30.86</v>
      </c>
      <c r="M167" s="8" t="n">
        <v>116</v>
      </c>
      <c r="N167" s="8" t="n">
        <v>292</v>
      </c>
      <c r="O167" s="7" t="n">
        <v>175.65</v>
      </c>
      <c r="P167" s="6" t="n">
        <v>66.2</v>
      </c>
      <c r="Q167" s="4" t="s">
        <v>235</v>
      </c>
      <c r="R167" s="8" t="n">
        <v>7</v>
      </c>
      <c r="S167" s="6" t="n">
        <v>63.8</v>
      </c>
      <c r="T167" s="7" t="n">
        <f aca="false">IFERROR(S167/R167,"")</f>
        <v>9.11428571428571</v>
      </c>
      <c r="U167" s="6" t="n">
        <v>49.8</v>
      </c>
      <c r="V167" s="6" t="n">
        <v>35.8</v>
      </c>
      <c r="W167" s="8" t="n">
        <v>77</v>
      </c>
      <c r="X167" s="7" t="n">
        <f aca="false">IFERROR(S167/AH167,"")</f>
        <v>1.38695652173913</v>
      </c>
      <c r="Y167" s="9" t="n">
        <f aca="false">IFERROR(S167/AF167,"")</f>
        <v>0.196913580246914</v>
      </c>
      <c r="Z167" s="6"/>
      <c r="AA167" s="6"/>
      <c r="AB167" s="6"/>
      <c r="AC167" s="10"/>
      <c r="AD167" s="10"/>
      <c r="AE167" s="7"/>
      <c r="AF167" s="8" t="n">
        <v>324</v>
      </c>
      <c r="AG167" s="10" t="n">
        <v>0.663</v>
      </c>
      <c r="AH167" s="8" t="n">
        <v>46</v>
      </c>
      <c r="AI167" s="8" t="n">
        <v>45</v>
      </c>
      <c r="AJ167" s="6" t="n">
        <f aca="false">IFERROR(AI167/R167,"")</f>
        <v>6.42857142857143</v>
      </c>
      <c r="AK167" s="10" t="n">
        <v>0.1786</v>
      </c>
      <c r="AL167" s="10" t="n">
        <v>0.1683</v>
      </c>
      <c r="AM167" s="9" t="n">
        <v>0.3857</v>
      </c>
      <c r="AN167" s="8" t="n">
        <v>28</v>
      </c>
      <c r="AO167" s="10" t="n">
        <f aca="false">IFERROR(AN167/AI167,"")</f>
        <v>0.622222222222222</v>
      </c>
      <c r="AP167" s="8" t="n">
        <v>298</v>
      </c>
      <c r="AQ167" s="7" t="n">
        <f aca="false">IFERROR(AP167/AI167,"")</f>
        <v>6.62222222222222</v>
      </c>
      <c r="AR167" s="6" t="n">
        <v>7.867</v>
      </c>
      <c r="AS167" s="7" t="n">
        <v>5</v>
      </c>
      <c r="AT167" s="7" t="n">
        <v>0.842</v>
      </c>
      <c r="AU167" s="7" t="n">
        <v>3.3185259802665</v>
      </c>
      <c r="AV167" s="7" t="n">
        <v>7.03475</v>
      </c>
      <c r="AW167" s="7" t="n">
        <v>0.762109481768929</v>
      </c>
      <c r="AX167" s="10" t="n">
        <v>0.0444</v>
      </c>
      <c r="AY167" s="8" t="n">
        <v>1</v>
      </c>
      <c r="AZ167" s="6" t="n">
        <f aca="false">IFERROR(AY167/R167,"")</f>
        <v>0.142857142857143</v>
      </c>
      <c r="BA167" s="10" t="n">
        <v>0.0056</v>
      </c>
      <c r="BB167" s="8" t="n">
        <v>0</v>
      </c>
      <c r="BC167" s="7"/>
      <c r="BD167" s="7"/>
      <c r="BE167" s="7"/>
      <c r="BF167" s="8" t="n">
        <v>0</v>
      </c>
      <c r="BG167" s="7"/>
      <c r="BH167" s="6"/>
      <c r="BI167" s="7"/>
      <c r="BJ167" s="8" t="n">
        <v>6</v>
      </c>
      <c r="BK167" s="8" t="n">
        <v>2</v>
      </c>
      <c r="BL167" s="8" t="n">
        <v>0</v>
      </c>
      <c r="BM167" s="8" t="n">
        <v>1</v>
      </c>
      <c r="BN167" s="7" t="n">
        <v>2</v>
      </c>
      <c r="BO167" s="7" t="n">
        <f aca="false">IFERROR(BM167-BN167,"")</f>
        <v>-1</v>
      </c>
      <c r="BP167" s="9" t="n">
        <f aca="false">IFERROR(BM167/AH167,"")</f>
        <v>0.0217391304347826</v>
      </c>
      <c r="BQ167" s="6" t="n">
        <v>44.3</v>
      </c>
      <c r="BR167" s="6" t="n">
        <v>40.2</v>
      </c>
      <c r="BS167" s="6" t="n">
        <v>50.8</v>
      </c>
      <c r="BT167" s="7" t="n">
        <v>2.885</v>
      </c>
      <c r="BU167" s="10" t="n">
        <v>0.1784</v>
      </c>
      <c r="BV167" s="10" t="n">
        <v>0.5</v>
      </c>
      <c r="BW167" s="7" t="n">
        <v>2.219</v>
      </c>
      <c r="BX167" s="10" t="n">
        <v>0.2504</v>
      </c>
      <c r="BY167" s="10" t="n">
        <v>0.0647</v>
      </c>
      <c r="BZ167" s="7" t="n">
        <v>2.395</v>
      </c>
      <c r="CA167" s="10" t="n">
        <v>1</v>
      </c>
      <c r="CB167" s="8" t="n">
        <v>5</v>
      </c>
      <c r="CC167" s="10" t="n">
        <v>0.0164</v>
      </c>
      <c r="CD167" s="10" t="n">
        <v>0.5756</v>
      </c>
      <c r="CE167" s="6" t="n">
        <v>63.18</v>
      </c>
      <c r="CF167" s="6" t="n">
        <v>40</v>
      </c>
      <c r="CG167" s="7" t="n">
        <v>4.24</v>
      </c>
      <c r="CH167" s="6" t="n">
        <v>27.9</v>
      </c>
      <c r="CI167" s="9" t="n">
        <v>-0.0041</v>
      </c>
      <c r="CJ167" s="9" t="n">
        <v>0.0592</v>
      </c>
      <c r="CK167" s="8" t="n">
        <v>132</v>
      </c>
      <c r="CL167" s="10" t="n">
        <v>0.241</v>
      </c>
      <c r="CM167" s="8" t="n">
        <v>271</v>
      </c>
      <c r="CN167" s="10" t="n">
        <v>0.554</v>
      </c>
      <c r="CO167" s="8" t="n">
        <v>85</v>
      </c>
      <c r="CP167" s="7" t="n">
        <v>-1.002</v>
      </c>
      <c r="CQ167" s="7" t="n">
        <v>0.093</v>
      </c>
      <c r="CR167" s="4" t="s">
        <v>165</v>
      </c>
      <c r="CS167" s="4"/>
    </row>
    <row r="168" customFormat="false" ht="15" hidden="false" customHeight="false" outlineLevel="0" collapsed="false">
      <c r="A168" s="3" t="n">
        <v>166</v>
      </c>
      <c r="B168" s="4" t="s">
        <v>474</v>
      </c>
      <c r="C168" s="12" t="s">
        <v>149</v>
      </c>
      <c r="D168" s="4" t="s">
        <v>475</v>
      </c>
      <c r="E168" s="4" t="s">
        <v>170</v>
      </c>
      <c r="F168" s="4" t="s">
        <v>149</v>
      </c>
      <c r="G168" s="3" t="n">
        <v>1</v>
      </c>
      <c r="H168" s="6" t="n">
        <v>23.1</v>
      </c>
      <c r="I168" s="3" t="n">
        <v>2</v>
      </c>
      <c r="J168" s="3" t="n">
        <v>7</v>
      </c>
      <c r="K168" s="7" t="n">
        <v>178.5</v>
      </c>
      <c r="L168" s="7" t="n">
        <v>35.54</v>
      </c>
      <c r="M168" s="8" t="n">
        <v>97</v>
      </c>
      <c r="N168" s="8" t="n">
        <v>246</v>
      </c>
      <c r="O168" s="7" t="n">
        <v>178.5</v>
      </c>
      <c r="P168" s="6" t="n">
        <v>44.9</v>
      </c>
      <c r="Q168" s="4" t="s">
        <v>170</v>
      </c>
      <c r="R168" s="8" t="n">
        <v>15</v>
      </c>
      <c r="S168" s="6" t="n">
        <v>131.4</v>
      </c>
      <c r="T168" s="7" t="n">
        <f aca="false">IFERROR(S168/R168,"")</f>
        <v>8.76</v>
      </c>
      <c r="U168" s="6" t="n">
        <v>106.9</v>
      </c>
      <c r="V168" s="6" t="n">
        <v>82.4</v>
      </c>
      <c r="W168" s="8" t="n">
        <v>15</v>
      </c>
      <c r="X168" s="7" t="n">
        <f aca="false">IFERROR(S168/AH168,"")</f>
        <v>1.90434782608696</v>
      </c>
      <c r="Y168" s="9" t="n">
        <f aca="false">IFERROR(S168/AF168,"")</f>
        <v>0.209569377990431</v>
      </c>
      <c r="Z168" s="6" t="n">
        <v>3.65</v>
      </c>
      <c r="AA168" s="6" t="n">
        <v>6.1</v>
      </c>
      <c r="AB168" s="6" t="n">
        <v>12.16</v>
      </c>
      <c r="AC168" s="10" t="n">
        <v>0.133</v>
      </c>
      <c r="AD168" s="10" t="n">
        <v>0.067</v>
      </c>
      <c r="AE168" s="7" t="n">
        <v>1.237</v>
      </c>
      <c r="AF168" s="8" t="n">
        <v>627</v>
      </c>
      <c r="AG168" s="10" t="n">
        <v>0.626</v>
      </c>
      <c r="AH168" s="8" t="n">
        <v>69</v>
      </c>
      <c r="AI168" s="8" t="n">
        <v>69</v>
      </c>
      <c r="AJ168" s="6" t="n">
        <f aca="false">IFERROR(AI168/R168,"")</f>
        <v>4.6</v>
      </c>
      <c r="AK168" s="10" t="n">
        <v>0.1429</v>
      </c>
      <c r="AL168" s="10" t="n">
        <v>0.1633</v>
      </c>
      <c r="AM168" s="9" t="n">
        <v>0.3287</v>
      </c>
      <c r="AN168" s="8" t="n">
        <v>49</v>
      </c>
      <c r="AO168" s="10" t="n">
        <f aca="false">IFERROR(AN168/AI168,"")</f>
        <v>0.710144927536232</v>
      </c>
      <c r="AP168" s="8" t="n">
        <v>664</v>
      </c>
      <c r="AQ168" s="7" t="n">
        <f aca="false">IFERROR(AP168/AI168,"")</f>
        <v>9.6231884057971</v>
      </c>
      <c r="AR168" s="6" t="n">
        <v>9.043</v>
      </c>
      <c r="AS168" s="7" t="n">
        <v>4.51</v>
      </c>
      <c r="AT168" s="7" t="n">
        <v>1.064</v>
      </c>
      <c r="AU168" s="7" t="n">
        <v>3.16367343364934</v>
      </c>
      <c r="AV168" s="7" t="n">
        <v>5.95758620689655</v>
      </c>
      <c r="AW168" s="7" t="n">
        <v>1.34867647299471</v>
      </c>
      <c r="AX168" s="10" t="n">
        <v>0.0725</v>
      </c>
      <c r="AY168" s="8" t="n">
        <v>0</v>
      </c>
      <c r="AZ168" s="6" t="n">
        <f aca="false">IFERROR(AY168/R168,"")</f>
        <v>0</v>
      </c>
      <c r="BA168" s="10" t="n">
        <v>0</v>
      </c>
      <c r="BB168" s="8" t="n">
        <v>0</v>
      </c>
      <c r="BC168" s="7"/>
      <c r="BD168" s="7"/>
      <c r="BE168" s="7"/>
      <c r="BF168" s="8"/>
      <c r="BG168" s="7"/>
      <c r="BH168" s="6"/>
      <c r="BI168" s="7"/>
      <c r="BJ168" s="8" t="n">
        <v>15</v>
      </c>
      <c r="BK168" s="8" t="n">
        <v>5</v>
      </c>
      <c r="BL168" s="8" t="n">
        <v>1</v>
      </c>
      <c r="BM168" s="8" t="n">
        <v>3</v>
      </c>
      <c r="BN168" s="7" t="n">
        <v>3.98</v>
      </c>
      <c r="BO168" s="7" t="n">
        <f aca="false">IFERROR(BM168-BN168,"")</f>
        <v>-0.98</v>
      </c>
      <c r="BP168" s="9" t="n">
        <f aca="false">IFERROR(BM168/AH168,"")</f>
        <v>0.0434782608695652</v>
      </c>
      <c r="BQ168" s="6" t="n">
        <v>26.9</v>
      </c>
      <c r="BR168" s="6" t="n">
        <v>40.7</v>
      </c>
      <c r="BS168" s="6" t="n">
        <v>23</v>
      </c>
      <c r="BT168" s="7" t="n">
        <v>2.77</v>
      </c>
      <c r="BU168" s="10" t="n">
        <v>0.2195</v>
      </c>
      <c r="BV168" s="10" t="n">
        <v>0.611111111111111</v>
      </c>
      <c r="BW168" s="7" t="n">
        <v>2.614</v>
      </c>
      <c r="BX168" s="10" t="n">
        <v>0.3427</v>
      </c>
      <c r="BY168" s="10" t="n">
        <v>0.0832</v>
      </c>
      <c r="BZ168" s="7" t="n">
        <v>2.37</v>
      </c>
      <c r="CA168" s="10" t="n">
        <v>0.205</v>
      </c>
      <c r="CB168" s="8" t="n">
        <v>1</v>
      </c>
      <c r="CC168" s="10" t="n">
        <v>0.0064</v>
      </c>
      <c r="CD168" s="10" t="n">
        <v>0.579</v>
      </c>
      <c r="CE168" s="6" t="n">
        <v>63.53</v>
      </c>
      <c r="CF168" s="6" t="n">
        <v>39</v>
      </c>
      <c r="CG168" s="7" t="n">
        <v>3.47</v>
      </c>
      <c r="CH168" s="6" t="n">
        <v>21.6</v>
      </c>
      <c r="CI168" s="9" t="n">
        <v>0.0187</v>
      </c>
      <c r="CJ168" s="9" t="n">
        <v>-0.0542</v>
      </c>
      <c r="CK168" s="8" t="n">
        <v>15</v>
      </c>
      <c r="CL168" s="10" t="n">
        <v>0.028</v>
      </c>
      <c r="CM168" s="8" t="n">
        <v>23</v>
      </c>
      <c r="CN168" s="10" t="n">
        <v>0.049</v>
      </c>
      <c r="CO168" s="8" t="n">
        <v>2</v>
      </c>
      <c r="CP168" s="7" t="n">
        <v>0.086</v>
      </c>
      <c r="CQ168" s="7" t="n">
        <v>-0.09</v>
      </c>
      <c r="CR168" s="4" t="s">
        <v>102</v>
      </c>
      <c r="CS168" s="4"/>
    </row>
    <row r="169" customFormat="false" ht="15" hidden="false" customHeight="false" outlineLevel="0" collapsed="false">
      <c r="A169" s="3" t="n">
        <v>167</v>
      </c>
      <c r="B169" s="4" t="s">
        <v>476</v>
      </c>
      <c r="C169" s="12" t="s">
        <v>149</v>
      </c>
      <c r="D169" s="4" t="s">
        <v>477</v>
      </c>
      <c r="E169" s="4" t="s">
        <v>139</v>
      </c>
      <c r="F169" s="4" t="s">
        <v>149</v>
      </c>
      <c r="G169" s="3" t="n">
        <v>1</v>
      </c>
      <c r="H169" s="6" t="n">
        <v>30.1</v>
      </c>
      <c r="I169" s="3" t="n">
        <v>9</v>
      </c>
      <c r="J169" s="3" t="n">
        <v>8</v>
      </c>
      <c r="K169" s="7" t="n">
        <v>178.88</v>
      </c>
      <c r="L169" s="7" t="n">
        <v>25.34</v>
      </c>
      <c r="M169" s="8" t="n">
        <v>97</v>
      </c>
      <c r="N169" s="8" t="n">
        <v>229</v>
      </c>
      <c r="O169" s="7" t="n">
        <v>178.88</v>
      </c>
      <c r="P169" s="6" t="n">
        <v>26.9</v>
      </c>
      <c r="Q169" s="4" t="s">
        <v>139</v>
      </c>
      <c r="R169" s="8" t="n">
        <v>17</v>
      </c>
      <c r="S169" s="6" t="n">
        <v>177.7</v>
      </c>
      <c r="T169" s="7" t="n">
        <f aca="false">IFERROR(S169/R169,"")</f>
        <v>10.4529411764706</v>
      </c>
      <c r="U169" s="6" t="n">
        <v>136.7</v>
      </c>
      <c r="V169" s="6" t="n">
        <v>95.7</v>
      </c>
      <c r="W169" s="8" t="n">
        <v>10</v>
      </c>
      <c r="X169" s="7" t="n">
        <f aca="false">IFERROR(S169/AH169,"")</f>
        <v>1.67641509433962</v>
      </c>
      <c r="Y169" s="9" t="n">
        <f aca="false">IFERROR(S169/AF169,"")</f>
        <v>0.214873035066505</v>
      </c>
      <c r="Z169" s="6" t="n">
        <v>5.8</v>
      </c>
      <c r="AA169" s="6" t="n">
        <v>11</v>
      </c>
      <c r="AB169" s="6" t="n">
        <v>16.78</v>
      </c>
      <c r="AC169" s="10" t="n">
        <v>0.118</v>
      </c>
      <c r="AD169" s="10" t="n">
        <v>0</v>
      </c>
      <c r="AE169" s="7" t="n">
        <v>0.513</v>
      </c>
      <c r="AF169" s="8" t="n">
        <v>827</v>
      </c>
      <c r="AG169" s="10" t="n">
        <v>0.711</v>
      </c>
      <c r="AH169" s="8" t="n">
        <v>106</v>
      </c>
      <c r="AI169" s="8" t="n">
        <v>106</v>
      </c>
      <c r="AJ169" s="6" t="n">
        <f aca="false">IFERROR(AI169/R169,"")</f>
        <v>6.23529411764706</v>
      </c>
      <c r="AK169" s="10" t="n">
        <v>0.1917</v>
      </c>
      <c r="AL169" s="10" t="n">
        <v>0.1434</v>
      </c>
      <c r="AM169" s="9" t="n">
        <v>0.3879</v>
      </c>
      <c r="AN169" s="8" t="n">
        <v>82</v>
      </c>
      <c r="AO169" s="10" t="n">
        <f aca="false">IFERROR(AN169/AI169,"")</f>
        <v>0.773584905660377</v>
      </c>
      <c r="AP169" s="8" t="n">
        <v>777</v>
      </c>
      <c r="AQ169" s="7" t="n">
        <f aca="false">IFERROR(AP169/AI169,"")</f>
        <v>7.33018867924528</v>
      </c>
      <c r="AR169" s="6" t="n">
        <v>6.217</v>
      </c>
      <c r="AS169" s="7" t="n">
        <v>4.366</v>
      </c>
      <c r="AT169" s="7" t="n">
        <v>1.179</v>
      </c>
      <c r="AU169" s="7" t="n">
        <v>3.76798020900135</v>
      </c>
      <c r="AV169" s="7" t="n">
        <v>5.42714285714286</v>
      </c>
      <c r="AW169" s="7" t="n">
        <v>0.101724123836226</v>
      </c>
      <c r="AX169" s="10" t="n">
        <v>0.0189</v>
      </c>
      <c r="AY169" s="8" t="n">
        <v>0</v>
      </c>
      <c r="AZ169" s="6" t="n">
        <f aca="false">IFERROR(AY169/R169,"")</f>
        <v>0</v>
      </c>
      <c r="BA169" s="10" t="n">
        <v>0</v>
      </c>
      <c r="BB169" s="8" t="n">
        <v>0</v>
      </c>
      <c r="BC169" s="7"/>
      <c r="BD169" s="7"/>
      <c r="BE169" s="7"/>
      <c r="BF169" s="8"/>
      <c r="BG169" s="7"/>
      <c r="BH169" s="6"/>
      <c r="BI169" s="7"/>
      <c r="BJ169" s="8" t="n">
        <v>11</v>
      </c>
      <c r="BK169" s="8" t="n">
        <v>6</v>
      </c>
      <c r="BL169" s="8" t="n">
        <v>4</v>
      </c>
      <c r="BM169" s="8" t="n">
        <v>3</v>
      </c>
      <c r="BN169" s="7" t="n">
        <v>4.83</v>
      </c>
      <c r="BO169" s="7" t="n">
        <f aca="false">IFERROR(BM169-BN169,"")</f>
        <v>-1.83</v>
      </c>
      <c r="BP169" s="9" t="n">
        <f aca="false">IFERROR(BM169/AH169,"")</f>
        <v>0.0283018867924528</v>
      </c>
      <c r="BQ169" s="6" t="n">
        <v>45.8</v>
      </c>
      <c r="BR169" s="6" t="n">
        <v>34.1</v>
      </c>
      <c r="BS169" s="6" t="n">
        <v>59.3</v>
      </c>
      <c r="BT169" s="7" t="n">
        <v>2.812</v>
      </c>
      <c r="BU169" s="10" t="n">
        <v>0.1937</v>
      </c>
      <c r="BV169" s="10" t="n">
        <v>0.485714285714286</v>
      </c>
      <c r="BW169" s="7" t="n">
        <v>2.099</v>
      </c>
      <c r="BX169" s="10" t="n">
        <v>0.2216</v>
      </c>
      <c r="BY169" s="10" t="n">
        <v>0.0526</v>
      </c>
      <c r="BZ169" s="7" t="n">
        <v>2.345</v>
      </c>
      <c r="CA169" s="10" t="n">
        <v>0.713</v>
      </c>
      <c r="CB169" s="8" t="n">
        <v>2</v>
      </c>
      <c r="CC169" s="10" t="n">
        <v>-0.0098</v>
      </c>
      <c r="CD169" s="10" t="n">
        <v>0.5638</v>
      </c>
      <c r="CE169" s="6" t="n">
        <v>63.41</v>
      </c>
      <c r="CF169" s="6" t="n">
        <v>38</v>
      </c>
      <c r="CG169" s="7" t="n">
        <v>3.41</v>
      </c>
      <c r="CH169" s="6" t="n">
        <v>23.8</v>
      </c>
      <c r="CI169" s="9" t="n">
        <v>-0.0779</v>
      </c>
      <c r="CJ169" s="9" t="n">
        <v>0.036</v>
      </c>
      <c r="CK169" s="8" t="n">
        <v>82</v>
      </c>
      <c r="CL169" s="10" t="n">
        <v>0.148</v>
      </c>
      <c r="CM169" s="8" t="n">
        <v>21</v>
      </c>
      <c r="CN169" s="10" t="n">
        <v>0.044</v>
      </c>
      <c r="CO169" s="8" t="n">
        <v>18</v>
      </c>
      <c r="CP169" s="7" t="n">
        <v>0.341</v>
      </c>
      <c r="CQ169" s="7" t="n">
        <v>0.121</v>
      </c>
      <c r="CR169" s="4" t="s">
        <v>102</v>
      </c>
      <c r="CS169" s="4"/>
    </row>
    <row r="170" customFormat="false" ht="15" hidden="false" customHeight="false" outlineLevel="0" collapsed="false">
      <c r="A170" s="3" t="n">
        <v>168</v>
      </c>
      <c r="B170" s="4" t="s">
        <v>478</v>
      </c>
      <c r="C170" s="5" t="s">
        <v>99</v>
      </c>
      <c r="D170" s="4" t="s">
        <v>479</v>
      </c>
      <c r="E170" s="4" t="s">
        <v>170</v>
      </c>
      <c r="F170" s="4" t="s">
        <v>99</v>
      </c>
      <c r="G170" s="3" t="n">
        <v>3</v>
      </c>
      <c r="H170" s="6" t="n">
        <v>24.5</v>
      </c>
      <c r="I170" s="3" t="n">
        <v>2</v>
      </c>
      <c r="J170" s="3" t="n">
        <v>7</v>
      </c>
      <c r="K170" s="7" t="n">
        <v>180.35</v>
      </c>
      <c r="L170" s="7" t="n">
        <v>27.53</v>
      </c>
      <c r="M170" s="8" t="n">
        <v>123</v>
      </c>
      <c r="N170" s="8" t="n">
        <v>296</v>
      </c>
      <c r="O170" s="7" t="n">
        <v>180.35</v>
      </c>
      <c r="P170" s="6" t="n">
        <v>13.7</v>
      </c>
      <c r="Q170" s="4" t="s">
        <v>170</v>
      </c>
      <c r="R170" s="8" t="n">
        <v>16</v>
      </c>
      <c r="S170" s="6" t="n">
        <v>69.4</v>
      </c>
      <c r="T170" s="7" t="n">
        <f aca="false">IFERROR(S170/R170,"")</f>
        <v>4.3375</v>
      </c>
      <c r="U170" s="6" t="n">
        <v>54.4</v>
      </c>
      <c r="V170" s="6" t="n">
        <v>39.4</v>
      </c>
      <c r="W170" s="8" t="n">
        <v>74</v>
      </c>
      <c r="X170" s="7" t="n">
        <f aca="false">IFERROR(S170/AH170,"")</f>
        <v>1.54222222222222</v>
      </c>
      <c r="Y170" s="9" t="n">
        <f aca="false">IFERROR(S170/AF170,"")</f>
        <v>0.125045045045045</v>
      </c>
      <c r="Z170" s="6" t="n">
        <v>2.35</v>
      </c>
      <c r="AA170" s="6" t="n">
        <v>4.05</v>
      </c>
      <c r="AB170" s="6" t="n">
        <v>7.6</v>
      </c>
      <c r="AC170" s="10" t="n">
        <v>0</v>
      </c>
      <c r="AD170" s="10" t="n">
        <v>0.188</v>
      </c>
      <c r="AE170" s="7" t="n">
        <v>0.71</v>
      </c>
      <c r="AF170" s="8" t="n">
        <v>555</v>
      </c>
      <c r="AG170" s="10" t="n">
        <v>0.485</v>
      </c>
      <c r="AH170" s="8" t="n">
        <v>45</v>
      </c>
      <c r="AI170" s="8" t="n">
        <v>43</v>
      </c>
      <c r="AJ170" s="6" t="n">
        <f aca="false">IFERROR(AI170/R170,"")</f>
        <v>2.6875</v>
      </c>
      <c r="AK170" s="10" t="n">
        <v>0.084</v>
      </c>
      <c r="AL170" s="10" t="n">
        <v>0.093</v>
      </c>
      <c r="AM170" s="9" t="n">
        <v>0.1911</v>
      </c>
      <c r="AN170" s="8" t="n">
        <v>30</v>
      </c>
      <c r="AO170" s="10" t="n">
        <f aca="false">IFERROR(AN170/AI170,"")</f>
        <v>0.697674418604651</v>
      </c>
      <c r="AP170" s="8" t="n">
        <v>324</v>
      </c>
      <c r="AQ170" s="7" t="n">
        <f aca="false">IFERROR(AP170/AI170,"")</f>
        <v>7.53488372093023</v>
      </c>
      <c r="AR170" s="6" t="n">
        <v>9.256</v>
      </c>
      <c r="AS170" s="7" t="n">
        <v>4.633</v>
      </c>
      <c r="AT170" s="7" t="n">
        <v>0.814</v>
      </c>
      <c r="AU170" s="7"/>
      <c r="AV170" s="7"/>
      <c r="AW170" s="7"/>
      <c r="AX170" s="10" t="n">
        <v>0.0233</v>
      </c>
      <c r="AY170" s="8" t="n">
        <v>2</v>
      </c>
      <c r="AZ170" s="6" t="n">
        <f aca="false">IFERROR(AY170/R170,"")</f>
        <v>0.125</v>
      </c>
      <c r="BA170" s="10" t="n">
        <v>0.0046</v>
      </c>
      <c r="BB170" s="8" t="n">
        <v>10</v>
      </c>
      <c r="BC170" s="7"/>
      <c r="BD170" s="7"/>
      <c r="BE170" s="7"/>
      <c r="BF170" s="8" t="n">
        <v>0</v>
      </c>
      <c r="BG170" s="7"/>
      <c r="BH170" s="6"/>
      <c r="BI170" s="7"/>
      <c r="BJ170" s="8" t="n">
        <v>6</v>
      </c>
      <c r="BK170" s="8" t="n">
        <v>1</v>
      </c>
      <c r="BL170" s="8" t="n">
        <v>0</v>
      </c>
      <c r="BM170" s="8" t="n">
        <v>1</v>
      </c>
      <c r="BN170" s="7" t="n">
        <v>1.38</v>
      </c>
      <c r="BO170" s="7" t="n">
        <f aca="false">IFERROR(BM170-BN170,"")</f>
        <v>-0.38</v>
      </c>
      <c r="BP170" s="9" t="n">
        <f aca="false">IFERROR(BM170/AH170,"")</f>
        <v>0.0222222222222222</v>
      </c>
      <c r="BQ170" s="6" t="n">
        <v>26.9</v>
      </c>
      <c r="BR170" s="6" t="n">
        <v>40.7</v>
      </c>
      <c r="BS170" s="6" t="n">
        <v>23</v>
      </c>
      <c r="BT170" s="7" t="n">
        <v>2.77</v>
      </c>
      <c r="BU170" s="10" t="n">
        <v>0.2195</v>
      </c>
      <c r="BV170" s="10" t="n">
        <v>0.611111111111111</v>
      </c>
      <c r="BW170" s="7" t="n">
        <v>2.614</v>
      </c>
      <c r="BX170" s="10" t="n">
        <v>0.3427</v>
      </c>
      <c r="BY170" s="10" t="n">
        <v>0.0832</v>
      </c>
      <c r="BZ170" s="7" t="n">
        <v>2.37</v>
      </c>
      <c r="CA170" s="10" t="n">
        <v>0.205</v>
      </c>
      <c r="CB170" s="8" t="n">
        <v>1</v>
      </c>
      <c r="CC170" s="10" t="n">
        <v>0.0064</v>
      </c>
      <c r="CD170" s="10" t="n">
        <v>0.579</v>
      </c>
      <c r="CE170" s="6" t="n">
        <v>63.53</v>
      </c>
      <c r="CF170" s="6" t="n">
        <v>39</v>
      </c>
      <c r="CG170" s="7" t="n">
        <v>3.47</v>
      </c>
      <c r="CH170" s="6" t="n">
        <v>21.6</v>
      </c>
      <c r="CI170" s="9" t="n">
        <v>0.0187</v>
      </c>
      <c r="CJ170" s="9" t="n">
        <v>-0.0542</v>
      </c>
      <c r="CK170" s="8" t="n">
        <v>15</v>
      </c>
      <c r="CL170" s="10" t="n">
        <v>0.028</v>
      </c>
      <c r="CM170" s="8" t="n">
        <v>23</v>
      </c>
      <c r="CN170" s="10" t="n">
        <v>0.049</v>
      </c>
      <c r="CO170" s="8" t="n">
        <v>2</v>
      </c>
      <c r="CP170" s="7" t="n">
        <v>-0.835</v>
      </c>
      <c r="CQ170" s="7" t="n">
        <v>-1.186</v>
      </c>
      <c r="CR170" s="4" t="s">
        <v>121</v>
      </c>
      <c r="CS170" s="4"/>
    </row>
    <row r="171" customFormat="false" ht="15" hidden="false" customHeight="false" outlineLevel="0" collapsed="false">
      <c r="A171" s="3" t="n">
        <v>169</v>
      </c>
      <c r="B171" s="4" t="s">
        <v>480</v>
      </c>
      <c r="C171" s="11" t="s">
        <v>104</v>
      </c>
      <c r="D171" s="4" t="s">
        <v>481</v>
      </c>
      <c r="E171" s="4" t="s">
        <v>186</v>
      </c>
      <c r="F171" s="4" t="s">
        <v>104</v>
      </c>
      <c r="G171" s="3" t="n">
        <v>2</v>
      </c>
      <c r="H171" s="6" t="n">
        <v>22.6</v>
      </c>
      <c r="I171" s="3" t="n">
        <v>3</v>
      </c>
      <c r="J171" s="3" t="n">
        <v>13</v>
      </c>
      <c r="K171" s="7" t="n">
        <v>182.34</v>
      </c>
      <c r="L171" s="7" t="n">
        <v>31.3</v>
      </c>
      <c r="M171" s="8" t="n">
        <v>135</v>
      </c>
      <c r="N171" s="8" t="n">
        <v>266</v>
      </c>
      <c r="O171" s="7" t="n">
        <v>182.34</v>
      </c>
      <c r="P171" s="6" t="n">
        <v>16.8</v>
      </c>
      <c r="Q171" s="4" t="s">
        <v>186</v>
      </c>
      <c r="R171" s="8" t="n">
        <v>4</v>
      </c>
      <c r="S171" s="6" t="n">
        <v>15.3</v>
      </c>
      <c r="T171" s="7" t="n">
        <f aca="false">IFERROR(S171/R171,"")</f>
        <v>3.825</v>
      </c>
      <c r="U171" s="6" t="n">
        <v>14.3</v>
      </c>
      <c r="V171" s="6" t="n">
        <v>13.3</v>
      </c>
      <c r="W171" s="8" t="n">
        <v>67</v>
      </c>
      <c r="X171" s="7" t="n">
        <f aca="false">IFERROR(S171/AH171,"")</f>
        <v>0.728571428571429</v>
      </c>
      <c r="Y171" s="9" t="n">
        <f aca="false">IFERROR(S171/AF171,"")</f>
        <v>0.263793103448276</v>
      </c>
      <c r="Z171" s="6" t="n">
        <v>0.98</v>
      </c>
      <c r="AA171" s="6" t="n">
        <v>3.9</v>
      </c>
      <c r="AB171" s="6" t="n">
        <v>6.81</v>
      </c>
      <c r="AC171" s="10" t="n">
        <v>0</v>
      </c>
      <c r="AD171" s="10" t="n">
        <v>0.5</v>
      </c>
      <c r="AE171" s="7" t="n">
        <v>0.883</v>
      </c>
      <c r="AF171" s="8" t="n">
        <v>58</v>
      </c>
      <c r="AG171" s="10" t="n">
        <v>0.232</v>
      </c>
      <c r="AH171" s="8" t="n">
        <v>21</v>
      </c>
      <c r="AI171" s="8" t="n">
        <v>3</v>
      </c>
      <c r="AJ171" s="6" t="n">
        <f aca="false">IFERROR(AI171/R171,"")</f>
        <v>0.75</v>
      </c>
      <c r="AK171" s="10" t="n">
        <v>0.0288</v>
      </c>
      <c r="AL171" s="10" t="n">
        <v>0.0119</v>
      </c>
      <c r="AM171" s="9" t="n">
        <v>0.0515</v>
      </c>
      <c r="AN171" s="8" t="n">
        <v>2</v>
      </c>
      <c r="AO171" s="10"/>
      <c r="AP171" s="8" t="n">
        <v>17</v>
      </c>
      <c r="AQ171" s="7"/>
      <c r="AR171" s="6"/>
      <c r="AS171" s="7"/>
      <c r="AT171" s="7"/>
      <c r="AU171" s="7"/>
      <c r="AV171" s="7"/>
      <c r="AW171" s="7"/>
      <c r="AX171" s="10"/>
      <c r="AY171" s="8" t="n">
        <v>18</v>
      </c>
      <c r="AZ171" s="6" t="n">
        <f aca="false">IFERROR(AY171/R171,"")</f>
        <v>4.5</v>
      </c>
      <c r="BA171" s="10" t="n">
        <v>0.1622</v>
      </c>
      <c r="BB171" s="8" t="n">
        <v>76</v>
      </c>
      <c r="BC171" s="7"/>
      <c r="BD171" s="7"/>
      <c r="BE171" s="7"/>
      <c r="BF171" s="8" t="n">
        <v>0</v>
      </c>
      <c r="BG171" s="7"/>
      <c r="BH171" s="6"/>
      <c r="BI171" s="7"/>
      <c r="BJ171" s="8" t="n">
        <v>8</v>
      </c>
      <c r="BK171" s="8" t="n">
        <v>5</v>
      </c>
      <c r="BL171" s="8" t="n">
        <v>1</v>
      </c>
      <c r="BM171" s="8" t="n">
        <v>1</v>
      </c>
      <c r="BN171" s="7" t="n">
        <v>1.38</v>
      </c>
      <c r="BO171" s="7" t="n">
        <f aca="false">IFERROR(BM171-BN171,"")</f>
        <v>-0.38</v>
      </c>
      <c r="BP171" s="9" t="n">
        <f aca="false">IFERROR(BM171/AH171,"")</f>
        <v>0.0476190476190476</v>
      </c>
      <c r="BQ171" s="6" t="n">
        <v>38.6</v>
      </c>
      <c r="BR171" s="6" t="n">
        <v>56.3</v>
      </c>
      <c r="BS171" s="6" t="n">
        <v>25.8</v>
      </c>
      <c r="BT171" s="7" t="n">
        <v>2.892</v>
      </c>
      <c r="BU171" s="10" t="n">
        <v>0.1813</v>
      </c>
      <c r="BV171" s="10" t="n">
        <v>0.739130434782609</v>
      </c>
      <c r="BW171" s="7" t="n">
        <v>2.899</v>
      </c>
      <c r="BX171" s="10" t="n">
        <v>0.3117</v>
      </c>
      <c r="BY171" s="10" t="n">
        <v>0.0989</v>
      </c>
      <c r="BZ171" s="7" t="n">
        <v>2.423</v>
      </c>
      <c r="CA171" s="10" t="n">
        <v>0.808</v>
      </c>
      <c r="CB171" s="8" t="n">
        <v>3</v>
      </c>
      <c r="CC171" s="10" t="n">
        <v>-0.0877</v>
      </c>
      <c r="CD171" s="10" t="n">
        <v>0.4319</v>
      </c>
      <c r="CE171" s="6" t="n">
        <v>59.35</v>
      </c>
      <c r="CF171" s="6" t="n">
        <v>38</v>
      </c>
      <c r="CG171" s="7" t="n">
        <v>2.47</v>
      </c>
      <c r="CH171" s="6" t="n">
        <v>17.6</v>
      </c>
      <c r="CI171" s="9" t="n">
        <v>-0.061</v>
      </c>
      <c r="CJ171" s="9" t="n">
        <v>-0.1799</v>
      </c>
      <c r="CK171" s="8" t="n">
        <v>76</v>
      </c>
      <c r="CL171" s="10" t="n">
        <v>0.161</v>
      </c>
      <c r="CM171" s="8" t="n">
        <v>117</v>
      </c>
      <c r="CN171" s="10" t="n">
        <v>0.257</v>
      </c>
      <c r="CO171" s="8" t="n">
        <v>27</v>
      </c>
      <c r="CP171" s="7" t="n">
        <v>-0.953</v>
      </c>
      <c r="CQ171" s="7" t="n">
        <v>-0.647</v>
      </c>
      <c r="CR171" s="4" t="s">
        <v>121</v>
      </c>
      <c r="CS171" s="4"/>
    </row>
    <row r="172" customFormat="false" ht="15" hidden="false" customHeight="false" outlineLevel="0" collapsed="false">
      <c r="A172" s="3" t="n">
        <v>170</v>
      </c>
      <c r="B172" s="4" t="s">
        <v>482</v>
      </c>
      <c r="C172" s="5" t="s">
        <v>99</v>
      </c>
      <c r="D172" s="4" t="s">
        <v>483</v>
      </c>
      <c r="E172" s="4" t="s">
        <v>120</v>
      </c>
      <c r="F172" s="4" t="s">
        <v>99</v>
      </c>
      <c r="G172" s="3" t="n">
        <v>3</v>
      </c>
      <c r="H172" s="6" t="n">
        <v>26.8</v>
      </c>
      <c r="I172" s="3" t="n">
        <v>3</v>
      </c>
      <c r="J172" s="3" t="n">
        <v>14</v>
      </c>
      <c r="K172" s="7" t="n">
        <v>182.63</v>
      </c>
      <c r="L172" s="7" t="n">
        <v>25.51</v>
      </c>
      <c r="M172" s="8" t="n">
        <v>149</v>
      </c>
      <c r="N172" s="8" t="n">
        <v>327</v>
      </c>
      <c r="O172" s="7" t="n">
        <v>182.63</v>
      </c>
      <c r="P172" s="6" t="n">
        <v>13</v>
      </c>
      <c r="Q172" s="4" t="s">
        <v>120</v>
      </c>
      <c r="R172" s="8" t="n">
        <v>15</v>
      </c>
      <c r="S172" s="6" t="n">
        <v>114</v>
      </c>
      <c r="T172" s="7" t="n">
        <f aca="false">IFERROR(S172/R172,"")</f>
        <v>7.6</v>
      </c>
      <c r="U172" s="6" t="n">
        <v>94</v>
      </c>
      <c r="V172" s="6" t="n">
        <v>74</v>
      </c>
      <c r="W172" s="8" t="n">
        <v>56</v>
      </c>
      <c r="X172" s="7" t="n">
        <f aca="false">IFERROR(S172/AH172,"")</f>
        <v>1.9</v>
      </c>
      <c r="Y172" s="9" t="n">
        <f aca="false">IFERROR(S172/AF172,"")</f>
        <v>0.237995824634656</v>
      </c>
      <c r="Z172" s="6" t="n">
        <v>2.9</v>
      </c>
      <c r="AA172" s="6" t="n">
        <v>6.4</v>
      </c>
      <c r="AB172" s="6" t="n">
        <v>11.6</v>
      </c>
      <c r="AC172" s="10" t="n">
        <v>0.067</v>
      </c>
      <c r="AD172" s="10" t="n">
        <v>0.267</v>
      </c>
      <c r="AE172" s="7" t="n">
        <v>1.13</v>
      </c>
      <c r="AF172" s="8" t="n">
        <v>479</v>
      </c>
      <c r="AG172" s="10" t="n">
        <v>0.448</v>
      </c>
      <c r="AH172" s="8" t="n">
        <v>60</v>
      </c>
      <c r="AI172" s="8" t="n">
        <v>56</v>
      </c>
      <c r="AJ172" s="6" t="n">
        <f aca="false">IFERROR(AI172/R172,"")</f>
        <v>3.73333333333333</v>
      </c>
      <c r="AK172" s="10" t="n">
        <v>0.1041</v>
      </c>
      <c r="AL172" s="10" t="n">
        <v>0.1107</v>
      </c>
      <c r="AM172" s="9" t="n">
        <v>0.2336</v>
      </c>
      <c r="AN172" s="8" t="n">
        <v>40</v>
      </c>
      <c r="AO172" s="10" t="n">
        <f aca="false">IFERROR(AN172/AI172,"")</f>
        <v>0.714285714285714</v>
      </c>
      <c r="AP172" s="8" t="n">
        <v>475</v>
      </c>
      <c r="AQ172" s="7" t="n">
        <f aca="false">IFERROR(AP172/AI172,"")</f>
        <v>8.48214285714286</v>
      </c>
      <c r="AR172" s="6" t="n">
        <v>8.321</v>
      </c>
      <c r="AS172" s="7" t="n">
        <v>5.1</v>
      </c>
      <c r="AT172" s="7" t="n">
        <v>1.019</v>
      </c>
      <c r="AU172" s="7" t="n">
        <v>3.04081483374996</v>
      </c>
      <c r="AV172" s="7" t="n">
        <v>6.30471698113208</v>
      </c>
      <c r="AW172" s="7" t="n">
        <v>0.65235875249429</v>
      </c>
      <c r="AX172" s="10" t="n">
        <v>0.0357</v>
      </c>
      <c r="AY172" s="8" t="n">
        <v>4</v>
      </c>
      <c r="AZ172" s="6" t="n">
        <f aca="false">IFERROR(AY172/R172,"")</f>
        <v>0.266666666666667</v>
      </c>
      <c r="BA172" s="10" t="n">
        <v>0.01</v>
      </c>
      <c r="BB172" s="8" t="n">
        <v>25</v>
      </c>
      <c r="BC172" s="7"/>
      <c r="BD172" s="7"/>
      <c r="BE172" s="7"/>
      <c r="BF172" s="8" t="n">
        <v>0</v>
      </c>
      <c r="BG172" s="7"/>
      <c r="BH172" s="6"/>
      <c r="BI172" s="7"/>
      <c r="BJ172" s="8" t="n">
        <v>7</v>
      </c>
      <c r="BK172" s="8" t="n">
        <v>5</v>
      </c>
      <c r="BL172" s="8" t="n">
        <v>4</v>
      </c>
      <c r="BM172" s="8" t="n">
        <v>4</v>
      </c>
      <c r="BN172" s="7" t="n">
        <v>3.22</v>
      </c>
      <c r="BO172" s="7" t="n">
        <f aca="false">IFERROR(BM172-BN172,"")</f>
        <v>0.78</v>
      </c>
      <c r="BP172" s="9" t="n">
        <f aca="false">IFERROR(BM172/AH172,"")</f>
        <v>0.0666666666666667</v>
      </c>
      <c r="BQ172" s="6" t="n">
        <v>65.1</v>
      </c>
      <c r="BR172" s="6" t="n">
        <v>61.6</v>
      </c>
      <c r="BS172" s="6" t="n">
        <v>62.2</v>
      </c>
      <c r="BT172" s="7" t="n">
        <v>3.074</v>
      </c>
      <c r="BU172" s="10" t="n">
        <v>0.1352</v>
      </c>
      <c r="BV172" s="10" t="n">
        <v>0.705882352941177</v>
      </c>
      <c r="BW172" s="7" t="n">
        <v>2.563</v>
      </c>
      <c r="BX172" s="10" t="n">
        <v>0.2356</v>
      </c>
      <c r="BY172" s="10" t="n">
        <v>0.044</v>
      </c>
      <c r="BZ172" s="7" t="n">
        <v>2.396</v>
      </c>
      <c r="CA172" s="10" t="n">
        <v>0.848</v>
      </c>
      <c r="CB172" s="8" t="n">
        <v>5</v>
      </c>
      <c r="CC172" s="10" t="n">
        <v>-0.0098</v>
      </c>
      <c r="CD172" s="10" t="n">
        <v>0.5628</v>
      </c>
      <c r="CE172" s="6" t="n">
        <v>64.94</v>
      </c>
      <c r="CF172" s="6" t="n">
        <v>36</v>
      </c>
      <c r="CG172" s="7" t="n">
        <v>3.82</v>
      </c>
      <c r="CH172" s="6" t="n">
        <v>27.7</v>
      </c>
      <c r="CI172" s="9" t="n">
        <v>0.005</v>
      </c>
      <c r="CJ172" s="9" t="n">
        <v>0.1615</v>
      </c>
      <c r="CK172" s="8" t="n">
        <v>34</v>
      </c>
      <c r="CL172" s="10" t="n">
        <v>0.056</v>
      </c>
      <c r="CM172" s="8" t="n">
        <v>0</v>
      </c>
      <c r="CN172" s="10" t="n">
        <v>0</v>
      </c>
      <c r="CO172" s="8" t="n">
        <v>4</v>
      </c>
      <c r="CP172" s="7" t="n">
        <v>-0.011</v>
      </c>
      <c r="CQ172" s="7" t="n">
        <v>-0.274</v>
      </c>
      <c r="CR172" s="4" t="s">
        <v>102</v>
      </c>
      <c r="CS172" s="4"/>
    </row>
    <row r="173" customFormat="false" ht="15" hidden="false" customHeight="false" outlineLevel="0" collapsed="false">
      <c r="A173" s="3" t="n">
        <v>171</v>
      </c>
      <c r="B173" s="4" t="s">
        <v>484</v>
      </c>
      <c r="C173" s="12" t="s">
        <v>149</v>
      </c>
      <c r="D173" s="4" t="s">
        <v>485</v>
      </c>
      <c r="E173" s="4" t="s">
        <v>127</v>
      </c>
      <c r="F173" s="4" t="s">
        <v>149</v>
      </c>
      <c r="G173" s="3" t="n">
        <v>1</v>
      </c>
      <c r="H173" s="6" t="n">
        <v>29.1</v>
      </c>
      <c r="I173" s="3" t="n">
        <v>8</v>
      </c>
      <c r="J173" s="3" t="n">
        <v>6</v>
      </c>
      <c r="K173" s="7" t="n">
        <v>191.24</v>
      </c>
      <c r="L173" s="7" t="n">
        <v>21.43</v>
      </c>
      <c r="M173" s="8" t="n">
        <v>124</v>
      </c>
      <c r="N173" s="8" t="n">
        <v>246</v>
      </c>
      <c r="O173" s="7" t="n">
        <v>191.24</v>
      </c>
      <c r="P173" s="6" t="n">
        <v>49.7</v>
      </c>
      <c r="Q173" s="4" t="s">
        <v>127</v>
      </c>
      <c r="R173" s="8" t="n">
        <v>15</v>
      </c>
      <c r="S173" s="6" t="n">
        <v>112.8</v>
      </c>
      <c r="T173" s="7" t="n">
        <f aca="false">IFERROR(S173/R173,"")</f>
        <v>7.52</v>
      </c>
      <c r="U173" s="6" t="n">
        <v>87.3</v>
      </c>
      <c r="V173" s="6" t="n">
        <v>61.8</v>
      </c>
      <c r="W173" s="8" t="n">
        <v>24</v>
      </c>
      <c r="X173" s="7" t="n">
        <f aca="false">IFERROR(S173/AH173,"")</f>
        <v>1.68358208955224</v>
      </c>
      <c r="Y173" s="9" t="n">
        <f aca="false">IFERROR(S173/AF173,"")</f>
        <v>0.163241678726483</v>
      </c>
      <c r="Z173" s="6" t="n">
        <v>4.55</v>
      </c>
      <c r="AA173" s="6" t="n">
        <v>7.9</v>
      </c>
      <c r="AB173" s="6" t="n">
        <v>10.57</v>
      </c>
      <c r="AC173" s="10" t="n">
        <v>0.067</v>
      </c>
      <c r="AD173" s="10" t="n">
        <v>0.133</v>
      </c>
      <c r="AE173" s="7" t="n">
        <v>0.511</v>
      </c>
      <c r="AF173" s="8" t="n">
        <v>691</v>
      </c>
      <c r="AG173" s="10" t="n">
        <v>0.779</v>
      </c>
      <c r="AH173" s="8" t="n">
        <v>67</v>
      </c>
      <c r="AI173" s="8" t="n">
        <v>66</v>
      </c>
      <c r="AJ173" s="6" t="n">
        <f aca="false">IFERROR(AI173/R173,"")</f>
        <v>4.4</v>
      </c>
      <c r="AK173" s="10" t="n">
        <v>0.1557</v>
      </c>
      <c r="AL173" s="10" t="n">
        <v>0.0947</v>
      </c>
      <c r="AM173" s="9" t="n">
        <v>0.2998</v>
      </c>
      <c r="AN173" s="8" t="n">
        <v>51</v>
      </c>
      <c r="AO173" s="10" t="n">
        <f aca="false">IFERROR(AN173/AI173,"")</f>
        <v>0.772727272727273</v>
      </c>
      <c r="AP173" s="8" t="n">
        <v>438</v>
      </c>
      <c r="AQ173" s="7" t="n">
        <f aca="false">IFERROR(AP173/AI173,"")</f>
        <v>6.63636363636364</v>
      </c>
      <c r="AR173" s="6" t="n">
        <v>4.985</v>
      </c>
      <c r="AS173" s="7" t="n">
        <v>4.294</v>
      </c>
      <c r="AT173" s="7" t="n">
        <v>1.331</v>
      </c>
      <c r="AU173" s="7" t="n">
        <v>3.75453022718054</v>
      </c>
      <c r="AV173" s="7" t="n">
        <v>6.19933333333333</v>
      </c>
      <c r="AW173" s="7" t="n">
        <v>-0.148333656963932</v>
      </c>
      <c r="AX173" s="10" t="n">
        <v>0.0455</v>
      </c>
      <c r="AY173" s="8" t="n">
        <v>1</v>
      </c>
      <c r="AZ173" s="6" t="n">
        <f aca="false">IFERROR(AY173/R173,"")</f>
        <v>0.0666666666666667</v>
      </c>
      <c r="BA173" s="10" t="n">
        <v>0.0028</v>
      </c>
      <c r="BB173" s="8" t="n">
        <v>0</v>
      </c>
      <c r="BC173" s="7"/>
      <c r="BD173" s="7"/>
      <c r="BE173" s="7"/>
      <c r="BF173" s="8" t="n">
        <v>0</v>
      </c>
      <c r="BG173" s="7"/>
      <c r="BH173" s="6"/>
      <c r="BI173" s="7"/>
      <c r="BJ173" s="8" t="n">
        <v>12</v>
      </c>
      <c r="BK173" s="8" t="n">
        <v>3</v>
      </c>
      <c r="BL173" s="8" t="n">
        <v>2</v>
      </c>
      <c r="BM173" s="8" t="n">
        <v>3</v>
      </c>
      <c r="BN173" s="7" t="n">
        <v>3.36</v>
      </c>
      <c r="BO173" s="7" t="n">
        <f aca="false">IFERROR(BM173-BN173,"")</f>
        <v>-0.36</v>
      </c>
      <c r="BP173" s="9" t="n">
        <f aca="false">IFERROR(BM173/AH173,"")</f>
        <v>0.0447761194029851</v>
      </c>
      <c r="BQ173" s="6" t="n">
        <v>36</v>
      </c>
      <c r="BR173" s="6" t="n">
        <v>51.8</v>
      </c>
      <c r="BS173" s="6" t="n">
        <v>26.2</v>
      </c>
      <c r="BT173" s="7" t="n">
        <v>2.961</v>
      </c>
      <c r="BU173" s="10" t="n">
        <v>0.1751</v>
      </c>
      <c r="BV173" s="10" t="n">
        <v>0.7</v>
      </c>
      <c r="BW173" s="7" t="n">
        <v>2.441</v>
      </c>
      <c r="BX173" s="10" t="n">
        <v>0.3037</v>
      </c>
      <c r="BY173" s="10" t="n">
        <v>0.1028</v>
      </c>
      <c r="BZ173" s="7" t="n">
        <v>2.429</v>
      </c>
      <c r="CA173" s="10" t="n">
        <v>0.819</v>
      </c>
      <c r="CB173" s="8" t="n">
        <v>5</v>
      </c>
      <c r="CC173" s="10" t="n">
        <v>-0.012</v>
      </c>
      <c r="CD173" s="10" t="n">
        <v>0.5369</v>
      </c>
      <c r="CE173" s="6" t="n">
        <v>55.47</v>
      </c>
      <c r="CF173" s="6" t="n">
        <v>39</v>
      </c>
      <c r="CG173" s="7" t="n">
        <v>3.12</v>
      </c>
      <c r="CH173" s="6" t="n">
        <v>20.2</v>
      </c>
      <c r="CI173" s="9" t="n">
        <v>-0.0149</v>
      </c>
      <c r="CJ173" s="9" t="n">
        <v>-0.1883</v>
      </c>
      <c r="CK173" s="8" t="n">
        <v>82</v>
      </c>
      <c r="CL173" s="10" t="n">
        <v>0.175</v>
      </c>
      <c r="CM173" s="8" t="n">
        <v>24</v>
      </c>
      <c r="CN173" s="10" t="n">
        <v>0.059</v>
      </c>
      <c r="CO173" s="8" t="n">
        <v>17</v>
      </c>
      <c r="CP173" s="7" t="n">
        <v>-0.237</v>
      </c>
      <c r="CQ173" s="7" t="n">
        <v>-0.282</v>
      </c>
      <c r="CR173" s="4" t="s">
        <v>102</v>
      </c>
      <c r="CS173" s="4"/>
    </row>
    <row r="174" customFormat="false" ht="15" hidden="false" customHeight="false" outlineLevel="0" collapsed="false">
      <c r="A174" s="3" t="n">
        <v>172</v>
      </c>
      <c r="B174" s="4" t="s">
        <v>486</v>
      </c>
      <c r="C174" s="5" t="s">
        <v>99</v>
      </c>
      <c r="D174" s="4" t="s">
        <v>487</v>
      </c>
      <c r="E174" s="4" t="s">
        <v>142</v>
      </c>
      <c r="F174" s="4" t="s">
        <v>99</v>
      </c>
      <c r="G174" s="3" t="n">
        <v>2</v>
      </c>
      <c r="H174" s="6" t="n">
        <v>27.5</v>
      </c>
      <c r="I174" s="3" t="n">
        <v>5</v>
      </c>
      <c r="J174" s="3" t="n">
        <v>13</v>
      </c>
      <c r="K174" s="7" t="n">
        <v>192.56</v>
      </c>
      <c r="L174" s="7" t="n">
        <v>42.21</v>
      </c>
      <c r="M174" s="8" t="n">
        <v>123</v>
      </c>
      <c r="N174" s="8" t="n">
        <v>305</v>
      </c>
      <c r="O174" s="7" t="n">
        <v>192.56</v>
      </c>
      <c r="P174" s="6" t="n">
        <v>26.3</v>
      </c>
      <c r="Q174" s="4" t="s">
        <v>127</v>
      </c>
      <c r="R174" s="8" t="n">
        <v>17</v>
      </c>
      <c r="S174" s="6" t="n">
        <v>100.7</v>
      </c>
      <c r="T174" s="7" t="n">
        <f aca="false">IFERROR(S174/R174,"")</f>
        <v>5.92352941176471</v>
      </c>
      <c r="U174" s="6" t="n">
        <v>86.2</v>
      </c>
      <c r="V174" s="6" t="n">
        <v>71.7</v>
      </c>
      <c r="W174" s="8" t="n">
        <v>59</v>
      </c>
      <c r="X174" s="7" t="n">
        <f aca="false">IFERROR(S174/AH174,"")</f>
        <v>1.83090909090909</v>
      </c>
      <c r="Y174" s="9" t="n">
        <f aca="false">IFERROR(S174/AF174,"")</f>
        <v>0.154211332312404</v>
      </c>
      <c r="Z174" s="6" t="n">
        <v>0</v>
      </c>
      <c r="AA174" s="6" t="n">
        <v>5.7</v>
      </c>
      <c r="AB174" s="6" t="n">
        <v>8.68</v>
      </c>
      <c r="AC174" s="10" t="n">
        <v>0.118</v>
      </c>
      <c r="AD174" s="10" t="n">
        <v>0.294</v>
      </c>
      <c r="AE174" s="7" t="n">
        <v>1.168</v>
      </c>
      <c r="AF174" s="8" t="n">
        <v>653</v>
      </c>
      <c r="AG174" s="10" t="n">
        <v>0.654</v>
      </c>
      <c r="AH174" s="8" t="n">
        <v>55</v>
      </c>
      <c r="AI174" s="8" t="n">
        <v>53</v>
      </c>
      <c r="AJ174" s="6" t="n">
        <f aca="false">IFERROR(AI174/R174,"")</f>
        <v>3.11764705882353</v>
      </c>
      <c r="AK174" s="10" t="n">
        <v>0.1132</v>
      </c>
      <c r="AL174" s="10" t="n">
        <v>0.1761</v>
      </c>
      <c r="AM174" s="9" t="n">
        <v>0.2931</v>
      </c>
      <c r="AN174" s="8" t="n">
        <v>29</v>
      </c>
      <c r="AO174" s="10" t="n">
        <f aca="false">IFERROR(AN174/AI174,"")</f>
        <v>0.547169811320755</v>
      </c>
      <c r="AP174" s="8" t="n">
        <v>444</v>
      </c>
      <c r="AQ174" s="7" t="n">
        <f aca="false">IFERROR(AP174/AI174,"")</f>
        <v>8.37735849056604</v>
      </c>
      <c r="AR174" s="6" t="n">
        <v>12.377</v>
      </c>
      <c r="AS174" s="7" t="n">
        <v>3.862</v>
      </c>
      <c r="AT174" s="7" t="n">
        <v>0.677</v>
      </c>
      <c r="AU174" s="7" t="n">
        <v>2.43189356834246</v>
      </c>
      <c r="AV174" s="7" t="n">
        <v>5.55163265306122</v>
      </c>
      <c r="AW174" s="7" t="n">
        <v>1.37515578928028</v>
      </c>
      <c r="AX174" s="10" t="n">
        <v>0.0189</v>
      </c>
      <c r="AY174" s="8" t="n">
        <v>2</v>
      </c>
      <c r="AZ174" s="6" t="n">
        <f aca="false">IFERROR(AY174/R174,"")</f>
        <v>0.117647058823529</v>
      </c>
      <c r="BA174" s="10" t="n">
        <v>0.0049</v>
      </c>
      <c r="BB174" s="8" t="n">
        <v>13</v>
      </c>
      <c r="BC174" s="7"/>
      <c r="BD174" s="7"/>
      <c r="BE174" s="7"/>
      <c r="BF174" s="8" t="n">
        <v>0</v>
      </c>
      <c r="BG174" s="7"/>
      <c r="BH174" s="6"/>
      <c r="BI174" s="7"/>
      <c r="BJ174" s="8" t="n">
        <v>12</v>
      </c>
      <c r="BK174" s="8" t="n">
        <v>6</v>
      </c>
      <c r="BL174" s="8" t="n">
        <v>4</v>
      </c>
      <c r="BM174" s="8" t="n">
        <v>4</v>
      </c>
      <c r="BN174" s="7" t="n">
        <v>4.24</v>
      </c>
      <c r="BO174" s="7" t="n">
        <f aca="false">IFERROR(BM174-BN174,"")</f>
        <v>-0.24</v>
      </c>
      <c r="BP174" s="9" t="n">
        <f aca="false">IFERROR(BM174/AH174,"")</f>
        <v>0.0727272727272727</v>
      </c>
      <c r="BQ174" s="6" t="n">
        <v>15.2</v>
      </c>
      <c r="BR174" s="6" t="n">
        <v>7.8</v>
      </c>
      <c r="BS174" s="6" t="n">
        <v>37.5</v>
      </c>
      <c r="BT174" s="7" t="n">
        <v>2.49</v>
      </c>
      <c r="BU174" s="10" t="n">
        <v>0.2502</v>
      </c>
      <c r="BV174" s="10" t="n">
        <v>0.366666666666667</v>
      </c>
      <c r="BW174" s="7" t="n">
        <v>1.629</v>
      </c>
      <c r="BX174" s="10" t="n">
        <v>0.2641</v>
      </c>
      <c r="BY174" s="10" t="n">
        <v>0.1019</v>
      </c>
      <c r="BZ174" s="7" t="n">
        <v>2.487</v>
      </c>
      <c r="CA174" s="10" t="n">
        <v>0.384</v>
      </c>
      <c r="CB174" s="8" t="n">
        <v>2</v>
      </c>
      <c r="CC174" s="10" t="n">
        <v>-0.0175</v>
      </c>
      <c r="CD174" s="10" t="n">
        <v>0.5679</v>
      </c>
      <c r="CE174" s="6" t="n">
        <v>55.41</v>
      </c>
      <c r="CF174" s="6" t="n">
        <v>38</v>
      </c>
      <c r="CG174" s="7" t="n">
        <v>2.24</v>
      </c>
      <c r="CH174" s="6" t="n">
        <v>14.2</v>
      </c>
      <c r="CI174" s="9" t="n">
        <v>-0.2605</v>
      </c>
      <c r="CJ174" s="9" t="n">
        <v>-0.187</v>
      </c>
      <c r="CK174" s="8" t="n">
        <v>55</v>
      </c>
      <c r="CL174" s="10" t="n">
        <v>0.111</v>
      </c>
      <c r="CM174" s="8" t="n">
        <v>58</v>
      </c>
      <c r="CN174" s="10" t="n">
        <v>0.157</v>
      </c>
      <c r="CO174" s="8" t="n">
        <v>13</v>
      </c>
      <c r="CP174" s="7" t="n">
        <v>-0.107</v>
      </c>
      <c r="CQ174" s="7" t="n">
        <v>-0.764</v>
      </c>
      <c r="CR174" s="4" t="s">
        <v>102</v>
      </c>
      <c r="CS174" s="4"/>
    </row>
    <row r="175" customFormat="false" ht="15" hidden="false" customHeight="false" outlineLevel="0" collapsed="false">
      <c r="A175" s="3" t="n">
        <v>173</v>
      </c>
      <c r="B175" s="4" t="s">
        <v>488</v>
      </c>
      <c r="C175" s="11" t="s">
        <v>104</v>
      </c>
      <c r="D175" s="4" t="s">
        <v>489</v>
      </c>
      <c r="E175" s="4" t="s">
        <v>147</v>
      </c>
      <c r="F175" s="4" t="s">
        <v>281</v>
      </c>
      <c r="G175" s="3" t="n">
        <v>1</v>
      </c>
      <c r="H175" s="6" t="n">
        <v>26.7</v>
      </c>
      <c r="I175" s="3" t="n">
        <v>3</v>
      </c>
      <c r="J175" s="3" t="n">
        <v>7</v>
      </c>
      <c r="K175" s="7" t="n">
        <v>192.99</v>
      </c>
      <c r="L175" s="7" t="n">
        <v>30.27</v>
      </c>
      <c r="M175" s="8" t="n">
        <v>143</v>
      </c>
      <c r="N175" s="8" t="n">
        <v>263</v>
      </c>
      <c r="O175" s="7" t="n">
        <v>192.99</v>
      </c>
      <c r="P175" s="6" t="n">
        <v>13.5</v>
      </c>
      <c r="Q175" s="4" t="s">
        <v>147</v>
      </c>
      <c r="R175" s="8" t="n">
        <v>17</v>
      </c>
      <c r="S175" s="6" t="n">
        <v>64.1</v>
      </c>
      <c r="T175" s="7" t="n">
        <f aca="false">IFERROR(S175/R175,"")</f>
        <v>3.77058823529412</v>
      </c>
      <c r="U175" s="6" t="n">
        <v>59.1</v>
      </c>
      <c r="V175" s="6" t="n">
        <v>54.1</v>
      </c>
      <c r="W175" s="8" t="n">
        <v>55</v>
      </c>
      <c r="X175" s="7" t="n">
        <f aca="false">IFERROR(S175/AH175,"")</f>
        <v>0.902816901408451</v>
      </c>
      <c r="Y175" s="9" t="n">
        <f aca="false">IFERROR(S175/AF175,"")</f>
        <v>0.381547619047619</v>
      </c>
      <c r="Z175" s="6" t="n">
        <v>0.1</v>
      </c>
      <c r="AA175" s="6" t="n">
        <v>1.6</v>
      </c>
      <c r="AB175" s="6" t="n">
        <v>6.12</v>
      </c>
      <c r="AC175" s="10" t="n">
        <v>0.059</v>
      </c>
      <c r="AD175" s="10" t="n">
        <v>0.647</v>
      </c>
      <c r="AE175" s="7" t="n">
        <v>3.914</v>
      </c>
      <c r="AF175" s="8" t="n">
        <v>168</v>
      </c>
      <c r="AG175" s="10" t="n">
        <v>0.143</v>
      </c>
      <c r="AH175" s="8" t="n">
        <v>71</v>
      </c>
      <c r="AI175" s="8" t="n">
        <v>13</v>
      </c>
      <c r="AJ175" s="6" t="n">
        <f aca="false">IFERROR(AI175/R175,"")</f>
        <v>0.764705882352941</v>
      </c>
      <c r="AK175" s="10" t="n">
        <v>0.0271</v>
      </c>
      <c r="AL175" s="10" t="n">
        <v>0.0003</v>
      </c>
      <c r="AM175" s="9" t="n">
        <v>0.0409</v>
      </c>
      <c r="AN175" s="8" t="n">
        <v>10</v>
      </c>
      <c r="AO175" s="10" t="n">
        <f aca="false">IFERROR(AN175/AI175,"")</f>
        <v>0.769230769230769</v>
      </c>
      <c r="AP175" s="8" t="n">
        <v>86</v>
      </c>
      <c r="AQ175" s="7" t="n">
        <f aca="false">IFERROR(AP175/AI175,"")</f>
        <v>6.61538461538462</v>
      </c>
      <c r="AR175" s="6" t="n">
        <v>0.077</v>
      </c>
      <c r="AS175" s="7" t="n">
        <v>9.9</v>
      </c>
      <c r="AT175" s="7" t="n">
        <v>86</v>
      </c>
      <c r="AU175" s="7"/>
      <c r="AV175" s="7"/>
      <c r="AW175" s="7"/>
      <c r="AX175" s="10" t="n">
        <v>0.1538</v>
      </c>
      <c r="AY175" s="8" t="n">
        <v>58</v>
      </c>
      <c r="AZ175" s="6" t="n">
        <f aca="false">IFERROR(AY175/R175,"")</f>
        <v>3.41176470588235</v>
      </c>
      <c r="BA175" s="10" t="n">
        <v>0.106</v>
      </c>
      <c r="BB175" s="8" t="n">
        <v>275</v>
      </c>
      <c r="BC175" s="7" t="n">
        <f aca="false">IFERROR(BB175/AY175,"")</f>
        <v>4.74137931034483</v>
      </c>
      <c r="BD175" s="7" t="n">
        <v>2.5</v>
      </c>
      <c r="BE175" s="7" t="n">
        <v>2.241</v>
      </c>
      <c r="BF175" s="8" t="n">
        <v>3</v>
      </c>
      <c r="BG175" s="7"/>
      <c r="BH175" s="6"/>
      <c r="BI175" s="7"/>
      <c r="BJ175" s="8" t="n">
        <v>11</v>
      </c>
      <c r="BK175" s="8" t="n">
        <v>5</v>
      </c>
      <c r="BL175" s="8" t="n">
        <v>4</v>
      </c>
      <c r="BM175" s="8" t="n">
        <v>2</v>
      </c>
      <c r="BN175" s="7" t="n">
        <v>2.98</v>
      </c>
      <c r="BO175" s="7" t="n">
        <f aca="false">IFERROR(BM175-BN175,"")</f>
        <v>-0.98</v>
      </c>
      <c r="BP175" s="9" t="n">
        <f aca="false">IFERROR(BM175/AH175,"")</f>
        <v>0.028169014084507</v>
      </c>
      <c r="BQ175" s="6" t="n">
        <v>73.6</v>
      </c>
      <c r="BR175" s="6" t="n">
        <v>72.8</v>
      </c>
      <c r="BS175" s="6" t="n">
        <v>64.4</v>
      </c>
      <c r="BT175" s="7" t="n">
        <v>3.397</v>
      </c>
      <c r="BU175" s="10" t="n">
        <v>0.1265</v>
      </c>
      <c r="BV175" s="10" t="n">
        <v>0.540540540540541</v>
      </c>
      <c r="BW175" s="7" t="n">
        <v>2.905</v>
      </c>
      <c r="BX175" s="10" t="n">
        <v>0.2</v>
      </c>
      <c r="BY175" s="10" t="n">
        <v>0.0702</v>
      </c>
      <c r="BZ175" s="7" t="n">
        <v>2.507</v>
      </c>
      <c r="CA175" s="10" t="n">
        <v>0.763</v>
      </c>
      <c r="CB175" s="8" t="n">
        <v>4</v>
      </c>
      <c r="CC175" s="10" t="n">
        <v>-0.0352</v>
      </c>
      <c r="CD175" s="10" t="n">
        <v>0.5028</v>
      </c>
      <c r="CE175" s="6" t="n">
        <v>62.65</v>
      </c>
      <c r="CF175" s="6" t="n">
        <v>40</v>
      </c>
      <c r="CG175" s="7" t="n">
        <v>4</v>
      </c>
      <c r="CH175" s="6" t="n">
        <v>28.3</v>
      </c>
      <c r="CI175" s="9" t="n">
        <v>0.1102</v>
      </c>
      <c r="CJ175" s="9" t="n">
        <v>0.1599</v>
      </c>
      <c r="CK175" s="8" t="n">
        <v>19</v>
      </c>
      <c r="CL175" s="10" t="n">
        <v>0.04</v>
      </c>
      <c r="CM175" s="8" t="n">
        <v>17</v>
      </c>
      <c r="CN175" s="10" t="n">
        <v>0.031</v>
      </c>
      <c r="CO175" s="8" t="n">
        <v>2</v>
      </c>
      <c r="CP175" s="7" t="n">
        <v>-0.392</v>
      </c>
      <c r="CQ175" s="7" t="n">
        <v>-0.655</v>
      </c>
      <c r="CR175" s="4" t="s">
        <v>121</v>
      </c>
      <c r="CS175" s="4"/>
    </row>
    <row r="176" customFormat="false" ht="15" hidden="false" customHeight="false" outlineLevel="0" collapsed="false">
      <c r="A176" s="3" t="n">
        <v>174</v>
      </c>
      <c r="B176" s="4" t="s">
        <v>490</v>
      </c>
      <c r="C176" s="11" t="s">
        <v>104</v>
      </c>
      <c r="D176" s="4" t="s">
        <v>491</v>
      </c>
      <c r="E176" s="4" t="s">
        <v>151</v>
      </c>
      <c r="F176" s="4" t="s">
        <v>104</v>
      </c>
      <c r="G176" s="3" t="n">
        <v>3</v>
      </c>
      <c r="H176" s="6" t="n">
        <v>31.3</v>
      </c>
      <c r="I176" s="3" t="n">
        <v>10</v>
      </c>
      <c r="J176" s="3" t="n">
        <v>14</v>
      </c>
      <c r="K176" s="7" t="n">
        <v>194.7</v>
      </c>
      <c r="L176" s="7" t="n">
        <v>41.07</v>
      </c>
      <c r="M176" s="8" t="n">
        <v>117</v>
      </c>
      <c r="N176" s="8" t="n">
        <v>318</v>
      </c>
      <c r="O176" s="7" t="n">
        <v>194.7</v>
      </c>
      <c r="P176" s="6" t="n">
        <v>19.5</v>
      </c>
      <c r="Q176" s="4" t="s">
        <v>151</v>
      </c>
      <c r="R176" s="8" t="n">
        <v>3</v>
      </c>
      <c r="S176" s="6" t="n">
        <v>33.3</v>
      </c>
      <c r="T176" s="7" t="n">
        <f aca="false">IFERROR(S176/R176,"")</f>
        <v>11.1</v>
      </c>
      <c r="U176" s="6" t="n">
        <v>29.3</v>
      </c>
      <c r="V176" s="6" t="n">
        <v>25.3</v>
      </c>
      <c r="W176" s="8" t="n">
        <v>62</v>
      </c>
      <c r="X176" s="7"/>
      <c r="Y176" s="9"/>
      <c r="Z176" s="6" t="n">
        <v>9.45</v>
      </c>
      <c r="AA176" s="6" t="n">
        <v>12.2</v>
      </c>
      <c r="AB176" s="6" t="n">
        <v>13.74</v>
      </c>
      <c r="AC176" s="10" t="n">
        <v>0</v>
      </c>
      <c r="AD176" s="10" t="n">
        <v>0</v>
      </c>
      <c r="AE176" s="7"/>
      <c r="AF176" s="8" t="n">
        <v>93</v>
      </c>
      <c r="AG176" s="10" t="n">
        <v>0.5</v>
      </c>
      <c r="AH176" s="8" t="n">
        <v>41</v>
      </c>
      <c r="AI176" s="8" t="n">
        <v>9</v>
      </c>
      <c r="AJ176" s="6" t="n">
        <f aca="false">IFERROR(AI176/R176,"")</f>
        <v>3</v>
      </c>
      <c r="AK176" s="10" t="n">
        <v>0.1023</v>
      </c>
      <c r="AL176" s="10" t="n">
        <v>-0.0178</v>
      </c>
      <c r="AM176" s="9" t="n">
        <v>0.141</v>
      </c>
      <c r="AN176" s="8" t="n">
        <v>8</v>
      </c>
      <c r="AO176" s="10"/>
      <c r="AP176" s="8" t="n">
        <v>38</v>
      </c>
      <c r="AQ176" s="7"/>
      <c r="AR176" s="6"/>
      <c r="AS176" s="7"/>
      <c r="AT176" s="7"/>
      <c r="AU176" s="7"/>
      <c r="AV176" s="7"/>
      <c r="AW176" s="7"/>
      <c r="AX176" s="10"/>
      <c r="AY176" s="8" t="n">
        <v>32</v>
      </c>
      <c r="AZ176" s="6" t="n">
        <f aca="false">IFERROR(AY176/R176,"")</f>
        <v>10.6666666666667</v>
      </c>
      <c r="BA176" s="10" t="n">
        <v>0.4156</v>
      </c>
      <c r="BB176" s="8" t="n">
        <v>95</v>
      </c>
      <c r="BC176" s="7"/>
      <c r="BD176" s="7"/>
      <c r="BE176" s="7"/>
      <c r="BF176" s="8" t="n">
        <v>3</v>
      </c>
      <c r="BG176" s="7"/>
      <c r="BH176" s="6"/>
      <c r="BI176" s="7"/>
      <c r="BJ176" s="8" t="n">
        <v>6</v>
      </c>
      <c r="BK176" s="8" t="n">
        <v>4</v>
      </c>
      <c r="BL176" s="8" t="n">
        <v>4</v>
      </c>
      <c r="BM176" s="8" t="n">
        <v>2</v>
      </c>
      <c r="BN176" s="7" t="n">
        <v>2.06</v>
      </c>
      <c r="BO176" s="7" t="n">
        <f aca="false">IFERROR(BM176-BN176,"")</f>
        <v>-0.0600000000000001</v>
      </c>
      <c r="BP176" s="9"/>
      <c r="BQ176" s="6" t="n">
        <v>36.9</v>
      </c>
      <c r="BR176" s="6" t="n">
        <v>43.8</v>
      </c>
      <c r="BS176" s="6" t="n">
        <v>35.6</v>
      </c>
      <c r="BT176" s="7" t="n">
        <v>2.771</v>
      </c>
      <c r="BU176" s="10" t="n">
        <v>0.2005</v>
      </c>
      <c r="BV176" s="10" t="n">
        <v>0.65625</v>
      </c>
      <c r="BW176" s="7" t="n">
        <v>2.593</v>
      </c>
      <c r="BX176" s="10" t="n">
        <v>0.282</v>
      </c>
      <c r="BY176" s="10" t="n">
        <v>0.0839</v>
      </c>
      <c r="BZ176" s="7" t="n">
        <v>2.373</v>
      </c>
      <c r="CA176" s="10" t="n">
        <v>0.686</v>
      </c>
      <c r="CB176" s="8" t="n">
        <v>3</v>
      </c>
      <c r="CC176" s="10" t="n">
        <v>0.0399</v>
      </c>
      <c r="CD176" s="10" t="n">
        <v>0.6204</v>
      </c>
      <c r="CE176" s="6" t="n">
        <v>63.18</v>
      </c>
      <c r="CF176" s="6" t="n">
        <v>39</v>
      </c>
      <c r="CG176" s="7" t="n">
        <v>3.59</v>
      </c>
      <c r="CH176" s="6" t="n">
        <v>20.9</v>
      </c>
      <c r="CI176" s="9" t="n">
        <v>-0.0591</v>
      </c>
      <c r="CJ176" s="9" t="n">
        <v>0.0023</v>
      </c>
      <c r="CK176" s="8" t="n">
        <v>106</v>
      </c>
      <c r="CL176" s="10" t="n">
        <v>0.172</v>
      </c>
      <c r="CM176" s="8" t="n">
        <v>173</v>
      </c>
      <c r="CN176" s="10" t="n">
        <v>0.473</v>
      </c>
      <c r="CO176" s="8" t="n">
        <v>41</v>
      </c>
      <c r="CP176" s="7" t="n">
        <v>-0.663</v>
      </c>
      <c r="CQ176" s="7" t="n">
        <v>0.739</v>
      </c>
      <c r="CR176" s="4" t="s">
        <v>121</v>
      </c>
      <c r="CS176" s="4"/>
    </row>
    <row r="177" customFormat="false" ht="15" hidden="false" customHeight="false" outlineLevel="0" collapsed="false">
      <c r="A177" s="3" t="n">
        <v>175</v>
      </c>
      <c r="B177" s="4" t="s">
        <v>492</v>
      </c>
      <c r="C177" s="11" t="s">
        <v>104</v>
      </c>
      <c r="D177" s="4" t="s">
        <v>493</v>
      </c>
      <c r="E177" s="4" t="s">
        <v>170</v>
      </c>
      <c r="F177" s="4" t="s">
        <v>281</v>
      </c>
      <c r="G177" s="3" t="n">
        <v>3</v>
      </c>
      <c r="H177" s="6" t="n">
        <v>25</v>
      </c>
      <c r="I177" s="3" t="n">
        <v>3</v>
      </c>
      <c r="J177" s="3" t="n">
        <v>7</v>
      </c>
      <c r="K177" s="7" t="n">
        <v>194.76</v>
      </c>
      <c r="L177" s="7" t="n">
        <v>35.11</v>
      </c>
      <c r="M177" s="8" t="n">
        <v>152</v>
      </c>
      <c r="N177" s="8" t="n">
        <v>288</v>
      </c>
      <c r="O177" s="7" t="n">
        <v>194.76</v>
      </c>
      <c r="P177" s="6" t="n">
        <v>11.8</v>
      </c>
      <c r="Q177" s="4" t="s">
        <v>170</v>
      </c>
      <c r="R177" s="8" t="n">
        <v>13</v>
      </c>
      <c r="S177" s="6" t="n">
        <v>117.9</v>
      </c>
      <c r="T177" s="7" t="n">
        <f aca="false">IFERROR(S177/R177,"")</f>
        <v>9.06923076923077</v>
      </c>
      <c r="U177" s="6" t="n">
        <v>109.9</v>
      </c>
      <c r="V177" s="6" t="n">
        <v>101.9</v>
      </c>
      <c r="W177" s="8" t="n">
        <v>41</v>
      </c>
      <c r="X177" s="7" t="n">
        <f aca="false">IFERROR(S177/AH177,"")</f>
        <v>0.666101694915254</v>
      </c>
      <c r="Y177" s="9" t="n">
        <f aca="false">IFERROR(S177/AF177,"")</f>
        <v>0.245114345114345</v>
      </c>
      <c r="Z177" s="6" t="n">
        <v>2.9</v>
      </c>
      <c r="AA177" s="6" t="n">
        <v>5.8</v>
      </c>
      <c r="AB177" s="6" t="n">
        <v>19.9</v>
      </c>
      <c r="AC177" s="10" t="n">
        <v>0.308</v>
      </c>
      <c r="AD177" s="10" t="n">
        <v>0.231</v>
      </c>
      <c r="AE177" s="7" t="n">
        <v>1.44</v>
      </c>
      <c r="AF177" s="8" t="n">
        <v>481</v>
      </c>
      <c r="AG177" s="10" t="n">
        <v>0.545</v>
      </c>
      <c r="AH177" s="8" t="n">
        <v>177</v>
      </c>
      <c r="AI177" s="8" t="n">
        <v>22</v>
      </c>
      <c r="AJ177" s="6" t="n">
        <f aca="false">IFERROR(AI177/R177,"")</f>
        <v>1.69230769230769</v>
      </c>
      <c r="AK177" s="10" t="n">
        <v>0.0541</v>
      </c>
      <c r="AL177" s="10" t="n">
        <v>-0.0044</v>
      </c>
      <c r="AM177" s="9" t="n">
        <v>0.0781</v>
      </c>
      <c r="AN177" s="8" t="n">
        <v>16</v>
      </c>
      <c r="AO177" s="10" t="n">
        <f aca="false">IFERROR(AN177/AI177,"")</f>
        <v>0.727272727272727</v>
      </c>
      <c r="AP177" s="8" t="n">
        <v>136</v>
      </c>
      <c r="AQ177" s="7" t="n">
        <f aca="false">IFERROR(AP177/AI177,"")</f>
        <v>6.18181818181818</v>
      </c>
      <c r="AR177" s="6" t="n">
        <v>-0.636</v>
      </c>
      <c r="AS177" s="7" t="n">
        <v>10.625</v>
      </c>
      <c r="AT177" s="7" t="n">
        <v>-9.714</v>
      </c>
      <c r="AU177" s="7"/>
      <c r="AV177" s="7"/>
      <c r="AW177" s="7"/>
      <c r="AX177" s="10" t="n">
        <v>0.0909</v>
      </c>
      <c r="AY177" s="8" t="n">
        <v>155</v>
      </c>
      <c r="AZ177" s="6" t="n">
        <f aca="false">IFERROR(AY177/R177,"")</f>
        <v>11.9230769230769</v>
      </c>
      <c r="BA177" s="10" t="n">
        <v>0.4247</v>
      </c>
      <c r="BB177" s="8" t="n">
        <v>643</v>
      </c>
      <c r="BC177" s="7" t="n">
        <f aca="false">IFERROR(BB177/AY177,"")</f>
        <v>4.14838709677419</v>
      </c>
      <c r="BD177" s="7" t="n">
        <v>1.781</v>
      </c>
      <c r="BE177" s="7" t="n">
        <v>2.368</v>
      </c>
      <c r="BF177" s="8" t="n">
        <v>3</v>
      </c>
      <c r="BG177" s="7" t="n">
        <v>0.497726977227561</v>
      </c>
      <c r="BH177" s="6" t="n">
        <v>31.6129032258065</v>
      </c>
      <c r="BI177" s="7" t="n">
        <v>3.90367029548989</v>
      </c>
      <c r="BJ177" s="8" t="n">
        <v>32</v>
      </c>
      <c r="BK177" s="8" t="n">
        <v>14</v>
      </c>
      <c r="BL177" s="8" t="n">
        <v>7</v>
      </c>
      <c r="BM177" s="8" t="n">
        <v>4</v>
      </c>
      <c r="BN177" s="7" t="n">
        <v>6.84</v>
      </c>
      <c r="BO177" s="7" t="n">
        <f aca="false">IFERROR(BM177-BN177,"")</f>
        <v>-2.84</v>
      </c>
      <c r="BP177" s="9" t="n">
        <f aca="false">IFERROR(BM177/AH177,"")</f>
        <v>0.0225988700564972</v>
      </c>
      <c r="BQ177" s="6" t="n">
        <v>26.9</v>
      </c>
      <c r="BR177" s="6" t="n">
        <v>40.7</v>
      </c>
      <c r="BS177" s="6" t="n">
        <v>23</v>
      </c>
      <c r="BT177" s="7" t="n">
        <v>2.77</v>
      </c>
      <c r="BU177" s="10" t="n">
        <v>0.2195</v>
      </c>
      <c r="BV177" s="10" t="n">
        <v>0.611111111111111</v>
      </c>
      <c r="BW177" s="7" t="n">
        <v>2.614</v>
      </c>
      <c r="BX177" s="10" t="n">
        <v>0.3427</v>
      </c>
      <c r="BY177" s="10" t="n">
        <v>0.0832</v>
      </c>
      <c r="BZ177" s="7" t="n">
        <v>2.37</v>
      </c>
      <c r="CA177" s="10" t="n">
        <v>0.205</v>
      </c>
      <c r="CB177" s="8" t="n">
        <v>1</v>
      </c>
      <c r="CC177" s="10" t="n">
        <v>0.0064</v>
      </c>
      <c r="CD177" s="10" t="n">
        <v>0.579</v>
      </c>
      <c r="CE177" s="6" t="n">
        <v>63.53</v>
      </c>
      <c r="CF177" s="6" t="n">
        <v>39</v>
      </c>
      <c r="CG177" s="7" t="n">
        <v>3.47</v>
      </c>
      <c r="CH177" s="6" t="n">
        <v>21.6</v>
      </c>
      <c r="CI177" s="9" t="n">
        <v>0.0187</v>
      </c>
      <c r="CJ177" s="9" t="n">
        <v>-0.0542</v>
      </c>
      <c r="CK177" s="8" t="n">
        <v>15</v>
      </c>
      <c r="CL177" s="10" t="n">
        <v>0.028</v>
      </c>
      <c r="CM177" s="8" t="n">
        <v>23</v>
      </c>
      <c r="CN177" s="10" t="n">
        <v>0.049</v>
      </c>
      <c r="CO177" s="8" t="n">
        <v>2</v>
      </c>
      <c r="CP177" s="7" t="n">
        <v>0.293</v>
      </c>
      <c r="CQ177" s="7" t="n">
        <v>0.511</v>
      </c>
      <c r="CR177" s="4" t="s">
        <v>102</v>
      </c>
      <c r="CS177" s="4"/>
    </row>
    <row r="178" customFormat="false" ht="15" hidden="false" customHeight="false" outlineLevel="0" collapsed="false">
      <c r="A178" s="3" t="n">
        <v>176</v>
      </c>
      <c r="B178" s="4" t="s">
        <v>494</v>
      </c>
      <c r="C178" s="5" t="s">
        <v>99</v>
      </c>
      <c r="D178" s="4" t="s">
        <v>495</v>
      </c>
      <c r="E178" s="4" t="s">
        <v>135</v>
      </c>
      <c r="F178" s="4" t="s">
        <v>99</v>
      </c>
      <c r="G178" s="3" t="n">
        <v>4</v>
      </c>
      <c r="H178" s="6" t="n">
        <v>24.3</v>
      </c>
      <c r="I178" s="3" t="n">
        <v>4</v>
      </c>
      <c r="J178" s="3" t="n">
        <v>11</v>
      </c>
      <c r="K178" s="7" t="n">
        <v>195.4</v>
      </c>
      <c r="L178" s="7" t="n">
        <v>27.4</v>
      </c>
      <c r="M178" s="8" t="n">
        <v>154</v>
      </c>
      <c r="N178" s="8" t="n">
        <v>277</v>
      </c>
      <c r="O178" s="7" t="n">
        <v>195.4</v>
      </c>
      <c r="P178" s="6" t="n">
        <v>14.6</v>
      </c>
      <c r="Q178" s="4" t="s">
        <v>135</v>
      </c>
      <c r="R178" s="8" t="n">
        <v>14</v>
      </c>
      <c r="S178" s="6" t="n">
        <v>124.1</v>
      </c>
      <c r="T178" s="7" t="n">
        <f aca="false">IFERROR(S178/R178,"")</f>
        <v>8.86428571428571</v>
      </c>
      <c r="U178" s="6" t="n">
        <v>107.6</v>
      </c>
      <c r="V178" s="6" t="n">
        <v>91.1</v>
      </c>
      <c r="W178" s="8" t="n">
        <v>50</v>
      </c>
      <c r="X178" s="7" t="n">
        <f aca="false">IFERROR(S178/AH178,"")</f>
        <v>2.69782608695652</v>
      </c>
      <c r="Y178" s="9" t="n">
        <f aca="false">IFERROR(S178/AF178,"")</f>
        <v>0.204448105436573</v>
      </c>
      <c r="Z178" s="6" t="n">
        <v>3.62</v>
      </c>
      <c r="AA178" s="6" t="n">
        <v>6.05</v>
      </c>
      <c r="AB178" s="6" t="n">
        <v>16.31</v>
      </c>
      <c r="AC178" s="10" t="n">
        <v>0.143</v>
      </c>
      <c r="AD178" s="10" t="n">
        <v>0.071</v>
      </c>
      <c r="AE178" s="7" t="n">
        <v>1.219</v>
      </c>
      <c r="AF178" s="8" t="n">
        <v>607</v>
      </c>
      <c r="AG178" s="10" t="n">
        <v>0.675</v>
      </c>
      <c r="AH178" s="8" t="n">
        <v>46</v>
      </c>
      <c r="AI178" s="8" t="n">
        <v>46</v>
      </c>
      <c r="AJ178" s="6" t="n">
        <f aca="false">IFERROR(AI178/R178,"")</f>
        <v>3.28571428571429</v>
      </c>
      <c r="AK178" s="10" t="n">
        <v>0.1165</v>
      </c>
      <c r="AL178" s="10" t="n">
        <v>0.2217</v>
      </c>
      <c r="AM178" s="9" t="n">
        <v>0.3299</v>
      </c>
      <c r="AN178" s="8" t="n">
        <v>33</v>
      </c>
      <c r="AO178" s="10" t="n">
        <f aca="false">IFERROR(AN178/AI178,"")</f>
        <v>0.717391304347826</v>
      </c>
      <c r="AP178" s="8" t="n">
        <v>551</v>
      </c>
      <c r="AQ178" s="7" t="n">
        <f aca="false">IFERROR(AP178/AI178,"")</f>
        <v>11.9782608695652</v>
      </c>
      <c r="AR178" s="6" t="n">
        <v>16.978</v>
      </c>
      <c r="AS178" s="7" t="n">
        <v>1.152</v>
      </c>
      <c r="AT178" s="7" t="n">
        <v>0.706</v>
      </c>
      <c r="AU178" s="7" t="n">
        <v>2.32162196559548</v>
      </c>
      <c r="AV178" s="7" t="n">
        <v>4.89521739130435</v>
      </c>
      <c r="AW178" s="7" t="n">
        <v>-0.428373284492274</v>
      </c>
      <c r="AX178" s="10" t="n">
        <v>0.0217</v>
      </c>
      <c r="AY178" s="8" t="n">
        <v>0</v>
      </c>
      <c r="AZ178" s="6" t="n">
        <f aca="false">IFERROR(AY178/R178,"")</f>
        <v>0</v>
      </c>
      <c r="BA178" s="10" t="n">
        <v>0</v>
      </c>
      <c r="BB178" s="8" t="n">
        <v>0</v>
      </c>
      <c r="BC178" s="7"/>
      <c r="BD178" s="7"/>
      <c r="BE178" s="7"/>
      <c r="BF178" s="8"/>
      <c r="BG178" s="7"/>
      <c r="BH178" s="6"/>
      <c r="BI178" s="7"/>
      <c r="BJ178" s="8" t="n">
        <v>4</v>
      </c>
      <c r="BK178" s="8" t="n">
        <v>2</v>
      </c>
      <c r="BL178" s="8" t="n">
        <v>2</v>
      </c>
      <c r="BM178" s="8" t="n">
        <v>6</v>
      </c>
      <c r="BN178" s="7" t="n">
        <v>1.88</v>
      </c>
      <c r="BO178" s="7" t="n">
        <f aca="false">IFERROR(BM178-BN178,"")</f>
        <v>4.12</v>
      </c>
      <c r="BP178" s="9" t="n">
        <f aca="false">IFERROR(BM178/AH178,"")</f>
        <v>0.130434782608696</v>
      </c>
      <c r="BQ178" s="6" t="n">
        <v>41.6</v>
      </c>
      <c r="BR178" s="6" t="n">
        <v>43.3</v>
      </c>
      <c r="BS178" s="6" t="n">
        <v>43.5</v>
      </c>
      <c r="BT178" s="7" t="n">
        <v>2.802</v>
      </c>
      <c r="BU178" s="10" t="n">
        <v>0.1883</v>
      </c>
      <c r="BV178" s="10" t="n">
        <v>0.575757575757576</v>
      </c>
      <c r="BW178" s="7" t="n">
        <v>2.561</v>
      </c>
      <c r="BX178" s="10" t="n">
        <v>0.261</v>
      </c>
      <c r="BY178" s="10" t="n">
        <v>0.0789</v>
      </c>
      <c r="BZ178" s="7" t="n">
        <v>2.406</v>
      </c>
      <c r="CA178" s="10" t="n">
        <v>0.533</v>
      </c>
      <c r="CB178" s="8" t="n">
        <v>3</v>
      </c>
      <c r="CC178" s="10" t="n">
        <v>0.0242</v>
      </c>
      <c r="CD178" s="10" t="n">
        <v>0.5691</v>
      </c>
      <c r="CE178" s="6" t="n">
        <v>59.82</v>
      </c>
      <c r="CF178" s="6" t="n">
        <v>38</v>
      </c>
      <c r="CG178" s="7" t="n">
        <v>3.76</v>
      </c>
      <c r="CH178" s="6" t="n">
        <v>28.8</v>
      </c>
      <c r="CI178" s="9" t="n">
        <v>0.0077</v>
      </c>
      <c r="CJ178" s="9" t="n">
        <v>0.2873</v>
      </c>
      <c r="CK178" s="8" t="n">
        <v>128</v>
      </c>
      <c r="CL178" s="10" t="n">
        <v>0.266</v>
      </c>
      <c r="CM178" s="8" t="n">
        <v>10</v>
      </c>
      <c r="CN178" s="10" t="n">
        <v>0.02</v>
      </c>
      <c r="CO178" s="8" t="n">
        <v>17</v>
      </c>
      <c r="CP178" s="7" t="n">
        <v>0.323</v>
      </c>
      <c r="CQ178" s="7" t="n">
        <v>0.191</v>
      </c>
      <c r="CR178" s="4" t="s">
        <v>102</v>
      </c>
      <c r="CS178" s="4"/>
    </row>
    <row r="179" customFormat="false" ht="15" hidden="false" customHeight="false" outlineLevel="0" collapsed="false">
      <c r="A179" s="3" t="n">
        <v>177</v>
      </c>
      <c r="B179" s="4" t="s">
        <v>496</v>
      </c>
      <c r="C179" s="13" t="s">
        <v>172</v>
      </c>
      <c r="D179" s="4" t="s">
        <v>497</v>
      </c>
      <c r="E179" s="4" t="s">
        <v>151</v>
      </c>
      <c r="F179" s="4" t="s">
        <v>172</v>
      </c>
      <c r="G179" s="3" t="n">
        <v>1</v>
      </c>
      <c r="H179" s="6" t="n">
        <v>33.7</v>
      </c>
      <c r="I179" s="3" t="n">
        <v>11</v>
      </c>
      <c r="J179" s="3" t="n">
        <v>14</v>
      </c>
      <c r="K179" s="7" t="n">
        <v>195.56</v>
      </c>
      <c r="L179" s="7" t="n">
        <v>39.11</v>
      </c>
      <c r="M179" s="8" t="n">
        <v>134</v>
      </c>
      <c r="N179" s="8" t="n">
        <v>340</v>
      </c>
      <c r="O179" s="7" t="n">
        <v>195.56</v>
      </c>
      <c r="P179" s="6" t="n">
        <v>16.6</v>
      </c>
      <c r="Q179" s="4" t="s">
        <v>151</v>
      </c>
      <c r="R179" s="8" t="n">
        <v>14</v>
      </c>
      <c r="S179" s="6" t="n">
        <v>227.44</v>
      </c>
      <c r="T179" s="7" t="n">
        <f aca="false">IFERROR(S179/R179,"")</f>
        <v>16.2457142857143</v>
      </c>
      <c r="U179" s="6" t="n">
        <v>227.44</v>
      </c>
      <c r="V179" s="6" t="n">
        <v>227.44</v>
      </c>
      <c r="W179" s="8" t="n">
        <v>16</v>
      </c>
      <c r="X179" s="7" t="n">
        <f aca="false">IFERROR(S179/AH179,"")</f>
        <v>5.98526315789474</v>
      </c>
      <c r="Y179" s="9" t="n">
        <f aca="false">IFERROR(S179/AF179,"")</f>
        <v>0.280098522167488</v>
      </c>
      <c r="Z179" s="6" t="n">
        <v>15.83</v>
      </c>
      <c r="AA179" s="6" t="n">
        <v>19.23</v>
      </c>
      <c r="AB179" s="6" t="n">
        <v>20.76</v>
      </c>
      <c r="AC179" s="10" t="n">
        <v>0.643</v>
      </c>
      <c r="AD179" s="10" t="n">
        <v>0.143</v>
      </c>
      <c r="AE179" s="7" t="n">
        <v>0.394</v>
      </c>
      <c r="AF179" s="8" t="n">
        <v>812</v>
      </c>
      <c r="AG179" s="10" t="n">
        <v>0.857</v>
      </c>
      <c r="AH179" s="8" t="n">
        <v>38</v>
      </c>
      <c r="AI179" s="8" t="n">
        <v>0</v>
      </c>
      <c r="AJ179" s="6" t="n">
        <f aca="false">IFERROR(AI179/R179,"")</f>
        <v>0</v>
      </c>
      <c r="AK179" s="10" t="n">
        <v>0</v>
      </c>
      <c r="AL179" s="10" t="n">
        <v>0</v>
      </c>
      <c r="AM179" s="9" t="n">
        <v>0</v>
      </c>
      <c r="AN179" s="8" t="n">
        <v>0</v>
      </c>
      <c r="AO179" s="10"/>
      <c r="AP179" s="8" t="n">
        <v>0</v>
      </c>
      <c r="AQ179" s="7"/>
      <c r="AR179" s="6"/>
      <c r="AS179" s="7"/>
      <c r="AT179" s="7"/>
      <c r="AU179" s="7"/>
      <c r="AV179" s="7"/>
      <c r="AW179" s="7"/>
      <c r="AX179" s="10"/>
      <c r="AY179" s="8" t="n">
        <v>38</v>
      </c>
      <c r="AZ179" s="6" t="n">
        <f aca="false">IFERROR(AY179/R179,"")</f>
        <v>2.71428571428571</v>
      </c>
      <c r="BA179" s="10" t="n">
        <v>0.1293</v>
      </c>
      <c r="BB179" s="8" t="n">
        <v>168</v>
      </c>
      <c r="BC179" s="7" t="n">
        <f aca="false">IFERROR(BB179/AY179,"")</f>
        <v>4.42105263157895</v>
      </c>
      <c r="BD179" s="7" t="n">
        <v>3.026</v>
      </c>
      <c r="BE179" s="7" t="n">
        <v>1.395</v>
      </c>
      <c r="BF179" s="8" t="n">
        <v>2</v>
      </c>
      <c r="BG179" s="7"/>
      <c r="BH179" s="6"/>
      <c r="BI179" s="7"/>
      <c r="BJ179" s="8" t="n">
        <v>5</v>
      </c>
      <c r="BK179" s="8" t="n">
        <v>5</v>
      </c>
      <c r="BL179" s="8" t="n">
        <v>3</v>
      </c>
      <c r="BM179" s="8" t="n">
        <v>1</v>
      </c>
      <c r="BN179" s="7" t="n">
        <v>1.53</v>
      </c>
      <c r="BO179" s="7" t="n">
        <f aca="false">IFERROR(BM179-BN179,"")</f>
        <v>-0.53</v>
      </c>
      <c r="BP179" s="9" t="n">
        <f aca="false">IFERROR(BM179/AH179,"")</f>
        <v>0.0263157894736842</v>
      </c>
      <c r="BQ179" s="6" t="n">
        <v>36.9</v>
      </c>
      <c r="BR179" s="6" t="n">
        <v>43.8</v>
      </c>
      <c r="BS179" s="6" t="n">
        <v>35.6</v>
      </c>
      <c r="BT179" s="7" t="n">
        <v>2.771</v>
      </c>
      <c r="BU179" s="10" t="n">
        <v>0.2005</v>
      </c>
      <c r="BV179" s="10" t="n">
        <v>0.65625</v>
      </c>
      <c r="BW179" s="7" t="n">
        <v>2.593</v>
      </c>
      <c r="BX179" s="10" t="n">
        <v>0.282</v>
      </c>
      <c r="BY179" s="10" t="n">
        <v>0.0839</v>
      </c>
      <c r="BZ179" s="7" t="n">
        <v>2.373</v>
      </c>
      <c r="CA179" s="10" t="n">
        <v>0.686</v>
      </c>
      <c r="CB179" s="8" t="n">
        <v>3</v>
      </c>
      <c r="CC179" s="10" t="n">
        <v>0.0399</v>
      </c>
      <c r="CD179" s="10" t="n">
        <v>0.6204</v>
      </c>
      <c r="CE179" s="6" t="n">
        <v>63.18</v>
      </c>
      <c r="CF179" s="6" t="n">
        <v>39</v>
      </c>
      <c r="CG179" s="7" t="n">
        <v>3.59</v>
      </c>
      <c r="CH179" s="6" t="n">
        <v>20.9</v>
      </c>
      <c r="CI179" s="9" t="n">
        <v>-0.0591</v>
      </c>
      <c r="CJ179" s="9" t="n">
        <v>0.0023</v>
      </c>
      <c r="CK179" s="8" t="n">
        <v>106</v>
      </c>
      <c r="CL179" s="10" t="n">
        <v>0.172</v>
      </c>
      <c r="CM179" s="8" t="n">
        <v>173</v>
      </c>
      <c r="CN179" s="10" t="n">
        <v>0.473</v>
      </c>
      <c r="CO179" s="8" t="n">
        <v>41</v>
      </c>
      <c r="CP179" s="7" t="n">
        <v>0.29</v>
      </c>
      <c r="CQ179" s="7" t="n">
        <v>0.202</v>
      </c>
      <c r="CR179" s="4" t="s">
        <v>102</v>
      </c>
      <c r="CS179" s="4"/>
    </row>
    <row r="180" customFormat="false" ht="15" hidden="false" customHeight="false" outlineLevel="0" collapsed="false">
      <c r="A180" s="3" t="n">
        <v>178</v>
      </c>
      <c r="B180" s="4" t="s">
        <v>498</v>
      </c>
      <c r="C180" s="11" t="s">
        <v>104</v>
      </c>
      <c r="D180" s="4" t="s">
        <v>499</v>
      </c>
      <c r="E180" s="4" t="s">
        <v>164</v>
      </c>
      <c r="F180" s="4" t="s">
        <v>104</v>
      </c>
      <c r="G180" s="3" t="n">
        <v>3</v>
      </c>
      <c r="H180" s="6" t="n">
        <v>22.9</v>
      </c>
      <c r="I180" s="3" t="n">
        <v>0</v>
      </c>
      <c r="J180" s="3" t="n">
        <v>5</v>
      </c>
      <c r="K180" s="7" t="n">
        <v>198</v>
      </c>
      <c r="L180" s="7" t="n">
        <v>40.58</v>
      </c>
      <c r="M180" s="8" t="n">
        <v>148</v>
      </c>
      <c r="N180" s="8" t="n">
        <v>322</v>
      </c>
      <c r="O180" s="7" t="n">
        <v>198</v>
      </c>
      <c r="P180" s="6" t="n">
        <v>18.5</v>
      </c>
      <c r="Q180" s="4"/>
      <c r="R180" s="8"/>
      <c r="S180" s="6"/>
      <c r="T180" s="7"/>
      <c r="U180" s="6"/>
      <c r="V180" s="6"/>
      <c r="W180" s="8"/>
      <c r="X180" s="7"/>
      <c r="Y180" s="9"/>
      <c r="Z180" s="6"/>
      <c r="AA180" s="6"/>
      <c r="AB180" s="6"/>
      <c r="AC180" s="10"/>
      <c r="AD180" s="10"/>
      <c r="AE180" s="7"/>
      <c r="AF180" s="8"/>
      <c r="AG180" s="10"/>
      <c r="AH180" s="8"/>
      <c r="AI180" s="8"/>
      <c r="AJ180" s="6"/>
      <c r="AK180" s="10"/>
      <c r="AL180" s="10"/>
      <c r="AM180" s="9"/>
      <c r="AN180" s="8"/>
      <c r="AO180" s="10"/>
      <c r="AP180" s="8"/>
      <c r="AQ180" s="7"/>
      <c r="AR180" s="6"/>
      <c r="AS180" s="7"/>
      <c r="AT180" s="7"/>
      <c r="AU180" s="7"/>
      <c r="AV180" s="7"/>
      <c r="AW180" s="7"/>
      <c r="AX180" s="10"/>
      <c r="AY180" s="8"/>
      <c r="AZ180" s="6"/>
      <c r="BA180" s="10"/>
      <c r="BB180" s="8"/>
      <c r="BC180" s="7"/>
      <c r="BD180" s="7"/>
      <c r="BE180" s="7"/>
      <c r="BF180" s="8"/>
      <c r="BG180" s="7"/>
      <c r="BH180" s="6"/>
      <c r="BI180" s="7"/>
      <c r="BJ180" s="8"/>
      <c r="BK180" s="8"/>
      <c r="BL180" s="8"/>
      <c r="BM180" s="8"/>
      <c r="BN180" s="7"/>
      <c r="BO180" s="7"/>
      <c r="BP180" s="9"/>
      <c r="BQ180" s="6" t="n">
        <v>50.1</v>
      </c>
      <c r="BR180" s="6" t="n">
        <v>66.2</v>
      </c>
      <c r="BS180" s="6" t="n">
        <v>34</v>
      </c>
      <c r="BT180" s="7" t="n">
        <v>3.062</v>
      </c>
      <c r="BU180" s="10" t="n">
        <v>0.1258</v>
      </c>
      <c r="BV180" s="10" t="n">
        <v>0.8125</v>
      </c>
      <c r="BW180" s="7" t="n">
        <v>2.623</v>
      </c>
      <c r="BX180" s="10" t="n">
        <v>0.2877</v>
      </c>
      <c r="BY180" s="10" t="n">
        <v>0.0659</v>
      </c>
      <c r="BZ180" s="7" t="n">
        <v>2.212</v>
      </c>
      <c r="CA180" s="10" t="n">
        <v>0.864</v>
      </c>
      <c r="CB180" s="8" t="n">
        <v>5</v>
      </c>
      <c r="CC180" s="10" t="n">
        <v>0.0395</v>
      </c>
      <c r="CD180" s="10" t="n">
        <v>0.5721</v>
      </c>
      <c r="CE180" s="6" t="n">
        <v>61.65</v>
      </c>
      <c r="CF180" s="6" t="n">
        <v>38</v>
      </c>
      <c r="CG180" s="7" t="n">
        <v>3.71</v>
      </c>
      <c r="CH180" s="6" t="n">
        <v>21.3</v>
      </c>
      <c r="CI180" s="9" t="n">
        <v>0.0273</v>
      </c>
      <c r="CJ180" s="9" t="n">
        <v>0.0399</v>
      </c>
      <c r="CK180" s="8" t="n">
        <v>147</v>
      </c>
      <c r="CL180" s="10" t="n">
        <v>0.268</v>
      </c>
      <c r="CM180" s="8" t="n">
        <v>129</v>
      </c>
      <c r="CN180" s="10" t="n">
        <v>0.3</v>
      </c>
      <c r="CO180" s="8" t="n">
        <v>43</v>
      </c>
      <c r="CP180" s="7"/>
      <c r="CQ180" s="7"/>
      <c r="CR180" s="4"/>
      <c r="CS180" s="4" t="s">
        <v>206</v>
      </c>
    </row>
    <row r="181" customFormat="false" ht="15" hidden="false" customHeight="false" outlineLevel="0" collapsed="false">
      <c r="A181" s="3" t="n">
        <v>179</v>
      </c>
      <c r="B181" s="4" t="s">
        <v>500</v>
      </c>
      <c r="C181" s="5" t="s">
        <v>99</v>
      </c>
      <c r="D181" s="4" t="s">
        <v>501</v>
      </c>
      <c r="E181" s="4" t="s">
        <v>161</v>
      </c>
      <c r="F181" s="4" t="s">
        <v>99</v>
      </c>
      <c r="G181" s="3" t="n">
        <v>1</v>
      </c>
      <c r="H181" s="6" t="n">
        <v>25.8</v>
      </c>
      <c r="I181" s="3" t="n">
        <v>3</v>
      </c>
      <c r="J181" s="3" t="n">
        <v>6</v>
      </c>
      <c r="K181" s="7" t="n">
        <v>199.43</v>
      </c>
      <c r="L181" s="7" t="n">
        <v>36.47</v>
      </c>
      <c r="M181" s="8" t="n">
        <v>126</v>
      </c>
      <c r="N181" s="8" t="n">
        <v>291</v>
      </c>
      <c r="O181" s="7" t="n">
        <v>199.43</v>
      </c>
      <c r="P181" s="6" t="n">
        <v>14.7</v>
      </c>
      <c r="Q181" s="4" t="s">
        <v>161</v>
      </c>
      <c r="R181" s="8" t="n">
        <v>17</v>
      </c>
      <c r="S181" s="6" t="n">
        <v>116.7</v>
      </c>
      <c r="T181" s="7" t="n">
        <f aca="false">IFERROR(S181/R181,"")</f>
        <v>6.86470588235294</v>
      </c>
      <c r="U181" s="6" t="n">
        <v>93.7</v>
      </c>
      <c r="V181" s="6" t="n">
        <v>70.7</v>
      </c>
      <c r="W181" s="8" t="n">
        <v>52</v>
      </c>
      <c r="X181" s="7" t="n">
        <f aca="false">IFERROR(S181/AH181,"")</f>
        <v>1.42317073170732</v>
      </c>
      <c r="Y181" s="9" t="n">
        <f aca="false">IFERROR(S181/AF181,"")</f>
        <v>0.207651245551601</v>
      </c>
      <c r="Z181" s="6" t="n">
        <v>4.1</v>
      </c>
      <c r="AA181" s="6" t="n">
        <v>7</v>
      </c>
      <c r="AB181" s="6" t="n">
        <v>9.92</v>
      </c>
      <c r="AC181" s="10" t="n">
        <v>0</v>
      </c>
      <c r="AD181" s="10" t="n">
        <v>0.118</v>
      </c>
      <c r="AE181" s="7" t="n">
        <v>0.474</v>
      </c>
      <c r="AF181" s="8" t="n">
        <v>562</v>
      </c>
      <c r="AG181" s="10" t="n">
        <v>0.57</v>
      </c>
      <c r="AH181" s="8" t="n">
        <v>82</v>
      </c>
      <c r="AI181" s="8" t="n">
        <v>65</v>
      </c>
      <c r="AJ181" s="6" t="n">
        <f aca="false">IFERROR(AI181/R181,"")</f>
        <v>3.82352941176471</v>
      </c>
      <c r="AK181" s="10" t="n">
        <v>0.1407</v>
      </c>
      <c r="AL181" s="10" t="n">
        <v>0.1021</v>
      </c>
      <c r="AM181" s="9" t="n">
        <v>0.2825</v>
      </c>
      <c r="AN181" s="8" t="n">
        <v>46</v>
      </c>
      <c r="AO181" s="10" t="n">
        <f aca="false">IFERROR(AN181/AI181,"")</f>
        <v>0.707692307692308</v>
      </c>
      <c r="AP181" s="8" t="n">
        <v>317</v>
      </c>
      <c r="AQ181" s="7" t="n">
        <f aca="false">IFERROR(AP181/AI181,"")</f>
        <v>4.87692307692308</v>
      </c>
      <c r="AR181" s="6" t="n">
        <v>5.185</v>
      </c>
      <c r="AS181" s="7" t="n">
        <v>5.5</v>
      </c>
      <c r="AT181" s="7" t="n">
        <v>0.941</v>
      </c>
      <c r="AU181" s="7" t="n">
        <v>3.65089827886456</v>
      </c>
      <c r="AV181" s="7" t="n">
        <v>6.42527272727273</v>
      </c>
      <c r="AW181" s="7" t="n">
        <v>0.896019148723208</v>
      </c>
      <c r="AX181" s="10" t="n">
        <v>0.0154</v>
      </c>
      <c r="AY181" s="8" t="n">
        <v>17</v>
      </c>
      <c r="AZ181" s="6" t="n">
        <f aca="false">IFERROR(AY181/R181,"")</f>
        <v>1</v>
      </c>
      <c r="BA181" s="10" t="n">
        <v>0.0394</v>
      </c>
      <c r="BB181" s="8" t="n">
        <v>110</v>
      </c>
      <c r="BC181" s="7"/>
      <c r="BD181" s="7"/>
      <c r="BE181" s="7"/>
      <c r="BF181" s="8" t="n">
        <v>3</v>
      </c>
      <c r="BG181" s="7"/>
      <c r="BH181" s="6"/>
      <c r="BI181" s="7"/>
      <c r="BJ181" s="8" t="n">
        <v>14</v>
      </c>
      <c r="BK181" s="8" t="n">
        <v>8</v>
      </c>
      <c r="BL181" s="8" t="n">
        <v>3</v>
      </c>
      <c r="BM181" s="8" t="n">
        <v>4</v>
      </c>
      <c r="BN181" s="7" t="n">
        <v>4.43</v>
      </c>
      <c r="BO181" s="7" t="n">
        <f aca="false">IFERROR(BM181-BN181,"")</f>
        <v>-0.43</v>
      </c>
      <c r="BP181" s="9" t="n">
        <f aca="false">IFERROR(BM181/AH181,"")</f>
        <v>0.0487804878048781</v>
      </c>
      <c r="BQ181" s="6" t="n">
        <v>38.6</v>
      </c>
      <c r="BR181" s="6" t="n">
        <v>37.5</v>
      </c>
      <c r="BS181" s="6" t="n">
        <v>44.5</v>
      </c>
      <c r="BT181" s="7" t="n">
        <v>2.839</v>
      </c>
      <c r="BU181" s="10" t="n">
        <v>0.2101</v>
      </c>
      <c r="BV181" s="10" t="n">
        <v>0.586206896551724</v>
      </c>
      <c r="BW181" s="7" t="n">
        <v>2.199</v>
      </c>
      <c r="BX181" s="10" t="n">
        <v>0.2422</v>
      </c>
      <c r="BY181" s="10" t="n">
        <v>0.0727</v>
      </c>
      <c r="BZ181" s="7" t="n">
        <v>2.29</v>
      </c>
      <c r="CA181" s="10" t="n">
        <v>0.672</v>
      </c>
      <c r="CB181" s="8" t="n">
        <v>4</v>
      </c>
      <c r="CC181" s="10" t="n">
        <v>-0.0584</v>
      </c>
      <c r="CD181" s="10" t="n">
        <v>0.5279</v>
      </c>
      <c r="CE181" s="6" t="n">
        <v>55.41</v>
      </c>
      <c r="CF181" s="6" t="n">
        <v>41</v>
      </c>
      <c r="CG181" s="7" t="n">
        <v>2.82</v>
      </c>
      <c r="CH181" s="6" t="n">
        <v>20.4</v>
      </c>
      <c r="CI181" s="9" t="n">
        <v>-0.026</v>
      </c>
      <c r="CJ181" s="9" t="n">
        <v>-0.0093</v>
      </c>
      <c r="CK181" s="8" t="n">
        <v>209</v>
      </c>
      <c r="CL181" s="10" t="n">
        <v>0.452</v>
      </c>
      <c r="CM181" s="8" t="n">
        <v>28</v>
      </c>
      <c r="CN181" s="10" t="n">
        <v>0.065</v>
      </c>
      <c r="CO181" s="8" t="n">
        <v>32</v>
      </c>
      <c r="CP181" s="7" t="n">
        <v>0.271</v>
      </c>
      <c r="CQ181" s="7" t="n">
        <v>-0.474</v>
      </c>
      <c r="CR181" s="4" t="s">
        <v>102</v>
      </c>
      <c r="CS181" s="4"/>
    </row>
    <row r="182" customFormat="false" ht="15" hidden="false" customHeight="false" outlineLevel="0" collapsed="false">
      <c r="A182" s="3" t="n">
        <v>180</v>
      </c>
      <c r="B182" s="4" t="s">
        <v>502</v>
      </c>
      <c r="C182" s="5" t="s">
        <v>99</v>
      </c>
      <c r="D182" s="4" t="s">
        <v>503</v>
      </c>
      <c r="E182" s="4" t="s">
        <v>136</v>
      </c>
      <c r="F182" s="4" t="s">
        <v>99</v>
      </c>
      <c r="G182" s="3" t="n">
        <v>2</v>
      </c>
      <c r="H182" s="6" t="n">
        <v>25.2</v>
      </c>
      <c r="I182" s="3" t="n">
        <v>4</v>
      </c>
      <c r="J182" s="3" t="n">
        <v>10</v>
      </c>
      <c r="K182" s="7" t="n">
        <v>199.45</v>
      </c>
      <c r="L182" s="7" t="n">
        <v>29.58</v>
      </c>
      <c r="M182" s="8" t="n">
        <v>133</v>
      </c>
      <c r="N182" s="8" t="n">
        <v>268</v>
      </c>
      <c r="O182" s="7" t="n">
        <v>199.45</v>
      </c>
      <c r="P182" s="6" t="n">
        <v>8.8</v>
      </c>
      <c r="Q182" s="4" t="s">
        <v>218</v>
      </c>
      <c r="R182" s="8" t="n">
        <v>13</v>
      </c>
      <c r="S182" s="6" t="n">
        <v>75.8</v>
      </c>
      <c r="T182" s="7" t="n">
        <f aca="false">IFERROR(S182/R182,"")</f>
        <v>5.83076923076923</v>
      </c>
      <c r="U182" s="6" t="n">
        <v>60.8</v>
      </c>
      <c r="V182" s="6" t="n">
        <v>45.8</v>
      </c>
      <c r="W182" s="8" t="n">
        <v>71</v>
      </c>
      <c r="X182" s="7" t="n">
        <f aca="false">IFERROR(S182/AH182,"")</f>
        <v>1.61276595744681</v>
      </c>
      <c r="Y182" s="9" t="n">
        <f aca="false">IFERROR(S182/AF182,"")</f>
        <v>0.18578431372549</v>
      </c>
      <c r="Z182" s="6" t="n">
        <v>1.9</v>
      </c>
      <c r="AA182" s="6" t="n">
        <v>3.9</v>
      </c>
      <c r="AB182" s="6" t="n">
        <v>7.92</v>
      </c>
      <c r="AC182" s="10" t="n">
        <v>0.077</v>
      </c>
      <c r="AD182" s="10" t="n">
        <v>0.231</v>
      </c>
      <c r="AE182" s="7" t="n">
        <v>1.8</v>
      </c>
      <c r="AF182" s="8" t="n">
        <v>408</v>
      </c>
      <c r="AG182" s="10" t="n">
        <v>0.446</v>
      </c>
      <c r="AH182" s="8" t="n">
        <v>47</v>
      </c>
      <c r="AI182" s="8" t="n">
        <v>46</v>
      </c>
      <c r="AJ182" s="6" t="n">
        <f aca="false">IFERROR(AI182/R182,"")</f>
        <v>3.53846153846154</v>
      </c>
      <c r="AK182" s="10" t="n">
        <v>0.1289</v>
      </c>
      <c r="AL182" s="10" t="n">
        <v>0.1583</v>
      </c>
      <c r="AM182" s="9" t="n">
        <v>0.3042</v>
      </c>
      <c r="AN182" s="8" t="n">
        <v>30</v>
      </c>
      <c r="AO182" s="10" t="n">
        <f aca="false">IFERROR(AN182/AI182,"")</f>
        <v>0.652173913043478</v>
      </c>
      <c r="AP182" s="8" t="n">
        <v>332</v>
      </c>
      <c r="AQ182" s="7" t="n">
        <f aca="false">IFERROR(AP182/AI182,"")</f>
        <v>7.21739130434783</v>
      </c>
      <c r="AR182" s="6" t="n">
        <v>11.239</v>
      </c>
      <c r="AS182" s="7" t="n">
        <v>2.233</v>
      </c>
      <c r="AT182" s="7" t="n">
        <v>0.642</v>
      </c>
      <c r="AU182" s="7" t="n">
        <v>2.1693210690096</v>
      </c>
      <c r="AV182" s="7" t="n">
        <v>5.91116279069767</v>
      </c>
      <c r="AW182" s="7" t="n">
        <v>0.408917318333248</v>
      </c>
      <c r="AX182" s="10" t="n">
        <v>0.0435</v>
      </c>
      <c r="AY182" s="8" t="n">
        <v>1</v>
      </c>
      <c r="AZ182" s="6" t="n">
        <f aca="false">IFERROR(AY182/R182,"")</f>
        <v>0.0769230769230769</v>
      </c>
      <c r="BA182" s="10" t="n">
        <v>0.0026</v>
      </c>
      <c r="BB182" s="8" t="n">
        <v>6</v>
      </c>
      <c r="BC182" s="7"/>
      <c r="BD182" s="7"/>
      <c r="BE182" s="7"/>
      <c r="BF182" s="8" t="n">
        <v>0</v>
      </c>
      <c r="BG182" s="7"/>
      <c r="BH182" s="6"/>
      <c r="BI182" s="7"/>
      <c r="BJ182" s="8" t="n">
        <v>4</v>
      </c>
      <c r="BK182" s="8" t="n">
        <v>1</v>
      </c>
      <c r="BL182" s="8" t="n">
        <v>1</v>
      </c>
      <c r="BM182" s="8" t="n">
        <v>2</v>
      </c>
      <c r="BN182" s="7" t="n">
        <v>1.55</v>
      </c>
      <c r="BO182" s="7" t="n">
        <f aca="false">IFERROR(BM182-BN182,"")</f>
        <v>0.45</v>
      </c>
      <c r="BP182" s="9" t="n">
        <f aca="false">IFERROR(BM182/AH182,"")</f>
        <v>0.0425531914893617</v>
      </c>
      <c r="BQ182" s="6" t="n">
        <v>48.2</v>
      </c>
      <c r="BR182" s="6" t="n">
        <v>35.6</v>
      </c>
      <c r="BS182" s="6" t="n">
        <v>61.6</v>
      </c>
      <c r="BT182" s="7" t="n">
        <v>2.749</v>
      </c>
      <c r="BU182" s="10" t="n">
        <v>0.2192</v>
      </c>
      <c r="BV182" s="10" t="n">
        <v>0.466666666666667</v>
      </c>
      <c r="BW182" s="7" t="n">
        <v>2.6</v>
      </c>
      <c r="BX182" s="10" t="n">
        <v>0.2334</v>
      </c>
      <c r="BY182" s="10" t="n">
        <v>0.0577</v>
      </c>
      <c r="BZ182" s="7" t="n">
        <v>2.491</v>
      </c>
      <c r="CA182" s="10" t="n">
        <v>0.909</v>
      </c>
      <c r="CB182" s="8" t="n">
        <v>5</v>
      </c>
      <c r="CC182" s="10" t="n">
        <v>-0.0248</v>
      </c>
      <c r="CD182" s="10" t="n">
        <v>0.5347</v>
      </c>
      <c r="CE182" s="6" t="n">
        <v>58.53</v>
      </c>
      <c r="CF182" s="6" t="n">
        <v>39</v>
      </c>
      <c r="CG182" s="7" t="n">
        <v>2.76</v>
      </c>
      <c r="CH182" s="6" t="n">
        <v>22.3</v>
      </c>
      <c r="CI182" s="9" t="n">
        <v>0.0054</v>
      </c>
      <c r="CJ182" s="9" t="n">
        <v>0.0436</v>
      </c>
      <c r="CK182" s="8" t="n">
        <v>175</v>
      </c>
      <c r="CL182" s="10" t="n">
        <v>0.377</v>
      </c>
      <c r="CM182" s="8" t="n">
        <v>12</v>
      </c>
      <c r="CN182" s="10" t="n">
        <v>0.025</v>
      </c>
      <c r="CO182" s="8" t="n">
        <v>23</v>
      </c>
      <c r="CP182" s="7" t="n">
        <v>-0.526</v>
      </c>
      <c r="CQ182" s="7" t="n">
        <v>-0.702</v>
      </c>
      <c r="CR182" s="4" t="s">
        <v>121</v>
      </c>
      <c r="CS182" s="4"/>
    </row>
    <row r="183" customFormat="false" ht="15" hidden="false" customHeight="false" outlineLevel="0" collapsed="false">
      <c r="A183" s="3" t="n">
        <v>181</v>
      </c>
      <c r="B183" s="4" t="s">
        <v>504</v>
      </c>
      <c r="C183" s="11" t="s">
        <v>104</v>
      </c>
      <c r="D183" s="4" t="s">
        <v>505</v>
      </c>
      <c r="E183" s="4" t="s">
        <v>198</v>
      </c>
      <c r="F183" s="4" t="s">
        <v>281</v>
      </c>
      <c r="G183" s="3" t="n">
        <v>3</v>
      </c>
      <c r="H183" s="6" t="n">
        <v>24.8</v>
      </c>
      <c r="I183" s="3" t="n">
        <v>4</v>
      </c>
      <c r="J183" s="3" t="n">
        <v>10</v>
      </c>
      <c r="K183" s="7" t="n">
        <v>200.06</v>
      </c>
      <c r="L183" s="7" t="n">
        <v>34.26</v>
      </c>
      <c r="M183" s="8" t="n">
        <v>141</v>
      </c>
      <c r="N183" s="8" t="n">
        <v>299</v>
      </c>
      <c r="O183" s="7" t="n">
        <v>200.06</v>
      </c>
      <c r="P183" s="6" t="n">
        <v>11.1</v>
      </c>
      <c r="Q183" s="4" t="s">
        <v>198</v>
      </c>
      <c r="R183" s="8" t="n">
        <v>17</v>
      </c>
      <c r="S183" s="6" t="n">
        <v>91.4</v>
      </c>
      <c r="T183" s="7" t="n">
        <f aca="false">IFERROR(S183/R183,"")</f>
        <v>5.3764705882353</v>
      </c>
      <c r="U183" s="6" t="n">
        <v>87.4</v>
      </c>
      <c r="V183" s="6" t="n">
        <v>83.4</v>
      </c>
      <c r="W183" s="8" t="n">
        <v>48</v>
      </c>
      <c r="X183" s="7" t="n">
        <f aca="false">IFERROR(S183/AH183,"")</f>
        <v>0.942268041237114</v>
      </c>
      <c r="Y183" s="9" t="n">
        <f aca="false">IFERROR(S183/AF183,"")</f>
        <v>0.516384180790961</v>
      </c>
      <c r="Z183" s="6" t="n">
        <v>0.15</v>
      </c>
      <c r="AA183" s="6" t="n">
        <v>4.25</v>
      </c>
      <c r="AB183" s="6" t="n">
        <v>8.8</v>
      </c>
      <c r="AC183" s="10" t="n">
        <v>0.062</v>
      </c>
      <c r="AD183" s="10" t="n">
        <v>0.438</v>
      </c>
      <c r="AE183" s="7" t="n">
        <v>1.973</v>
      </c>
      <c r="AF183" s="8" t="n">
        <v>177</v>
      </c>
      <c r="AG183" s="10" t="n">
        <v>0.158</v>
      </c>
      <c r="AH183" s="8" t="n">
        <v>97</v>
      </c>
      <c r="AI183" s="8" t="n">
        <v>11</v>
      </c>
      <c r="AJ183" s="6" t="n">
        <f aca="false">IFERROR(AI183/R183,"")</f>
        <v>0.647058823529412</v>
      </c>
      <c r="AK183" s="10" t="n">
        <v>0.0233</v>
      </c>
      <c r="AL183" s="10" t="n">
        <v>-0.0026</v>
      </c>
      <c r="AM183" s="9" t="n">
        <v>0.0331</v>
      </c>
      <c r="AN183" s="8" t="n">
        <v>8</v>
      </c>
      <c r="AO183" s="10" t="n">
        <f aca="false">IFERROR(AN183/AI183,"")</f>
        <v>0.727272727272727</v>
      </c>
      <c r="AP183" s="8" t="n">
        <v>34</v>
      </c>
      <c r="AQ183" s="7" t="n">
        <f aca="false">IFERROR(AP183/AI183,"")</f>
        <v>3.09090909090909</v>
      </c>
      <c r="AR183" s="6" t="n">
        <v>-0.909</v>
      </c>
      <c r="AS183" s="7" t="n">
        <v>6.125</v>
      </c>
      <c r="AT183" s="7" t="n">
        <v>-3.4</v>
      </c>
      <c r="AU183" s="7"/>
      <c r="AV183" s="7"/>
      <c r="AW183" s="7"/>
      <c r="AX183" s="10" t="n">
        <v>0.0909</v>
      </c>
      <c r="AY183" s="8" t="n">
        <v>86</v>
      </c>
      <c r="AZ183" s="6" t="n">
        <f aca="false">IFERROR(AY183/R183,"")</f>
        <v>5.05882352941176</v>
      </c>
      <c r="BA183" s="10" t="n">
        <v>0.2087</v>
      </c>
      <c r="BB183" s="8" t="n">
        <v>320</v>
      </c>
      <c r="BC183" s="7" t="n">
        <f aca="false">IFERROR(BB183/AY183,"")</f>
        <v>3.72093023255814</v>
      </c>
      <c r="BD183" s="7" t="n">
        <v>2.756</v>
      </c>
      <c r="BE183" s="7" t="n">
        <v>0.965</v>
      </c>
      <c r="BF183" s="8" t="n">
        <v>5</v>
      </c>
      <c r="BG183" s="7"/>
      <c r="BH183" s="6"/>
      <c r="BI183" s="7"/>
      <c r="BJ183" s="8" t="n">
        <v>24</v>
      </c>
      <c r="BK183" s="8" t="n">
        <v>15</v>
      </c>
      <c r="BL183" s="8" t="n">
        <v>12</v>
      </c>
      <c r="BM183" s="8" t="n">
        <v>8</v>
      </c>
      <c r="BN183" s="7" t="n">
        <v>6.7</v>
      </c>
      <c r="BO183" s="7" t="n">
        <f aca="false">IFERROR(BM183-BN183,"")</f>
        <v>1.3</v>
      </c>
      <c r="BP183" s="9" t="n">
        <f aca="false">IFERROR(BM183/AH183,"")</f>
        <v>0.0824742268041237</v>
      </c>
      <c r="BQ183" s="6" t="n">
        <v>57.4</v>
      </c>
      <c r="BR183" s="6" t="n">
        <v>46.3</v>
      </c>
      <c r="BS183" s="6" t="n">
        <v>65.4</v>
      </c>
      <c r="BT183" s="7" t="n">
        <v>2.736</v>
      </c>
      <c r="BU183" s="10" t="n">
        <v>0.1938</v>
      </c>
      <c r="BV183" s="10" t="n">
        <v>0.708333333333333</v>
      </c>
      <c r="BW183" s="7" t="n">
        <v>2.699</v>
      </c>
      <c r="BX183" s="10" t="n">
        <v>0.172</v>
      </c>
      <c r="BY183" s="10" t="n">
        <v>0.0571</v>
      </c>
      <c r="BZ183" s="7" t="n">
        <v>2.292</v>
      </c>
      <c r="CA183" s="10" t="n">
        <v>0.791</v>
      </c>
      <c r="CB183" s="8" t="n">
        <v>4</v>
      </c>
      <c r="CC183" s="10" t="n">
        <v>-0.0347</v>
      </c>
      <c r="CD183" s="10" t="n">
        <v>0.5148</v>
      </c>
      <c r="CE183" s="6" t="n">
        <v>62.65</v>
      </c>
      <c r="CF183" s="6" t="n">
        <v>41</v>
      </c>
      <c r="CG183" s="7" t="n">
        <v>3.12</v>
      </c>
      <c r="CH183" s="6" t="n">
        <v>22.4</v>
      </c>
      <c r="CI183" s="9" t="n">
        <v>0.0138</v>
      </c>
      <c r="CJ183" s="9" t="n">
        <v>-0.0264</v>
      </c>
      <c r="CK183" s="8" t="n">
        <v>111</v>
      </c>
      <c r="CL183" s="10" t="n">
        <v>0.205</v>
      </c>
      <c r="CM183" s="8" t="n">
        <v>138</v>
      </c>
      <c r="CN183" s="10" t="n">
        <v>0.292</v>
      </c>
      <c r="CO183" s="8" t="n">
        <v>38</v>
      </c>
      <c r="CP183" s="7" t="n">
        <v>0.057</v>
      </c>
      <c r="CQ183" s="7" t="n">
        <v>-0.207</v>
      </c>
      <c r="CR183" s="4" t="s">
        <v>102</v>
      </c>
      <c r="CS183" s="4"/>
    </row>
    <row r="184" customFormat="false" ht="15" hidden="false" customHeight="false" outlineLevel="0" collapsed="false">
      <c r="A184" s="3" t="n">
        <v>182</v>
      </c>
      <c r="B184" s="4" t="s">
        <v>506</v>
      </c>
      <c r="C184" s="12" t="s">
        <v>149</v>
      </c>
      <c r="D184" s="4" t="s">
        <v>507</v>
      </c>
      <c r="E184" s="4" t="s">
        <v>161</v>
      </c>
      <c r="F184" s="4" t="s">
        <v>149</v>
      </c>
      <c r="G184" s="3" t="n">
        <v>1</v>
      </c>
      <c r="H184" s="6" t="n">
        <v>26.4</v>
      </c>
      <c r="I184" s="3" t="n">
        <v>5</v>
      </c>
      <c r="J184" s="3" t="n">
        <v>6</v>
      </c>
      <c r="K184" s="7" t="n">
        <v>200.16</v>
      </c>
      <c r="L184" s="7" t="n">
        <v>43.44</v>
      </c>
      <c r="M184" s="8" t="n">
        <v>131</v>
      </c>
      <c r="N184" s="8" t="n">
        <v>306</v>
      </c>
      <c r="O184" s="7" t="n">
        <v>200.16</v>
      </c>
      <c r="P184" s="6" t="n">
        <v>14.8</v>
      </c>
      <c r="Q184" s="4" t="s">
        <v>161</v>
      </c>
      <c r="R184" s="8" t="n">
        <v>9</v>
      </c>
      <c r="S184" s="6" t="n">
        <v>62.8</v>
      </c>
      <c r="T184" s="7" t="n">
        <f aca="false">IFERROR(S184/R184,"")</f>
        <v>6.97777777777778</v>
      </c>
      <c r="U184" s="6" t="n">
        <v>49.8</v>
      </c>
      <c r="V184" s="6" t="n">
        <v>36.8</v>
      </c>
      <c r="W184" s="8" t="n">
        <v>30</v>
      </c>
      <c r="X184" s="7" t="n">
        <f aca="false">IFERROR(S184/AH184,"")</f>
        <v>1.84705882352941</v>
      </c>
      <c r="Y184" s="9" t="n">
        <f aca="false">IFERROR(S184/AF184,"")</f>
        <v>0.256326530612245</v>
      </c>
      <c r="Z184" s="6" t="n">
        <v>4.4</v>
      </c>
      <c r="AA184" s="6" t="n">
        <v>6.1</v>
      </c>
      <c r="AB184" s="6" t="n">
        <v>9.34</v>
      </c>
      <c r="AC184" s="10" t="n">
        <v>0.111</v>
      </c>
      <c r="AD184" s="10" t="n">
        <v>0</v>
      </c>
      <c r="AE184" s="7" t="n">
        <v>0.65</v>
      </c>
      <c r="AF184" s="8" t="n">
        <v>245</v>
      </c>
      <c r="AG184" s="10" t="n">
        <v>0.422</v>
      </c>
      <c r="AH184" s="8" t="n">
        <v>34</v>
      </c>
      <c r="AI184" s="8" t="n">
        <v>33</v>
      </c>
      <c r="AJ184" s="6" t="n">
        <f aca="false">IFERROR(AI184/R184,"")</f>
        <v>3.66666666666667</v>
      </c>
      <c r="AK184" s="10" t="n">
        <v>0.15</v>
      </c>
      <c r="AL184" s="10" t="n">
        <v>0.0922</v>
      </c>
      <c r="AM184" s="9" t="n">
        <v>0.2895</v>
      </c>
      <c r="AN184" s="8" t="n">
        <v>26</v>
      </c>
      <c r="AO184" s="10" t="n">
        <f aca="false">IFERROR(AN184/AI184,"")</f>
        <v>0.787878787878788</v>
      </c>
      <c r="AP184" s="8" t="n">
        <v>335</v>
      </c>
      <c r="AQ184" s="7" t="n">
        <f aca="false">IFERROR(AP184/AI184,"")</f>
        <v>10.1515151515152</v>
      </c>
      <c r="AR184" s="6" t="n">
        <v>4.697</v>
      </c>
      <c r="AS184" s="7" t="n">
        <v>7.654</v>
      </c>
      <c r="AT184" s="7" t="n">
        <v>2.161</v>
      </c>
      <c r="AU184" s="7"/>
      <c r="AV184" s="7"/>
      <c r="AW184" s="7"/>
      <c r="AX184" s="10" t="n">
        <v>0</v>
      </c>
      <c r="AY184" s="8" t="n">
        <v>1</v>
      </c>
      <c r="AZ184" s="6" t="n">
        <f aca="false">IFERROR(AY184/R184,"")</f>
        <v>0.111111111111111</v>
      </c>
      <c r="BA184" s="10" t="n">
        <v>0.0039</v>
      </c>
      <c r="BB184" s="8" t="n">
        <v>-7</v>
      </c>
      <c r="BC184" s="7"/>
      <c r="BD184" s="7"/>
      <c r="BE184" s="7"/>
      <c r="BF184" s="8" t="n">
        <v>0</v>
      </c>
      <c r="BG184" s="7"/>
      <c r="BH184" s="6"/>
      <c r="BI184" s="7"/>
      <c r="BJ184" s="8" t="n">
        <v>7</v>
      </c>
      <c r="BK184" s="8" t="n">
        <v>3</v>
      </c>
      <c r="BL184" s="8" t="n">
        <v>1</v>
      </c>
      <c r="BM184" s="8" t="n">
        <v>1</v>
      </c>
      <c r="BN184" s="7" t="n">
        <v>1.79</v>
      </c>
      <c r="BO184" s="7" t="n">
        <f aca="false">IFERROR(BM184-BN184,"")</f>
        <v>-0.79</v>
      </c>
      <c r="BP184" s="9" t="n">
        <f aca="false">IFERROR(BM184/AH184,"")</f>
        <v>0.0294117647058824</v>
      </c>
      <c r="BQ184" s="6" t="n">
        <v>38.6</v>
      </c>
      <c r="BR184" s="6" t="n">
        <v>37.5</v>
      </c>
      <c r="BS184" s="6" t="n">
        <v>44.5</v>
      </c>
      <c r="BT184" s="7" t="n">
        <v>2.839</v>
      </c>
      <c r="BU184" s="10" t="n">
        <v>0.2101</v>
      </c>
      <c r="BV184" s="10" t="n">
        <v>0.586206896551724</v>
      </c>
      <c r="BW184" s="7" t="n">
        <v>2.199</v>
      </c>
      <c r="BX184" s="10" t="n">
        <v>0.2422</v>
      </c>
      <c r="BY184" s="10" t="n">
        <v>0.0727</v>
      </c>
      <c r="BZ184" s="7" t="n">
        <v>2.29</v>
      </c>
      <c r="CA184" s="10" t="n">
        <v>0.672</v>
      </c>
      <c r="CB184" s="8" t="n">
        <v>4</v>
      </c>
      <c r="CC184" s="10" t="n">
        <v>-0.0584</v>
      </c>
      <c r="CD184" s="10" t="n">
        <v>0.5279</v>
      </c>
      <c r="CE184" s="6" t="n">
        <v>55.41</v>
      </c>
      <c r="CF184" s="6" t="n">
        <v>41</v>
      </c>
      <c r="CG184" s="7" t="n">
        <v>2.82</v>
      </c>
      <c r="CH184" s="6" t="n">
        <v>20.4</v>
      </c>
      <c r="CI184" s="9" t="n">
        <v>-0.026</v>
      </c>
      <c r="CJ184" s="9" t="n">
        <v>-0.0093</v>
      </c>
      <c r="CK184" s="8" t="n">
        <v>209</v>
      </c>
      <c r="CL184" s="10" t="n">
        <v>0.452</v>
      </c>
      <c r="CM184" s="8" t="n">
        <v>28</v>
      </c>
      <c r="CN184" s="10" t="n">
        <v>0.065</v>
      </c>
      <c r="CO184" s="8" t="n">
        <v>32</v>
      </c>
      <c r="CP184" s="7" t="n">
        <v>-0.465</v>
      </c>
      <c r="CQ184" s="7" t="n">
        <v>-0.334</v>
      </c>
      <c r="CR184" s="4" t="s">
        <v>121</v>
      </c>
      <c r="CS184" s="4"/>
    </row>
    <row r="185" customFormat="false" ht="15" hidden="false" customHeight="false" outlineLevel="0" collapsed="false">
      <c r="A185" s="3" t="n">
        <v>183</v>
      </c>
      <c r="B185" s="4" t="s">
        <v>508</v>
      </c>
      <c r="C185" s="5" t="s">
        <v>99</v>
      </c>
      <c r="D185" s="4" t="s">
        <v>509</v>
      </c>
      <c r="E185" s="4" t="s">
        <v>209</v>
      </c>
      <c r="F185" s="4" t="s">
        <v>99</v>
      </c>
      <c r="G185" s="3" t="n">
        <v>3</v>
      </c>
      <c r="H185" s="6" t="n">
        <v>23.5</v>
      </c>
      <c r="I185" s="3" t="n">
        <v>3</v>
      </c>
      <c r="J185" s="3" t="n">
        <v>10</v>
      </c>
      <c r="K185" s="7" t="n">
        <v>202.09</v>
      </c>
      <c r="L185" s="7" t="n">
        <v>37.68</v>
      </c>
      <c r="M185" s="8" t="n">
        <v>133</v>
      </c>
      <c r="N185" s="8" t="n">
        <v>328</v>
      </c>
      <c r="O185" s="7" t="n">
        <v>202.09</v>
      </c>
      <c r="P185" s="6" t="n">
        <v>10.5</v>
      </c>
      <c r="Q185" s="4" t="s">
        <v>209</v>
      </c>
      <c r="R185" s="8" t="n">
        <v>17</v>
      </c>
      <c r="S185" s="6" t="n">
        <v>177.1</v>
      </c>
      <c r="T185" s="7" t="n">
        <f aca="false">IFERROR(S185/R185,"")</f>
        <v>10.4176470588235</v>
      </c>
      <c r="U185" s="6" t="n">
        <v>144.6</v>
      </c>
      <c r="V185" s="6" t="n">
        <v>112.1</v>
      </c>
      <c r="W185" s="8" t="n">
        <v>31</v>
      </c>
      <c r="X185" s="7" t="n">
        <f aca="false">IFERROR(S185/AH185,"")</f>
        <v>1.62477064220183</v>
      </c>
      <c r="Y185" s="9" t="n">
        <f aca="false">IFERROR(S185/AF185,"")</f>
        <v>0.264328358208955</v>
      </c>
      <c r="Z185" s="6" t="n">
        <v>4.1</v>
      </c>
      <c r="AA185" s="6" t="n">
        <v>8.5</v>
      </c>
      <c r="AB185" s="6" t="n">
        <v>18.48</v>
      </c>
      <c r="AC185" s="10" t="n">
        <v>0.176</v>
      </c>
      <c r="AD185" s="10" t="n">
        <v>0.059</v>
      </c>
      <c r="AE185" s="7" t="n">
        <v>0.897</v>
      </c>
      <c r="AF185" s="8" t="n">
        <v>670</v>
      </c>
      <c r="AG185" s="10" t="n">
        <v>0.596</v>
      </c>
      <c r="AH185" s="8" t="n">
        <v>109</v>
      </c>
      <c r="AI185" s="8" t="n">
        <v>104</v>
      </c>
      <c r="AJ185" s="6" t="n">
        <f aca="false">IFERROR(AI185/R185,"")</f>
        <v>6.11764705882353</v>
      </c>
      <c r="AK185" s="10" t="n">
        <v>0.1781</v>
      </c>
      <c r="AL185" s="10" t="n">
        <v>0.3015</v>
      </c>
      <c r="AM185" s="9" t="n">
        <v>0.4782</v>
      </c>
      <c r="AN185" s="8" t="n">
        <v>65</v>
      </c>
      <c r="AO185" s="10" t="n">
        <f aca="false">IFERROR(AN185/AI185,"")</f>
        <v>0.625</v>
      </c>
      <c r="AP185" s="8" t="n">
        <v>709</v>
      </c>
      <c r="AQ185" s="7" t="n">
        <f aca="false">IFERROR(AP185/AI185,"")</f>
        <v>6.81730769230769</v>
      </c>
      <c r="AR185" s="6" t="n">
        <v>12.702</v>
      </c>
      <c r="AS185" s="7" t="n">
        <v>4.338</v>
      </c>
      <c r="AT185" s="7" t="n">
        <v>0.537</v>
      </c>
      <c r="AU185" s="7" t="n">
        <v>3.00802589082916</v>
      </c>
      <c r="AV185" s="7" t="n">
        <v>6.69053191489362</v>
      </c>
      <c r="AW185" s="7" t="n">
        <v>0.297548203151172</v>
      </c>
      <c r="AX185" s="10" t="n">
        <v>0.0385</v>
      </c>
      <c r="AY185" s="8" t="n">
        <v>5</v>
      </c>
      <c r="AZ185" s="6" t="n">
        <f aca="false">IFERROR(AY185/R185,"")</f>
        <v>0.294117647058824</v>
      </c>
      <c r="BA185" s="10" t="n">
        <v>0.011</v>
      </c>
      <c r="BB185" s="8" t="n">
        <v>12</v>
      </c>
      <c r="BC185" s="7"/>
      <c r="BD185" s="7"/>
      <c r="BE185" s="7"/>
      <c r="BF185" s="8" t="n">
        <v>1</v>
      </c>
      <c r="BG185" s="7"/>
      <c r="BH185" s="6"/>
      <c r="BI185" s="7"/>
      <c r="BJ185" s="8" t="n">
        <v>18</v>
      </c>
      <c r="BK185" s="8" t="n">
        <v>8</v>
      </c>
      <c r="BL185" s="8" t="n">
        <v>4</v>
      </c>
      <c r="BM185" s="8" t="n">
        <v>6</v>
      </c>
      <c r="BN185" s="7" t="n">
        <v>5.93</v>
      </c>
      <c r="BO185" s="7" t="n">
        <f aca="false">IFERROR(BM185-BN185,"")</f>
        <v>0.0700000000000003</v>
      </c>
      <c r="BP185" s="9" t="n">
        <f aca="false">IFERROR(BM185/AH185,"")</f>
        <v>0.055045871559633</v>
      </c>
      <c r="BQ185" s="6" t="n">
        <v>63.2</v>
      </c>
      <c r="BR185" s="6" t="n">
        <v>50</v>
      </c>
      <c r="BS185" s="6" t="n">
        <v>70.8</v>
      </c>
      <c r="BT185" s="7" t="n">
        <v>2.952</v>
      </c>
      <c r="BU185" s="10" t="n">
        <v>0.1682</v>
      </c>
      <c r="BV185" s="10" t="n">
        <v>0.551724137931035</v>
      </c>
      <c r="BW185" s="7" t="n">
        <v>2.592</v>
      </c>
      <c r="BX185" s="10" t="n">
        <v>0.2088</v>
      </c>
      <c r="BY185" s="10" t="n">
        <v>0.037</v>
      </c>
      <c r="BZ185" s="7" t="n">
        <v>2.401</v>
      </c>
      <c r="CA185" s="10" t="n">
        <v>0.999</v>
      </c>
      <c r="CB185" s="8" t="n">
        <v>5</v>
      </c>
      <c r="CC185" s="10" t="n">
        <v>0.0157</v>
      </c>
      <c r="CD185" s="10" t="n">
        <v>0.59</v>
      </c>
      <c r="CE185" s="6" t="n">
        <v>63.47</v>
      </c>
      <c r="CF185" s="6" t="n">
        <v>38</v>
      </c>
      <c r="CG185" s="7" t="n">
        <v>3.47</v>
      </c>
      <c r="CH185" s="6" t="n">
        <v>23.6</v>
      </c>
      <c r="CI185" s="9" t="n">
        <v>0.0004</v>
      </c>
      <c r="CJ185" s="9" t="n">
        <v>0.0835</v>
      </c>
      <c r="CK185" s="8" t="n">
        <v>4</v>
      </c>
      <c r="CL185" s="10" t="n">
        <v>0.007</v>
      </c>
      <c r="CM185" s="8" t="n">
        <v>0</v>
      </c>
      <c r="CN185" s="10" t="n">
        <v>0</v>
      </c>
      <c r="CO185" s="8" t="n">
        <v>1</v>
      </c>
      <c r="CP185" s="7" t="n">
        <v>1.262</v>
      </c>
      <c r="CQ185" s="7" t="n">
        <v>0.736</v>
      </c>
      <c r="CR185" s="4" t="s">
        <v>321</v>
      </c>
      <c r="CS185" s="4"/>
    </row>
    <row r="186" customFormat="false" ht="15" hidden="false" customHeight="false" outlineLevel="0" collapsed="false">
      <c r="A186" s="3" t="n">
        <v>184</v>
      </c>
      <c r="B186" s="4" t="s">
        <v>510</v>
      </c>
      <c r="C186" s="5" t="s">
        <v>99</v>
      </c>
      <c r="D186" s="4" t="s">
        <v>511</v>
      </c>
      <c r="E186" s="4" t="s">
        <v>209</v>
      </c>
      <c r="F186" s="4" t="s">
        <v>99</v>
      </c>
      <c r="G186" s="3" t="n">
        <v>5</v>
      </c>
      <c r="H186" s="6" t="n">
        <v>23.7</v>
      </c>
      <c r="I186" s="3" t="n">
        <v>2</v>
      </c>
      <c r="J186" s="3" t="n">
        <v>10</v>
      </c>
      <c r="K186" s="7" t="n">
        <v>202.14</v>
      </c>
      <c r="L186" s="7" t="n">
        <v>30.84</v>
      </c>
      <c r="M186" s="8" t="n">
        <v>137</v>
      </c>
      <c r="N186" s="8" t="n">
        <v>280</v>
      </c>
      <c r="O186" s="7" t="n">
        <v>202.14</v>
      </c>
      <c r="P186" s="6" t="n">
        <v>9.9</v>
      </c>
      <c r="Q186" s="4" t="s">
        <v>209</v>
      </c>
      <c r="R186" s="8" t="n">
        <v>13</v>
      </c>
      <c r="S186" s="6" t="n">
        <v>74.8</v>
      </c>
      <c r="T186" s="7" t="n">
        <f aca="false">IFERROR(S186/R186,"")</f>
        <v>5.75384615384615</v>
      </c>
      <c r="U186" s="6" t="n">
        <v>59.3</v>
      </c>
      <c r="V186" s="6" t="n">
        <v>43.8</v>
      </c>
      <c r="W186" s="8" t="n">
        <v>72</v>
      </c>
      <c r="X186" s="7" t="n">
        <f aca="false">IFERROR(S186/AH186,"")</f>
        <v>1.5265306122449</v>
      </c>
      <c r="Y186" s="9" t="n">
        <f aca="false">IFERROR(S186/AF186,"")</f>
        <v>0.157473684210526</v>
      </c>
      <c r="Z186" s="6" t="n">
        <v>3.8</v>
      </c>
      <c r="AA186" s="6" t="n">
        <v>5.3</v>
      </c>
      <c r="AB186" s="6" t="n">
        <v>9.76</v>
      </c>
      <c r="AC186" s="10" t="n">
        <v>0</v>
      </c>
      <c r="AD186" s="10" t="n">
        <v>0.231</v>
      </c>
      <c r="AE186" s="7" t="n">
        <v>0.78</v>
      </c>
      <c r="AF186" s="8" t="n">
        <v>475</v>
      </c>
      <c r="AG186" s="10" t="n">
        <v>0.477</v>
      </c>
      <c r="AH186" s="8" t="n">
        <v>49</v>
      </c>
      <c r="AI186" s="8" t="n">
        <v>49</v>
      </c>
      <c r="AJ186" s="6" t="n">
        <f aca="false">IFERROR(AI186/R186,"")</f>
        <v>3.76923076923077</v>
      </c>
      <c r="AK186" s="10" t="n">
        <v>0.1077</v>
      </c>
      <c r="AL186" s="10" t="n">
        <v>0.1207</v>
      </c>
      <c r="AM186" s="9" t="n">
        <v>0.246</v>
      </c>
      <c r="AN186" s="8" t="n">
        <v>31</v>
      </c>
      <c r="AO186" s="10" t="n">
        <f aca="false">IFERROR(AN186/AI186,"")</f>
        <v>0.63265306122449</v>
      </c>
      <c r="AP186" s="8" t="n">
        <v>378</v>
      </c>
      <c r="AQ186" s="7" t="n">
        <f aca="false">IFERROR(AP186/AI186,"")</f>
        <v>7.71428571428571</v>
      </c>
      <c r="AR186" s="6" t="n">
        <v>8.367</v>
      </c>
      <c r="AS186" s="7" t="n">
        <v>4.742</v>
      </c>
      <c r="AT186" s="7" t="n">
        <v>0.922</v>
      </c>
      <c r="AU186" s="7" t="n">
        <v>2.40509746682027</v>
      </c>
      <c r="AV186" s="7" t="n">
        <v>6.32958333333334</v>
      </c>
      <c r="AW186" s="7" t="n">
        <v>0.83380869965873</v>
      </c>
      <c r="AX186" s="10" t="n">
        <v>0.0612</v>
      </c>
      <c r="AY186" s="8" t="n">
        <v>0</v>
      </c>
      <c r="AZ186" s="6" t="n">
        <f aca="false">IFERROR(AY186/R186,"")</f>
        <v>0</v>
      </c>
      <c r="BA186" s="10" t="n">
        <v>0</v>
      </c>
      <c r="BB186" s="8" t="n">
        <v>0</v>
      </c>
      <c r="BC186" s="7"/>
      <c r="BD186" s="7"/>
      <c r="BE186" s="7"/>
      <c r="BF186" s="8"/>
      <c r="BG186" s="7"/>
      <c r="BH186" s="6"/>
      <c r="BI186" s="7"/>
      <c r="BJ186" s="8" t="n">
        <v>8</v>
      </c>
      <c r="BK186" s="8" t="n">
        <v>4</v>
      </c>
      <c r="BL186" s="8" t="n">
        <v>1</v>
      </c>
      <c r="BM186" s="8" t="n">
        <v>1</v>
      </c>
      <c r="BN186" s="7" t="n">
        <v>2.52</v>
      </c>
      <c r="BO186" s="7" t="n">
        <f aca="false">IFERROR(BM186-BN186,"")</f>
        <v>-1.52</v>
      </c>
      <c r="BP186" s="9" t="n">
        <f aca="false">IFERROR(BM186/AH186,"")</f>
        <v>0.0204081632653061</v>
      </c>
      <c r="BQ186" s="6" t="n">
        <v>63.2</v>
      </c>
      <c r="BR186" s="6" t="n">
        <v>50</v>
      </c>
      <c r="BS186" s="6" t="n">
        <v>70.8</v>
      </c>
      <c r="BT186" s="7" t="n">
        <v>2.952</v>
      </c>
      <c r="BU186" s="10" t="n">
        <v>0.1682</v>
      </c>
      <c r="BV186" s="10" t="n">
        <v>0.551724137931035</v>
      </c>
      <c r="BW186" s="7" t="n">
        <v>2.592</v>
      </c>
      <c r="BX186" s="10" t="n">
        <v>0.2088</v>
      </c>
      <c r="BY186" s="10" t="n">
        <v>0.037</v>
      </c>
      <c r="BZ186" s="7" t="n">
        <v>2.401</v>
      </c>
      <c r="CA186" s="10" t="n">
        <v>0.999</v>
      </c>
      <c r="CB186" s="8" t="n">
        <v>5</v>
      </c>
      <c r="CC186" s="10" t="n">
        <v>0.0157</v>
      </c>
      <c r="CD186" s="10" t="n">
        <v>0.59</v>
      </c>
      <c r="CE186" s="6" t="n">
        <v>63.47</v>
      </c>
      <c r="CF186" s="6" t="n">
        <v>38</v>
      </c>
      <c r="CG186" s="7" t="n">
        <v>3.47</v>
      </c>
      <c r="CH186" s="6" t="n">
        <v>23.6</v>
      </c>
      <c r="CI186" s="9" t="n">
        <v>0.0004</v>
      </c>
      <c r="CJ186" s="9" t="n">
        <v>0.0835</v>
      </c>
      <c r="CK186" s="8" t="n">
        <v>4</v>
      </c>
      <c r="CL186" s="10" t="n">
        <v>0.007</v>
      </c>
      <c r="CM186" s="8" t="n">
        <v>0</v>
      </c>
      <c r="CN186" s="10" t="n">
        <v>0</v>
      </c>
      <c r="CO186" s="8" t="n">
        <v>1</v>
      </c>
      <c r="CP186" s="7" t="n">
        <v>-0.499</v>
      </c>
      <c r="CQ186" s="7" t="n">
        <v>-0.675</v>
      </c>
      <c r="CR186" s="4" t="s">
        <v>121</v>
      </c>
      <c r="CS186" s="4"/>
    </row>
    <row r="187" customFormat="false" ht="15" hidden="false" customHeight="false" outlineLevel="0" collapsed="false">
      <c r="A187" s="3" t="n">
        <v>185</v>
      </c>
      <c r="B187" s="4" t="s">
        <v>512</v>
      </c>
      <c r="C187" s="5" t="s">
        <v>99</v>
      </c>
      <c r="D187" s="4" t="s">
        <v>513</v>
      </c>
      <c r="E187" s="4" t="s">
        <v>139</v>
      </c>
      <c r="F187" s="4" t="s">
        <v>270</v>
      </c>
      <c r="G187" s="3" t="n">
        <v>1</v>
      </c>
      <c r="H187" s="6" t="n">
        <v>24</v>
      </c>
      <c r="I187" s="3" t="n">
        <v>2</v>
      </c>
      <c r="J187" s="3" t="n">
        <v>8</v>
      </c>
      <c r="K187" s="7" t="n">
        <v>203.1</v>
      </c>
      <c r="L187" s="7" t="n">
        <v>29.97</v>
      </c>
      <c r="M187" s="8" t="n">
        <v>140</v>
      </c>
      <c r="N187" s="8" t="n">
        <v>302</v>
      </c>
      <c r="O187" s="7" t="n">
        <v>203.1</v>
      </c>
      <c r="P187" s="6" t="n">
        <v>8.1</v>
      </c>
      <c r="Q187" s="4" t="s">
        <v>139</v>
      </c>
      <c r="R187" s="8" t="n">
        <v>17</v>
      </c>
      <c r="S187" s="6" t="n">
        <v>68.4</v>
      </c>
      <c r="T187" s="7" t="n">
        <f aca="false">IFERROR(S187/R187,"")</f>
        <v>4.02352941176471</v>
      </c>
      <c r="U187" s="6" t="n">
        <v>55.4</v>
      </c>
      <c r="V187" s="6" t="n">
        <v>42.4</v>
      </c>
      <c r="W187" s="8" t="n">
        <v>75</v>
      </c>
      <c r="X187" s="7" t="n">
        <f aca="false">IFERROR(S187/AH187,"")</f>
        <v>1.66829268292683</v>
      </c>
      <c r="Y187" s="9" t="n">
        <f aca="false">IFERROR(S187/AF187,"")</f>
        <v>0.225</v>
      </c>
      <c r="Z187" s="6" t="n">
        <v>0</v>
      </c>
      <c r="AA187" s="6" t="n">
        <v>1.9</v>
      </c>
      <c r="AB187" s="6" t="n">
        <v>10.7</v>
      </c>
      <c r="AC187" s="10" t="n">
        <v>0</v>
      </c>
      <c r="AD187" s="10" t="n">
        <v>0.529</v>
      </c>
      <c r="AE187" s="7" t="n">
        <v>2.583</v>
      </c>
      <c r="AF187" s="8" t="n">
        <v>304</v>
      </c>
      <c r="AG187" s="10" t="n">
        <v>0.26</v>
      </c>
      <c r="AH187" s="8" t="n">
        <v>41</v>
      </c>
      <c r="AI187" s="8" t="n">
        <v>35</v>
      </c>
      <c r="AJ187" s="6" t="n">
        <f aca="false">IFERROR(AI187/R187,"")</f>
        <v>2.05882352941176</v>
      </c>
      <c r="AK187" s="10" t="n">
        <v>0.0633</v>
      </c>
      <c r="AL187" s="10" t="n">
        <v>0.0712</v>
      </c>
      <c r="AM187" s="9" t="n">
        <v>0.1448</v>
      </c>
      <c r="AN187" s="8" t="n">
        <v>26</v>
      </c>
      <c r="AO187" s="10" t="n">
        <f aca="false">IFERROR(AN187/AI187,"")</f>
        <v>0.742857142857143</v>
      </c>
      <c r="AP187" s="8" t="n">
        <v>292</v>
      </c>
      <c r="AQ187" s="7" t="n">
        <f aca="false">IFERROR(AP187/AI187,"")</f>
        <v>8.34285714285714</v>
      </c>
      <c r="AR187" s="6" t="n">
        <v>9.343</v>
      </c>
      <c r="AS187" s="7" t="n">
        <v>3.808</v>
      </c>
      <c r="AT187" s="7" t="n">
        <v>0.893</v>
      </c>
      <c r="AU187" s="7"/>
      <c r="AV187" s="7"/>
      <c r="AW187" s="7"/>
      <c r="AX187" s="10" t="n">
        <v>0.0286</v>
      </c>
      <c r="AY187" s="8" t="n">
        <v>6</v>
      </c>
      <c r="AZ187" s="6" t="n">
        <f aca="false">IFERROR(AY187/R187,"")</f>
        <v>0.352941176470588</v>
      </c>
      <c r="BA187" s="10" t="n">
        <v>0.0126</v>
      </c>
      <c r="BB187" s="8" t="n">
        <v>12</v>
      </c>
      <c r="BC187" s="7"/>
      <c r="BD187" s="7"/>
      <c r="BE187" s="7"/>
      <c r="BF187" s="8" t="n">
        <v>0</v>
      </c>
      <c r="BG187" s="7"/>
      <c r="BH187" s="6"/>
      <c r="BI187" s="7"/>
      <c r="BJ187" s="8" t="n">
        <v>7</v>
      </c>
      <c r="BK187" s="8" t="n">
        <v>3</v>
      </c>
      <c r="BL187" s="8" t="n">
        <v>2</v>
      </c>
      <c r="BM187" s="8" t="n">
        <v>2</v>
      </c>
      <c r="BN187" s="7" t="n">
        <v>2.02</v>
      </c>
      <c r="BO187" s="7" t="n">
        <f aca="false">IFERROR(BM187-BN187,"")</f>
        <v>-0.02</v>
      </c>
      <c r="BP187" s="9" t="n">
        <f aca="false">IFERROR(BM187/AH187,"")</f>
        <v>0.0487804878048781</v>
      </c>
      <c r="BQ187" s="6" t="n">
        <v>45.8</v>
      </c>
      <c r="BR187" s="6" t="n">
        <v>34.1</v>
      </c>
      <c r="BS187" s="6" t="n">
        <v>59.3</v>
      </c>
      <c r="BT187" s="7" t="n">
        <v>2.812</v>
      </c>
      <c r="BU187" s="10" t="n">
        <v>0.1937</v>
      </c>
      <c r="BV187" s="10" t="n">
        <v>0.485714285714286</v>
      </c>
      <c r="BW187" s="7" t="n">
        <v>2.099</v>
      </c>
      <c r="BX187" s="10" t="n">
        <v>0.2216</v>
      </c>
      <c r="BY187" s="10" t="n">
        <v>0.0526</v>
      </c>
      <c r="BZ187" s="7" t="n">
        <v>2.345</v>
      </c>
      <c r="CA187" s="10" t="n">
        <v>0.713</v>
      </c>
      <c r="CB187" s="8" t="n">
        <v>2</v>
      </c>
      <c r="CC187" s="10" t="n">
        <v>-0.0098</v>
      </c>
      <c r="CD187" s="10" t="n">
        <v>0.5638</v>
      </c>
      <c r="CE187" s="6" t="n">
        <v>63.41</v>
      </c>
      <c r="CF187" s="6" t="n">
        <v>38</v>
      </c>
      <c r="CG187" s="7" t="n">
        <v>3.41</v>
      </c>
      <c r="CH187" s="6" t="n">
        <v>23.8</v>
      </c>
      <c r="CI187" s="9" t="n">
        <v>-0.0779</v>
      </c>
      <c r="CJ187" s="9" t="n">
        <v>0.036</v>
      </c>
      <c r="CK187" s="8" t="n">
        <v>82</v>
      </c>
      <c r="CL187" s="10" t="n">
        <v>0.148</v>
      </c>
      <c r="CM187" s="8" t="n">
        <v>21</v>
      </c>
      <c r="CN187" s="10" t="n">
        <v>0.044</v>
      </c>
      <c r="CO187" s="8" t="n">
        <v>18</v>
      </c>
      <c r="CP187" s="7" t="n">
        <v>-0.595</v>
      </c>
      <c r="CQ187" s="7" t="n">
        <v>-0.99</v>
      </c>
      <c r="CR187" s="4" t="s">
        <v>121</v>
      </c>
      <c r="CS187" s="4"/>
    </row>
    <row r="188" customFormat="false" ht="15" hidden="false" customHeight="false" outlineLevel="0" collapsed="false">
      <c r="A188" s="3" t="n">
        <v>186</v>
      </c>
      <c r="B188" s="4" t="s">
        <v>514</v>
      </c>
      <c r="C188" s="5" t="s">
        <v>99</v>
      </c>
      <c r="D188" s="4" t="s">
        <v>515</v>
      </c>
      <c r="E188" s="4" t="s">
        <v>265</v>
      </c>
      <c r="F188" s="4" t="s">
        <v>99</v>
      </c>
      <c r="G188" s="3" t="n">
        <v>3</v>
      </c>
      <c r="H188" s="6" t="n">
        <v>31.7</v>
      </c>
      <c r="I188" s="3" t="n">
        <v>8</v>
      </c>
      <c r="J188" s="3" t="n">
        <v>9</v>
      </c>
      <c r="K188" s="7" t="n">
        <v>204.36</v>
      </c>
      <c r="L188" s="7" t="n">
        <v>35.76</v>
      </c>
      <c r="M188" s="8" t="n">
        <v>126</v>
      </c>
      <c r="N188" s="8" t="n">
        <v>316</v>
      </c>
      <c r="O188" s="7" t="n">
        <v>204.36</v>
      </c>
      <c r="P188" s="6" t="n">
        <v>16.8</v>
      </c>
      <c r="Q188" s="4" t="s">
        <v>265</v>
      </c>
      <c r="R188" s="8" t="n">
        <v>7</v>
      </c>
      <c r="S188" s="6" t="n">
        <v>47.3</v>
      </c>
      <c r="T188" s="7" t="n">
        <f aca="false">IFERROR(S188/R188,"")</f>
        <v>6.75714285714286</v>
      </c>
      <c r="U188" s="6" t="n">
        <v>38.8</v>
      </c>
      <c r="V188" s="6" t="n">
        <v>30.3</v>
      </c>
      <c r="W188" s="8" t="n">
        <v>84</v>
      </c>
      <c r="X188" s="7" t="n">
        <f aca="false">IFERROR(S188/AH188,"")</f>
        <v>1.31388888888889</v>
      </c>
      <c r="Y188" s="9" t="n">
        <f aca="false">IFERROR(S188/AF188,"")</f>
        <v>0.1892</v>
      </c>
      <c r="Z188" s="6" t="n">
        <v>3.25</v>
      </c>
      <c r="AA188" s="6" t="n">
        <v>5</v>
      </c>
      <c r="AB188" s="6" t="n">
        <v>9.64</v>
      </c>
      <c r="AC188" s="10" t="n">
        <v>0</v>
      </c>
      <c r="AD188" s="10" t="n">
        <v>0</v>
      </c>
      <c r="AE188" s="7" t="n">
        <v>1.097</v>
      </c>
      <c r="AF188" s="8" t="n">
        <v>250</v>
      </c>
      <c r="AG188" s="10" t="n">
        <v>0.571</v>
      </c>
      <c r="AH188" s="8" t="n">
        <v>36</v>
      </c>
      <c r="AI188" s="8" t="n">
        <v>36</v>
      </c>
      <c r="AJ188" s="6" t="n">
        <f aca="false">IFERROR(AI188/R188,"")</f>
        <v>5.14285714285714</v>
      </c>
      <c r="AK188" s="10" t="n">
        <v>0.1636</v>
      </c>
      <c r="AL188" s="10" t="n">
        <v>0.2475</v>
      </c>
      <c r="AM188" s="9" t="n">
        <v>0.4186</v>
      </c>
      <c r="AN188" s="8" t="n">
        <v>17</v>
      </c>
      <c r="AO188" s="10" t="n">
        <f aca="false">IFERROR(AN188/AI188,"")</f>
        <v>0.472222222222222</v>
      </c>
      <c r="AP188" s="8" t="n">
        <v>303</v>
      </c>
      <c r="AQ188" s="7" t="n">
        <f aca="false">IFERROR(AP188/AI188,"")</f>
        <v>8.41666666666667</v>
      </c>
      <c r="AR188" s="6" t="n">
        <v>12.583</v>
      </c>
      <c r="AS188" s="7" t="n">
        <v>4.941</v>
      </c>
      <c r="AT188" s="7" t="n">
        <v>0.669</v>
      </c>
      <c r="AU188" s="7"/>
      <c r="AV188" s="7"/>
      <c r="AW188" s="7"/>
      <c r="AX188" s="10" t="n">
        <v>0.1111</v>
      </c>
      <c r="AY188" s="8" t="n">
        <v>0</v>
      </c>
      <c r="AZ188" s="6" t="n">
        <f aca="false">IFERROR(AY188/R188,"")</f>
        <v>0</v>
      </c>
      <c r="BA188" s="10" t="n">
        <v>0</v>
      </c>
      <c r="BB188" s="8" t="n">
        <v>0</v>
      </c>
      <c r="BC188" s="7"/>
      <c r="BD188" s="7"/>
      <c r="BE188" s="7"/>
      <c r="BF188" s="8"/>
      <c r="BG188" s="7"/>
      <c r="BH188" s="6"/>
      <c r="BI188" s="7"/>
      <c r="BJ188" s="8" t="n">
        <v>2</v>
      </c>
      <c r="BK188" s="8" t="n">
        <v>1</v>
      </c>
      <c r="BL188" s="8" t="n">
        <v>0</v>
      </c>
      <c r="BM188" s="8" t="n">
        <v>0</v>
      </c>
      <c r="BN188" s="7" t="n">
        <v>0.87</v>
      </c>
      <c r="BO188" s="7" t="n">
        <f aca="false">IFERROR(BM188-BN188,"")</f>
        <v>-0.87</v>
      </c>
      <c r="BP188" s="9" t="n">
        <f aca="false">IFERROR(BM188/AH188,"")</f>
        <v>0</v>
      </c>
      <c r="BQ188" s="6" t="n">
        <v>41.1</v>
      </c>
      <c r="BR188" s="6" t="n">
        <v>58.4</v>
      </c>
      <c r="BS188" s="6" t="n">
        <v>27.6</v>
      </c>
      <c r="BT188" s="7" t="n">
        <v>3.085</v>
      </c>
      <c r="BU188" s="10" t="n">
        <v>0.1549</v>
      </c>
      <c r="BV188" s="10" t="n">
        <v>0.666666666666667</v>
      </c>
      <c r="BW188" s="7" t="n">
        <v>2.54</v>
      </c>
      <c r="BX188" s="10" t="n">
        <v>0.3175</v>
      </c>
      <c r="BY188" s="10" t="n">
        <v>0.0872</v>
      </c>
      <c r="BZ188" s="7" t="n">
        <v>2.389</v>
      </c>
      <c r="CA188" s="10" t="n">
        <v>0.527</v>
      </c>
      <c r="CB188" s="8" t="n">
        <v>3</v>
      </c>
      <c r="CC188" s="10" t="n">
        <v>-0.0385</v>
      </c>
      <c r="CD188" s="10" t="n">
        <v>0.5401</v>
      </c>
      <c r="CE188" s="6" t="n">
        <v>58.53</v>
      </c>
      <c r="CF188" s="6" t="n">
        <v>40</v>
      </c>
      <c r="CG188" s="7" t="n">
        <v>2.06</v>
      </c>
      <c r="CH188" s="6" t="n">
        <v>16.7</v>
      </c>
      <c r="CI188" s="9" t="n">
        <v>-0.0573</v>
      </c>
      <c r="CJ188" s="9" t="n">
        <v>-0.2208</v>
      </c>
      <c r="CK188" s="8" t="n">
        <v>152</v>
      </c>
      <c r="CL188" s="10" t="n">
        <v>0.287</v>
      </c>
      <c r="CM188" s="8" t="n">
        <v>0</v>
      </c>
      <c r="CN188" s="10" t="n">
        <v>0</v>
      </c>
      <c r="CO188" s="8" t="n">
        <v>8</v>
      </c>
      <c r="CP188" s="7" t="n">
        <v>-0.954</v>
      </c>
      <c r="CQ188" s="7" t="n">
        <v>-0.341</v>
      </c>
      <c r="CR188" s="4" t="s">
        <v>121</v>
      </c>
      <c r="CS188" s="4"/>
    </row>
    <row r="189" customFormat="false" ht="15" hidden="false" customHeight="false" outlineLevel="0" collapsed="false">
      <c r="A189" s="3" t="n">
        <v>187</v>
      </c>
      <c r="B189" s="4" t="s">
        <v>516</v>
      </c>
      <c r="C189" s="11" t="s">
        <v>104</v>
      </c>
      <c r="D189" s="4" t="s">
        <v>517</v>
      </c>
      <c r="E189" s="4" t="s">
        <v>142</v>
      </c>
      <c r="F189" s="4"/>
      <c r="G189" s="3"/>
      <c r="H189" s="6" t="n">
        <v>23.1</v>
      </c>
      <c r="I189" s="3" t="n">
        <v>0</v>
      </c>
      <c r="J189" s="3" t="n">
        <v>13</v>
      </c>
      <c r="K189" s="7" t="n">
        <v>206.02</v>
      </c>
      <c r="L189" s="7" t="n">
        <v>34.45</v>
      </c>
      <c r="M189" s="8" t="n">
        <v>143</v>
      </c>
      <c r="N189" s="8" t="n">
        <v>313</v>
      </c>
      <c r="O189" s="7" t="n">
        <v>206.02</v>
      </c>
      <c r="P189" s="6" t="n">
        <v>17.5</v>
      </c>
      <c r="Q189" s="4"/>
      <c r="R189" s="8"/>
      <c r="S189" s="6"/>
      <c r="T189" s="7"/>
      <c r="U189" s="6"/>
      <c r="V189" s="6"/>
      <c r="W189" s="8"/>
      <c r="X189" s="7"/>
      <c r="Y189" s="9"/>
      <c r="Z189" s="6"/>
      <c r="AA189" s="6"/>
      <c r="AB189" s="6"/>
      <c r="AC189" s="10"/>
      <c r="AD189" s="10"/>
      <c r="AE189" s="7"/>
      <c r="AF189" s="8"/>
      <c r="AG189" s="10"/>
      <c r="AH189" s="8"/>
      <c r="AI189" s="8"/>
      <c r="AJ189" s="6"/>
      <c r="AK189" s="10"/>
      <c r="AL189" s="10"/>
      <c r="AM189" s="9"/>
      <c r="AN189" s="8"/>
      <c r="AO189" s="10"/>
      <c r="AP189" s="8"/>
      <c r="AQ189" s="7"/>
      <c r="AR189" s="6"/>
      <c r="AS189" s="7"/>
      <c r="AT189" s="7"/>
      <c r="AU189" s="7"/>
      <c r="AV189" s="7"/>
      <c r="AW189" s="7"/>
      <c r="AX189" s="10"/>
      <c r="AY189" s="8"/>
      <c r="AZ189" s="6"/>
      <c r="BA189" s="10"/>
      <c r="BB189" s="8"/>
      <c r="BC189" s="7"/>
      <c r="BD189" s="7"/>
      <c r="BE189" s="7"/>
      <c r="BF189" s="8"/>
      <c r="BG189" s="7"/>
      <c r="BH189" s="6"/>
      <c r="BI189" s="7"/>
      <c r="BJ189" s="8"/>
      <c r="BK189" s="8"/>
      <c r="BL189" s="8"/>
      <c r="BM189" s="8"/>
      <c r="BN189" s="7"/>
      <c r="BO189" s="7"/>
      <c r="BP189" s="9"/>
      <c r="BQ189" s="6" t="n">
        <v>15.2</v>
      </c>
      <c r="BR189" s="6" t="n">
        <v>7.8</v>
      </c>
      <c r="BS189" s="6" t="n">
        <v>37.5</v>
      </c>
      <c r="BT189" s="7" t="n">
        <v>2.49</v>
      </c>
      <c r="BU189" s="10" t="n">
        <v>0.2502</v>
      </c>
      <c r="BV189" s="10" t="n">
        <v>0.366666666666667</v>
      </c>
      <c r="BW189" s="7" t="n">
        <v>1.629</v>
      </c>
      <c r="BX189" s="10" t="n">
        <v>0.2641</v>
      </c>
      <c r="BY189" s="10" t="n">
        <v>0.1019</v>
      </c>
      <c r="BZ189" s="7" t="n">
        <v>2.487</v>
      </c>
      <c r="CA189" s="10" t="n">
        <v>0.384</v>
      </c>
      <c r="CB189" s="8" t="n">
        <v>2</v>
      </c>
      <c r="CC189" s="10" t="n">
        <v>-0.0175</v>
      </c>
      <c r="CD189" s="10" t="n">
        <v>0.5679</v>
      </c>
      <c r="CE189" s="6" t="n">
        <v>55.41</v>
      </c>
      <c r="CF189" s="6" t="n">
        <v>38</v>
      </c>
      <c r="CG189" s="7" t="n">
        <v>2.24</v>
      </c>
      <c r="CH189" s="6" t="n">
        <v>14.2</v>
      </c>
      <c r="CI189" s="9" t="n">
        <v>-0.2605</v>
      </c>
      <c r="CJ189" s="9" t="n">
        <v>-0.187</v>
      </c>
      <c r="CK189" s="8" t="n">
        <v>55</v>
      </c>
      <c r="CL189" s="10" t="n">
        <v>0.111</v>
      </c>
      <c r="CM189" s="8" t="n">
        <v>58</v>
      </c>
      <c r="CN189" s="10" t="n">
        <v>0.157</v>
      </c>
      <c r="CO189" s="8" t="n">
        <v>13</v>
      </c>
      <c r="CP189" s="7"/>
      <c r="CQ189" s="7"/>
      <c r="CR189" s="4"/>
      <c r="CS189" s="4" t="s">
        <v>206</v>
      </c>
    </row>
    <row r="190" customFormat="false" ht="15" hidden="false" customHeight="false" outlineLevel="0" collapsed="false">
      <c r="A190" s="3" t="n">
        <v>188</v>
      </c>
      <c r="B190" s="4" t="s">
        <v>518</v>
      </c>
      <c r="C190" s="12" t="s">
        <v>149</v>
      </c>
      <c r="D190" s="4" t="s">
        <v>519</v>
      </c>
      <c r="E190" s="4" t="s">
        <v>115</v>
      </c>
      <c r="F190" s="4" t="s">
        <v>149</v>
      </c>
      <c r="G190" s="3" t="n">
        <v>1</v>
      </c>
      <c r="H190" s="6" t="n">
        <v>24.3</v>
      </c>
      <c r="I190" s="3" t="n">
        <v>3</v>
      </c>
      <c r="J190" s="3" t="n">
        <v>11</v>
      </c>
      <c r="K190" s="7" t="n">
        <v>208.35</v>
      </c>
      <c r="L190" s="7" t="n">
        <v>25.25</v>
      </c>
      <c r="M190" s="8" t="n">
        <v>138</v>
      </c>
      <c r="N190" s="8" t="n">
        <v>261</v>
      </c>
      <c r="O190" s="7" t="n">
        <v>208.35</v>
      </c>
      <c r="P190" s="6" t="n">
        <v>24.1</v>
      </c>
      <c r="Q190" s="4" t="s">
        <v>115</v>
      </c>
      <c r="R190" s="8" t="n">
        <v>17</v>
      </c>
      <c r="S190" s="6" t="n">
        <v>147.3</v>
      </c>
      <c r="T190" s="7" t="n">
        <f aca="false">IFERROR(S190/R190,"")</f>
        <v>8.66470588235294</v>
      </c>
      <c r="U190" s="6" t="n">
        <v>121.3</v>
      </c>
      <c r="V190" s="6" t="n">
        <v>95.3</v>
      </c>
      <c r="W190" s="8" t="n">
        <v>14</v>
      </c>
      <c r="X190" s="7" t="n">
        <f aca="false">IFERROR(S190/AH190,"")</f>
        <v>1.88846153846154</v>
      </c>
      <c r="Y190" s="9" t="n">
        <f aca="false">IFERROR(S190/AF190,"")</f>
        <v>0.178113663845224</v>
      </c>
      <c r="Z190" s="6" t="n">
        <v>3.4</v>
      </c>
      <c r="AA190" s="6" t="n">
        <v>7.7</v>
      </c>
      <c r="AB190" s="6" t="n">
        <v>14.32</v>
      </c>
      <c r="AC190" s="10" t="n">
        <v>0.118</v>
      </c>
      <c r="AD190" s="10" t="n">
        <v>0.176</v>
      </c>
      <c r="AE190" s="7" t="n">
        <v>0.843</v>
      </c>
      <c r="AF190" s="8" t="n">
        <v>827</v>
      </c>
      <c r="AG190" s="10" t="n">
        <v>0.773</v>
      </c>
      <c r="AH190" s="8" t="n">
        <v>78</v>
      </c>
      <c r="AI190" s="8" t="n">
        <v>68</v>
      </c>
      <c r="AJ190" s="6" t="n">
        <f aca="false">IFERROR(AI190/R190,"")</f>
        <v>4</v>
      </c>
      <c r="AK190" s="10" t="n">
        <v>0.1495</v>
      </c>
      <c r="AL190" s="10" t="n">
        <v>0.081</v>
      </c>
      <c r="AM190" s="9" t="n">
        <v>0.281</v>
      </c>
      <c r="AN190" s="8" t="n">
        <v>52</v>
      </c>
      <c r="AO190" s="10" t="n">
        <f aca="false">IFERROR(AN190/AI190,"")</f>
        <v>0.764705882352941</v>
      </c>
      <c r="AP190" s="8" t="n">
        <v>519</v>
      </c>
      <c r="AQ190" s="7" t="n">
        <f aca="false">IFERROR(AP190/AI190,"")</f>
        <v>7.63235294117647</v>
      </c>
      <c r="AR190" s="6" t="n">
        <v>4.368</v>
      </c>
      <c r="AS190" s="7" t="n">
        <v>5.212</v>
      </c>
      <c r="AT190" s="7" t="n">
        <v>1.747</v>
      </c>
      <c r="AU190" s="7" t="n">
        <v>4.10358006488218</v>
      </c>
      <c r="AV190" s="7" t="n">
        <v>4.62185185185185</v>
      </c>
      <c r="AW190" s="7" t="n">
        <v>0.781411886688211</v>
      </c>
      <c r="AX190" s="10" t="n">
        <v>0.0294</v>
      </c>
      <c r="AY190" s="8" t="n">
        <v>10</v>
      </c>
      <c r="AZ190" s="6" t="n">
        <f aca="false">IFERROR(AY190/R190,"")</f>
        <v>0.588235294117647</v>
      </c>
      <c r="BA190" s="10" t="n">
        <v>0.0197</v>
      </c>
      <c r="BB190" s="8" t="n">
        <v>14</v>
      </c>
      <c r="BC190" s="7"/>
      <c r="BD190" s="7"/>
      <c r="BE190" s="7"/>
      <c r="BF190" s="8" t="n">
        <v>0</v>
      </c>
      <c r="BG190" s="7"/>
      <c r="BH190" s="6"/>
      <c r="BI190" s="7"/>
      <c r="BJ190" s="8" t="n">
        <v>16</v>
      </c>
      <c r="BK190" s="8" t="n">
        <v>8</v>
      </c>
      <c r="BL190" s="8" t="n">
        <v>4</v>
      </c>
      <c r="BM190" s="8" t="n">
        <v>7</v>
      </c>
      <c r="BN190" s="7" t="n">
        <v>5.08</v>
      </c>
      <c r="BO190" s="7" t="n">
        <f aca="false">IFERROR(BM190-BN190,"")</f>
        <v>1.92</v>
      </c>
      <c r="BP190" s="9" t="n">
        <f aca="false">IFERROR(BM190/AH190,"")</f>
        <v>0.0897435897435897</v>
      </c>
      <c r="BQ190" s="6" t="n">
        <v>49.9</v>
      </c>
      <c r="BR190" s="6" t="n">
        <v>39.3</v>
      </c>
      <c r="BS190" s="6" t="n">
        <v>60.5</v>
      </c>
      <c r="BT190" s="7" t="n">
        <v>2.758</v>
      </c>
      <c r="BU190" s="10" t="n">
        <v>0.2121</v>
      </c>
      <c r="BV190" s="10" t="n">
        <v>0.612903225806452</v>
      </c>
      <c r="BW190" s="7" t="n">
        <v>2.477</v>
      </c>
      <c r="BX190" s="10" t="n">
        <v>0.2266</v>
      </c>
      <c r="BY190" s="10" t="n">
        <v>0.0535</v>
      </c>
      <c r="BZ190" s="7" t="n">
        <v>2.4</v>
      </c>
      <c r="CA190" s="10" t="n">
        <v>0.942</v>
      </c>
      <c r="CB190" s="8" t="n">
        <v>5</v>
      </c>
      <c r="CC190" s="10" t="n">
        <v>-0.0677</v>
      </c>
      <c r="CD190" s="10" t="n">
        <v>0.5204</v>
      </c>
      <c r="CE190" s="6" t="n">
        <v>58.65</v>
      </c>
      <c r="CF190" s="6" t="n">
        <v>39</v>
      </c>
      <c r="CG190" s="7" t="n">
        <v>3.53</v>
      </c>
      <c r="CH190" s="6" t="n">
        <v>28.4</v>
      </c>
      <c r="CI190" s="9" t="n">
        <v>-0.0491</v>
      </c>
      <c r="CJ190" s="9" t="n">
        <v>0.1122</v>
      </c>
      <c r="CK190" s="8" t="n">
        <v>39</v>
      </c>
      <c r="CL190" s="10" t="n">
        <v>0.086</v>
      </c>
      <c r="CM190" s="8" t="n">
        <v>221</v>
      </c>
      <c r="CN190" s="10" t="n">
        <v>0.436</v>
      </c>
      <c r="CO190" s="8" t="n">
        <v>37</v>
      </c>
      <c r="CP190" s="7" t="n">
        <v>0.272</v>
      </c>
      <c r="CQ190" s="7" t="n">
        <v>0.008</v>
      </c>
      <c r="CR190" s="4" t="s">
        <v>102</v>
      </c>
      <c r="CS190" s="4"/>
    </row>
    <row r="191" customFormat="false" ht="15" hidden="false" customHeight="false" outlineLevel="0" collapsed="false">
      <c r="A191" s="3" t="n">
        <v>189</v>
      </c>
      <c r="B191" s="4" t="s">
        <v>520</v>
      </c>
      <c r="C191" s="5" t="s">
        <v>99</v>
      </c>
      <c r="D191" s="4" t="s">
        <v>521</v>
      </c>
      <c r="E191" s="4" t="s">
        <v>106</v>
      </c>
      <c r="F191" s="4" t="s">
        <v>99</v>
      </c>
      <c r="G191" s="3" t="n">
        <v>3</v>
      </c>
      <c r="H191" s="6" t="n">
        <v>24.5</v>
      </c>
      <c r="I191" s="3" t="n">
        <v>2</v>
      </c>
      <c r="J191" s="3" t="n">
        <v>6</v>
      </c>
      <c r="K191" s="7" t="n">
        <v>208.59</v>
      </c>
      <c r="L191" s="7" t="n">
        <v>26.21</v>
      </c>
      <c r="M191" s="8" t="n">
        <v>163</v>
      </c>
      <c r="N191" s="8" t="n">
        <v>278</v>
      </c>
      <c r="O191" s="7" t="n">
        <v>208.59</v>
      </c>
      <c r="P191" s="6" t="n">
        <v>16.4</v>
      </c>
      <c r="Q191" s="4" t="s">
        <v>106</v>
      </c>
      <c r="R191" s="8" t="n">
        <v>14</v>
      </c>
      <c r="S191" s="6" t="n">
        <v>75.9</v>
      </c>
      <c r="T191" s="7" t="n">
        <f aca="false">IFERROR(S191/R191,"")</f>
        <v>5.42142857142857</v>
      </c>
      <c r="U191" s="6" t="n">
        <v>67.9</v>
      </c>
      <c r="V191" s="6" t="n">
        <v>59.9</v>
      </c>
      <c r="W191" s="8" t="n">
        <v>70</v>
      </c>
      <c r="X191" s="7" t="n">
        <f aca="false">IFERROR(S191/AH191,"")</f>
        <v>2.81111111111111</v>
      </c>
      <c r="Y191" s="9" t="n">
        <f aca="false">IFERROR(S191/AF191,"")</f>
        <v>0.174082568807339</v>
      </c>
      <c r="Z191" s="6" t="n">
        <v>0</v>
      </c>
      <c r="AA191" s="6" t="n">
        <v>3.35</v>
      </c>
      <c r="AB191" s="6" t="n">
        <v>11.62</v>
      </c>
      <c r="AC191" s="10" t="n">
        <v>0</v>
      </c>
      <c r="AD191" s="10" t="n">
        <v>0.357</v>
      </c>
      <c r="AE191" s="7" t="n">
        <v>1.674</v>
      </c>
      <c r="AF191" s="8" t="n">
        <v>436</v>
      </c>
      <c r="AG191" s="10" t="n">
        <v>0.396</v>
      </c>
      <c r="AH191" s="8" t="n">
        <v>27</v>
      </c>
      <c r="AI191" s="8" t="n">
        <v>27</v>
      </c>
      <c r="AJ191" s="6" t="n">
        <f aca="false">IFERROR(AI191/R191,"")</f>
        <v>1.92857142857143</v>
      </c>
      <c r="AK191" s="10" t="n">
        <v>0.0584</v>
      </c>
      <c r="AL191" s="10" t="n">
        <v>0.1171</v>
      </c>
      <c r="AM191" s="9" t="n">
        <v>0.1696</v>
      </c>
      <c r="AN191" s="8" t="n">
        <v>16</v>
      </c>
      <c r="AO191" s="10" t="n">
        <f aca="false">IFERROR(AN191/AI191,"")</f>
        <v>0.592592592592593</v>
      </c>
      <c r="AP191" s="8" t="n">
        <v>239</v>
      </c>
      <c r="AQ191" s="7" t="n">
        <f aca="false">IFERROR(AP191/AI191,"")</f>
        <v>8.85185185185185</v>
      </c>
      <c r="AR191" s="6" t="n">
        <v>13.037</v>
      </c>
      <c r="AS191" s="7" t="n">
        <v>3.438</v>
      </c>
      <c r="AT191" s="7" t="n">
        <v>0.679</v>
      </c>
      <c r="AU191" s="7"/>
      <c r="AV191" s="7"/>
      <c r="AW191" s="7"/>
      <c r="AX191" s="10" t="n">
        <v>0</v>
      </c>
      <c r="AY191" s="8" t="n">
        <v>0</v>
      </c>
      <c r="AZ191" s="6" t="n">
        <f aca="false">IFERROR(AY191/R191,"")</f>
        <v>0</v>
      </c>
      <c r="BA191" s="10" t="n">
        <v>0</v>
      </c>
      <c r="BB191" s="8" t="n">
        <v>0</v>
      </c>
      <c r="BC191" s="7"/>
      <c r="BD191" s="7"/>
      <c r="BE191" s="7"/>
      <c r="BF191" s="8"/>
      <c r="BG191" s="7"/>
      <c r="BH191" s="6"/>
      <c r="BI191" s="7"/>
      <c r="BJ191" s="8" t="n">
        <v>11</v>
      </c>
      <c r="BK191" s="8" t="n">
        <v>3</v>
      </c>
      <c r="BL191" s="8" t="n">
        <v>2</v>
      </c>
      <c r="BM191" s="8" t="n">
        <v>6</v>
      </c>
      <c r="BN191" s="7" t="n">
        <v>2.71</v>
      </c>
      <c r="BO191" s="7" t="n">
        <f aca="false">IFERROR(BM191-BN191,"")</f>
        <v>3.29</v>
      </c>
      <c r="BP191" s="9" t="n">
        <f aca="false">IFERROR(BM191/AH191,"")</f>
        <v>0.222222222222222</v>
      </c>
      <c r="BQ191" s="6" t="n">
        <v>46.7</v>
      </c>
      <c r="BR191" s="6" t="n">
        <v>50</v>
      </c>
      <c r="BS191" s="6" t="n">
        <v>44.8</v>
      </c>
      <c r="BT191" s="7" t="n">
        <v>2.796</v>
      </c>
      <c r="BU191" s="10" t="n">
        <v>0.1795</v>
      </c>
      <c r="BV191" s="10" t="n">
        <v>0.645161290322581</v>
      </c>
      <c r="BW191" s="7" t="n">
        <v>2.844</v>
      </c>
      <c r="BX191" s="10" t="n">
        <v>0.2646</v>
      </c>
      <c r="BY191" s="10" t="n">
        <v>0.0608</v>
      </c>
      <c r="BZ191" s="7" t="n">
        <v>2.297</v>
      </c>
      <c r="CA191" s="10" t="n">
        <v>0.521</v>
      </c>
      <c r="CB191" s="8" t="n">
        <v>3</v>
      </c>
      <c r="CC191" s="10" t="n">
        <v>-0.0456</v>
      </c>
      <c r="CD191" s="10" t="n">
        <v>0.5469</v>
      </c>
      <c r="CE191" s="6" t="n">
        <v>61.82</v>
      </c>
      <c r="CF191" s="6" t="n">
        <v>38</v>
      </c>
      <c r="CG191" s="7" t="n">
        <v>3.82</v>
      </c>
      <c r="CH191" s="6" t="n">
        <v>28.3</v>
      </c>
      <c r="CI191" s="9" t="n">
        <v>-0.0408</v>
      </c>
      <c r="CJ191" s="9" t="n">
        <v>0.1681</v>
      </c>
      <c r="CK191" s="8" t="n">
        <v>79</v>
      </c>
      <c r="CL191" s="10" t="n">
        <v>0.144</v>
      </c>
      <c r="CM191" s="8" t="n">
        <v>167</v>
      </c>
      <c r="CN191" s="10" t="n">
        <v>0.378</v>
      </c>
      <c r="CO191" s="8" t="n">
        <v>45</v>
      </c>
      <c r="CP191" s="7" t="n">
        <v>-0.305</v>
      </c>
      <c r="CQ191" s="7" t="n">
        <v>-0.7</v>
      </c>
      <c r="CR191" s="4" t="s">
        <v>102</v>
      </c>
      <c r="CS191" s="4"/>
    </row>
    <row r="192" customFormat="false" ht="15" hidden="false" customHeight="false" outlineLevel="0" collapsed="false">
      <c r="A192" s="3" t="n">
        <v>190</v>
      </c>
      <c r="B192" s="4" t="s">
        <v>522</v>
      </c>
      <c r="C192" s="11" t="s">
        <v>104</v>
      </c>
      <c r="D192" s="4" t="s">
        <v>523</v>
      </c>
      <c r="E192" s="4" t="s">
        <v>115</v>
      </c>
      <c r="F192" s="4" t="s">
        <v>104</v>
      </c>
      <c r="G192" s="3" t="n">
        <v>4</v>
      </c>
      <c r="H192" s="6" t="n">
        <v>27.3</v>
      </c>
      <c r="I192" s="3" t="n">
        <v>4</v>
      </c>
      <c r="J192" s="3" t="n">
        <v>11</v>
      </c>
      <c r="K192" s="7" t="n">
        <v>208.66</v>
      </c>
      <c r="L192" s="7" t="n">
        <v>35.97</v>
      </c>
      <c r="M192" s="8" t="n">
        <v>143</v>
      </c>
      <c r="N192" s="8" t="n">
        <v>290</v>
      </c>
      <c r="O192" s="7" t="n">
        <v>208.66</v>
      </c>
      <c r="P192" s="6" t="n">
        <v>10.1</v>
      </c>
      <c r="Q192" s="4" t="s">
        <v>218</v>
      </c>
      <c r="R192" s="8" t="n">
        <v>17</v>
      </c>
      <c r="S192" s="6" t="n">
        <v>94.5</v>
      </c>
      <c r="T192" s="7" t="n">
        <f aca="false">IFERROR(S192/R192,"")</f>
        <v>5.55882352941176</v>
      </c>
      <c r="U192" s="6" t="n">
        <v>87</v>
      </c>
      <c r="V192" s="6" t="n">
        <v>79.5</v>
      </c>
      <c r="W192" s="8" t="n">
        <v>46</v>
      </c>
      <c r="X192" s="7" t="n">
        <f aca="false">IFERROR(S192/AH192,"")</f>
        <v>0.665492957746479</v>
      </c>
      <c r="Y192" s="9" t="n">
        <f aca="false">IFERROR(S192/AF192,"")</f>
        <v>0.289877300613497</v>
      </c>
      <c r="Z192" s="6" t="n">
        <v>1.4</v>
      </c>
      <c r="AA192" s="6" t="n">
        <v>2.5</v>
      </c>
      <c r="AB192" s="6" t="n">
        <v>11.46</v>
      </c>
      <c r="AC192" s="10" t="n">
        <v>0.059</v>
      </c>
      <c r="AD192" s="10" t="n">
        <v>0.471</v>
      </c>
      <c r="AE192" s="7" t="n">
        <v>2.776</v>
      </c>
      <c r="AF192" s="8" t="n">
        <v>326</v>
      </c>
      <c r="AG192" s="10" t="n">
        <v>0.311</v>
      </c>
      <c r="AH192" s="8" t="n">
        <v>142</v>
      </c>
      <c r="AI192" s="8" t="n">
        <v>17</v>
      </c>
      <c r="AJ192" s="6" t="n">
        <f aca="false">IFERROR(AI192/R192,"")</f>
        <v>1</v>
      </c>
      <c r="AK192" s="10" t="n">
        <v>0.037</v>
      </c>
      <c r="AL192" s="10" t="n">
        <v>-0.0078</v>
      </c>
      <c r="AM192" s="9" t="n">
        <v>0.05</v>
      </c>
      <c r="AN192" s="8" t="n">
        <v>15</v>
      </c>
      <c r="AO192" s="10" t="n">
        <f aca="false">IFERROR(AN192/AI192,"")</f>
        <v>0.882352941176471</v>
      </c>
      <c r="AP192" s="8" t="n">
        <v>99</v>
      </c>
      <c r="AQ192" s="7" t="n">
        <f aca="false">IFERROR(AP192/AI192,"")</f>
        <v>5.82352941176471</v>
      </c>
      <c r="AR192" s="6" t="n">
        <v>-1.882</v>
      </c>
      <c r="AS192" s="7" t="n">
        <v>8.867</v>
      </c>
      <c r="AT192" s="7" t="n">
        <v>-3.094</v>
      </c>
      <c r="AU192" s="7"/>
      <c r="AV192" s="7"/>
      <c r="AW192" s="7"/>
      <c r="AX192" s="10" t="n">
        <v>0.0588</v>
      </c>
      <c r="AY192" s="8" t="n">
        <v>125</v>
      </c>
      <c r="AZ192" s="6" t="n">
        <f aca="false">IFERROR(AY192/R192,"")</f>
        <v>7.35294117647059</v>
      </c>
      <c r="BA192" s="10" t="n">
        <v>0.2541</v>
      </c>
      <c r="BB192" s="8" t="n">
        <v>496</v>
      </c>
      <c r="BC192" s="7" t="n">
        <f aca="false">IFERROR(BB192/AY192,"")</f>
        <v>3.968</v>
      </c>
      <c r="BD192" s="7" t="n">
        <v>1.736</v>
      </c>
      <c r="BE192" s="7" t="n">
        <v>2.232</v>
      </c>
      <c r="BF192" s="8" t="n">
        <v>7</v>
      </c>
      <c r="BG192" s="7" t="n">
        <v>-0.213823006172269</v>
      </c>
      <c r="BH192" s="6" t="n">
        <v>28</v>
      </c>
      <c r="BI192" s="7" t="n">
        <v>3.85014112903226</v>
      </c>
      <c r="BJ192" s="8" t="n">
        <v>26</v>
      </c>
      <c r="BK192" s="8" t="n">
        <v>9</v>
      </c>
      <c r="BL192" s="8" t="n">
        <v>4</v>
      </c>
      <c r="BM192" s="8" t="n">
        <v>3</v>
      </c>
      <c r="BN192" s="7" t="n">
        <v>4.18</v>
      </c>
      <c r="BO192" s="7" t="n">
        <f aca="false">IFERROR(BM192-BN192,"")</f>
        <v>-1.18</v>
      </c>
      <c r="BP192" s="9" t="n">
        <f aca="false">IFERROR(BM192/AH192,"")</f>
        <v>0.0211267605633803</v>
      </c>
      <c r="BQ192" s="6" t="n">
        <v>49.9</v>
      </c>
      <c r="BR192" s="6" t="n">
        <v>39.3</v>
      </c>
      <c r="BS192" s="6" t="n">
        <v>60.5</v>
      </c>
      <c r="BT192" s="7" t="n">
        <v>2.758</v>
      </c>
      <c r="BU192" s="10" t="n">
        <v>0.2121</v>
      </c>
      <c r="BV192" s="10" t="n">
        <v>0.612903225806452</v>
      </c>
      <c r="BW192" s="7" t="n">
        <v>2.477</v>
      </c>
      <c r="BX192" s="10" t="n">
        <v>0.2266</v>
      </c>
      <c r="BY192" s="10" t="n">
        <v>0.0535</v>
      </c>
      <c r="BZ192" s="7" t="n">
        <v>2.4</v>
      </c>
      <c r="CA192" s="10" t="n">
        <v>0.942</v>
      </c>
      <c r="CB192" s="8" t="n">
        <v>5</v>
      </c>
      <c r="CC192" s="10" t="n">
        <v>-0.0677</v>
      </c>
      <c r="CD192" s="10" t="n">
        <v>0.5204</v>
      </c>
      <c r="CE192" s="6" t="n">
        <v>58.65</v>
      </c>
      <c r="CF192" s="6" t="n">
        <v>39</v>
      </c>
      <c r="CG192" s="7" t="n">
        <v>3.53</v>
      </c>
      <c r="CH192" s="6" t="n">
        <v>28.4</v>
      </c>
      <c r="CI192" s="9" t="n">
        <v>-0.0491</v>
      </c>
      <c r="CJ192" s="9" t="n">
        <v>0.1122</v>
      </c>
      <c r="CK192" s="8" t="n">
        <v>39</v>
      </c>
      <c r="CL192" s="10" t="n">
        <v>0.086</v>
      </c>
      <c r="CM192" s="8" t="n">
        <v>221</v>
      </c>
      <c r="CN192" s="10" t="n">
        <v>0.436</v>
      </c>
      <c r="CO192" s="8" t="n">
        <v>37</v>
      </c>
      <c r="CP192" s="7" t="n">
        <v>0.215</v>
      </c>
      <c r="CQ192" s="7" t="n">
        <v>-0.092</v>
      </c>
      <c r="CR192" s="4" t="s">
        <v>102</v>
      </c>
      <c r="CS192" s="4"/>
    </row>
    <row r="193" customFormat="false" ht="15" hidden="false" customHeight="false" outlineLevel="0" collapsed="false">
      <c r="A193" s="3" t="n">
        <v>191</v>
      </c>
      <c r="B193" s="4" t="s">
        <v>524</v>
      </c>
      <c r="C193" s="5" t="s">
        <v>99</v>
      </c>
      <c r="D193" s="4" t="s">
        <v>525</v>
      </c>
      <c r="E193" s="4" t="s">
        <v>178</v>
      </c>
      <c r="F193" s="4" t="s">
        <v>99</v>
      </c>
      <c r="G193" s="3" t="n">
        <v>4</v>
      </c>
      <c r="H193" s="6" t="n">
        <v>28.8</v>
      </c>
      <c r="I193" s="3" t="n">
        <v>7</v>
      </c>
      <c r="J193" s="3" t="n">
        <v>8</v>
      </c>
      <c r="K193" s="7" t="n">
        <v>208.67</v>
      </c>
      <c r="L193" s="7" t="n">
        <v>25.21</v>
      </c>
      <c r="M193" s="8" t="n">
        <v>136</v>
      </c>
      <c r="N193" s="8" t="n">
        <v>296</v>
      </c>
      <c r="O193" s="7" t="n">
        <v>208.67</v>
      </c>
      <c r="P193" s="6" t="n">
        <v>11.2</v>
      </c>
      <c r="Q193" s="4" t="s">
        <v>112</v>
      </c>
      <c r="R193" s="8" t="n">
        <v>15</v>
      </c>
      <c r="S193" s="6" t="n">
        <v>82.3</v>
      </c>
      <c r="T193" s="7" t="n">
        <f aca="false">IFERROR(S193/R193,"")</f>
        <v>5.48666666666667</v>
      </c>
      <c r="U193" s="6" t="n">
        <v>66.3</v>
      </c>
      <c r="V193" s="6" t="n">
        <v>50.3</v>
      </c>
      <c r="W193" s="8" t="n">
        <v>68</v>
      </c>
      <c r="X193" s="7" t="n">
        <f aca="false">IFERROR(S193/AH193,"")</f>
        <v>1.14305555555556</v>
      </c>
      <c r="Y193" s="9" t="n">
        <f aca="false">IFERROR(S193/AF193,"")</f>
        <v>0.105784061696658</v>
      </c>
      <c r="Z193" s="6" t="n">
        <v>2.6</v>
      </c>
      <c r="AA193" s="6" t="n">
        <v>4.5</v>
      </c>
      <c r="AB193" s="6" t="n">
        <v>8.21</v>
      </c>
      <c r="AC193" s="10" t="n">
        <v>0</v>
      </c>
      <c r="AD193" s="10" t="n">
        <v>0.133</v>
      </c>
      <c r="AE193" s="7" t="n">
        <v>0.85</v>
      </c>
      <c r="AF193" s="8" t="n">
        <v>778</v>
      </c>
      <c r="AG193" s="10" t="n">
        <v>0.819</v>
      </c>
      <c r="AH193" s="8" t="n">
        <v>72</v>
      </c>
      <c r="AI193" s="8" t="n">
        <v>72</v>
      </c>
      <c r="AJ193" s="6" t="n">
        <f aca="false">IFERROR(AI193/R193,"")</f>
        <v>4.8</v>
      </c>
      <c r="AK193" s="10" t="n">
        <v>0.1614</v>
      </c>
      <c r="AL193" s="10" t="n">
        <v>0.2777</v>
      </c>
      <c r="AM193" s="9" t="n">
        <v>0.4365</v>
      </c>
      <c r="AN193" s="8" t="n">
        <v>32</v>
      </c>
      <c r="AO193" s="10" t="n">
        <f aca="false">IFERROR(AN193/AI193,"")</f>
        <v>0.444444444444444</v>
      </c>
      <c r="AP193" s="8" t="n">
        <v>443</v>
      </c>
      <c r="AQ193" s="7" t="n">
        <f aca="false">IFERROR(AP193/AI193,"")</f>
        <v>6.15277777777778</v>
      </c>
      <c r="AR193" s="6" t="n">
        <v>14.153</v>
      </c>
      <c r="AS193" s="7" t="n">
        <v>2.281</v>
      </c>
      <c r="AT193" s="7" t="n">
        <v>0.435</v>
      </c>
      <c r="AU193" s="7" t="n">
        <v>3.01819061588223</v>
      </c>
      <c r="AV193" s="7" t="n">
        <v>6.56930555555556</v>
      </c>
      <c r="AW193" s="7" t="n">
        <v>-0.225242910169132</v>
      </c>
      <c r="AX193" s="10" t="n">
        <v>0.0694</v>
      </c>
      <c r="AY193" s="8" t="n">
        <v>0</v>
      </c>
      <c r="AZ193" s="6" t="n">
        <f aca="false">IFERROR(AY193/R193,"")</f>
        <v>0</v>
      </c>
      <c r="BA193" s="10" t="n">
        <v>0</v>
      </c>
      <c r="BB193" s="8" t="n">
        <v>0</v>
      </c>
      <c r="BC193" s="7"/>
      <c r="BD193" s="7"/>
      <c r="BE193" s="7"/>
      <c r="BF193" s="8"/>
      <c r="BG193" s="7"/>
      <c r="BH193" s="6"/>
      <c r="BI193" s="7"/>
      <c r="BJ193" s="8" t="n">
        <v>8</v>
      </c>
      <c r="BK193" s="8" t="n">
        <v>3</v>
      </c>
      <c r="BL193" s="8" t="n">
        <v>1</v>
      </c>
      <c r="BM193" s="8" t="n">
        <v>1</v>
      </c>
      <c r="BN193" s="7" t="n">
        <v>2.68</v>
      </c>
      <c r="BO193" s="7" t="n">
        <f aca="false">IFERROR(BM193-BN193,"")</f>
        <v>-1.68</v>
      </c>
      <c r="BP193" s="9" t="n">
        <f aca="false">IFERROR(BM193/AH193,"")</f>
        <v>0.0138888888888889</v>
      </c>
      <c r="BQ193" s="6" t="n">
        <v>45.9</v>
      </c>
      <c r="BR193" s="6" t="n">
        <v>56.8</v>
      </c>
      <c r="BS193" s="6" t="n">
        <v>36.8</v>
      </c>
      <c r="BT193" s="7" t="n">
        <v>2.974</v>
      </c>
      <c r="BU193" s="10" t="n">
        <v>0.1475</v>
      </c>
      <c r="BV193" s="10" t="n">
        <v>0.625</v>
      </c>
      <c r="BW193" s="7" t="n">
        <v>2.714</v>
      </c>
      <c r="BX193" s="10" t="n">
        <v>0.2947</v>
      </c>
      <c r="BY193" s="10" t="n">
        <v>0.076</v>
      </c>
      <c r="BZ193" s="7" t="n">
        <v>2.388</v>
      </c>
      <c r="CA193" s="10" t="n">
        <v>0.723</v>
      </c>
      <c r="CB193" s="8" t="n">
        <v>4</v>
      </c>
      <c r="CC193" s="10" t="n">
        <v>-0.0466</v>
      </c>
      <c r="CD193" s="10" t="n">
        <v>0.494</v>
      </c>
      <c r="CE193" s="6" t="n">
        <v>63.47</v>
      </c>
      <c r="CF193" s="6" t="n">
        <v>36</v>
      </c>
      <c r="CG193" s="7" t="n">
        <v>3.59</v>
      </c>
      <c r="CH193" s="6" t="n">
        <v>22.4</v>
      </c>
      <c r="CI193" s="9" t="n">
        <v>0.0356</v>
      </c>
      <c r="CJ193" s="9" t="n">
        <v>-0.008</v>
      </c>
      <c r="CK193" s="8" t="n">
        <v>177</v>
      </c>
      <c r="CL193" s="10" t="n">
        <v>0.352</v>
      </c>
      <c r="CM193" s="8" t="n">
        <v>3</v>
      </c>
      <c r="CN193" s="10" t="n">
        <v>0.006</v>
      </c>
      <c r="CO193" s="8" t="n">
        <v>21</v>
      </c>
      <c r="CP193" s="7" t="n">
        <v>-0.182</v>
      </c>
      <c r="CQ193" s="7" t="n">
        <v>-0.621</v>
      </c>
      <c r="CR193" s="4" t="s">
        <v>102</v>
      </c>
      <c r="CS193" s="4"/>
    </row>
    <row r="194" customFormat="false" ht="15" hidden="false" customHeight="false" outlineLevel="0" collapsed="false">
      <c r="A194" s="3" t="n">
        <v>192</v>
      </c>
      <c r="B194" s="4" t="s">
        <v>526</v>
      </c>
      <c r="C194" s="5" t="s">
        <v>99</v>
      </c>
      <c r="D194" s="4" t="s">
        <v>527</v>
      </c>
      <c r="E194" s="4" t="s">
        <v>139</v>
      </c>
      <c r="F194" s="4" t="s">
        <v>270</v>
      </c>
      <c r="G194" s="3" t="n">
        <v>2</v>
      </c>
      <c r="H194" s="6" t="n">
        <v>26.8</v>
      </c>
      <c r="I194" s="3" t="n">
        <v>4</v>
      </c>
      <c r="J194" s="3" t="n">
        <v>8</v>
      </c>
      <c r="K194" s="7" t="n">
        <v>214.57</v>
      </c>
      <c r="L194" s="7" t="n">
        <v>27.67</v>
      </c>
      <c r="M194" s="8" t="n">
        <v>150</v>
      </c>
      <c r="N194" s="8" t="n">
        <v>281</v>
      </c>
      <c r="O194" s="7" t="n">
        <v>214.57</v>
      </c>
      <c r="P194" s="6" t="n">
        <v>20.4</v>
      </c>
      <c r="Q194" s="4"/>
      <c r="R194" s="8"/>
      <c r="S194" s="6"/>
      <c r="T194" s="7"/>
      <c r="U194" s="6"/>
      <c r="V194" s="6"/>
      <c r="W194" s="8"/>
      <c r="X194" s="7"/>
      <c r="Y194" s="9"/>
      <c r="Z194" s="6"/>
      <c r="AA194" s="6"/>
      <c r="AB194" s="6"/>
      <c r="AC194" s="10"/>
      <c r="AD194" s="10"/>
      <c r="AE194" s="7"/>
      <c r="AF194" s="8"/>
      <c r="AG194" s="10"/>
      <c r="AH194" s="8" t="n">
        <v>0</v>
      </c>
      <c r="AI194" s="8"/>
      <c r="AJ194" s="6"/>
      <c r="AK194" s="10"/>
      <c r="AL194" s="10"/>
      <c r="AM194" s="9"/>
      <c r="AN194" s="8"/>
      <c r="AO194" s="10"/>
      <c r="AP194" s="8"/>
      <c r="AQ194" s="7"/>
      <c r="AR194" s="6"/>
      <c r="AS194" s="7"/>
      <c r="AT194" s="7"/>
      <c r="AU194" s="7"/>
      <c r="AV194" s="7"/>
      <c r="AW194" s="7"/>
      <c r="AX194" s="10"/>
      <c r="AY194" s="8"/>
      <c r="AZ194" s="6"/>
      <c r="BA194" s="10"/>
      <c r="BB194" s="8"/>
      <c r="BC194" s="7"/>
      <c r="BD194" s="7"/>
      <c r="BE194" s="7"/>
      <c r="BF194" s="8"/>
      <c r="BG194" s="7"/>
      <c r="BH194" s="6"/>
      <c r="BI194" s="7"/>
      <c r="BJ194" s="8"/>
      <c r="BK194" s="8"/>
      <c r="BL194" s="8"/>
      <c r="BM194" s="8"/>
      <c r="BN194" s="7"/>
      <c r="BO194" s="7"/>
      <c r="BP194" s="9"/>
      <c r="BQ194" s="6" t="n">
        <v>45.8</v>
      </c>
      <c r="BR194" s="6" t="n">
        <v>34.1</v>
      </c>
      <c r="BS194" s="6" t="n">
        <v>59.3</v>
      </c>
      <c r="BT194" s="7" t="n">
        <v>2.812</v>
      </c>
      <c r="BU194" s="10" t="n">
        <v>0.1937</v>
      </c>
      <c r="BV194" s="10" t="n">
        <v>0.485714285714286</v>
      </c>
      <c r="BW194" s="7" t="n">
        <v>2.099</v>
      </c>
      <c r="BX194" s="10" t="n">
        <v>0.2216</v>
      </c>
      <c r="BY194" s="10" t="n">
        <v>0.0526</v>
      </c>
      <c r="BZ194" s="7" t="n">
        <v>2.345</v>
      </c>
      <c r="CA194" s="10" t="n">
        <v>0.713</v>
      </c>
      <c r="CB194" s="8" t="n">
        <v>2</v>
      </c>
      <c r="CC194" s="10" t="n">
        <v>-0.0098</v>
      </c>
      <c r="CD194" s="10" t="n">
        <v>0.5638</v>
      </c>
      <c r="CE194" s="6" t="n">
        <v>63.41</v>
      </c>
      <c r="CF194" s="6" t="n">
        <v>38</v>
      </c>
      <c r="CG194" s="7" t="n">
        <v>3.41</v>
      </c>
      <c r="CH194" s="6" t="n">
        <v>23.8</v>
      </c>
      <c r="CI194" s="9" t="n">
        <v>-0.0779</v>
      </c>
      <c r="CJ194" s="9" t="n">
        <v>0.036</v>
      </c>
      <c r="CK194" s="8" t="n">
        <v>82</v>
      </c>
      <c r="CL194" s="10" t="n">
        <v>0.148</v>
      </c>
      <c r="CM194" s="8" t="n">
        <v>21</v>
      </c>
      <c r="CN194" s="10" t="n">
        <v>0.044</v>
      </c>
      <c r="CO194" s="8" t="n">
        <v>18</v>
      </c>
      <c r="CP194" s="7"/>
      <c r="CQ194" s="7"/>
      <c r="CR194" s="4"/>
      <c r="CS194" s="4" t="s">
        <v>354</v>
      </c>
    </row>
    <row r="195" customFormat="false" ht="15" hidden="false" customHeight="false" outlineLevel="0" collapsed="false">
      <c r="A195" s="3" t="n">
        <v>193</v>
      </c>
      <c r="B195" s="4" t="s">
        <v>528</v>
      </c>
      <c r="C195" s="11" t="s">
        <v>104</v>
      </c>
      <c r="D195" s="4" t="s">
        <v>529</v>
      </c>
      <c r="E195" s="4" t="s">
        <v>265</v>
      </c>
      <c r="F195" s="4" t="s">
        <v>104</v>
      </c>
      <c r="G195" s="3" t="n">
        <v>3</v>
      </c>
      <c r="H195" s="6" t="n">
        <v>22.6</v>
      </c>
      <c r="I195" s="3" t="n">
        <v>0</v>
      </c>
      <c r="J195" s="3" t="n">
        <v>9</v>
      </c>
      <c r="K195" s="7" t="n">
        <v>216.81</v>
      </c>
      <c r="L195" s="7" t="n">
        <v>42.14</v>
      </c>
      <c r="M195" s="8" t="n">
        <v>135</v>
      </c>
      <c r="N195" s="8" t="n">
        <v>323</v>
      </c>
      <c r="O195" s="7" t="n">
        <v>216.81</v>
      </c>
      <c r="P195" s="6" t="n">
        <v>17</v>
      </c>
      <c r="Q195" s="4"/>
      <c r="R195" s="8"/>
      <c r="S195" s="6"/>
      <c r="T195" s="7"/>
      <c r="U195" s="6"/>
      <c r="V195" s="6"/>
      <c r="W195" s="8"/>
      <c r="X195" s="7"/>
      <c r="Y195" s="9"/>
      <c r="Z195" s="6"/>
      <c r="AA195" s="6"/>
      <c r="AB195" s="6"/>
      <c r="AC195" s="10"/>
      <c r="AD195" s="10"/>
      <c r="AE195" s="7"/>
      <c r="AF195" s="8"/>
      <c r="AG195" s="10"/>
      <c r="AH195" s="8"/>
      <c r="AI195" s="8"/>
      <c r="AJ195" s="6"/>
      <c r="AK195" s="10"/>
      <c r="AL195" s="10"/>
      <c r="AM195" s="9"/>
      <c r="AN195" s="8"/>
      <c r="AO195" s="10"/>
      <c r="AP195" s="8"/>
      <c r="AQ195" s="7"/>
      <c r="AR195" s="6"/>
      <c r="AS195" s="7"/>
      <c r="AT195" s="7"/>
      <c r="AU195" s="7"/>
      <c r="AV195" s="7"/>
      <c r="AW195" s="7"/>
      <c r="AX195" s="10"/>
      <c r="AY195" s="8"/>
      <c r="AZ195" s="6"/>
      <c r="BA195" s="10"/>
      <c r="BB195" s="8"/>
      <c r="BC195" s="7"/>
      <c r="BD195" s="7"/>
      <c r="BE195" s="7"/>
      <c r="BF195" s="8"/>
      <c r="BG195" s="7"/>
      <c r="BH195" s="6"/>
      <c r="BI195" s="7"/>
      <c r="BJ195" s="8"/>
      <c r="BK195" s="8"/>
      <c r="BL195" s="8"/>
      <c r="BM195" s="8"/>
      <c r="BN195" s="7"/>
      <c r="BO195" s="7"/>
      <c r="BP195" s="9"/>
      <c r="BQ195" s="6" t="n">
        <v>41.1</v>
      </c>
      <c r="BR195" s="6" t="n">
        <v>58.4</v>
      </c>
      <c r="BS195" s="6" t="n">
        <v>27.6</v>
      </c>
      <c r="BT195" s="7" t="n">
        <v>3.085</v>
      </c>
      <c r="BU195" s="10" t="n">
        <v>0.1549</v>
      </c>
      <c r="BV195" s="10" t="n">
        <v>0.666666666666667</v>
      </c>
      <c r="BW195" s="7" t="n">
        <v>2.54</v>
      </c>
      <c r="BX195" s="10" t="n">
        <v>0.3175</v>
      </c>
      <c r="BY195" s="10" t="n">
        <v>0.0872</v>
      </c>
      <c r="BZ195" s="7" t="n">
        <v>2.389</v>
      </c>
      <c r="CA195" s="10" t="n">
        <v>0.527</v>
      </c>
      <c r="CB195" s="8" t="n">
        <v>3</v>
      </c>
      <c r="CC195" s="10" t="n">
        <v>-0.0385</v>
      </c>
      <c r="CD195" s="10" t="n">
        <v>0.5401</v>
      </c>
      <c r="CE195" s="6" t="n">
        <v>58.53</v>
      </c>
      <c r="CF195" s="6" t="n">
        <v>40</v>
      </c>
      <c r="CG195" s="7" t="n">
        <v>2.06</v>
      </c>
      <c r="CH195" s="6" t="n">
        <v>16.7</v>
      </c>
      <c r="CI195" s="9" t="n">
        <v>-0.0573</v>
      </c>
      <c r="CJ195" s="9" t="n">
        <v>-0.2208</v>
      </c>
      <c r="CK195" s="8" t="n">
        <v>152</v>
      </c>
      <c r="CL195" s="10" t="n">
        <v>0.287</v>
      </c>
      <c r="CM195" s="8" t="n">
        <v>0</v>
      </c>
      <c r="CN195" s="10" t="n">
        <v>0</v>
      </c>
      <c r="CO195" s="8" t="n">
        <v>8</v>
      </c>
      <c r="CP195" s="7"/>
      <c r="CQ195" s="7"/>
      <c r="CR195" s="4"/>
      <c r="CS195" s="4" t="s">
        <v>206</v>
      </c>
    </row>
    <row r="196" customFormat="false" ht="15" hidden="false" customHeight="false" outlineLevel="0" collapsed="false">
      <c r="A196" s="3" t="n">
        <v>194</v>
      </c>
      <c r="B196" s="4" t="s">
        <v>530</v>
      </c>
      <c r="C196" s="12" t="s">
        <v>149</v>
      </c>
      <c r="D196" s="4" t="s">
        <v>531</v>
      </c>
      <c r="E196" s="4" t="s">
        <v>186</v>
      </c>
      <c r="F196" s="4" t="s">
        <v>149</v>
      </c>
      <c r="G196" s="3" t="n">
        <v>1</v>
      </c>
      <c r="H196" s="6" t="n">
        <v>21.5</v>
      </c>
      <c r="I196" s="3" t="n">
        <v>0</v>
      </c>
      <c r="J196" s="3" t="n">
        <v>13</v>
      </c>
      <c r="K196" s="7" t="n">
        <v>218.32</v>
      </c>
      <c r="L196" s="7" t="n">
        <v>37.7</v>
      </c>
      <c r="M196" s="8" t="n">
        <v>144</v>
      </c>
      <c r="N196" s="8" t="n">
        <v>392</v>
      </c>
      <c r="O196" s="7" t="n">
        <v>218.32</v>
      </c>
      <c r="P196" s="6" t="n">
        <v>57</v>
      </c>
      <c r="Q196" s="4"/>
      <c r="R196" s="8"/>
      <c r="S196" s="6"/>
      <c r="T196" s="7"/>
      <c r="U196" s="6"/>
      <c r="V196" s="6"/>
      <c r="W196" s="8"/>
      <c r="X196" s="7"/>
      <c r="Y196" s="9"/>
      <c r="Z196" s="6"/>
      <c r="AA196" s="6"/>
      <c r="AB196" s="6"/>
      <c r="AC196" s="10"/>
      <c r="AD196" s="10"/>
      <c r="AE196" s="7"/>
      <c r="AF196" s="8"/>
      <c r="AG196" s="10"/>
      <c r="AH196" s="8"/>
      <c r="AI196" s="8"/>
      <c r="AJ196" s="6"/>
      <c r="AK196" s="10"/>
      <c r="AL196" s="10"/>
      <c r="AM196" s="9"/>
      <c r="AN196" s="8"/>
      <c r="AO196" s="10"/>
      <c r="AP196" s="8"/>
      <c r="AQ196" s="7"/>
      <c r="AR196" s="6"/>
      <c r="AS196" s="7"/>
      <c r="AT196" s="7"/>
      <c r="AU196" s="7"/>
      <c r="AV196" s="7"/>
      <c r="AW196" s="7"/>
      <c r="AX196" s="10"/>
      <c r="AY196" s="8"/>
      <c r="AZ196" s="6"/>
      <c r="BA196" s="10"/>
      <c r="BB196" s="8"/>
      <c r="BC196" s="7"/>
      <c r="BD196" s="7"/>
      <c r="BE196" s="7"/>
      <c r="BF196" s="8"/>
      <c r="BG196" s="7"/>
      <c r="BH196" s="6"/>
      <c r="BI196" s="7"/>
      <c r="BJ196" s="8"/>
      <c r="BK196" s="8"/>
      <c r="BL196" s="8"/>
      <c r="BM196" s="8"/>
      <c r="BN196" s="7"/>
      <c r="BO196" s="7"/>
      <c r="BP196" s="9"/>
      <c r="BQ196" s="6" t="n">
        <v>38.6</v>
      </c>
      <c r="BR196" s="6" t="n">
        <v>56.3</v>
      </c>
      <c r="BS196" s="6" t="n">
        <v>25.8</v>
      </c>
      <c r="BT196" s="7" t="n">
        <v>2.892</v>
      </c>
      <c r="BU196" s="10" t="n">
        <v>0.1813</v>
      </c>
      <c r="BV196" s="10" t="n">
        <v>0.739130434782609</v>
      </c>
      <c r="BW196" s="7" t="n">
        <v>2.899</v>
      </c>
      <c r="BX196" s="10" t="n">
        <v>0.3117</v>
      </c>
      <c r="BY196" s="10" t="n">
        <v>0.0989</v>
      </c>
      <c r="BZ196" s="7" t="n">
        <v>2.423</v>
      </c>
      <c r="CA196" s="10" t="n">
        <v>0.808</v>
      </c>
      <c r="CB196" s="8" t="n">
        <v>3</v>
      </c>
      <c r="CC196" s="10" t="n">
        <v>-0.0877</v>
      </c>
      <c r="CD196" s="10" t="n">
        <v>0.4319</v>
      </c>
      <c r="CE196" s="6" t="n">
        <v>59.35</v>
      </c>
      <c r="CF196" s="6" t="n">
        <v>38</v>
      </c>
      <c r="CG196" s="7" t="n">
        <v>2.47</v>
      </c>
      <c r="CH196" s="6" t="n">
        <v>17.6</v>
      </c>
      <c r="CI196" s="9" t="n">
        <v>-0.061</v>
      </c>
      <c r="CJ196" s="9" t="n">
        <v>-0.1799</v>
      </c>
      <c r="CK196" s="8" t="n">
        <v>76</v>
      </c>
      <c r="CL196" s="10" t="n">
        <v>0.161</v>
      </c>
      <c r="CM196" s="8" t="n">
        <v>117</v>
      </c>
      <c r="CN196" s="10" t="n">
        <v>0.257</v>
      </c>
      <c r="CO196" s="8" t="n">
        <v>27</v>
      </c>
      <c r="CP196" s="7"/>
      <c r="CQ196" s="7"/>
      <c r="CR196" s="4"/>
      <c r="CS196" s="4" t="s">
        <v>206</v>
      </c>
    </row>
    <row r="197" customFormat="false" ht="15" hidden="false" customHeight="false" outlineLevel="0" collapsed="false">
      <c r="A197" s="3" t="n">
        <v>195</v>
      </c>
      <c r="B197" s="4" t="s">
        <v>532</v>
      </c>
      <c r="C197" s="5" t="s">
        <v>99</v>
      </c>
      <c r="D197" s="4" t="s">
        <v>533</v>
      </c>
      <c r="E197" s="4" t="s">
        <v>221</v>
      </c>
      <c r="F197" s="4" t="s">
        <v>99</v>
      </c>
      <c r="G197" s="3" t="n">
        <v>4</v>
      </c>
      <c r="H197" s="6" t="n">
        <v>22.1</v>
      </c>
      <c r="I197" s="3" t="n">
        <v>0</v>
      </c>
      <c r="J197" s="3" t="n">
        <v>7</v>
      </c>
      <c r="K197" s="7" t="n">
        <v>219.38</v>
      </c>
      <c r="L197" s="7" t="n">
        <v>40.11</v>
      </c>
      <c r="M197" s="8" t="n">
        <v>136</v>
      </c>
      <c r="N197" s="8" t="n">
        <v>328</v>
      </c>
      <c r="O197" s="7" t="n">
        <v>219.38</v>
      </c>
      <c r="P197" s="6" t="n">
        <v>18.7</v>
      </c>
      <c r="Q197" s="4"/>
      <c r="R197" s="8"/>
      <c r="S197" s="6"/>
      <c r="T197" s="7"/>
      <c r="U197" s="6"/>
      <c r="V197" s="6"/>
      <c r="W197" s="8"/>
      <c r="X197" s="7"/>
      <c r="Y197" s="9"/>
      <c r="Z197" s="6"/>
      <c r="AA197" s="6"/>
      <c r="AB197" s="6"/>
      <c r="AC197" s="10"/>
      <c r="AD197" s="10"/>
      <c r="AE197" s="7"/>
      <c r="AF197" s="8"/>
      <c r="AG197" s="10"/>
      <c r="AH197" s="8"/>
      <c r="AI197" s="8"/>
      <c r="AJ197" s="6"/>
      <c r="AK197" s="10"/>
      <c r="AL197" s="10"/>
      <c r="AM197" s="9"/>
      <c r="AN197" s="8"/>
      <c r="AO197" s="10"/>
      <c r="AP197" s="8"/>
      <c r="AQ197" s="7"/>
      <c r="AR197" s="6"/>
      <c r="AS197" s="7"/>
      <c r="AT197" s="7"/>
      <c r="AU197" s="7"/>
      <c r="AV197" s="7"/>
      <c r="AW197" s="7"/>
      <c r="AX197" s="10"/>
      <c r="AY197" s="8"/>
      <c r="AZ197" s="6"/>
      <c r="BA197" s="10"/>
      <c r="BB197" s="8"/>
      <c r="BC197" s="7"/>
      <c r="BD197" s="7"/>
      <c r="BE197" s="7"/>
      <c r="BF197" s="8"/>
      <c r="BG197" s="7"/>
      <c r="BH197" s="6"/>
      <c r="BI197" s="7"/>
      <c r="BJ197" s="8"/>
      <c r="BK197" s="8"/>
      <c r="BL197" s="8"/>
      <c r="BM197" s="8"/>
      <c r="BN197" s="7"/>
      <c r="BO197" s="7"/>
      <c r="BP197" s="9"/>
      <c r="BQ197" s="6" t="n">
        <v>54.8</v>
      </c>
      <c r="BR197" s="6" t="n">
        <v>50.7</v>
      </c>
      <c r="BS197" s="6" t="n">
        <v>56.8</v>
      </c>
      <c r="BT197" s="7" t="n">
        <v>2.998</v>
      </c>
      <c r="BU197" s="10" t="n">
        <v>0.1651</v>
      </c>
      <c r="BV197" s="10" t="n">
        <v>0.548387096774194</v>
      </c>
      <c r="BW197" s="7" t="n">
        <v>2.512</v>
      </c>
      <c r="BX197" s="10" t="n">
        <v>0.2217</v>
      </c>
      <c r="BY197" s="10" t="n">
        <v>0.0606</v>
      </c>
      <c r="BZ197" s="7" t="n">
        <v>2.36</v>
      </c>
      <c r="CA197" s="10" t="n">
        <v>0.706</v>
      </c>
      <c r="CB197" s="8" t="n">
        <v>4</v>
      </c>
      <c r="CC197" s="10" t="n">
        <v>-0.0427</v>
      </c>
      <c r="CD197" s="10" t="n">
        <v>0.4747</v>
      </c>
      <c r="CE197" s="6" t="n">
        <v>57.59</v>
      </c>
      <c r="CF197" s="6" t="n">
        <v>38</v>
      </c>
      <c r="CG197" s="7" t="n">
        <v>2.94</v>
      </c>
      <c r="CH197" s="6" t="n">
        <v>20.9</v>
      </c>
      <c r="CI197" s="9" t="n">
        <v>0.0192</v>
      </c>
      <c r="CJ197" s="9" t="n">
        <v>-0.0055</v>
      </c>
      <c r="CK197" s="8" t="n">
        <v>138</v>
      </c>
      <c r="CL197" s="10" t="n">
        <v>0.319</v>
      </c>
      <c r="CM197" s="8" t="n">
        <v>142</v>
      </c>
      <c r="CN197" s="10" t="n">
        <v>0.293</v>
      </c>
      <c r="CO197" s="8" t="n">
        <v>56</v>
      </c>
      <c r="CP197" s="7"/>
      <c r="CQ197" s="7"/>
      <c r="CR197" s="4"/>
      <c r="CS197" s="4" t="s">
        <v>206</v>
      </c>
    </row>
    <row r="198" customFormat="false" ht="15" hidden="false" customHeight="false" outlineLevel="0" collapsed="false">
      <c r="A198" s="3" t="n">
        <v>196</v>
      </c>
      <c r="B198" s="4" t="s">
        <v>534</v>
      </c>
      <c r="C198" s="11" t="s">
        <v>104</v>
      </c>
      <c r="D198" s="4" t="s">
        <v>535</v>
      </c>
      <c r="E198" s="4" t="s">
        <v>218</v>
      </c>
      <c r="F198" s="4" t="s">
        <v>104</v>
      </c>
      <c r="G198" s="3" t="n">
        <v>2</v>
      </c>
      <c r="H198" s="6" t="n">
        <v>25.6</v>
      </c>
      <c r="I198" s="3" t="n">
        <v>3</v>
      </c>
      <c r="J198" s="3" t="n">
        <v>11</v>
      </c>
      <c r="K198" s="7" t="n">
        <v>220.8</v>
      </c>
      <c r="L198" s="7" t="n">
        <v>54</v>
      </c>
      <c r="M198" s="8" t="n">
        <v>136</v>
      </c>
      <c r="N198" s="8" t="n">
        <v>330</v>
      </c>
      <c r="O198" s="7" t="n">
        <v>220.8</v>
      </c>
      <c r="P198" s="6" t="n">
        <v>10.5</v>
      </c>
      <c r="Q198" s="4"/>
      <c r="R198" s="8"/>
      <c r="S198" s="6"/>
      <c r="T198" s="7"/>
      <c r="U198" s="6"/>
      <c r="V198" s="6"/>
      <c r="W198" s="8"/>
      <c r="X198" s="7"/>
      <c r="Y198" s="9"/>
      <c r="Z198" s="6"/>
      <c r="AA198" s="6"/>
      <c r="AB198" s="6"/>
      <c r="AC198" s="10"/>
      <c r="AD198" s="10"/>
      <c r="AE198" s="7"/>
      <c r="AF198" s="8"/>
      <c r="AG198" s="10"/>
      <c r="AH198" s="8" t="n">
        <v>0</v>
      </c>
      <c r="AI198" s="8"/>
      <c r="AJ198" s="6"/>
      <c r="AK198" s="10"/>
      <c r="AL198" s="10"/>
      <c r="AM198" s="9"/>
      <c r="AN198" s="8"/>
      <c r="AO198" s="10"/>
      <c r="AP198" s="8"/>
      <c r="AQ198" s="7"/>
      <c r="AR198" s="6"/>
      <c r="AS198" s="7"/>
      <c r="AT198" s="7"/>
      <c r="AU198" s="7"/>
      <c r="AV198" s="7"/>
      <c r="AW198" s="7"/>
      <c r="AX198" s="10"/>
      <c r="AY198" s="8"/>
      <c r="AZ198" s="6"/>
      <c r="BA198" s="10"/>
      <c r="BB198" s="8"/>
      <c r="BC198" s="7"/>
      <c r="BD198" s="7"/>
      <c r="BE198" s="7"/>
      <c r="BF198" s="8"/>
      <c r="BG198" s="7"/>
      <c r="BH198" s="6"/>
      <c r="BI198" s="7"/>
      <c r="BJ198" s="8"/>
      <c r="BK198" s="8"/>
      <c r="BL198" s="8"/>
      <c r="BM198" s="8"/>
      <c r="BN198" s="7"/>
      <c r="BO198" s="7"/>
      <c r="BP198" s="9"/>
      <c r="BQ198" s="6" t="n">
        <v>52.5</v>
      </c>
      <c r="BR198" s="6" t="n">
        <v>45.3</v>
      </c>
      <c r="BS198" s="6" t="n">
        <v>58.7</v>
      </c>
      <c r="BT198" s="7" t="n">
        <v>2.905</v>
      </c>
      <c r="BU198" s="10" t="n">
        <v>0.1629</v>
      </c>
      <c r="BV198" s="10" t="n">
        <v>0.604651162790698</v>
      </c>
      <c r="BW198" s="7" t="n">
        <v>2.199</v>
      </c>
      <c r="BX198" s="10" t="n">
        <v>0.2454</v>
      </c>
      <c r="BY198" s="10" t="n">
        <v>0.0493</v>
      </c>
      <c r="BZ198" s="7" t="n">
        <v>2.41</v>
      </c>
      <c r="CA198" s="10" t="n">
        <v>0.704</v>
      </c>
      <c r="CB198" s="8" t="n">
        <v>4</v>
      </c>
      <c r="CC198" s="10" t="n">
        <v>-0.0441</v>
      </c>
      <c r="CD198" s="10" t="n">
        <v>0.5063</v>
      </c>
      <c r="CE198" s="6" t="n">
        <v>58.41</v>
      </c>
      <c r="CF198" s="6" t="n">
        <v>39</v>
      </c>
      <c r="CG198" s="7" t="n">
        <v>3.47</v>
      </c>
      <c r="CH198" s="6" t="n">
        <v>23</v>
      </c>
      <c r="CI198" s="9" t="n">
        <v>-0.0102</v>
      </c>
      <c r="CJ198" s="9" t="n">
        <v>0.229</v>
      </c>
      <c r="CK198" s="8" t="n">
        <v>155</v>
      </c>
      <c r="CL198" s="10" t="n">
        <v>0.337</v>
      </c>
      <c r="CM198" s="8" t="n">
        <v>148</v>
      </c>
      <c r="CN198" s="10" t="n">
        <v>0.301</v>
      </c>
      <c r="CO198" s="8" t="n">
        <v>52</v>
      </c>
      <c r="CP198" s="7"/>
      <c r="CQ198" s="7"/>
      <c r="CR198" s="4"/>
      <c r="CS198" s="4" t="s">
        <v>354</v>
      </c>
    </row>
    <row r="199" customFormat="false" ht="15" hidden="false" customHeight="false" outlineLevel="0" collapsed="false">
      <c r="A199" s="3" t="n">
        <v>197</v>
      </c>
      <c r="B199" s="4" t="s">
        <v>536</v>
      </c>
      <c r="C199" s="5" t="s">
        <v>99</v>
      </c>
      <c r="D199" s="4" t="s">
        <v>537</v>
      </c>
      <c r="E199" s="4" t="s">
        <v>183</v>
      </c>
      <c r="F199" s="4" t="s">
        <v>99</v>
      </c>
      <c r="G199" s="3" t="n">
        <v>2</v>
      </c>
      <c r="H199" s="6" t="n">
        <v>26.7</v>
      </c>
      <c r="I199" s="3" t="n">
        <v>6</v>
      </c>
      <c r="J199" s="3" t="n">
        <v>13</v>
      </c>
      <c r="K199" s="7" t="n">
        <v>220.8</v>
      </c>
      <c r="L199" s="7" t="n">
        <v>28.38</v>
      </c>
      <c r="M199" s="8" t="n">
        <v>163</v>
      </c>
      <c r="N199" s="8" t="n">
        <v>296</v>
      </c>
      <c r="O199" s="7" t="n">
        <v>220.8</v>
      </c>
      <c r="P199" s="6" t="n">
        <v>7.8</v>
      </c>
      <c r="Q199" s="4" t="s">
        <v>183</v>
      </c>
      <c r="R199" s="8" t="n">
        <v>13</v>
      </c>
      <c r="S199" s="6" t="n">
        <v>55.4</v>
      </c>
      <c r="T199" s="7" t="n">
        <f aca="false">IFERROR(S199/R199,"")</f>
        <v>4.26153846153846</v>
      </c>
      <c r="U199" s="6" t="n">
        <v>45.9</v>
      </c>
      <c r="V199" s="6" t="n">
        <v>36.4</v>
      </c>
      <c r="W199" s="8" t="n">
        <v>80</v>
      </c>
      <c r="X199" s="7" t="n">
        <f aca="false">IFERROR(S199/AH199,"")</f>
        <v>1.45789473684211</v>
      </c>
      <c r="Y199" s="9" t="n">
        <f aca="false">IFERROR(S199/AF199,"")</f>
        <v>0.100727272727273</v>
      </c>
      <c r="Z199" s="6" t="n">
        <v>1.7</v>
      </c>
      <c r="AA199" s="6" t="n">
        <v>3.4</v>
      </c>
      <c r="AB199" s="6" t="n">
        <v>7.54</v>
      </c>
      <c r="AC199" s="10" t="n">
        <v>0</v>
      </c>
      <c r="AD199" s="10" t="n">
        <v>0.385</v>
      </c>
      <c r="AE199" s="7" t="n">
        <v>1.404</v>
      </c>
      <c r="AF199" s="8" t="n">
        <v>550</v>
      </c>
      <c r="AG199" s="10" t="n">
        <v>0.693</v>
      </c>
      <c r="AH199" s="8" t="n">
        <v>38</v>
      </c>
      <c r="AI199" s="8" t="n">
        <v>38</v>
      </c>
      <c r="AJ199" s="6" t="n">
        <f aca="false">IFERROR(AI199/R199,"")</f>
        <v>2.92307692307692</v>
      </c>
      <c r="AK199" s="10" t="n">
        <v>0.1141</v>
      </c>
      <c r="AL199" s="10" t="n">
        <v>0.1757</v>
      </c>
      <c r="AM199" s="9" t="n">
        <v>0.2941</v>
      </c>
      <c r="AN199" s="8" t="n">
        <v>19</v>
      </c>
      <c r="AO199" s="10" t="n">
        <f aca="false">IFERROR(AN199/AI199,"")</f>
        <v>0.5</v>
      </c>
      <c r="AP199" s="8" t="n">
        <v>224</v>
      </c>
      <c r="AQ199" s="7" t="n">
        <f aca="false">IFERROR(AP199/AI199,"")</f>
        <v>5.89473684210526</v>
      </c>
      <c r="AR199" s="6" t="n">
        <v>12.316</v>
      </c>
      <c r="AS199" s="7" t="n">
        <v>2.053</v>
      </c>
      <c r="AT199" s="7" t="n">
        <v>0.479</v>
      </c>
      <c r="AU199" s="7"/>
      <c r="AV199" s="7"/>
      <c r="AW199" s="7"/>
      <c r="AX199" s="10" t="n">
        <v>0.0789</v>
      </c>
      <c r="AY199" s="8" t="n">
        <v>0</v>
      </c>
      <c r="AZ199" s="6" t="n">
        <f aca="false">IFERROR(AY199/R199,"")</f>
        <v>0</v>
      </c>
      <c r="BA199" s="10" t="n">
        <v>0</v>
      </c>
      <c r="BB199" s="8" t="n">
        <v>0</v>
      </c>
      <c r="BC199" s="7"/>
      <c r="BD199" s="7"/>
      <c r="BE199" s="7"/>
      <c r="BF199" s="8"/>
      <c r="BG199" s="7"/>
      <c r="BH199" s="6"/>
      <c r="BI199" s="7"/>
      <c r="BJ199" s="8" t="n">
        <v>8</v>
      </c>
      <c r="BK199" s="8" t="n">
        <v>3</v>
      </c>
      <c r="BL199" s="8" t="n">
        <v>1</v>
      </c>
      <c r="BM199" s="8" t="n">
        <v>2</v>
      </c>
      <c r="BN199" s="7" t="n">
        <v>2.23</v>
      </c>
      <c r="BO199" s="7" t="n">
        <f aca="false">IFERROR(BM199-BN199,"")</f>
        <v>-0.23</v>
      </c>
      <c r="BP199" s="9" t="n">
        <f aca="false">IFERROR(BM199/AH199,"")</f>
        <v>0.0526315789473684</v>
      </c>
      <c r="BQ199" s="6" t="n">
        <v>53.2</v>
      </c>
      <c r="BR199" s="6" t="n">
        <v>64.1</v>
      </c>
      <c r="BS199" s="6" t="n">
        <v>41</v>
      </c>
      <c r="BT199" s="7" t="n">
        <v>3.032</v>
      </c>
      <c r="BU199" s="10" t="n">
        <v>0.1574</v>
      </c>
      <c r="BV199" s="10" t="n">
        <v>0.648648648648649</v>
      </c>
      <c r="BW199" s="7" t="n">
        <v>3.144</v>
      </c>
      <c r="BX199" s="10" t="n">
        <v>0.2725</v>
      </c>
      <c r="BY199" s="10" t="n">
        <v>0.0849</v>
      </c>
      <c r="BZ199" s="7" t="n">
        <v>2.454</v>
      </c>
      <c r="CA199" s="10" t="n">
        <v>0.572</v>
      </c>
      <c r="CB199" s="8" t="n">
        <v>2</v>
      </c>
      <c r="CC199" s="10" t="n">
        <v>-0.0884</v>
      </c>
      <c r="CD199" s="10" t="n">
        <v>0.4667</v>
      </c>
      <c r="CE199" s="6" t="n">
        <v>56.24</v>
      </c>
      <c r="CF199" s="6" t="n">
        <v>39</v>
      </c>
      <c r="CG199" s="7" t="n">
        <v>3.59</v>
      </c>
      <c r="CH199" s="6" t="n">
        <v>24.9</v>
      </c>
      <c r="CI199" s="9" t="n">
        <v>0.0996</v>
      </c>
      <c r="CJ199" s="9" t="n">
        <v>-0.035</v>
      </c>
      <c r="CK199" s="8" t="n">
        <v>75</v>
      </c>
      <c r="CL199" s="10" t="n">
        <v>0.184</v>
      </c>
      <c r="CM199" s="8" t="n">
        <v>64</v>
      </c>
      <c r="CN199" s="10" t="n">
        <v>0.126</v>
      </c>
      <c r="CO199" s="8" t="n">
        <v>26</v>
      </c>
      <c r="CP199" s="7" t="n">
        <v>-0.602</v>
      </c>
      <c r="CQ199" s="7" t="n">
        <v>-0.734</v>
      </c>
      <c r="CR199" s="4" t="s">
        <v>121</v>
      </c>
      <c r="CS199" s="4"/>
    </row>
    <row r="200" customFormat="false" ht="15" hidden="false" customHeight="false" outlineLevel="0" collapsed="false">
      <c r="A200" s="3" t="n">
        <v>198</v>
      </c>
      <c r="B200" s="4" t="s">
        <v>538</v>
      </c>
      <c r="C200" s="13" t="s">
        <v>172</v>
      </c>
      <c r="D200" s="4" t="s">
        <v>539</v>
      </c>
      <c r="E200" s="4" t="s">
        <v>284</v>
      </c>
      <c r="F200" s="4" t="s">
        <v>172</v>
      </c>
      <c r="G200" s="3" t="n">
        <v>1</v>
      </c>
      <c r="H200" s="6" t="n">
        <v>42.7</v>
      </c>
      <c r="I200" s="3" t="n">
        <v>22</v>
      </c>
      <c r="J200" s="3" t="n">
        <v>9</v>
      </c>
      <c r="K200" s="7" t="n">
        <v>221.65</v>
      </c>
      <c r="L200" s="7" t="n">
        <v>43.52</v>
      </c>
      <c r="M200" s="8" t="n">
        <v>147</v>
      </c>
      <c r="N200" s="8" t="n">
        <v>343</v>
      </c>
      <c r="O200" s="7" t="n">
        <v>221.65</v>
      </c>
      <c r="P200" s="6" t="n">
        <v>15.3</v>
      </c>
      <c r="Q200" s="4" t="s">
        <v>284</v>
      </c>
      <c r="R200" s="8" t="n">
        <v>16</v>
      </c>
      <c r="S200" s="6" t="n">
        <v>227.08</v>
      </c>
      <c r="T200" s="7" t="n">
        <f aca="false">IFERROR(S200/R200,"")</f>
        <v>14.1925</v>
      </c>
      <c r="U200" s="6" t="n">
        <v>226.58</v>
      </c>
      <c r="V200" s="6" t="n">
        <v>226.08</v>
      </c>
      <c r="W200" s="8" t="n">
        <v>17</v>
      </c>
      <c r="X200" s="7" t="n">
        <f aca="false">IFERROR(S200/AH200,"")</f>
        <v>10.3218181818182</v>
      </c>
      <c r="Y200" s="9" t="n">
        <f aca="false">IFERROR(S200/AF200,"")</f>
        <v>0.247363834422658</v>
      </c>
      <c r="Z200" s="6" t="n">
        <v>10.18</v>
      </c>
      <c r="AA200" s="6" t="n">
        <v>14.17</v>
      </c>
      <c r="AB200" s="6" t="n">
        <v>20.54</v>
      </c>
      <c r="AC200" s="10" t="n">
        <v>0.25</v>
      </c>
      <c r="AD200" s="10" t="n">
        <v>0.125</v>
      </c>
      <c r="AE200" s="7" t="n">
        <v>0.44</v>
      </c>
      <c r="AF200" s="8" t="n">
        <v>918</v>
      </c>
      <c r="AG200" s="10" t="n">
        <v>0.957</v>
      </c>
      <c r="AH200" s="8" t="n">
        <v>22</v>
      </c>
      <c r="AI200" s="8" t="n">
        <v>1</v>
      </c>
      <c r="AJ200" s="6" t="n">
        <f aca="false">IFERROR(AI200/R200,"")</f>
        <v>0.0625</v>
      </c>
      <c r="AK200" s="10" t="n">
        <v>0.002</v>
      </c>
      <c r="AL200" s="10" t="n">
        <v>-0.003</v>
      </c>
      <c r="AM200" s="9" t="n">
        <v>0.0009</v>
      </c>
      <c r="AN200" s="8" t="n">
        <v>1</v>
      </c>
      <c r="AO200" s="10"/>
      <c r="AP200" s="8" t="n">
        <v>-9</v>
      </c>
      <c r="AQ200" s="7"/>
      <c r="AR200" s="6"/>
      <c r="AS200" s="7"/>
      <c r="AT200" s="7"/>
      <c r="AU200" s="7"/>
      <c r="AV200" s="7"/>
      <c r="AW200" s="7"/>
      <c r="AX200" s="10"/>
      <c r="AY200" s="8" t="n">
        <v>21</v>
      </c>
      <c r="AZ200" s="6" t="n">
        <f aca="false">IFERROR(AY200/R200,"")</f>
        <v>1.3125</v>
      </c>
      <c r="BA200" s="10" t="n">
        <v>0.0566</v>
      </c>
      <c r="BB200" s="8" t="n">
        <v>61</v>
      </c>
      <c r="BC200" s="7" t="n">
        <f aca="false">IFERROR(BB200/AY200,"")</f>
        <v>2.9047619047619</v>
      </c>
      <c r="BD200" s="7" t="n">
        <v>2.762</v>
      </c>
      <c r="BE200" s="7" t="n">
        <v>0.143</v>
      </c>
      <c r="BF200" s="8" t="n">
        <v>0</v>
      </c>
      <c r="BG200" s="7"/>
      <c r="BH200" s="6"/>
      <c r="BI200" s="7"/>
      <c r="BJ200" s="8" t="n">
        <v>3</v>
      </c>
      <c r="BK200" s="8" t="n">
        <v>2</v>
      </c>
      <c r="BL200" s="8" t="n">
        <v>2</v>
      </c>
      <c r="BM200" s="8" t="n">
        <v>1</v>
      </c>
      <c r="BN200" s="7" t="n">
        <v>1.19</v>
      </c>
      <c r="BO200" s="7" t="n">
        <f aca="false">IFERROR(BM200-BN200,"")</f>
        <v>-0.19</v>
      </c>
      <c r="BP200" s="9" t="n">
        <f aca="false">IFERROR(BM200/AH200,"")</f>
        <v>0.0454545454545455</v>
      </c>
      <c r="BQ200" s="6" t="n">
        <v>57.4</v>
      </c>
      <c r="BR200" s="6" t="n">
        <v>46.5</v>
      </c>
      <c r="BS200" s="6" t="n">
        <v>65.1</v>
      </c>
      <c r="BT200" s="7" t="n">
        <v>2.87</v>
      </c>
      <c r="BU200" s="10" t="n">
        <v>0.172</v>
      </c>
      <c r="BV200" s="10" t="n">
        <v>0.68</v>
      </c>
      <c r="BW200" s="7" t="n">
        <v>2.285</v>
      </c>
      <c r="BX200" s="10" t="n">
        <v>0.1636</v>
      </c>
      <c r="BY200" s="10" t="n">
        <v>0.0526</v>
      </c>
      <c r="BZ200" s="7" t="n">
        <v>2.209</v>
      </c>
      <c r="CA200" s="10" t="n">
        <v>0.824</v>
      </c>
      <c r="CB200" s="8" t="n">
        <v>5</v>
      </c>
      <c r="CC200" s="10" t="n">
        <v>-0.007</v>
      </c>
      <c r="CD200" s="10" t="n">
        <v>0.5795</v>
      </c>
      <c r="CE200" s="6" t="n">
        <v>57.35</v>
      </c>
      <c r="CF200" s="6" t="n">
        <v>40</v>
      </c>
      <c r="CG200" s="7" t="n">
        <v>3</v>
      </c>
      <c r="CH200" s="6" t="n">
        <v>23.4</v>
      </c>
      <c r="CI200" s="9" t="n">
        <v>0.0188</v>
      </c>
      <c r="CJ200" s="9" t="n">
        <v>0.0312</v>
      </c>
      <c r="CK200" s="8" t="n">
        <v>179</v>
      </c>
      <c r="CL200" s="10" t="n">
        <v>0.343</v>
      </c>
      <c r="CM200" s="8" t="n">
        <v>129</v>
      </c>
      <c r="CN200" s="10" t="n">
        <v>0.317</v>
      </c>
      <c r="CO200" s="8" t="n">
        <v>59</v>
      </c>
      <c r="CP200" s="7" t="n">
        <v>0.282</v>
      </c>
      <c r="CQ200" s="7" t="n">
        <v>-0.025</v>
      </c>
      <c r="CR200" s="4" t="s">
        <v>102</v>
      </c>
      <c r="CS200" s="4"/>
    </row>
    <row r="201" customFormat="false" ht="15" hidden="false" customHeight="false" outlineLevel="0" collapsed="false">
      <c r="A201" s="3" t="n">
        <v>199</v>
      </c>
      <c r="B201" s="4" t="s">
        <v>540</v>
      </c>
      <c r="C201" s="5" t="s">
        <v>99</v>
      </c>
      <c r="D201" s="4" t="s">
        <v>541</v>
      </c>
      <c r="E201" s="4" t="s">
        <v>115</v>
      </c>
      <c r="F201" s="4" t="s">
        <v>99</v>
      </c>
      <c r="G201" s="3" t="n">
        <v>3</v>
      </c>
      <c r="H201" s="6" t="n">
        <v>33.2</v>
      </c>
      <c r="I201" s="3" t="n">
        <v>10</v>
      </c>
      <c r="J201" s="3" t="n">
        <v>11</v>
      </c>
      <c r="K201" s="7" t="n">
        <v>222</v>
      </c>
      <c r="L201" s="7" t="n">
        <v>30.82</v>
      </c>
      <c r="M201" s="8" t="n">
        <v>140</v>
      </c>
      <c r="N201" s="8" t="n">
        <v>298</v>
      </c>
      <c r="O201" s="7" t="n">
        <v>222</v>
      </c>
      <c r="P201" s="6" t="n">
        <v>12.7</v>
      </c>
      <c r="Q201" s="4" t="s">
        <v>115</v>
      </c>
      <c r="R201" s="8" t="n">
        <v>16</v>
      </c>
      <c r="S201" s="6" t="n">
        <v>116.3</v>
      </c>
      <c r="T201" s="7" t="n">
        <f aca="false">IFERROR(S201/R201,"")</f>
        <v>7.26875</v>
      </c>
      <c r="U201" s="6" t="n">
        <v>92.8</v>
      </c>
      <c r="V201" s="6" t="n">
        <v>69.3</v>
      </c>
      <c r="W201" s="8" t="n">
        <v>54</v>
      </c>
      <c r="X201" s="7" t="n">
        <f aca="false">IFERROR(S201/AH201,"")</f>
        <v>1.66142857142857</v>
      </c>
      <c r="Y201" s="9" t="n">
        <f aca="false">IFERROR(S201/AF201,"")</f>
        <v>0.151432291666667</v>
      </c>
      <c r="Z201" s="6" t="n">
        <v>4.78</v>
      </c>
      <c r="AA201" s="6" t="n">
        <v>6</v>
      </c>
      <c r="AB201" s="6" t="n">
        <v>11.8</v>
      </c>
      <c r="AC201" s="10" t="n">
        <v>0</v>
      </c>
      <c r="AD201" s="10" t="n">
        <v>0.062</v>
      </c>
      <c r="AE201" s="7" t="n">
        <v>0.676</v>
      </c>
      <c r="AF201" s="8" t="n">
        <v>768</v>
      </c>
      <c r="AG201" s="10" t="n">
        <v>0.756</v>
      </c>
      <c r="AH201" s="8" t="n">
        <v>70</v>
      </c>
      <c r="AI201" s="8" t="n">
        <v>70</v>
      </c>
      <c r="AJ201" s="6" t="n">
        <f aca="false">IFERROR(AI201/R201,"")</f>
        <v>4.375</v>
      </c>
      <c r="AK201" s="10" t="n">
        <v>0.1624</v>
      </c>
      <c r="AL201" s="10" t="n">
        <v>0.1537</v>
      </c>
      <c r="AM201" s="9" t="n">
        <v>0.3512</v>
      </c>
      <c r="AN201" s="8" t="n">
        <v>47</v>
      </c>
      <c r="AO201" s="10" t="n">
        <f aca="false">IFERROR(AN201/AI201,"")</f>
        <v>0.671428571428571</v>
      </c>
      <c r="AP201" s="8" t="n">
        <v>593</v>
      </c>
      <c r="AQ201" s="7" t="n">
        <f aca="false">IFERROR(AP201/AI201,"")</f>
        <v>8.47142857142857</v>
      </c>
      <c r="AR201" s="6" t="n">
        <v>7.6</v>
      </c>
      <c r="AS201" s="7" t="n">
        <v>6.234</v>
      </c>
      <c r="AT201" s="7" t="n">
        <v>1.115</v>
      </c>
      <c r="AU201" s="7" t="n">
        <v>3.02284090107854</v>
      </c>
      <c r="AV201" s="7" t="n">
        <v>6.14492307692308</v>
      </c>
      <c r="AW201" s="7" t="n">
        <v>2.07400512034173</v>
      </c>
      <c r="AX201" s="10" t="n">
        <v>0.0429</v>
      </c>
      <c r="AY201" s="8" t="n">
        <v>0</v>
      </c>
      <c r="AZ201" s="6" t="n">
        <f aca="false">IFERROR(AY201/R201,"")</f>
        <v>0</v>
      </c>
      <c r="BA201" s="10" t="n">
        <v>0</v>
      </c>
      <c r="BB201" s="8" t="n">
        <v>0</v>
      </c>
      <c r="BC201" s="7"/>
      <c r="BD201" s="7"/>
      <c r="BE201" s="7"/>
      <c r="BF201" s="8"/>
      <c r="BG201" s="7"/>
      <c r="BH201" s="6"/>
      <c r="BI201" s="7"/>
      <c r="BJ201" s="8" t="n">
        <v>12</v>
      </c>
      <c r="BK201" s="8" t="n">
        <v>4</v>
      </c>
      <c r="BL201" s="8" t="n">
        <v>2</v>
      </c>
      <c r="BM201" s="8" t="n">
        <v>2</v>
      </c>
      <c r="BN201" s="7" t="n">
        <v>3.57</v>
      </c>
      <c r="BO201" s="7" t="n">
        <f aca="false">IFERROR(BM201-BN201,"")</f>
        <v>-1.57</v>
      </c>
      <c r="BP201" s="9" t="n">
        <f aca="false">IFERROR(BM201/AH201,"")</f>
        <v>0.0285714285714286</v>
      </c>
      <c r="BQ201" s="6" t="n">
        <v>49.9</v>
      </c>
      <c r="BR201" s="6" t="n">
        <v>39.3</v>
      </c>
      <c r="BS201" s="6" t="n">
        <v>60.5</v>
      </c>
      <c r="BT201" s="7" t="n">
        <v>2.758</v>
      </c>
      <c r="BU201" s="10" t="n">
        <v>0.2121</v>
      </c>
      <c r="BV201" s="10" t="n">
        <v>0.612903225806452</v>
      </c>
      <c r="BW201" s="7" t="n">
        <v>2.477</v>
      </c>
      <c r="BX201" s="10" t="n">
        <v>0.2266</v>
      </c>
      <c r="BY201" s="10" t="n">
        <v>0.0535</v>
      </c>
      <c r="BZ201" s="7" t="n">
        <v>2.4</v>
      </c>
      <c r="CA201" s="10" t="n">
        <v>0.942</v>
      </c>
      <c r="CB201" s="8" t="n">
        <v>5</v>
      </c>
      <c r="CC201" s="10" t="n">
        <v>-0.0677</v>
      </c>
      <c r="CD201" s="10" t="n">
        <v>0.5204</v>
      </c>
      <c r="CE201" s="6" t="n">
        <v>58.65</v>
      </c>
      <c r="CF201" s="6" t="n">
        <v>39</v>
      </c>
      <c r="CG201" s="7" t="n">
        <v>3.53</v>
      </c>
      <c r="CH201" s="6" t="n">
        <v>28.4</v>
      </c>
      <c r="CI201" s="9" t="n">
        <v>-0.0491</v>
      </c>
      <c r="CJ201" s="9" t="n">
        <v>0.1122</v>
      </c>
      <c r="CK201" s="8" t="n">
        <v>39</v>
      </c>
      <c r="CL201" s="10" t="n">
        <v>0.086</v>
      </c>
      <c r="CM201" s="8" t="n">
        <v>221</v>
      </c>
      <c r="CN201" s="10" t="n">
        <v>0.436</v>
      </c>
      <c r="CO201" s="8" t="n">
        <v>37</v>
      </c>
      <c r="CP201" s="7" t="n">
        <v>0.573</v>
      </c>
      <c r="CQ201" s="7" t="n">
        <v>0.047</v>
      </c>
      <c r="CR201" s="4" t="s">
        <v>232</v>
      </c>
      <c r="CS201" s="4"/>
    </row>
    <row r="202" customFormat="false" ht="15" hidden="false" customHeight="false" outlineLevel="0" collapsed="false">
      <c r="A202" s="3" t="n">
        <v>200</v>
      </c>
      <c r="B202" s="4" t="s">
        <v>542</v>
      </c>
      <c r="C202" s="12" t="s">
        <v>149</v>
      </c>
      <c r="D202" s="4" t="s">
        <v>543</v>
      </c>
      <c r="E202" s="4" t="s">
        <v>265</v>
      </c>
      <c r="F202" s="4" t="s">
        <v>149</v>
      </c>
      <c r="G202" s="3" t="n">
        <v>1</v>
      </c>
      <c r="H202" s="6" t="n">
        <v>23.9</v>
      </c>
      <c r="I202" s="3" t="n">
        <v>2</v>
      </c>
      <c r="J202" s="3" t="n">
        <v>9</v>
      </c>
      <c r="K202" s="7" t="n">
        <v>222.29</v>
      </c>
      <c r="L202" s="7" t="n">
        <v>26.71</v>
      </c>
      <c r="M202" s="8" t="n">
        <v>153</v>
      </c>
      <c r="N202" s="8" t="n">
        <v>290</v>
      </c>
      <c r="O202" s="7" t="n">
        <v>222.29</v>
      </c>
      <c r="P202" s="6" t="n">
        <v>14</v>
      </c>
      <c r="Q202" s="4" t="s">
        <v>265</v>
      </c>
      <c r="R202" s="8" t="n">
        <v>16</v>
      </c>
      <c r="S202" s="6" t="n">
        <v>91.7</v>
      </c>
      <c r="T202" s="7" t="n">
        <f aca="false">IFERROR(S202/R202,"")</f>
        <v>5.73125</v>
      </c>
      <c r="U202" s="6" t="n">
        <v>69.7</v>
      </c>
      <c r="V202" s="6" t="n">
        <v>47.7</v>
      </c>
      <c r="W202" s="8" t="n">
        <v>27</v>
      </c>
      <c r="X202" s="7" t="n">
        <f aca="false">IFERROR(S202/AH202,"")</f>
        <v>1.66727272727273</v>
      </c>
      <c r="Y202" s="9" t="n">
        <f aca="false">IFERROR(S202/AF202,"")</f>
        <v>0.172045028142589</v>
      </c>
      <c r="Z202" s="6" t="n">
        <v>2.58</v>
      </c>
      <c r="AA202" s="6" t="n">
        <v>4.6</v>
      </c>
      <c r="AB202" s="6" t="n">
        <v>9.8</v>
      </c>
      <c r="AC202" s="10" t="n">
        <v>0</v>
      </c>
      <c r="AD202" s="10" t="n">
        <v>0.125</v>
      </c>
      <c r="AE202" s="7" t="n">
        <v>0.867</v>
      </c>
      <c r="AF202" s="8" t="n">
        <v>533</v>
      </c>
      <c r="AG202" s="10" t="n">
        <v>0.526</v>
      </c>
      <c r="AH202" s="8" t="n">
        <v>55</v>
      </c>
      <c r="AI202" s="8" t="n">
        <v>55</v>
      </c>
      <c r="AJ202" s="6" t="n">
        <f aca="false">IFERROR(AI202/R202,"")</f>
        <v>3.4375</v>
      </c>
      <c r="AK202" s="10" t="n">
        <v>0.1107</v>
      </c>
      <c r="AL202" s="10" t="n">
        <v>0.0798</v>
      </c>
      <c r="AM202" s="9" t="n">
        <v>0.2219</v>
      </c>
      <c r="AN202" s="8" t="n">
        <v>44</v>
      </c>
      <c r="AO202" s="10" t="n">
        <f aca="false">IFERROR(AN202/AI202,"")</f>
        <v>0.8</v>
      </c>
      <c r="AP202" s="8" t="n">
        <v>357</v>
      </c>
      <c r="AQ202" s="7" t="n">
        <f aca="false">IFERROR(AP202/AI202,"")</f>
        <v>6.49090909090909</v>
      </c>
      <c r="AR202" s="6" t="n">
        <v>5.509</v>
      </c>
      <c r="AS202" s="7" t="n">
        <v>3.614</v>
      </c>
      <c r="AT202" s="7" t="n">
        <v>1.178</v>
      </c>
      <c r="AU202" s="7" t="n">
        <v>3.52239567631081</v>
      </c>
      <c r="AV202" s="7" t="n">
        <v>4.87368421052632</v>
      </c>
      <c r="AW202" s="7" t="n">
        <v>-0.813668106756964</v>
      </c>
      <c r="AX202" s="10" t="n">
        <v>0.0364</v>
      </c>
      <c r="AY202" s="8" t="n">
        <v>0</v>
      </c>
      <c r="AZ202" s="6" t="n">
        <f aca="false">IFERROR(AY202/R202,"")</f>
        <v>0</v>
      </c>
      <c r="BA202" s="10" t="n">
        <v>0</v>
      </c>
      <c r="BB202" s="8" t="n">
        <v>0</v>
      </c>
      <c r="BC202" s="7"/>
      <c r="BD202" s="7"/>
      <c r="BE202" s="7"/>
      <c r="BF202" s="8"/>
      <c r="BG202" s="7"/>
      <c r="BH202" s="6"/>
      <c r="BI202" s="7"/>
      <c r="BJ202" s="8" t="n">
        <v>8</v>
      </c>
      <c r="BK202" s="8" t="n">
        <v>3</v>
      </c>
      <c r="BL202" s="8" t="n">
        <v>1</v>
      </c>
      <c r="BM202" s="8" t="n">
        <v>2</v>
      </c>
      <c r="BN202" s="7" t="n">
        <v>2.67</v>
      </c>
      <c r="BO202" s="7" t="n">
        <f aca="false">IFERROR(BM202-BN202,"")</f>
        <v>-0.67</v>
      </c>
      <c r="BP202" s="9" t="n">
        <f aca="false">IFERROR(BM202/AH202,"")</f>
        <v>0.0363636363636364</v>
      </c>
      <c r="BQ202" s="6" t="n">
        <v>41.1</v>
      </c>
      <c r="BR202" s="6" t="n">
        <v>58.4</v>
      </c>
      <c r="BS202" s="6" t="n">
        <v>27.6</v>
      </c>
      <c r="BT202" s="7" t="n">
        <v>3.085</v>
      </c>
      <c r="BU202" s="10" t="n">
        <v>0.1549</v>
      </c>
      <c r="BV202" s="10" t="n">
        <v>0.666666666666667</v>
      </c>
      <c r="BW202" s="7" t="n">
        <v>2.54</v>
      </c>
      <c r="BX202" s="10" t="n">
        <v>0.3175</v>
      </c>
      <c r="BY202" s="10" t="n">
        <v>0.0872</v>
      </c>
      <c r="BZ202" s="7" t="n">
        <v>2.389</v>
      </c>
      <c r="CA202" s="10" t="n">
        <v>0.527</v>
      </c>
      <c r="CB202" s="8" t="n">
        <v>3</v>
      </c>
      <c r="CC202" s="10" t="n">
        <v>-0.0385</v>
      </c>
      <c r="CD202" s="10" t="n">
        <v>0.5401</v>
      </c>
      <c r="CE202" s="6" t="n">
        <v>58.53</v>
      </c>
      <c r="CF202" s="6" t="n">
        <v>40</v>
      </c>
      <c r="CG202" s="7" t="n">
        <v>2.06</v>
      </c>
      <c r="CH202" s="6" t="n">
        <v>16.7</v>
      </c>
      <c r="CI202" s="9" t="n">
        <v>-0.0573</v>
      </c>
      <c r="CJ202" s="9" t="n">
        <v>-0.2208</v>
      </c>
      <c r="CK202" s="8" t="n">
        <v>152</v>
      </c>
      <c r="CL202" s="10" t="n">
        <v>0.287</v>
      </c>
      <c r="CM202" s="8" t="n">
        <v>0</v>
      </c>
      <c r="CN202" s="10" t="n">
        <v>0</v>
      </c>
      <c r="CO202" s="8" t="n">
        <v>8</v>
      </c>
      <c r="CP202" s="7" t="n">
        <v>-0.227</v>
      </c>
      <c r="CQ202" s="7" t="n">
        <v>-0.359</v>
      </c>
      <c r="CR202" s="4" t="s">
        <v>102</v>
      </c>
      <c r="CS202" s="4"/>
    </row>
    <row r="203" customFormat="false" ht="15" hidden="false" customHeight="false" outlineLevel="0" collapsed="false">
      <c r="A203" s="3" t="n">
        <v>201</v>
      </c>
      <c r="B203" s="4" t="s">
        <v>544</v>
      </c>
      <c r="C203" s="11" t="s">
        <v>104</v>
      </c>
      <c r="D203" s="4" t="s">
        <v>545</v>
      </c>
      <c r="E203" s="4" t="s">
        <v>120</v>
      </c>
      <c r="F203" s="4" t="s">
        <v>104</v>
      </c>
      <c r="G203" s="3" t="n">
        <v>2</v>
      </c>
      <c r="H203" s="6" t="n">
        <v>22.6</v>
      </c>
      <c r="I203" s="3" t="n">
        <v>2</v>
      </c>
      <c r="J203" s="3" t="n">
        <v>14</v>
      </c>
      <c r="K203" s="7" t="n">
        <v>223.65</v>
      </c>
      <c r="L203" s="7" t="n">
        <v>47.84</v>
      </c>
      <c r="M203" s="8" t="n">
        <v>135</v>
      </c>
      <c r="N203" s="8" t="n">
        <v>328</v>
      </c>
      <c r="O203" s="7" t="n">
        <v>223.65</v>
      </c>
      <c r="P203" s="6" t="n">
        <v>10.3</v>
      </c>
      <c r="Q203" s="4" t="s">
        <v>120</v>
      </c>
      <c r="R203" s="8" t="n">
        <v>5</v>
      </c>
      <c r="S203" s="6" t="n">
        <v>20.4</v>
      </c>
      <c r="T203" s="7" t="n">
        <f aca="false">IFERROR(S203/R203,"")</f>
        <v>4.08</v>
      </c>
      <c r="U203" s="6" t="n">
        <v>19.9</v>
      </c>
      <c r="V203" s="6" t="n">
        <v>19.4</v>
      </c>
      <c r="W203" s="8" t="n">
        <v>66</v>
      </c>
      <c r="X203" s="7" t="n">
        <f aca="false">IFERROR(S203/AH203,"")</f>
        <v>0.523076923076923</v>
      </c>
      <c r="Y203" s="9" t="n">
        <f aca="false">IFERROR(S203/AF203,"")</f>
        <v>0.261538461538462</v>
      </c>
      <c r="Z203" s="6" t="n">
        <v>0.7</v>
      </c>
      <c r="AA203" s="6" t="n">
        <v>2.9</v>
      </c>
      <c r="AB203" s="6" t="n">
        <v>7.6</v>
      </c>
      <c r="AC203" s="10" t="n">
        <v>0</v>
      </c>
      <c r="AD203" s="10" t="n">
        <v>0.4</v>
      </c>
      <c r="AE203" s="7" t="n">
        <v>1.714</v>
      </c>
      <c r="AF203" s="8" t="n">
        <v>78</v>
      </c>
      <c r="AG203" s="10" t="n">
        <v>0.256</v>
      </c>
      <c r="AH203" s="8" t="n">
        <v>39</v>
      </c>
      <c r="AI203" s="8" t="n">
        <v>1</v>
      </c>
      <c r="AJ203" s="6" t="n">
        <f aca="false">IFERROR(AI203/R203,"")</f>
        <v>0.2</v>
      </c>
      <c r="AK203" s="10" t="n">
        <v>0.0067</v>
      </c>
      <c r="AL203" s="10" t="n">
        <v>-0.0048</v>
      </c>
      <c r="AM203" s="9" t="n">
        <v>0.0067</v>
      </c>
      <c r="AN203" s="8" t="n">
        <v>1</v>
      </c>
      <c r="AO203" s="10"/>
      <c r="AP203" s="8" t="n">
        <v>5</v>
      </c>
      <c r="AQ203" s="7"/>
      <c r="AR203" s="6"/>
      <c r="AS203" s="7"/>
      <c r="AT203" s="7"/>
      <c r="AU203" s="7"/>
      <c r="AV203" s="7"/>
      <c r="AW203" s="7"/>
      <c r="AX203" s="10"/>
      <c r="AY203" s="8" t="n">
        <v>38</v>
      </c>
      <c r="AZ203" s="6" t="n">
        <f aca="false">IFERROR(AY203/R203,"")</f>
        <v>7.6</v>
      </c>
      <c r="BA203" s="10" t="n">
        <v>0.2714</v>
      </c>
      <c r="BB203" s="8" t="n">
        <v>129</v>
      </c>
      <c r="BC203" s="7" t="n">
        <f aca="false">IFERROR(BB203/AY203,"")</f>
        <v>3.39473684210526</v>
      </c>
      <c r="BD203" s="7" t="n">
        <v>2.237</v>
      </c>
      <c r="BE203" s="7" t="n">
        <v>1.158</v>
      </c>
      <c r="BF203" s="8" t="n">
        <v>2</v>
      </c>
      <c r="BG203" s="7"/>
      <c r="BH203" s="6"/>
      <c r="BI203" s="7"/>
      <c r="BJ203" s="8" t="n">
        <v>7</v>
      </c>
      <c r="BK203" s="8" t="n">
        <v>2</v>
      </c>
      <c r="BL203" s="8" t="n">
        <v>1</v>
      </c>
      <c r="BM203" s="8" t="n">
        <v>1</v>
      </c>
      <c r="BN203" s="7" t="n">
        <v>0.86</v>
      </c>
      <c r="BO203" s="7" t="n">
        <f aca="false">IFERROR(BM203-BN203,"")</f>
        <v>0.14</v>
      </c>
      <c r="BP203" s="9" t="n">
        <f aca="false">IFERROR(BM203/AH203,"")</f>
        <v>0.0256410256410256</v>
      </c>
      <c r="BQ203" s="6" t="n">
        <v>65.1</v>
      </c>
      <c r="BR203" s="6" t="n">
        <v>61.6</v>
      </c>
      <c r="BS203" s="6" t="n">
        <v>62.2</v>
      </c>
      <c r="BT203" s="7" t="n">
        <v>3.074</v>
      </c>
      <c r="BU203" s="10" t="n">
        <v>0.1352</v>
      </c>
      <c r="BV203" s="10" t="n">
        <v>0.705882352941177</v>
      </c>
      <c r="BW203" s="7" t="n">
        <v>2.563</v>
      </c>
      <c r="BX203" s="10" t="n">
        <v>0.2356</v>
      </c>
      <c r="BY203" s="10" t="n">
        <v>0.044</v>
      </c>
      <c r="BZ203" s="7" t="n">
        <v>2.396</v>
      </c>
      <c r="CA203" s="10" t="n">
        <v>0.848</v>
      </c>
      <c r="CB203" s="8" t="n">
        <v>5</v>
      </c>
      <c r="CC203" s="10" t="n">
        <v>-0.0098</v>
      </c>
      <c r="CD203" s="10" t="n">
        <v>0.5628</v>
      </c>
      <c r="CE203" s="6" t="n">
        <v>64.94</v>
      </c>
      <c r="CF203" s="6" t="n">
        <v>36</v>
      </c>
      <c r="CG203" s="7" t="n">
        <v>3.82</v>
      </c>
      <c r="CH203" s="6" t="n">
        <v>27.7</v>
      </c>
      <c r="CI203" s="9" t="n">
        <v>0.005</v>
      </c>
      <c r="CJ203" s="9" t="n">
        <v>0.1615</v>
      </c>
      <c r="CK203" s="8" t="n">
        <v>34</v>
      </c>
      <c r="CL203" s="10" t="n">
        <v>0.056</v>
      </c>
      <c r="CM203" s="8" t="n">
        <v>0</v>
      </c>
      <c r="CN203" s="10" t="n">
        <v>0</v>
      </c>
      <c r="CO203" s="8" t="n">
        <v>4</v>
      </c>
      <c r="CP203" s="7" t="n">
        <v>-0.555</v>
      </c>
      <c r="CQ203" s="7" t="n">
        <v>-0.249</v>
      </c>
      <c r="CR203" s="4" t="s">
        <v>121</v>
      </c>
      <c r="CS203" s="4"/>
    </row>
    <row r="204" customFormat="false" ht="15" hidden="false" customHeight="false" outlineLevel="0" collapsed="false">
      <c r="A204" s="3" t="n">
        <v>202</v>
      </c>
      <c r="B204" s="4" t="s">
        <v>546</v>
      </c>
      <c r="C204" s="13" t="s">
        <v>172</v>
      </c>
      <c r="D204" s="4" t="s">
        <v>547</v>
      </c>
      <c r="E204" s="4" t="s">
        <v>186</v>
      </c>
      <c r="F204" s="4" t="s">
        <v>172</v>
      </c>
      <c r="G204" s="3" t="n">
        <v>1</v>
      </c>
      <c r="H204" s="6" t="n">
        <v>35.9</v>
      </c>
      <c r="I204" s="3" t="n">
        <v>14</v>
      </c>
      <c r="J204" s="3" t="n">
        <v>13</v>
      </c>
      <c r="K204" s="7" t="n">
        <v>227.81</v>
      </c>
      <c r="L204" s="7" t="n">
        <v>32.44</v>
      </c>
      <c r="M204" s="8" t="n">
        <v>147</v>
      </c>
      <c r="N204" s="8" t="n">
        <v>285</v>
      </c>
      <c r="O204" s="7" t="n">
        <v>227.81</v>
      </c>
      <c r="P204" s="6" t="n">
        <v>12.4</v>
      </c>
      <c r="Q204" s="4" t="s">
        <v>142</v>
      </c>
      <c r="R204" s="8" t="n">
        <v>15</v>
      </c>
      <c r="S204" s="6" t="n">
        <v>173.9</v>
      </c>
      <c r="T204" s="7" t="n">
        <f aca="false">IFERROR(S204/R204,"")</f>
        <v>11.5933333333333</v>
      </c>
      <c r="U204" s="6" t="n">
        <v>173.9</v>
      </c>
      <c r="V204" s="6" t="n">
        <v>173.9</v>
      </c>
      <c r="W204" s="8" t="n">
        <v>24</v>
      </c>
      <c r="X204" s="7" t="n">
        <f aca="false">IFERROR(S204/AH204,"")</f>
        <v>4.24146341463415</v>
      </c>
      <c r="Y204" s="9" t="n">
        <f aca="false">IFERROR(S204/AF204,"")</f>
        <v>0.201506373117034</v>
      </c>
      <c r="Z204" s="6" t="n">
        <v>6.53</v>
      </c>
      <c r="AA204" s="6" t="n">
        <v>9.78</v>
      </c>
      <c r="AB204" s="6" t="n">
        <v>17.15</v>
      </c>
      <c r="AC204" s="10" t="n">
        <v>0.133</v>
      </c>
      <c r="AD204" s="10" t="n">
        <v>0.267</v>
      </c>
      <c r="AE204" s="7" t="n">
        <v>0.745</v>
      </c>
      <c r="AF204" s="8" t="n">
        <v>863</v>
      </c>
      <c r="AG204" s="10" t="n">
        <v>0.965</v>
      </c>
      <c r="AH204" s="8" t="n">
        <v>41</v>
      </c>
      <c r="AI204" s="8" t="n">
        <v>0</v>
      </c>
      <c r="AJ204" s="6" t="n">
        <f aca="false">IFERROR(AI204/R204,"")</f>
        <v>0</v>
      </c>
      <c r="AK204" s="10" t="n">
        <v>0</v>
      </c>
      <c r="AL204" s="10" t="n">
        <v>0</v>
      </c>
      <c r="AM204" s="9" t="n">
        <v>0</v>
      </c>
      <c r="AN204" s="8" t="n">
        <v>0</v>
      </c>
      <c r="AO204" s="10"/>
      <c r="AP204" s="8" t="n">
        <v>0</v>
      </c>
      <c r="AQ204" s="7"/>
      <c r="AR204" s="6"/>
      <c r="AS204" s="7"/>
      <c r="AT204" s="7"/>
      <c r="AU204" s="7"/>
      <c r="AV204" s="7"/>
      <c r="AW204" s="7"/>
      <c r="AX204" s="10"/>
      <c r="AY204" s="8" t="n">
        <v>41</v>
      </c>
      <c r="AZ204" s="6" t="n">
        <f aca="false">IFERROR(AY204/R204,"")</f>
        <v>2.73333333333333</v>
      </c>
      <c r="BA204" s="10" t="n">
        <v>0.1265</v>
      </c>
      <c r="BB204" s="8" t="n">
        <v>109</v>
      </c>
      <c r="BC204" s="7" t="n">
        <f aca="false">IFERROR(BB204/AY204,"")</f>
        <v>2.65853658536585</v>
      </c>
      <c r="BD204" s="7" t="n">
        <v>1.39</v>
      </c>
      <c r="BE204" s="7" t="n">
        <v>1.268</v>
      </c>
      <c r="BF204" s="8" t="n">
        <v>2</v>
      </c>
      <c r="BG204" s="7"/>
      <c r="BH204" s="6"/>
      <c r="BI204" s="7"/>
      <c r="BJ204" s="8" t="n">
        <v>7</v>
      </c>
      <c r="BK204" s="8" t="n">
        <v>2</v>
      </c>
      <c r="BL204" s="8" t="n">
        <v>2</v>
      </c>
      <c r="BM204" s="8" t="n">
        <v>0</v>
      </c>
      <c r="BN204" s="7" t="n">
        <v>1.21</v>
      </c>
      <c r="BO204" s="7" t="n">
        <f aca="false">IFERROR(BM204-BN204,"")</f>
        <v>-1.21</v>
      </c>
      <c r="BP204" s="9" t="n">
        <f aca="false">IFERROR(BM204/AH204,"")</f>
        <v>0</v>
      </c>
      <c r="BQ204" s="6" t="n">
        <v>38.6</v>
      </c>
      <c r="BR204" s="6" t="n">
        <v>56.3</v>
      </c>
      <c r="BS204" s="6" t="n">
        <v>25.8</v>
      </c>
      <c r="BT204" s="7" t="n">
        <v>2.892</v>
      </c>
      <c r="BU204" s="10" t="n">
        <v>0.1813</v>
      </c>
      <c r="BV204" s="10" t="n">
        <v>0.739130434782609</v>
      </c>
      <c r="BW204" s="7" t="n">
        <v>2.899</v>
      </c>
      <c r="BX204" s="10" t="n">
        <v>0.3117</v>
      </c>
      <c r="BY204" s="10" t="n">
        <v>0.0989</v>
      </c>
      <c r="BZ204" s="7" t="n">
        <v>2.423</v>
      </c>
      <c r="CA204" s="10" t="n">
        <v>0.808</v>
      </c>
      <c r="CB204" s="8" t="n">
        <v>3</v>
      </c>
      <c r="CC204" s="10" t="n">
        <v>-0.0877</v>
      </c>
      <c r="CD204" s="10" t="n">
        <v>0.4319</v>
      </c>
      <c r="CE204" s="6" t="n">
        <v>59.35</v>
      </c>
      <c r="CF204" s="6" t="n">
        <v>38</v>
      </c>
      <c r="CG204" s="7" t="n">
        <v>2.47</v>
      </c>
      <c r="CH204" s="6" t="n">
        <v>17.6</v>
      </c>
      <c r="CI204" s="9" t="n">
        <v>-0.061</v>
      </c>
      <c r="CJ204" s="9" t="n">
        <v>-0.1799</v>
      </c>
      <c r="CK204" s="8" t="n">
        <v>76</v>
      </c>
      <c r="CL204" s="10" t="n">
        <v>0.161</v>
      </c>
      <c r="CM204" s="8" t="n">
        <v>117</v>
      </c>
      <c r="CN204" s="10" t="n">
        <v>0.257</v>
      </c>
      <c r="CO204" s="8" t="n">
        <v>27</v>
      </c>
      <c r="CP204" s="7" t="n">
        <v>0.01</v>
      </c>
      <c r="CQ204" s="7" t="n">
        <v>-0.165</v>
      </c>
      <c r="CR204" s="4" t="s">
        <v>102</v>
      </c>
      <c r="CS204" s="4"/>
    </row>
    <row r="205" customFormat="false" ht="15" hidden="false" customHeight="false" outlineLevel="0" collapsed="false">
      <c r="A205" s="3" t="n">
        <v>203</v>
      </c>
      <c r="B205" s="4" t="s">
        <v>548</v>
      </c>
      <c r="C205" s="11" t="s">
        <v>104</v>
      </c>
      <c r="D205" s="4" t="s">
        <v>549</v>
      </c>
      <c r="E205" s="4" t="s">
        <v>221</v>
      </c>
      <c r="F205" s="4" t="s">
        <v>104</v>
      </c>
      <c r="G205" s="3" t="n">
        <v>3</v>
      </c>
      <c r="H205" s="6" t="n">
        <v>23.6</v>
      </c>
      <c r="I205" s="3" t="n">
        <v>0</v>
      </c>
      <c r="J205" s="3" t="n">
        <v>7</v>
      </c>
      <c r="K205" s="7" t="n">
        <v>227.85</v>
      </c>
      <c r="L205" s="7" t="n">
        <v>34.91</v>
      </c>
      <c r="M205" s="8" t="n">
        <v>158</v>
      </c>
      <c r="N205" s="8" t="n">
        <v>324</v>
      </c>
      <c r="O205" s="7" t="n">
        <v>227.85</v>
      </c>
      <c r="P205" s="6" t="n">
        <v>12.7</v>
      </c>
      <c r="Q205" s="4"/>
      <c r="R205" s="8"/>
      <c r="S205" s="6"/>
      <c r="T205" s="7"/>
      <c r="U205" s="6"/>
      <c r="V205" s="6"/>
      <c r="W205" s="8"/>
      <c r="X205" s="7"/>
      <c r="Y205" s="9"/>
      <c r="Z205" s="6"/>
      <c r="AA205" s="6"/>
      <c r="AB205" s="6"/>
      <c r="AC205" s="10"/>
      <c r="AD205" s="10"/>
      <c r="AE205" s="7"/>
      <c r="AF205" s="8"/>
      <c r="AG205" s="10"/>
      <c r="AH205" s="8"/>
      <c r="AI205" s="8"/>
      <c r="AJ205" s="6"/>
      <c r="AK205" s="10"/>
      <c r="AL205" s="10"/>
      <c r="AM205" s="9"/>
      <c r="AN205" s="8"/>
      <c r="AO205" s="10"/>
      <c r="AP205" s="8"/>
      <c r="AQ205" s="7"/>
      <c r="AR205" s="6"/>
      <c r="AS205" s="7"/>
      <c r="AT205" s="7"/>
      <c r="AU205" s="7"/>
      <c r="AV205" s="7"/>
      <c r="AW205" s="7"/>
      <c r="AX205" s="10"/>
      <c r="AY205" s="8"/>
      <c r="AZ205" s="6"/>
      <c r="BA205" s="10"/>
      <c r="BB205" s="8"/>
      <c r="BC205" s="7"/>
      <c r="BD205" s="7"/>
      <c r="BE205" s="7"/>
      <c r="BF205" s="8"/>
      <c r="BG205" s="7"/>
      <c r="BH205" s="6"/>
      <c r="BI205" s="7"/>
      <c r="BJ205" s="8"/>
      <c r="BK205" s="8"/>
      <c r="BL205" s="8"/>
      <c r="BM205" s="8"/>
      <c r="BN205" s="7"/>
      <c r="BO205" s="7"/>
      <c r="BP205" s="9"/>
      <c r="BQ205" s="6" t="n">
        <v>54.8</v>
      </c>
      <c r="BR205" s="6" t="n">
        <v>50.7</v>
      </c>
      <c r="BS205" s="6" t="n">
        <v>56.8</v>
      </c>
      <c r="BT205" s="7" t="n">
        <v>2.998</v>
      </c>
      <c r="BU205" s="10" t="n">
        <v>0.1651</v>
      </c>
      <c r="BV205" s="10" t="n">
        <v>0.548387096774194</v>
      </c>
      <c r="BW205" s="7" t="n">
        <v>2.512</v>
      </c>
      <c r="BX205" s="10" t="n">
        <v>0.2217</v>
      </c>
      <c r="BY205" s="10" t="n">
        <v>0.0606</v>
      </c>
      <c r="BZ205" s="7" t="n">
        <v>2.36</v>
      </c>
      <c r="CA205" s="10" t="n">
        <v>0.706</v>
      </c>
      <c r="CB205" s="8" t="n">
        <v>4</v>
      </c>
      <c r="CC205" s="10" t="n">
        <v>-0.0427</v>
      </c>
      <c r="CD205" s="10" t="n">
        <v>0.4747</v>
      </c>
      <c r="CE205" s="6" t="n">
        <v>57.59</v>
      </c>
      <c r="CF205" s="6" t="n">
        <v>38</v>
      </c>
      <c r="CG205" s="7" t="n">
        <v>2.94</v>
      </c>
      <c r="CH205" s="6" t="n">
        <v>20.9</v>
      </c>
      <c r="CI205" s="9" t="n">
        <v>0.0192</v>
      </c>
      <c r="CJ205" s="9" t="n">
        <v>-0.0055</v>
      </c>
      <c r="CK205" s="8" t="n">
        <v>138</v>
      </c>
      <c r="CL205" s="10" t="n">
        <v>0.319</v>
      </c>
      <c r="CM205" s="8" t="n">
        <v>142</v>
      </c>
      <c r="CN205" s="10" t="n">
        <v>0.293</v>
      </c>
      <c r="CO205" s="8" t="n">
        <v>56</v>
      </c>
      <c r="CP205" s="7"/>
      <c r="CQ205" s="7"/>
      <c r="CR205" s="4"/>
      <c r="CS205" s="4" t="s">
        <v>206</v>
      </c>
    </row>
    <row r="206" customFormat="false" ht="15" hidden="false" customHeight="false" outlineLevel="0" collapsed="false">
      <c r="A206" s="3" t="n">
        <v>204</v>
      </c>
      <c r="B206" s="4" t="s">
        <v>550</v>
      </c>
      <c r="C206" s="5" t="s">
        <v>99</v>
      </c>
      <c r="D206" s="4" t="s">
        <v>551</v>
      </c>
      <c r="E206" s="4" t="s">
        <v>112</v>
      </c>
      <c r="F206" s="4" t="s">
        <v>270</v>
      </c>
      <c r="G206" s="3" t="n">
        <v>1</v>
      </c>
      <c r="H206" s="6" t="n">
        <v>22.4</v>
      </c>
      <c r="I206" s="3" t="n">
        <v>0</v>
      </c>
      <c r="J206" s="3" t="n">
        <v>11</v>
      </c>
      <c r="K206" s="7" t="n">
        <v>229.71</v>
      </c>
      <c r="L206" s="7" t="n">
        <v>32.85</v>
      </c>
      <c r="M206" s="8" t="n">
        <v>150</v>
      </c>
      <c r="N206" s="8" t="n">
        <v>313</v>
      </c>
      <c r="O206" s="7" t="n">
        <v>229.71</v>
      </c>
      <c r="P206" s="6" t="n">
        <v>17.4</v>
      </c>
      <c r="Q206" s="4"/>
      <c r="R206" s="8"/>
      <c r="S206" s="6"/>
      <c r="T206" s="7"/>
      <c r="U206" s="6"/>
      <c r="V206" s="6"/>
      <c r="W206" s="8"/>
      <c r="X206" s="7"/>
      <c r="Y206" s="9"/>
      <c r="Z206" s="6"/>
      <c r="AA206" s="6"/>
      <c r="AB206" s="6"/>
      <c r="AC206" s="10"/>
      <c r="AD206" s="10"/>
      <c r="AE206" s="7"/>
      <c r="AF206" s="8"/>
      <c r="AG206" s="10"/>
      <c r="AH206" s="8"/>
      <c r="AI206" s="8"/>
      <c r="AJ206" s="6"/>
      <c r="AK206" s="10"/>
      <c r="AL206" s="10"/>
      <c r="AM206" s="9"/>
      <c r="AN206" s="8"/>
      <c r="AO206" s="10"/>
      <c r="AP206" s="8"/>
      <c r="AQ206" s="7"/>
      <c r="AR206" s="6"/>
      <c r="AS206" s="7"/>
      <c r="AT206" s="7"/>
      <c r="AU206" s="7"/>
      <c r="AV206" s="7"/>
      <c r="AW206" s="7"/>
      <c r="AX206" s="10"/>
      <c r="AY206" s="8"/>
      <c r="AZ206" s="6"/>
      <c r="BA206" s="10"/>
      <c r="BB206" s="8"/>
      <c r="BC206" s="7"/>
      <c r="BD206" s="7"/>
      <c r="BE206" s="7"/>
      <c r="BF206" s="8"/>
      <c r="BG206" s="7"/>
      <c r="BH206" s="6"/>
      <c r="BI206" s="7"/>
      <c r="BJ206" s="8"/>
      <c r="BK206" s="8"/>
      <c r="BL206" s="8"/>
      <c r="BM206" s="8"/>
      <c r="BN206" s="7"/>
      <c r="BO206" s="7"/>
      <c r="BP206" s="9"/>
      <c r="BQ206" s="6" t="n">
        <v>62.4</v>
      </c>
      <c r="BR206" s="6" t="n">
        <v>52.7</v>
      </c>
      <c r="BS206" s="6" t="n">
        <v>66.9</v>
      </c>
      <c r="BT206" s="7" t="n">
        <v>3.071</v>
      </c>
      <c r="BU206" s="10" t="n">
        <v>0.1627</v>
      </c>
      <c r="BV206" s="10" t="n">
        <v>0.523809523809524</v>
      </c>
      <c r="BW206" s="7" t="n">
        <v>2.522</v>
      </c>
      <c r="BX206" s="10" t="n">
        <v>0.2037</v>
      </c>
      <c r="BY206" s="10" t="n">
        <v>0.0494</v>
      </c>
      <c r="BZ206" s="7" t="n">
        <v>2.4</v>
      </c>
      <c r="CA206" s="10" t="n">
        <v>0.798</v>
      </c>
      <c r="CB206" s="8" t="n">
        <v>4</v>
      </c>
      <c r="CC206" s="10" t="n">
        <v>-0.0621</v>
      </c>
      <c r="CD206" s="10" t="n">
        <v>0.549</v>
      </c>
      <c r="CE206" s="6" t="n">
        <v>60.94</v>
      </c>
      <c r="CF206" s="6" t="n">
        <v>38</v>
      </c>
      <c r="CG206" s="7" t="n">
        <v>3.12</v>
      </c>
      <c r="CH206" s="6" t="n">
        <v>20.8</v>
      </c>
      <c r="CI206" s="9" t="n">
        <v>-0.0314</v>
      </c>
      <c r="CJ206" s="9" t="n">
        <v>-0.0132</v>
      </c>
      <c r="CK206" s="8" t="n">
        <v>151</v>
      </c>
      <c r="CL206" s="10" t="n">
        <v>0.291</v>
      </c>
      <c r="CM206" s="8" t="n">
        <v>160</v>
      </c>
      <c r="CN206" s="10" t="n">
        <v>0.335</v>
      </c>
      <c r="CO206" s="8" t="n">
        <v>49</v>
      </c>
      <c r="CP206" s="7"/>
      <c r="CQ206" s="7"/>
      <c r="CR206" s="4"/>
      <c r="CS206" s="4" t="s">
        <v>206</v>
      </c>
    </row>
    <row r="207" customFormat="false" ht="15" hidden="false" customHeight="false" outlineLevel="0" collapsed="false">
      <c r="A207" s="3" t="n">
        <v>205</v>
      </c>
      <c r="B207" s="4" t="s">
        <v>552</v>
      </c>
      <c r="C207" s="11" t="s">
        <v>104</v>
      </c>
      <c r="D207" s="4" t="s">
        <v>553</v>
      </c>
      <c r="E207" s="4" t="s">
        <v>161</v>
      </c>
      <c r="F207" s="4" t="s">
        <v>104</v>
      </c>
      <c r="G207" s="3" t="n">
        <v>2</v>
      </c>
      <c r="H207" s="6" t="n">
        <v>23.4</v>
      </c>
      <c r="I207" s="3" t="n">
        <v>3</v>
      </c>
      <c r="J207" s="3" t="n">
        <v>6</v>
      </c>
      <c r="K207" s="7" t="n">
        <v>231.65</v>
      </c>
      <c r="L207" s="7" t="n">
        <v>26.28</v>
      </c>
      <c r="M207" s="8" t="n">
        <v>157</v>
      </c>
      <c r="N207" s="8" t="n">
        <v>296</v>
      </c>
      <c r="O207" s="7" t="n">
        <v>231.65</v>
      </c>
      <c r="P207" s="6" t="n">
        <v>8</v>
      </c>
      <c r="Q207" s="4" t="s">
        <v>161</v>
      </c>
      <c r="R207" s="8" t="n">
        <v>9</v>
      </c>
      <c r="S207" s="6" t="n">
        <v>48.2</v>
      </c>
      <c r="T207" s="7" t="n">
        <f aca="false">IFERROR(S207/R207,"")</f>
        <v>5.35555555555556</v>
      </c>
      <c r="U207" s="6" t="n">
        <v>45.7</v>
      </c>
      <c r="V207" s="6" t="n">
        <v>43.2</v>
      </c>
      <c r="W207" s="8" t="n">
        <v>60</v>
      </c>
      <c r="X207" s="7" t="n">
        <f aca="false">IFERROR(S207/AH207,"")</f>
        <v>0.610126582278481</v>
      </c>
      <c r="Y207" s="9" t="n">
        <f aca="false">IFERROR(S207/AF207,"")</f>
        <v>0.379527559055118</v>
      </c>
      <c r="Z207" s="6" t="n">
        <v>1.7</v>
      </c>
      <c r="AA207" s="6" t="n">
        <v>3.8</v>
      </c>
      <c r="AB207" s="6" t="n">
        <v>10.96</v>
      </c>
      <c r="AC207" s="10" t="n">
        <v>0.111</v>
      </c>
      <c r="AD207" s="10" t="n">
        <v>0.444</v>
      </c>
      <c r="AE207" s="7" t="n">
        <v>1.453</v>
      </c>
      <c r="AF207" s="8" t="n">
        <v>127</v>
      </c>
      <c r="AG207" s="10" t="n">
        <v>0.215</v>
      </c>
      <c r="AH207" s="8" t="n">
        <v>79</v>
      </c>
      <c r="AI207" s="8" t="n">
        <v>9</v>
      </c>
      <c r="AJ207" s="6" t="n">
        <f aca="false">IFERROR(AI207/R207,"")</f>
        <v>1</v>
      </c>
      <c r="AK207" s="10" t="n">
        <v>0.0429</v>
      </c>
      <c r="AL207" s="10" t="n">
        <v>-0.0226</v>
      </c>
      <c r="AM207" s="9" t="n">
        <v>0.0485</v>
      </c>
      <c r="AN207" s="8" t="n">
        <v>5</v>
      </c>
      <c r="AO207" s="10"/>
      <c r="AP207" s="8" t="n">
        <v>44</v>
      </c>
      <c r="AQ207" s="7"/>
      <c r="AR207" s="6"/>
      <c r="AS207" s="7"/>
      <c r="AT207" s="7"/>
      <c r="AU207" s="7"/>
      <c r="AV207" s="7"/>
      <c r="AW207" s="7"/>
      <c r="AX207" s="10"/>
      <c r="AY207" s="8" t="n">
        <v>70</v>
      </c>
      <c r="AZ207" s="6" t="n">
        <f aca="false">IFERROR(AY207/R207,"")</f>
        <v>7.77777777777778</v>
      </c>
      <c r="BA207" s="10" t="n">
        <v>0.2574</v>
      </c>
      <c r="BB207" s="8" t="n">
        <v>288</v>
      </c>
      <c r="BC207" s="7" t="n">
        <f aca="false">IFERROR(BB207/AY207,"")</f>
        <v>4.11428571428571</v>
      </c>
      <c r="BD207" s="7" t="n">
        <v>1.6</v>
      </c>
      <c r="BE207" s="7" t="n">
        <v>2.514</v>
      </c>
      <c r="BF207" s="8" t="n">
        <v>6</v>
      </c>
      <c r="BG207" s="7"/>
      <c r="BH207" s="6"/>
      <c r="BI207" s="7"/>
      <c r="BJ207" s="8" t="n">
        <v>12</v>
      </c>
      <c r="BK207" s="8" t="n">
        <v>6</v>
      </c>
      <c r="BL207" s="8" t="n">
        <v>4</v>
      </c>
      <c r="BM207" s="8" t="n">
        <v>2</v>
      </c>
      <c r="BN207" s="7" t="n">
        <v>2.65</v>
      </c>
      <c r="BO207" s="7" t="n">
        <f aca="false">IFERROR(BM207-BN207,"")</f>
        <v>-0.65</v>
      </c>
      <c r="BP207" s="9" t="n">
        <f aca="false">IFERROR(BM207/AH207,"")</f>
        <v>0.0253164556962025</v>
      </c>
      <c r="BQ207" s="6" t="n">
        <v>38.6</v>
      </c>
      <c r="BR207" s="6" t="n">
        <v>37.5</v>
      </c>
      <c r="BS207" s="6" t="n">
        <v>44.5</v>
      </c>
      <c r="BT207" s="7" t="n">
        <v>2.839</v>
      </c>
      <c r="BU207" s="10" t="n">
        <v>0.2101</v>
      </c>
      <c r="BV207" s="10" t="n">
        <v>0.586206896551724</v>
      </c>
      <c r="BW207" s="7" t="n">
        <v>2.199</v>
      </c>
      <c r="BX207" s="10" t="n">
        <v>0.2422</v>
      </c>
      <c r="BY207" s="10" t="n">
        <v>0.0727</v>
      </c>
      <c r="BZ207" s="7" t="n">
        <v>2.29</v>
      </c>
      <c r="CA207" s="10" t="n">
        <v>0.672</v>
      </c>
      <c r="CB207" s="8" t="n">
        <v>4</v>
      </c>
      <c r="CC207" s="10" t="n">
        <v>-0.0584</v>
      </c>
      <c r="CD207" s="10" t="n">
        <v>0.5279</v>
      </c>
      <c r="CE207" s="6" t="n">
        <v>55.41</v>
      </c>
      <c r="CF207" s="6" t="n">
        <v>41</v>
      </c>
      <c r="CG207" s="7" t="n">
        <v>2.82</v>
      </c>
      <c r="CH207" s="6" t="n">
        <v>20.4</v>
      </c>
      <c r="CI207" s="9" t="n">
        <v>-0.026</v>
      </c>
      <c r="CJ207" s="9" t="n">
        <v>-0.0093</v>
      </c>
      <c r="CK207" s="8" t="n">
        <v>209</v>
      </c>
      <c r="CL207" s="10" t="n">
        <v>0.452</v>
      </c>
      <c r="CM207" s="8" t="n">
        <v>28</v>
      </c>
      <c r="CN207" s="10" t="n">
        <v>0.065</v>
      </c>
      <c r="CO207" s="8" t="n">
        <v>32</v>
      </c>
      <c r="CP207" s="7" t="n">
        <v>-0.221</v>
      </c>
      <c r="CQ207" s="7" t="n">
        <v>-0.003</v>
      </c>
      <c r="CR207" s="4" t="s">
        <v>102</v>
      </c>
      <c r="CS207" s="4"/>
    </row>
    <row r="208" customFormat="false" ht="15" hidden="false" customHeight="false" outlineLevel="0" collapsed="false">
      <c r="A208" s="3" t="n">
        <v>206</v>
      </c>
      <c r="B208" s="4" t="s">
        <v>554</v>
      </c>
      <c r="C208" s="5" t="s">
        <v>99</v>
      </c>
      <c r="D208" s="4" t="s">
        <v>555</v>
      </c>
      <c r="E208" s="4" t="s">
        <v>265</v>
      </c>
      <c r="F208" s="4" t="s">
        <v>270</v>
      </c>
      <c r="G208" s="3" t="n">
        <v>1</v>
      </c>
      <c r="H208" s="6" t="n">
        <v>24.7</v>
      </c>
      <c r="I208" s="3" t="n">
        <v>2</v>
      </c>
      <c r="J208" s="3" t="n">
        <v>9</v>
      </c>
      <c r="K208" s="7" t="n">
        <v>232.95</v>
      </c>
      <c r="L208" s="7" t="n">
        <v>36.76</v>
      </c>
      <c r="M208" s="8" t="n">
        <v>150</v>
      </c>
      <c r="N208" s="8" t="n">
        <v>328</v>
      </c>
      <c r="O208" s="7" t="n">
        <v>232.95</v>
      </c>
      <c r="P208" s="6" t="n">
        <v>8.8</v>
      </c>
      <c r="Q208" s="4" t="s">
        <v>265</v>
      </c>
      <c r="R208" s="8" t="n">
        <v>17</v>
      </c>
      <c r="S208" s="6" t="n">
        <v>128.1</v>
      </c>
      <c r="T208" s="7" t="n">
        <f aca="false">IFERROR(S208/R208,"")</f>
        <v>7.53529411764706</v>
      </c>
      <c r="U208" s="6" t="n">
        <v>104.1</v>
      </c>
      <c r="V208" s="6" t="n">
        <v>80.1</v>
      </c>
      <c r="W208" s="8" t="n">
        <v>47</v>
      </c>
      <c r="X208" s="7" t="n">
        <f aca="false">IFERROR(S208/AH208,"")</f>
        <v>1.50705882352941</v>
      </c>
      <c r="Y208" s="9" t="n">
        <f aca="false">IFERROR(S208/AF208,"")</f>
        <v>0.203011093502377</v>
      </c>
      <c r="Z208" s="6" t="n">
        <v>2.8</v>
      </c>
      <c r="AA208" s="6" t="n">
        <v>5</v>
      </c>
      <c r="AB208" s="6" t="n">
        <v>15.2</v>
      </c>
      <c r="AC208" s="10" t="n">
        <v>0.059</v>
      </c>
      <c r="AD208" s="10" t="n">
        <v>0.235</v>
      </c>
      <c r="AE208" s="7" t="n">
        <v>1.296</v>
      </c>
      <c r="AF208" s="8" t="n">
        <v>631</v>
      </c>
      <c r="AG208" s="10" t="n">
        <v>0.593</v>
      </c>
      <c r="AH208" s="8" t="n">
        <v>85</v>
      </c>
      <c r="AI208" s="8" t="n">
        <v>74</v>
      </c>
      <c r="AJ208" s="6" t="n">
        <f aca="false">IFERROR(AI208/R208,"")</f>
        <v>4.35294117647059</v>
      </c>
      <c r="AK208" s="10" t="n">
        <v>0.1396</v>
      </c>
      <c r="AL208" s="10" t="n">
        <v>0.1527</v>
      </c>
      <c r="AM208" s="9" t="n">
        <v>0.3163</v>
      </c>
      <c r="AN208" s="8" t="n">
        <v>48</v>
      </c>
      <c r="AO208" s="10" t="n">
        <f aca="false">IFERROR(AN208/AI208,"")</f>
        <v>0.648648648648649</v>
      </c>
      <c r="AP208" s="8" t="n">
        <v>423</v>
      </c>
      <c r="AQ208" s="7" t="n">
        <f aca="false">IFERROR(AP208/AI208,"")</f>
        <v>5.71621621621622</v>
      </c>
      <c r="AR208" s="6" t="n">
        <v>8.095</v>
      </c>
      <c r="AS208" s="7" t="n">
        <v>4.583</v>
      </c>
      <c r="AT208" s="7" t="n">
        <v>0.706</v>
      </c>
      <c r="AU208" s="7" t="n">
        <v>3.80351713375379</v>
      </c>
      <c r="AV208" s="7" t="n">
        <v>6.77223880597015</v>
      </c>
      <c r="AW208" s="7" t="n">
        <v>-0.225931918572091</v>
      </c>
      <c r="AX208" s="10" t="n">
        <v>0.027</v>
      </c>
      <c r="AY208" s="8" t="n">
        <v>11</v>
      </c>
      <c r="AZ208" s="6" t="n">
        <f aca="false">IFERROR(AY208/R208,"")</f>
        <v>0.647058823529412</v>
      </c>
      <c r="BA208" s="10" t="n">
        <v>0.0291</v>
      </c>
      <c r="BB208" s="8" t="n">
        <v>18</v>
      </c>
      <c r="BC208" s="7"/>
      <c r="BD208" s="7"/>
      <c r="BE208" s="7"/>
      <c r="BF208" s="8" t="n">
        <v>1</v>
      </c>
      <c r="BG208" s="7"/>
      <c r="BH208" s="6"/>
      <c r="BI208" s="7"/>
      <c r="BJ208" s="8" t="n">
        <v>16</v>
      </c>
      <c r="BK208" s="8" t="n">
        <v>7</v>
      </c>
      <c r="BL208" s="8" t="n">
        <v>5</v>
      </c>
      <c r="BM208" s="8" t="n">
        <v>4</v>
      </c>
      <c r="BN208" s="7" t="n">
        <v>5.13</v>
      </c>
      <c r="BO208" s="7" t="n">
        <f aca="false">IFERROR(BM208-BN208,"")</f>
        <v>-1.13</v>
      </c>
      <c r="BP208" s="9" t="n">
        <f aca="false">IFERROR(BM208/AH208,"")</f>
        <v>0.0470588235294118</v>
      </c>
      <c r="BQ208" s="6" t="n">
        <v>41.1</v>
      </c>
      <c r="BR208" s="6" t="n">
        <v>58.4</v>
      </c>
      <c r="BS208" s="6" t="n">
        <v>27.6</v>
      </c>
      <c r="BT208" s="7" t="n">
        <v>3.085</v>
      </c>
      <c r="BU208" s="10" t="n">
        <v>0.1549</v>
      </c>
      <c r="BV208" s="10" t="n">
        <v>0.666666666666667</v>
      </c>
      <c r="BW208" s="7" t="n">
        <v>2.54</v>
      </c>
      <c r="BX208" s="10" t="n">
        <v>0.3175</v>
      </c>
      <c r="BY208" s="10" t="n">
        <v>0.0872</v>
      </c>
      <c r="BZ208" s="7" t="n">
        <v>2.389</v>
      </c>
      <c r="CA208" s="10" t="n">
        <v>0.527</v>
      </c>
      <c r="CB208" s="8" t="n">
        <v>3</v>
      </c>
      <c r="CC208" s="10" t="n">
        <v>-0.0385</v>
      </c>
      <c r="CD208" s="10" t="n">
        <v>0.5401</v>
      </c>
      <c r="CE208" s="6" t="n">
        <v>58.53</v>
      </c>
      <c r="CF208" s="6" t="n">
        <v>40</v>
      </c>
      <c r="CG208" s="7" t="n">
        <v>2.06</v>
      </c>
      <c r="CH208" s="6" t="n">
        <v>16.7</v>
      </c>
      <c r="CI208" s="9" t="n">
        <v>-0.0573</v>
      </c>
      <c r="CJ208" s="9" t="n">
        <v>-0.2208</v>
      </c>
      <c r="CK208" s="8" t="n">
        <v>152</v>
      </c>
      <c r="CL208" s="10" t="n">
        <v>0.287</v>
      </c>
      <c r="CM208" s="8" t="n">
        <v>0</v>
      </c>
      <c r="CN208" s="10" t="n">
        <v>0</v>
      </c>
      <c r="CO208" s="8" t="n">
        <v>8</v>
      </c>
      <c r="CP208" s="7" t="n">
        <v>0.95</v>
      </c>
      <c r="CQ208" s="7" t="n">
        <v>0.249</v>
      </c>
      <c r="CR208" s="4" t="s">
        <v>232</v>
      </c>
      <c r="CS208" s="4"/>
    </row>
    <row r="209" customFormat="false" ht="15" hidden="false" customHeight="false" outlineLevel="0" collapsed="false">
      <c r="A209" s="3" t="n">
        <v>207</v>
      </c>
      <c r="B209" s="4" t="s">
        <v>556</v>
      </c>
      <c r="C209" s="12" t="s">
        <v>149</v>
      </c>
      <c r="D209" s="4" t="s">
        <v>557</v>
      </c>
      <c r="E209" s="4" t="s">
        <v>109</v>
      </c>
      <c r="F209" s="4" t="s">
        <v>149</v>
      </c>
      <c r="G209" s="3" t="n">
        <v>3</v>
      </c>
      <c r="H209" s="6" t="n">
        <v>23.4</v>
      </c>
      <c r="I209" s="3" t="n">
        <v>2</v>
      </c>
      <c r="J209" s="3" t="n">
        <v>11</v>
      </c>
      <c r="K209" s="7" t="n">
        <v>235.18</v>
      </c>
      <c r="L209" s="7" t="n">
        <v>24.88</v>
      </c>
      <c r="M209" s="8" t="n">
        <v>173</v>
      </c>
      <c r="N209" s="8" t="n">
        <v>290</v>
      </c>
      <c r="O209" s="7" t="n">
        <v>235.18</v>
      </c>
      <c r="P209" s="6" t="n">
        <v>18.5</v>
      </c>
      <c r="Q209" s="4" t="s">
        <v>109</v>
      </c>
      <c r="R209" s="8" t="n">
        <v>11</v>
      </c>
      <c r="S209" s="6" t="n">
        <v>52.1</v>
      </c>
      <c r="T209" s="7" t="n">
        <f aca="false">IFERROR(S209/R209,"")</f>
        <v>4.73636363636364</v>
      </c>
      <c r="U209" s="6" t="n">
        <v>46.6</v>
      </c>
      <c r="V209" s="6" t="n">
        <v>41.1</v>
      </c>
      <c r="W209" s="8" t="n">
        <v>32</v>
      </c>
      <c r="X209" s="7" t="n">
        <f aca="false">IFERROR(S209/AH209,"")</f>
        <v>2.00384615384615</v>
      </c>
      <c r="Y209" s="9" t="n">
        <f aca="false">IFERROR(S209/AF209,"")</f>
        <v>0.146348314606742</v>
      </c>
      <c r="Z209" s="6" t="n">
        <v>0</v>
      </c>
      <c r="AA209" s="6" t="n">
        <v>3.1</v>
      </c>
      <c r="AB209" s="6" t="n">
        <v>11.2</v>
      </c>
      <c r="AC209" s="10" t="n">
        <v>0</v>
      </c>
      <c r="AD209" s="10" t="n">
        <v>0.455</v>
      </c>
      <c r="AE209" s="7" t="n">
        <v>1.678</v>
      </c>
      <c r="AF209" s="8" t="n">
        <v>356</v>
      </c>
      <c r="AG209" s="10" t="n">
        <v>0.367</v>
      </c>
      <c r="AH209" s="8" t="n">
        <v>26</v>
      </c>
      <c r="AI209" s="8" t="n">
        <v>25</v>
      </c>
      <c r="AJ209" s="6" t="n">
        <f aca="false">IFERROR(AI209/R209,"")</f>
        <v>2.27272727272727</v>
      </c>
      <c r="AK209" s="10" t="n">
        <v>0.0651</v>
      </c>
      <c r="AL209" s="10" t="n">
        <v>0.1215</v>
      </c>
      <c r="AM209" s="9" t="n">
        <v>0.1827</v>
      </c>
      <c r="AN209" s="8" t="n">
        <v>11</v>
      </c>
      <c r="AO209" s="10" t="n">
        <f aca="false">IFERROR(AN209/AI209,"")</f>
        <v>0.44</v>
      </c>
      <c r="AP209" s="8" t="n">
        <v>231</v>
      </c>
      <c r="AQ209" s="7" t="n">
        <f aca="false">IFERROR(AP209/AI209,"")</f>
        <v>9.24</v>
      </c>
      <c r="AR209" s="6" t="n">
        <v>18.64</v>
      </c>
      <c r="AS209" s="7" t="n">
        <v>3.636</v>
      </c>
      <c r="AT209" s="7" t="n">
        <v>0.496</v>
      </c>
      <c r="AU209" s="7"/>
      <c r="AV209" s="7"/>
      <c r="AW209" s="7"/>
      <c r="AX209" s="10" t="n">
        <v>0</v>
      </c>
      <c r="AY209" s="8" t="n">
        <v>1</v>
      </c>
      <c r="AZ209" s="6" t="n">
        <f aca="false">IFERROR(AY209/R209,"")</f>
        <v>0.0909090909090909</v>
      </c>
      <c r="BA209" s="10" t="n">
        <v>0.0033</v>
      </c>
      <c r="BB209" s="8" t="n">
        <v>0</v>
      </c>
      <c r="BC209" s="7"/>
      <c r="BD209" s="7"/>
      <c r="BE209" s="7"/>
      <c r="BF209" s="8" t="n">
        <v>0</v>
      </c>
      <c r="BG209" s="7"/>
      <c r="BH209" s="6"/>
      <c r="BI209" s="7"/>
      <c r="BJ209" s="8" t="n">
        <v>4</v>
      </c>
      <c r="BK209" s="8" t="n">
        <v>3</v>
      </c>
      <c r="BL209" s="8" t="n">
        <v>1</v>
      </c>
      <c r="BM209" s="8" t="n">
        <v>3</v>
      </c>
      <c r="BN209" s="7" t="n">
        <v>1.48</v>
      </c>
      <c r="BO209" s="7" t="n">
        <f aca="false">IFERROR(BM209-BN209,"")</f>
        <v>1.52</v>
      </c>
      <c r="BP209" s="9" t="n">
        <f aca="false">IFERROR(BM209/AH209,"")</f>
        <v>0.115384615384615</v>
      </c>
      <c r="BQ209" s="6" t="n">
        <v>80.4</v>
      </c>
      <c r="BR209" s="6" t="n">
        <v>76.4</v>
      </c>
      <c r="BS209" s="6" t="n">
        <v>71.5</v>
      </c>
      <c r="BT209" s="7" t="n">
        <v>3.462</v>
      </c>
      <c r="BU209" s="10" t="n">
        <v>0.1266</v>
      </c>
      <c r="BV209" s="10" t="n">
        <v>0.638297872340426</v>
      </c>
      <c r="BW209" s="7" t="n">
        <v>2.811</v>
      </c>
      <c r="BX209" s="10" t="n">
        <v>0.194</v>
      </c>
      <c r="BY209" s="10" t="n">
        <v>0.0424</v>
      </c>
      <c r="BZ209" s="7" t="n">
        <v>2.396</v>
      </c>
      <c r="CA209" s="10" t="n">
        <v>0.904</v>
      </c>
      <c r="CB209" s="8" t="n">
        <v>5</v>
      </c>
      <c r="CC209" s="10" t="n">
        <v>0.0296</v>
      </c>
      <c r="CD209" s="10" t="n">
        <v>0.6185</v>
      </c>
      <c r="CE209" s="6" t="n">
        <v>62.12</v>
      </c>
      <c r="CF209" s="6" t="n">
        <v>37</v>
      </c>
      <c r="CG209" s="7" t="n">
        <v>4.47</v>
      </c>
      <c r="CH209" s="6" t="n">
        <v>30.5</v>
      </c>
      <c r="CI209" s="9" t="n">
        <v>0.0262</v>
      </c>
      <c r="CJ209" s="9" t="n">
        <v>0.2292</v>
      </c>
      <c r="CK209" s="8" t="n">
        <v>15</v>
      </c>
      <c r="CL209" s="10" t="n">
        <v>0.026</v>
      </c>
      <c r="CM209" s="8" t="n">
        <v>0</v>
      </c>
      <c r="CN209" s="10" t="n">
        <v>0</v>
      </c>
      <c r="CO209" s="8" t="n">
        <v>1</v>
      </c>
      <c r="CP209" s="7" t="n">
        <v>-0.411</v>
      </c>
      <c r="CQ209" s="7" t="n">
        <v>-0.411</v>
      </c>
      <c r="CR209" s="4" t="s">
        <v>121</v>
      </c>
      <c r="CS209" s="4"/>
    </row>
    <row r="210" customFormat="false" ht="15" hidden="false" customHeight="false" outlineLevel="0" collapsed="false">
      <c r="A210" s="3" t="n">
        <v>208</v>
      </c>
      <c r="B210" s="4" t="s">
        <v>558</v>
      </c>
      <c r="C210" s="5" t="s">
        <v>99</v>
      </c>
      <c r="D210" s="4" t="s">
        <v>559</v>
      </c>
      <c r="E210" s="4" t="s">
        <v>284</v>
      </c>
      <c r="F210" s="4" t="s">
        <v>99</v>
      </c>
      <c r="G210" s="3" t="n">
        <v>4</v>
      </c>
      <c r="H210" s="6" t="n">
        <v>22.7</v>
      </c>
      <c r="I210" s="3" t="n">
        <v>0</v>
      </c>
      <c r="J210" s="3" t="n">
        <v>9</v>
      </c>
      <c r="K210" s="7" t="n">
        <v>236.01</v>
      </c>
      <c r="L210" s="7" t="n">
        <v>31.72</v>
      </c>
      <c r="M210" s="8" t="n">
        <v>173</v>
      </c>
      <c r="N210" s="8" t="n">
        <v>319</v>
      </c>
      <c r="O210" s="7" t="n">
        <v>236.01</v>
      </c>
      <c r="P210" s="6" t="n">
        <v>13.3</v>
      </c>
      <c r="Q210" s="4"/>
      <c r="R210" s="8"/>
      <c r="S210" s="6"/>
      <c r="T210" s="7"/>
      <c r="U210" s="6"/>
      <c r="V210" s="6"/>
      <c r="W210" s="8"/>
      <c r="X210" s="7"/>
      <c r="Y210" s="9"/>
      <c r="Z210" s="6"/>
      <c r="AA210" s="6"/>
      <c r="AB210" s="6"/>
      <c r="AC210" s="10"/>
      <c r="AD210" s="10"/>
      <c r="AE210" s="7"/>
      <c r="AF210" s="8"/>
      <c r="AG210" s="10"/>
      <c r="AH210" s="8"/>
      <c r="AI210" s="8"/>
      <c r="AJ210" s="6"/>
      <c r="AK210" s="10"/>
      <c r="AL210" s="10"/>
      <c r="AM210" s="9"/>
      <c r="AN210" s="8"/>
      <c r="AO210" s="10"/>
      <c r="AP210" s="8"/>
      <c r="AQ210" s="7"/>
      <c r="AR210" s="6"/>
      <c r="AS210" s="7"/>
      <c r="AT210" s="7"/>
      <c r="AU210" s="7"/>
      <c r="AV210" s="7"/>
      <c r="AW210" s="7"/>
      <c r="AX210" s="10"/>
      <c r="AY210" s="8"/>
      <c r="AZ210" s="6"/>
      <c r="BA210" s="10"/>
      <c r="BB210" s="8"/>
      <c r="BC210" s="7"/>
      <c r="BD210" s="7"/>
      <c r="BE210" s="7"/>
      <c r="BF210" s="8"/>
      <c r="BG210" s="7"/>
      <c r="BH210" s="6"/>
      <c r="BI210" s="7"/>
      <c r="BJ210" s="8"/>
      <c r="BK210" s="8"/>
      <c r="BL210" s="8"/>
      <c r="BM210" s="8"/>
      <c r="BN210" s="7"/>
      <c r="BO210" s="7"/>
      <c r="BP210" s="9"/>
      <c r="BQ210" s="6" t="n">
        <v>57.4</v>
      </c>
      <c r="BR210" s="6" t="n">
        <v>46.5</v>
      </c>
      <c r="BS210" s="6" t="n">
        <v>65.1</v>
      </c>
      <c r="BT210" s="7" t="n">
        <v>2.87</v>
      </c>
      <c r="BU210" s="10" t="n">
        <v>0.172</v>
      </c>
      <c r="BV210" s="10" t="n">
        <v>0.68</v>
      </c>
      <c r="BW210" s="7" t="n">
        <v>2.285</v>
      </c>
      <c r="BX210" s="10" t="n">
        <v>0.1636</v>
      </c>
      <c r="BY210" s="10" t="n">
        <v>0.0526</v>
      </c>
      <c r="BZ210" s="7" t="n">
        <v>2.209</v>
      </c>
      <c r="CA210" s="10" t="n">
        <v>0.824</v>
      </c>
      <c r="CB210" s="8" t="n">
        <v>5</v>
      </c>
      <c r="CC210" s="10" t="n">
        <v>-0.007</v>
      </c>
      <c r="CD210" s="10" t="n">
        <v>0.5795</v>
      </c>
      <c r="CE210" s="6" t="n">
        <v>57.35</v>
      </c>
      <c r="CF210" s="6" t="n">
        <v>40</v>
      </c>
      <c r="CG210" s="7" t="n">
        <v>3</v>
      </c>
      <c r="CH210" s="6" t="n">
        <v>23.4</v>
      </c>
      <c r="CI210" s="9" t="n">
        <v>0.0188</v>
      </c>
      <c r="CJ210" s="9" t="n">
        <v>0.0312</v>
      </c>
      <c r="CK210" s="8" t="n">
        <v>179</v>
      </c>
      <c r="CL210" s="10" t="n">
        <v>0.343</v>
      </c>
      <c r="CM210" s="8" t="n">
        <v>129</v>
      </c>
      <c r="CN210" s="10" t="n">
        <v>0.317</v>
      </c>
      <c r="CO210" s="8" t="n">
        <v>59</v>
      </c>
      <c r="CP210" s="7"/>
      <c r="CQ210" s="7"/>
      <c r="CR210" s="4"/>
      <c r="CS210" s="4" t="s">
        <v>206</v>
      </c>
    </row>
    <row r="211" customFormat="false" ht="15" hidden="false" customHeight="false" outlineLevel="0" collapsed="false">
      <c r="A211" s="3" t="n">
        <v>209</v>
      </c>
      <c r="B211" s="4" t="s">
        <v>560</v>
      </c>
      <c r="C211" s="12" t="s">
        <v>149</v>
      </c>
      <c r="D211" s="4" t="s">
        <v>561</v>
      </c>
      <c r="E211" s="4" t="s">
        <v>284</v>
      </c>
      <c r="F211" s="4" t="s">
        <v>149</v>
      </c>
      <c r="G211" s="3" t="n">
        <v>1</v>
      </c>
      <c r="H211" s="6" t="n">
        <v>27.8</v>
      </c>
      <c r="I211" s="3" t="n">
        <v>6</v>
      </c>
      <c r="J211" s="3" t="n">
        <v>9</v>
      </c>
      <c r="K211" s="7" t="n">
        <v>236.54</v>
      </c>
      <c r="L211" s="7" t="n">
        <v>30.48</v>
      </c>
      <c r="M211" s="8" t="n">
        <v>131</v>
      </c>
      <c r="N211" s="8" t="n">
        <v>332</v>
      </c>
      <c r="O211" s="7" t="n">
        <v>236.54</v>
      </c>
      <c r="P211" s="6" t="n">
        <v>14.1</v>
      </c>
      <c r="Q211" s="4" t="s">
        <v>284</v>
      </c>
      <c r="R211" s="8" t="n">
        <v>15</v>
      </c>
      <c r="S211" s="6" t="n">
        <v>113.6</v>
      </c>
      <c r="T211" s="7" t="n">
        <f aca="false">IFERROR(S211/R211,"")</f>
        <v>7.57333333333333</v>
      </c>
      <c r="U211" s="6" t="n">
        <v>93.1</v>
      </c>
      <c r="V211" s="6" t="n">
        <v>72.6</v>
      </c>
      <c r="W211" s="8" t="n">
        <v>23</v>
      </c>
      <c r="X211" s="7" t="n">
        <f aca="false">IFERROR(S211/AH211,"")</f>
        <v>2.1037037037037</v>
      </c>
      <c r="Y211" s="9" t="n">
        <f aca="false">IFERROR(S211/AF211,"")</f>
        <v>0.217624521072797</v>
      </c>
      <c r="Z211" s="6" t="n">
        <v>3.6</v>
      </c>
      <c r="AA211" s="6" t="n">
        <v>6.1</v>
      </c>
      <c r="AB211" s="6" t="n">
        <v>10.74</v>
      </c>
      <c r="AC211" s="10" t="n">
        <v>0.067</v>
      </c>
      <c r="AD211" s="10" t="n">
        <v>0.067</v>
      </c>
      <c r="AE211" s="7" t="n">
        <v>1.057</v>
      </c>
      <c r="AF211" s="8" t="n">
        <v>522</v>
      </c>
      <c r="AG211" s="10" t="n">
        <v>0.504</v>
      </c>
      <c r="AH211" s="8" t="n">
        <v>54</v>
      </c>
      <c r="AI211" s="8" t="n">
        <v>54</v>
      </c>
      <c r="AJ211" s="6" t="n">
        <f aca="false">IFERROR(AI211/R211,"")</f>
        <v>3.6</v>
      </c>
      <c r="AK211" s="10" t="n">
        <v>0.113</v>
      </c>
      <c r="AL211" s="10" t="n">
        <v>0.1088</v>
      </c>
      <c r="AM211" s="9" t="n">
        <v>0.2457</v>
      </c>
      <c r="AN211" s="8" t="n">
        <v>41</v>
      </c>
      <c r="AO211" s="10" t="n">
        <f aca="false">IFERROR(AN211/AI211,"")</f>
        <v>0.759259259259259</v>
      </c>
      <c r="AP211" s="8" t="n">
        <v>486</v>
      </c>
      <c r="AQ211" s="7" t="n">
        <f aca="false">IFERROR(AP211/AI211,"")</f>
        <v>9</v>
      </c>
      <c r="AR211" s="6" t="n">
        <v>5.981</v>
      </c>
      <c r="AS211" s="7" t="n">
        <v>6.22</v>
      </c>
      <c r="AT211" s="7" t="n">
        <v>1.505</v>
      </c>
      <c r="AU211" s="7" t="n">
        <v>3.18591447513813</v>
      </c>
      <c r="AV211" s="7" t="n">
        <v>5.44577777777778</v>
      </c>
      <c r="AW211" s="7" t="n">
        <v>2.36043236544098</v>
      </c>
      <c r="AX211" s="10" t="n">
        <v>0</v>
      </c>
      <c r="AY211" s="8" t="n">
        <v>0</v>
      </c>
      <c r="AZ211" s="6" t="n">
        <f aca="false">IFERROR(AY211/R211,"")</f>
        <v>0</v>
      </c>
      <c r="BA211" s="10" t="n">
        <v>0</v>
      </c>
      <c r="BB211" s="8" t="n">
        <v>0</v>
      </c>
      <c r="BC211" s="7"/>
      <c r="BD211" s="7"/>
      <c r="BE211" s="7"/>
      <c r="BF211" s="8"/>
      <c r="BG211" s="7"/>
      <c r="BH211" s="6"/>
      <c r="BI211" s="7"/>
      <c r="BJ211" s="8" t="n">
        <v>9</v>
      </c>
      <c r="BK211" s="8" t="n">
        <v>4</v>
      </c>
      <c r="BL211" s="8" t="n">
        <v>2</v>
      </c>
      <c r="BM211" s="8" t="n">
        <v>4</v>
      </c>
      <c r="BN211" s="7" t="n">
        <v>2.77</v>
      </c>
      <c r="BO211" s="7" t="n">
        <f aca="false">IFERROR(BM211-BN211,"")</f>
        <v>1.23</v>
      </c>
      <c r="BP211" s="9" t="n">
        <f aca="false">IFERROR(BM211/AH211,"")</f>
        <v>0.0740740740740741</v>
      </c>
      <c r="BQ211" s="6" t="n">
        <v>57.4</v>
      </c>
      <c r="BR211" s="6" t="n">
        <v>46.5</v>
      </c>
      <c r="BS211" s="6" t="n">
        <v>65.1</v>
      </c>
      <c r="BT211" s="7" t="n">
        <v>2.87</v>
      </c>
      <c r="BU211" s="10" t="n">
        <v>0.172</v>
      </c>
      <c r="BV211" s="10" t="n">
        <v>0.68</v>
      </c>
      <c r="BW211" s="7" t="n">
        <v>2.285</v>
      </c>
      <c r="BX211" s="10" t="n">
        <v>0.1636</v>
      </c>
      <c r="BY211" s="10" t="n">
        <v>0.0526</v>
      </c>
      <c r="BZ211" s="7" t="n">
        <v>2.209</v>
      </c>
      <c r="CA211" s="10" t="n">
        <v>0.824</v>
      </c>
      <c r="CB211" s="8" t="n">
        <v>5</v>
      </c>
      <c r="CC211" s="10" t="n">
        <v>-0.007</v>
      </c>
      <c r="CD211" s="10" t="n">
        <v>0.5795</v>
      </c>
      <c r="CE211" s="6" t="n">
        <v>57.35</v>
      </c>
      <c r="CF211" s="6" t="n">
        <v>40</v>
      </c>
      <c r="CG211" s="7" t="n">
        <v>3</v>
      </c>
      <c r="CH211" s="6" t="n">
        <v>23.4</v>
      </c>
      <c r="CI211" s="9" t="n">
        <v>0.0188</v>
      </c>
      <c r="CJ211" s="9" t="n">
        <v>0.0312</v>
      </c>
      <c r="CK211" s="8" t="n">
        <v>179</v>
      </c>
      <c r="CL211" s="10" t="n">
        <v>0.343</v>
      </c>
      <c r="CM211" s="8" t="n">
        <v>129</v>
      </c>
      <c r="CN211" s="10" t="n">
        <v>0.317</v>
      </c>
      <c r="CO211" s="8" t="n">
        <v>59</v>
      </c>
      <c r="CP211" s="7" t="n">
        <v>0.019</v>
      </c>
      <c r="CQ211" s="7" t="n">
        <v>-0.025</v>
      </c>
      <c r="CR211" s="4" t="s">
        <v>102</v>
      </c>
      <c r="CS211" s="4"/>
    </row>
    <row r="212" customFormat="false" ht="15" hidden="false" customHeight="false" outlineLevel="0" collapsed="false">
      <c r="A212" s="3" t="n">
        <v>210</v>
      </c>
      <c r="B212" s="4" t="s">
        <v>562</v>
      </c>
      <c r="C212" s="11" t="s">
        <v>104</v>
      </c>
      <c r="D212" s="4" t="s">
        <v>563</v>
      </c>
      <c r="E212" s="4" t="s">
        <v>183</v>
      </c>
      <c r="F212" s="4" t="s">
        <v>104</v>
      </c>
      <c r="G212" s="3" t="n">
        <v>2</v>
      </c>
      <c r="H212" s="6" t="n">
        <v>28.8</v>
      </c>
      <c r="I212" s="3" t="n">
        <v>8</v>
      </c>
      <c r="J212" s="3" t="n">
        <v>13</v>
      </c>
      <c r="K212" s="7" t="n">
        <v>237.68</v>
      </c>
      <c r="L212" s="7" t="n">
        <v>38.94</v>
      </c>
      <c r="M212" s="8" t="n">
        <v>145</v>
      </c>
      <c r="N212" s="8" t="n">
        <v>310</v>
      </c>
      <c r="O212" s="7" t="n">
        <v>237.68</v>
      </c>
      <c r="P212" s="6" t="n">
        <v>7.4</v>
      </c>
      <c r="Q212" s="4" t="s">
        <v>183</v>
      </c>
      <c r="R212" s="8" t="n">
        <v>10</v>
      </c>
      <c r="S212" s="6" t="n">
        <v>65.2</v>
      </c>
      <c r="T212" s="7" t="n">
        <f aca="false">IFERROR(S212/R212,"")</f>
        <v>6.52</v>
      </c>
      <c r="U212" s="6" t="n">
        <v>54.7</v>
      </c>
      <c r="V212" s="6" t="n">
        <v>44.2</v>
      </c>
      <c r="W212" s="8" t="n">
        <v>54</v>
      </c>
      <c r="X212" s="7" t="n">
        <f aca="false">IFERROR(S212/AH212,"")</f>
        <v>1.44888888888889</v>
      </c>
      <c r="Y212" s="9" t="n">
        <f aca="false">IFERROR(S212/AF212,"")</f>
        <v>0.297716894977169</v>
      </c>
      <c r="Z212" s="6" t="n">
        <v>0.7</v>
      </c>
      <c r="AA212" s="6" t="n">
        <v>4.5</v>
      </c>
      <c r="AB212" s="6" t="n">
        <v>9.02</v>
      </c>
      <c r="AC212" s="10" t="n">
        <v>0.1</v>
      </c>
      <c r="AD212" s="10" t="n">
        <v>0.3</v>
      </c>
      <c r="AE212" s="7" t="n">
        <v>1.902</v>
      </c>
      <c r="AF212" s="8" t="n">
        <v>219</v>
      </c>
      <c r="AG212" s="10" t="n">
        <v>0.371</v>
      </c>
      <c r="AH212" s="8" t="n">
        <v>45</v>
      </c>
      <c r="AI212" s="8" t="n">
        <v>27</v>
      </c>
      <c r="AJ212" s="6" t="n">
        <f aca="false">IFERROR(AI212/R212,"")</f>
        <v>2.7</v>
      </c>
      <c r="AK212" s="10" t="n">
        <v>0.108</v>
      </c>
      <c r="AL212" s="10" t="n">
        <v>-0.003</v>
      </c>
      <c r="AM212" s="9" t="n">
        <v>0.1599</v>
      </c>
      <c r="AN212" s="8" t="n">
        <v>21</v>
      </c>
      <c r="AO212" s="10" t="n">
        <f aca="false">IFERROR(AN212/AI212,"")</f>
        <v>0.777777777777778</v>
      </c>
      <c r="AP212" s="8" t="n">
        <v>169</v>
      </c>
      <c r="AQ212" s="7" t="n">
        <f aca="false">IFERROR(AP212/AI212,"")</f>
        <v>6.25925925925926</v>
      </c>
      <c r="AR212" s="6" t="n">
        <v>-0.222</v>
      </c>
      <c r="AS212" s="7" t="n">
        <v>8.762</v>
      </c>
      <c r="AT212" s="7" t="n">
        <v>-28.167</v>
      </c>
      <c r="AU212" s="7"/>
      <c r="AV212" s="7"/>
      <c r="AW212" s="7"/>
      <c r="AX212" s="10" t="n">
        <v>0</v>
      </c>
      <c r="AY212" s="8" t="n">
        <v>18</v>
      </c>
      <c r="AZ212" s="6" t="n">
        <f aca="false">IFERROR(AY212/R212,"")</f>
        <v>1.8</v>
      </c>
      <c r="BA212" s="10" t="n">
        <v>0.0647</v>
      </c>
      <c r="BB212" s="8" t="n">
        <v>93</v>
      </c>
      <c r="BC212" s="7"/>
      <c r="BD212" s="7"/>
      <c r="BE212" s="7"/>
      <c r="BF212" s="8" t="n">
        <v>1</v>
      </c>
      <c r="BG212" s="7"/>
      <c r="BH212" s="6"/>
      <c r="BI212" s="7"/>
      <c r="BJ212" s="8" t="n">
        <v>4</v>
      </c>
      <c r="BK212" s="8" t="n">
        <v>1</v>
      </c>
      <c r="BL212" s="8" t="n">
        <v>1</v>
      </c>
      <c r="BM212" s="8" t="n">
        <v>3</v>
      </c>
      <c r="BN212" s="7" t="n">
        <v>1.05</v>
      </c>
      <c r="BO212" s="7" t="n">
        <f aca="false">IFERROR(BM212-BN212,"")</f>
        <v>1.95</v>
      </c>
      <c r="BP212" s="9" t="n">
        <f aca="false">IFERROR(BM212/AH212,"")</f>
        <v>0.0666666666666667</v>
      </c>
      <c r="BQ212" s="6" t="n">
        <v>53.2</v>
      </c>
      <c r="BR212" s="6" t="n">
        <v>64.1</v>
      </c>
      <c r="BS212" s="6" t="n">
        <v>41</v>
      </c>
      <c r="BT212" s="7" t="n">
        <v>3.032</v>
      </c>
      <c r="BU212" s="10" t="n">
        <v>0.1574</v>
      </c>
      <c r="BV212" s="10" t="n">
        <v>0.648648648648649</v>
      </c>
      <c r="BW212" s="7" t="n">
        <v>3.144</v>
      </c>
      <c r="BX212" s="10" t="n">
        <v>0.2725</v>
      </c>
      <c r="BY212" s="10" t="n">
        <v>0.0849</v>
      </c>
      <c r="BZ212" s="7" t="n">
        <v>2.454</v>
      </c>
      <c r="CA212" s="10" t="n">
        <v>0.572</v>
      </c>
      <c r="CB212" s="8" t="n">
        <v>2</v>
      </c>
      <c r="CC212" s="10" t="n">
        <v>-0.0884</v>
      </c>
      <c r="CD212" s="10" t="n">
        <v>0.4667</v>
      </c>
      <c r="CE212" s="6" t="n">
        <v>56.24</v>
      </c>
      <c r="CF212" s="6" t="n">
        <v>39</v>
      </c>
      <c r="CG212" s="7" t="n">
        <v>3.59</v>
      </c>
      <c r="CH212" s="6" t="n">
        <v>24.9</v>
      </c>
      <c r="CI212" s="9" t="n">
        <v>0.0996</v>
      </c>
      <c r="CJ212" s="9" t="n">
        <v>-0.035</v>
      </c>
      <c r="CK212" s="8" t="n">
        <v>75</v>
      </c>
      <c r="CL212" s="10" t="n">
        <v>0.184</v>
      </c>
      <c r="CM212" s="8" t="n">
        <v>64</v>
      </c>
      <c r="CN212" s="10" t="n">
        <v>0.126</v>
      </c>
      <c r="CO212" s="8" t="n">
        <v>26</v>
      </c>
      <c r="CP212" s="7" t="n">
        <v>0.077</v>
      </c>
      <c r="CQ212" s="7" t="n">
        <v>0.296</v>
      </c>
      <c r="CR212" s="4" t="s">
        <v>102</v>
      </c>
      <c r="CS212" s="4"/>
    </row>
    <row r="213" customFormat="false" ht="15" hidden="false" customHeight="false" outlineLevel="0" collapsed="false">
      <c r="A213" s="3" t="n">
        <v>211</v>
      </c>
      <c r="B213" s="4" t="s">
        <v>564</v>
      </c>
      <c r="C213" s="5" t="s">
        <v>99</v>
      </c>
      <c r="D213" s="4" t="s">
        <v>565</v>
      </c>
      <c r="E213" s="4" t="s">
        <v>265</v>
      </c>
      <c r="F213" s="4" t="s">
        <v>99</v>
      </c>
      <c r="G213" s="3" t="n">
        <v>5</v>
      </c>
      <c r="H213" s="6" t="n">
        <v>23.2</v>
      </c>
      <c r="I213" s="3" t="n">
        <v>2</v>
      </c>
      <c r="J213" s="3" t="n">
        <v>9</v>
      </c>
      <c r="K213" s="7" t="n">
        <v>242.52</v>
      </c>
      <c r="L213" s="7" t="n">
        <v>36.68</v>
      </c>
      <c r="M213" s="8" t="n">
        <v>168</v>
      </c>
      <c r="N213" s="8" t="n">
        <v>344</v>
      </c>
      <c r="O213" s="7" t="n">
        <v>242.52</v>
      </c>
      <c r="P213" s="6" t="n">
        <v>6.6</v>
      </c>
      <c r="Q213" s="4" t="s">
        <v>265</v>
      </c>
      <c r="R213" s="8" t="n">
        <v>16</v>
      </c>
      <c r="S213" s="6" t="n">
        <v>116.5</v>
      </c>
      <c r="T213" s="7" t="n">
        <f aca="false">IFERROR(S213/R213,"")</f>
        <v>7.28125</v>
      </c>
      <c r="U213" s="6" t="n">
        <v>96</v>
      </c>
      <c r="V213" s="6" t="n">
        <v>75.5</v>
      </c>
      <c r="W213" s="8" t="n">
        <v>53</v>
      </c>
      <c r="X213" s="7" t="n">
        <f aca="false">IFERROR(S213/AH213,"")</f>
        <v>1.30898876404494</v>
      </c>
      <c r="Y213" s="9" t="n">
        <f aca="false">IFERROR(S213/AF213,"")</f>
        <v>0.148030495552732</v>
      </c>
      <c r="Z213" s="6" t="n">
        <v>3.68</v>
      </c>
      <c r="AA213" s="6" t="n">
        <v>7</v>
      </c>
      <c r="AB213" s="6" t="n">
        <v>12.58</v>
      </c>
      <c r="AC213" s="10" t="n">
        <v>0</v>
      </c>
      <c r="AD213" s="10" t="n">
        <v>0.062</v>
      </c>
      <c r="AE213" s="7" t="n">
        <v>0.606</v>
      </c>
      <c r="AF213" s="8" t="n">
        <v>787</v>
      </c>
      <c r="AG213" s="10" t="n">
        <v>0.806</v>
      </c>
      <c r="AH213" s="8" t="n">
        <v>89</v>
      </c>
      <c r="AI213" s="8" t="n">
        <v>89</v>
      </c>
      <c r="AJ213" s="6" t="n">
        <f aca="false">IFERROR(AI213/R213,"")</f>
        <v>5.5625</v>
      </c>
      <c r="AK213" s="10" t="n">
        <v>0.1809</v>
      </c>
      <c r="AL213" s="10" t="n">
        <v>0.302</v>
      </c>
      <c r="AM213" s="9" t="n">
        <v>0.4828</v>
      </c>
      <c r="AN213" s="8" t="n">
        <v>41</v>
      </c>
      <c r="AO213" s="10" t="n">
        <f aca="false">IFERROR(AN213/AI213,"")</f>
        <v>0.460674157303371</v>
      </c>
      <c r="AP213" s="8" t="n">
        <v>515</v>
      </c>
      <c r="AQ213" s="7" t="n">
        <f aca="false">IFERROR(AP213/AI213,"")</f>
        <v>5.78651685393258</v>
      </c>
      <c r="AR213" s="6" t="n">
        <v>12.652</v>
      </c>
      <c r="AS213" s="7" t="n">
        <v>2.805</v>
      </c>
      <c r="AT213" s="7" t="n">
        <v>0.457</v>
      </c>
      <c r="AU213" s="7" t="n">
        <v>2.65747993512358</v>
      </c>
      <c r="AV213" s="7" t="n">
        <v>5.82084337349398</v>
      </c>
      <c r="AW213" s="7" t="n">
        <v>-0.128995775222342</v>
      </c>
      <c r="AX213" s="10" t="n">
        <v>0.0562</v>
      </c>
      <c r="AY213" s="8" t="n">
        <v>0</v>
      </c>
      <c r="AZ213" s="6" t="n">
        <f aca="false">IFERROR(AY213/R213,"")</f>
        <v>0</v>
      </c>
      <c r="BA213" s="10" t="n">
        <v>0</v>
      </c>
      <c r="BB213" s="8" t="n">
        <v>0</v>
      </c>
      <c r="BC213" s="7"/>
      <c r="BD213" s="7"/>
      <c r="BE213" s="7"/>
      <c r="BF213" s="8"/>
      <c r="BG213" s="7"/>
      <c r="BH213" s="6"/>
      <c r="BI213" s="7"/>
      <c r="BJ213" s="8" t="n">
        <v>8</v>
      </c>
      <c r="BK213" s="8" t="n">
        <v>6</v>
      </c>
      <c r="BL213" s="8" t="n">
        <v>1</v>
      </c>
      <c r="BM213" s="8" t="n">
        <v>4</v>
      </c>
      <c r="BN213" s="7" t="n">
        <v>3.45</v>
      </c>
      <c r="BO213" s="7" t="n">
        <f aca="false">IFERROR(BM213-BN213,"")</f>
        <v>0.55</v>
      </c>
      <c r="BP213" s="9" t="n">
        <f aca="false">IFERROR(BM213/AH213,"")</f>
        <v>0.0449438202247191</v>
      </c>
      <c r="BQ213" s="6" t="n">
        <v>41.1</v>
      </c>
      <c r="BR213" s="6" t="n">
        <v>58.4</v>
      </c>
      <c r="BS213" s="6" t="n">
        <v>27.6</v>
      </c>
      <c r="BT213" s="7" t="n">
        <v>3.085</v>
      </c>
      <c r="BU213" s="10" t="n">
        <v>0.1549</v>
      </c>
      <c r="BV213" s="10" t="n">
        <v>0.666666666666667</v>
      </c>
      <c r="BW213" s="7" t="n">
        <v>2.54</v>
      </c>
      <c r="BX213" s="10" t="n">
        <v>0.3175</v>
      </c>
      <c r="BY213" s="10" t="n">
        <v>0.0872</v>
      </c>
      <c r="BZ213" s="7" t="n">
        <v>2.389</v>
      </c>
      <c r="CA213" s="10" t="n">
        <v>0.527</v>
      </c>
      <c r="CB213" s="8" t="n">
        <v>3</v>
      </c>
      <c r="CC213" s="10" t="n">
        <v>-0.0385</v>
      </c>
      <c r="CD213" s="10" t="n">
        <v>0.5401</v>
      </c>
      <c r="CE213" s="6" t="n">
        <v>58.53</v>
      </c>
      <c r="CF213" s="6" t="n">
        <v>40</v>
      </c>
      <c r="CG213" s="7" t="n">
        <v>2.06</v>
      </c>
      <c r="CH213" s="6" t="n">
        <v>16.7</v>
      </c>
      <c r="CI213" s="9" t="n">
        <v>-0.0573</v>
      </c>
      <c r="CJ213" s="9" t="n">
        <v>-0.2208</v>
      </c>
      <c r="CK213" s="8" t="n">
        <v>152</v>
      </c>
      <c r="CL213" s="10" t="n">
        <v>0.287</v>
      </c>
      <c r="CM213" s="8" t="n">
        <v>0</v>
      </c>
      <c r="CN213" s="10" t="n">
        <v>0</v>
      </c>
      <c r="CO213" s="8" t="n">
        <v>8</v>
      </c>
      <c r="CP213" s="7" t="n">
        <v>0.758</v>
      </c>
      <c r="CQ213" s="7" t="n">
        <v>0.232</v>
      </c>
      <c r="CR213" s="4" t="s">
        <v>232</v>
      </c>
      <c r="CS213" s="4"/>
    </row>
    <row r="214" customFormat="false" ht="15" hidden="false" customHeight="false" outlineLevel="0" collapsed="false">
      <c r="A214" s="3" t="n">
        <v>212</v>
      </c>
      <c r="B214" s="4" t="s">
        <v>566</v>
      </c>
      <c r="C214" s="12" t="s">
        <v>149</v>
      </c>
      <c r="D214" s="4" t="s">
        <v>567</v>
      </c>
      <c r="E214" s="4" t="s">
        <v>198</v>
      </c>
      <c r="F214" s="4" t="s">
        <v>149</v>
      </c>
      <c r="G214" s="3" t="n">
        <v>1</v>
      </c>
      <c r="H214" s="6" t="n">
        <v>27.3</v>
      </c>
      <c r="I214" s="3" t="n">
        <v>5</v>
      </c>
      <c r="J214" s="3" t="n">
        <v>10</v>
      </c>
      <c r="K214" s="7" t="n">
        <v>242.56</v>
      </c>
      <c r="L214" s="7" t="n">
        <v>21.79</v>
      </c>
      <c r="M214" s="8" t="n">
        <v>158</v>
      </c>
      <c r="N214" s="8" t="n">
        <v>290</v>
      </c>
      <c r="O214" s="7" t="n">
        <v>242.56</v>
      </c>
      <c r="P214" s="6" t="n">
        <v>15.3</v>
      </c>
      <c r="Q214" s="4" t="s">
        <v>198</v>
      </c>
      <c r="R214" s="8" t="n">
        <v>15</v>
      </c>
      <c r="S214" s="6" t="n">
        <v>122.2</v>
      </c>
      <c r="T214" s="7" t="n">
        <f aca="false">IFERROR(S214/R214,"")</f>
        <v>8.14666666666667</v>
      </c>
      <c r="U214" s="6" t="n">
        <v>92.7</v>
      </c>
      <c r="V214" s="6" t="n">
        <v>63.2</v>
      </c>
      <c r="W214" s="8" t="n">
        <v>20</v>
      </c>
      <c r="X214" s="7" t="n">
        <f aca="false">IFERROR(S214/AH214,"")</f>
        <v>1.50864197530864</v>
      </c>
      <c r="Y214" s="9" t="n">
        <f aca="false">IFERROR(S214/AF214,"")</f>
        <v>0.123061430010071</v>
      </c>
      <c r="Z214" s="6" t="n">
        <v>4.35</v>
      </c>
      <c r="AA214" s="6" t="n">
        <v>6.1</v>
      </c>
      <c r="AB214" s="6" t="n">
        <v>13.36</v>
      </c>
      <c r="AC214" s="10" t="n">
        <v>0.133</v>
      </c>
      <c r="AD214" s="10" t="n">
        <v>0.067</v>
      </c>
      <c r="AE214" s="7" t="n">
        <v>0.98</v>
      </c>
      <c r="AF214" s="8" t="n">
        <v>993</v>
      </c>
      <c r="AG214" s="10" t="n">
        <v>0.935</v>
      </c>
      <c r="AH214" s="8" t="n">
        <v>81</v>
      </c>
      <c r="AI214" s="8" t="n">
        <v>81</v>
      </c>
      <c r="AJ214" s="6" t="n">
        <f aca="false">IFERROR(AI214/R214,"")</f>
        <v>5.4</v>
      </c>
      <c r="AK214" s="10" t="n">
        <v>0.1688</v>
      </c>
      <c r="AL214" s="10" t="n">
        <v>0.1121</v>
      </c>
      <c r="AM214" s="9" t="n">
        <v>0.3317</v>
      </c>
      <c r="AN214" s="8" t="n">
        <v>59</v>
      </c>
      <c r="AO214" s="10" t="n">
        <f aca="false">IFERROR(AN214/AI214,"")</f>
        <v>0.728395061728395</v>
      </c>
      <c r="AP214" s="8" t="n">
        <v>572</v>
      </c>
      <c r="AQ214" s="7" t="n">
        <f aca="false">IFERROR(AP214/AI214,"")</f>
        <v>7.06172839506173</v>
      </c>
      <c r="AR214" s="6" t="n">
        <v>5.173</v>
      </c>
      <c r="AS214" s="7" t="n">
        <v>5.237</v>
      </c>
      <c r="AT214" s="7" t="n">
        <v>1.365</v>
      </c>
      <c r="AU214" s="7" t="n">
        <v>3.50057388828325</v>
      </c>
      <c r="AV214" s="7" t="n">
        <v>5.56191176470588</v>
      </c>
      <c r="AW214" s="7" t="n">
        <v>0.732540436512259</v>
      </c>
      <c r="AX214" s="10" t="n">
        <v>0.0123</v>
      </c>
      <c r="AY214" s="8" t="n">
        <v>0</v>
      </c>
      <c r="AZ214" s="6" t="n">
        <f aca="false">IFERROR(AY214/R214,"")</f>
        <v>0</v>
      </c>
      <c r="BA214" s="10" t="n">
        <v>0</v>
      </c>
      <c r="BB214" s="8" t="n">
        <v>0</v>
      </c>
      <c r="BC214" s="7"/>
      <c r="BD214" s="7"/>
      <c r="BE214" s="7"/>
      <c r="BF214" s="8"/>
      <c r="BG214" s="7"/>
      <c r="BH214" s="6"/>
      <c r="BI214" s="7"/>
      <c r="BJ214" s="8" t="n">
        <v>6</v>
      </c>
      <c r="BK214" s="8" t="n">
        <v>2</v>
      </c>
      <c r="BL214" s="8" t="n">
        <v>0</v>
      </c>
      <c r="BM214" s="8" t="n">
        <v>1</v>
      </c>
      <c r="BN214" s="7" t="n">
        <v>2.36</v>
      </c>
      <c r="BO214" s="7" t="n">
        <f aca="false">IFERROR(BM214-BN214,"")</f>
        <v>-1.36</v>
      </c>
      <c r="BP214" s="9" t="n">
        <f aca="false">IFERROR(BM214/AH214,"")</f>
        <v>0.0123456790123457</v>
      </c>
      <c r="BQ214" s="6" t="n">
        <v>57.4</v>
      </c>
      <c r="BR214" s="6" t="n">
        <v>46.3</v>
      </c>
      <c r="BS214" s="6" t="n">
        <v>65.4</v>
      </c>
      <c r="BT214" s="7" t="n">
        <v>2.736</v>
      </c>
      <c r="BU214" s="10" t="n">
        <v>0.1938</v>
      </c>
      <c r="BV214" s="10" t="n">
        <v>0.708333333333333</v>
      </c>
      <c r="BW214" s="7" t="n">
        <v>2.699</v>
      </c>
      <c r="BX214" s="10" t="n">
        <v>0.172</v>
      </c>
      <c r="BY214" s="10" t="n">
        <v>0.0571</v>
      </c>
      <c r="BZ214" s="7" t="n">
        <v>2.292</v>
      </c>
      <c r="CA214" s="10" t="n">
        <v>0.791</v>
      </c>
      <c r="CB214" s="8" t="n">
        <v>4</v>
      </c>
      <c r="CC214" s="10" t="n">
        <v>-0.0347</v>
      </c>
      <c r="CD214" s="10" t="n">
        <v>0.5148</v>
      </c>
      <c r="CE214" s="6" t="n">
        <v>62.65</v>
      </c>
      <c r="CF214" s="6" t="n">
        <v>41</v>
      </c>
      <c r="CG214" s="7" t="n">
        <v>3.12</v>
      </c>
      <c r="CH214" s="6" t="n">
        <v>22.4</v>
      </c>
      <c r="CI214" s="9" t="n">
        <v>0.0138</v>
      </c>
      <c r="CJ214" s="9" t="n">
        <v>-0.0264</v>
      </c>
      <c r="CK214" s="8" t="n">
        <v>111</v>
      </c>
      <c r="CL214" s="10" t="n">
        <v>0.205</v>
      </c>
      <c r="CM214" s="8" t="n">
        <v>138</v>
      </c>
      <c r="CN214" s="10" t="n">
        <v>0.292</v>
      </c>
      <c r="CO214" s="8" t="n">
        <v>38</v>
      </c>
      <c r="CP214" s="7" t="n">
        <v>0.186</v>
      </c>
      <c r="CQ214" s="7" t="n">
        <v>0.142</v>
      </c>
      <c r="CR214" s="4" t="s">
        <v>102</v>
      </c>
      <c r="CS214" s="4"/>
    </row>
    <row r="215" customFormat="false" ht="15" hidden="false" customHeight="false" outlineLevel="0" collapsed="false">
      <c r="A215" s="3" t="n">
        <v>213</v>
      </c>
      <c r="B215" s="4" t="s">
        <v>568</v>
      </c>
      <c r="C215" s="11" t="s">
        <v>104</v>
      </c>
      <c r="D215" s="4" t="s">
        <v>569</v>
      </c>
      <c r="E215" s="4" t="s">
        <v>161</v>
      </c>
      <c r="F215" s="4" t="s">
        <v>104</v>
      </c>
      <c r="G215" s="3" t="n">
        <v>3</v>
      </c>
      <c r="H215" s="6" t="n">
        <v>22.6</v>
      </c>
      <c r="I215" s="3" t="n">
        <v>2</v>
      </c>
      <c r="J215" s="3" t="n">
        <v>6</v>
      </c>
      <c r="K215" s="7" t="n">
        <v>243.04</v>
      </c>
      <c r="L215" s="7" t="n">
        <v>22.81</v>
      </c>
      <c r="M215" s="8" t="n">
        <v>173</v>
      </c>
      <c r="N215" s="8" t="n">
        <v>309</v>
      </c>
      <c r="O215" s="7" t="n">
        <v>243.04</v>
      </c>
      <c r="P215" s="6" t="n">
        <v>3.2</v>
      </c>
      <c r="Q215" s="4" t="s">
        <v>161</v>
      </c>
      <c r="R215" s="8" t="n">
        <v>17</v>
      </c>
      <c r="S215" s="6" t="n">
        <v>54.1</v>
      </c>
      <c r="T215" s="7" t="n">
        <f aca="false">IFERROR(S215/R215,"")</f>
        <v>3.18235294117647</v>
      </c>
      <c r="U215" s="6" t="n">
        <v>50.6</v>
      </c>
      <c r="V215" s="6" t="n">
        <v>47.1</v>
      </c>
      <c r="W215" s="8" t="n">
        <v>58</v>
      </c>
      <c r="X215" s="7" t="n">
        <f aca="false">IFERROR(S215/AH215,"")</f>
        <v>0.684810126582279</v>
      </c>
      <c r="Y215" s="9" t="n">
        <f aca="false">IFERROR(S215/AF215,"")</f>
        <v>0.243693693693694</v>
      </c>
      <c r="Z215" s="6" t="n">
        <v>0</v>
      </c>
      <c r="AA215" s="6" t="n">
        <v>1.3</v>
      </c>
      <c r="AB215" s="6" t="n">
        <v>8.96</v>
      </c>
      <c r="AC215" s="10" t="n">
        <v>0</v>
      </c>
      <c r="AD215" s="10" t="n">
        <v>0.706</v>
      </c>
      <c r="AE215" s="7" t="n">
        <v>3.343</v>
      </c>
      <c r="AF215" s="8" t="n">
        <v>222</v>
      </c>
      <c r="AG215" s="10" t="n">
        <v>0.224</v>
      </c>
      <c r="AH215" s="8" t="n">
        <v>79</v>
      </c>
      <c r="AI215" s="8" t="n">
        <v>9</v>
      </c>
      <c r="AJ215" s="6" t="n">
        <f aca="false">IFERROR(AI215/R215,"")</f>
        <v>0.529411764705882</v>
      </c>
      <c r="AK215" s="10" t="n">
        <v>0.0195</v>
      </c>
      <c r="AL215" s="10" t="n">
        <v>-0.0076</v>
      </c>
      <c r="AM215" s="9" t="n">
        <v>0.0239</v>
      </c>
      <c r="AN215" s="8" t="n">
        <v>7</v>
      </c>
      <c r="AO215" s="10"/>
      <c r="AP215" s="8" t="n">
        <v>32</v>
      </c>
      <c r="AQ215" s="7"/>
      <c r="AR215" s="6"/>
      <c r="AS215" s="7"/>
      <c r="AT215" s="7"/>
      <c r="AU215" s="7"/>
      <c r="AV215" s="7"/>
      <c r="AW215" s="7"/>
      <c r="AX215" s="10"/>
      <c r="AY215" s="8" t="n">
        <v>70</v>
      </c>
      <c r="AZ215" s="6" t="n">
        <f aca="false">IFERROR(AY215/R215,"")</f>
        <v>4.11764705882353</v>
      </c>
      <c r="BA215" s="10" t="n">
        <v>0.162</v>
      </c>
      <c r="BB215" s="8" t="n">
        <v>199</v>
      </c>
      <c r="BC215" s="7" t="n">
        <f aca="false">IFERROR(BB215/AY215,"")</f>
        <v>2.84285714285714</v>
      </c>
      <c r="BD215" s="7" t="n">
        <v>1.157</v>
      </c>
      <c r="BE215" s="7" t="n">
        <v>1.686</v>
      </c>
      <c r="BF215" s="8" t="n">
        <v>6</v>
      </c>
      <c r="BG215" s="7"/>
      <c r="BH215" s="6"/>
      <c r="BI215" s="7"/>
      <c r="BJ215" s="8" t="n">
        <v>21</v>
      </c>
      <c r="BK215" s="8" t="n">
        <v>12</v>
      </c>
      <c r="BL215" s="8" t="n">
        <v>6</v>
      </c>
      <c r="BM215" s="8" t="n">
        <v>4</v>
      </c>
      <c r="BN215" s="7" t="n">
        <v>4.64</v>
      </c>
      <c r="BO215" s="7" t="n">
        <f aca="false">IFERROR(BM215-BN215,"")</f>
        <v>-0.64</v>
      </c>
      <c r="BP215" s="9" t="n">
        <f aca="false">IFERROR(BM215/AH215,"")</f>
        <v>0.0506329113924051</v>
      </c>
      <c r="BQ215" s="6" t="n">
        <v>38.6</v>
      </c>
      <c r="BR215" s="6" t="n">
        <v>37.5</v>
      </c>
      <c r="BS215" s="6" t="n">
        <v>44.5</v>
      </c>
      <c r="BT215" s="7" t="n">
        <v>2.839</v>
      </c>
      <c r="BU215" s="10" t="n">
        <v>0.2101</v>
      </c>
      <c r="BV215" s="10" t="n">
        <v>0.586206896551724</v>
      </c>
      <c r="BW215" s="7" t="n">
        <v>2.199</v>
      </c>
      <c r="BX215" s="10" t="n">
        <v>0.2422</v>
      </c>
      <c r="BY215" s="10" t="n">
        <v>0.0727</v>
      </c>
      <c r="BZ215" s="7" t="n">
        <v>2.29</v>
      </c>
      <c r="CA215" s="10" t="n">
        <v>0.672</v>
      </c>
      <c r="CB215" s="8" t="n">
        <v>4</v>
      </c>
      <c r="CC215" s="10" t="n">
        <v>-0.0584</v>
      </c>
      <c r="CD215" s="10" t="n">
        <v>0.5279</v>
      </c>
      <c r="CE215" s="6" t="n">
        <v>55.41</v>
      </c>
      <c r="CF215" s="6" t="n">
        <v>41</v>
      </c>
      <c r="CG215" s="7" t="n">
        <v>2.82</v>
      </c>
      <c r="CH215" s="6" t="n">
        <v>20.4</v>
      </c>
      <c r="CI215" s="9" t="n">
        <v>-0.026</v>
      </c>
      <c r="CJ215" s="9" t="n">
        <v>-0.0093</v>
      </c>
      <c r="CK215" s="8" t="n">
        <v>209</v>
      </c>
      <c r="CL215" s="10" t="n">
        <v>0.452</v>
      </c>
      <c r="CM215" s="8" t="n">
        <v>28</v>
      </c>
      <c r="CN215" s="10" t="n">
        <v>0.065</v>
      </c>
      <c r="CO215" s="8" t="n">
        <v>32</v>
      </c>
      <c r="CP215" s="7" t="n">
        <v>-0.063</v>
      </c>
      <c r="CQ215" s="7" t="n">
        <v>-0.326</v>
      </c>
      <c r="CR215" s="4" t="s">
        <v>102</v>
      </c>
      <c r="CS215" s="4"/>
    </row>
    <row r="216" customFormat="false" ht="15" hidden="false" customHeight="false" outlineLevel="0" collapsed="false">
      <c r="A216" s="3" t="n">
        <v>214</v>
      </c>
      <c r="B216" s="4" t="s">
        <v>570</v>
      </c>
      <c r="C216" s="5" t="s">
        <v>99</v>
      </c>
      <c r="D216" s="4" t="s">
        <v>571</v>
      </c>
      <c r="E216" s="4" t="s">
        <v>142</v>
      </c>
      <c r="F216" s="4" t="s">
        <v>99</v>
      </c>
      <c r="G216" s="3" t="n">
        <v>4</v>
      </c>
      <c r="H216" s="6" t="n">
        <v>23.7</v>
      </c>
      <c r="I216" s="3" t="n">
        <v>2</v>
      </c>
      <c r="J216" s="3" t="n">
        <v>13</v>
      </c>
      <c r="K216" s="7" t="n">
        <v>244</v>
      </c>
      <c r="L216" s="7" t="n">
        <v>26.3</v>
      </c>
      <c r="M216" s="8" t="n">
        <v>178</v>
      </c>
      <c r="N216" s="8" t="n">
        <v>331</v>
      </c>
      <c r="O216" s="7" t="n">
        <v>244</v>
      </c>
      <c r="P216" s="6" t="n">
        <v>7.1</v>
      </c>
      <c r="Q216" s="4" t="s">
        <v>142</v>
      </c>
      <c r="R216" s="8" t="n">
        <v>14</v>
      </c>
      <c r="S216" s="6" t="n">
        <v>42.4</v>
      </c>
      <c r="T216" s="7" t="n">
        <f aca="false">IFERROR(S216/R216,"")</f>
        <v>3.02857142857143</v>
      </c>
      <c r="U216" s="6" t="n">
        <v>32.4</v>
      </c>
      <c r="V216" s="6" t="n">
        <v>22.4</v>
      </c>
      <c r="W216" s="8" t="n">
        <v>85</v>
      </c>
      <c r="X216" s="7" t="n">
        <f aca="false">IFERROR(S216/AH216,"")</f>
        <v>1.46206896551724</v>
      </c>
      <c r="Y216" s="9" t="n">
        <f aca="false">IFERROR(S216/AF216,"")</f>
        <v>0.123615160349854</v>
      </c>
      <c r="Z216" s="6" t="n">
        <v>0</v>
      </c>
      <c r="AA216" s="6" t="n">
        <v>3.3</v>
      </c>
      <c r="AB216" s="6" t="n">
        <v>5.82</v>
      </c>
      <c r="AC216" s="10" t="n">
        <v>0</v>
      </c>
      <c r="AD216" s="10" t="n">
        <v>0.385</v>
      </c>
      <c r="AE216" s="7" t="n">
        <v>0.96</v>
      </c>
      <c r="AF216" s="8" t="n">
        <v>343</v>
      </c>
      <c r="AG216" s="10" t="n">
        <v>0.398</v>
      </c>
      <c r="AH216" s="8" t="n">
        <v>29</v>
      </c>
      <c r="AI216" s="8" t="n">
        <v>29</v>
      </c>
      <c r="AJ216" s="6" t="n">
        <f aca="false">IFERROR(AI216/R216,"")</f>
        <v>2.07142857142857</v>
      </c>
      <c r="AK216" s="10" t="n">
        <v>0.0845</v>
      </c>
      <c r="AL216" s="10" t="n">
        <v>0.1083</v>
      </c>
      <c r="AM216" s="9" t="n">
        <v>0.2026</v>
      </c>
      <c r="AN216" s="8" t="n">
        <v>20</v>
      </c>
      <c r="AO216" s="10" t="n">
        <f aca="false">IFERROR(AN216/AI216,"")</f>
        <v>0.689655172413793</v>
      </c>
      <c r="AP216" s="8" t="n">
        <v>224</v>
      </c>
      <c r="AQ216" s="7" t="n">
        <f aca="false">IFERROR(AP216/AI216,"")</f>
        <v>7.72413793103448</v>
      </c>
      <c r="AR216" s="6" t="n">
        <v>8.276</v>
      </c>
      <c r="AS216" s="7" t="n">
        <v>3.4</v>
      </c>
      <c r="AT216" s="7" t="n">
        <v>0.933</v>
      </c>
      <c r="AU216" s="7"/>
      <c r="AV216" s="7"/>
      <c r="AW216" s="7"/>
      <c r="AX216" s="10" t="n">
        <v>0.0345</v>
      </c>
      <c r="AY216" s="8" t="n">
        <v>0</v>
      </c>
      <c r="AZ216" s="6" t="n">
        <f aca="false">IFERROR(AY216/R216,"")</f>
        <v>0</v>
      </c>
      <c r="BA216" s="10" t="n">
        <v>0</v>
      </c>
      <c r="BB216" s="8" t="n">
        <v>0</v>
      </c>
      <c r="BC216" s="7"/>
      <c r="BD216" s="7"/>
      <c r="BE216" s="7"/>
      <c r="BF216" s="8"/>
      <c r="BG216" s="7"/>
      <c r="BH216" s="6"/>
      <c r="BI216" s="7"/>
      <c r="BJ216" s="8" t="n">
        <v>4</v>
      </c>
      <c r="BK216" s="8" t="n">
        <v>1</v>
      </c>
      <c r="BL216" s="8" t="n">
        <v>0</v>
      </c>
      <c r="BM216" s="8" t="n">
        <v>0</v>
      </c>
      <c r="BN216" s="7" t="n">
        <v>0.87</v>
      </c>
      <c r="BO216" s="7" t="n">
        <f aca="false">IFERROR(BM216-BN216,"")</f>
        <v>-0.87</v>
      </c>
      <c r="BP216" s="9" t="n">
        <f aca="false">IFERROR(BM216/AH216,"")</f>
        <v>0</v>
      </c>
      <c r="BQ216" s="6" t="n">
        <v>15.2</v>
      </c>
      <c r="BR216" s="6" t="n">
        <v>7.8</v>
      </c>
      <c r="BS216" s="6" t="n">
        <v>37.5</v>
      </c>
      <c r="BT216" s="7" t="n">
        <v>2.49</v>
      </c>
      <c r="BU216" s="10" t="n">
        <v>0.2502</v>
      </c>
      <c r="BV216" s="10" t="n">
        <v>0.366666666666667</v>
      </c>
      <c r="BW216" s="7" t="n">
        <v>1.629</v>
      </c>
      <c r="BX216" s="10" t="n">
        <v>0.2641</v>
      </c>
      <c r="BY216" s="10" t="n">
        <v>0.1019</v>
      </c>
      <c r="BZ216" s="7" t="n">
        <v>2.487</v>
      </c>
      <c r="CA216" s="10" t="n">
        <v>0.384</v>
      </c>
      <c r="CB216" s="8" t="n">
        <v>2</v>
      </c>
      <c r="CC216" s="10" t="n">
        <v>-0.0175</v>
      </c>
      <c r="CD216" s="10" t="n">
        <v>0.5679</v>
      </c>
      <c r="CE216" s="6" t="n">
        <v>55.41</v>
      </c>
      <c r="CF216" s="6" t="n">
        <v>38</v>
      </c>
      <c r="CG216" s="7" t="n">
        <v>2.24</v>
      </c>
      <c r="CH216" s="6" t="n">
        <v>14.2</v>
      </c>
      <c r="CI216" s="9" t="n">
        <v>-0.2605</v>
      </c>
      <c r="CJ216" s="9" t="n">
        <v>-0.187</v>
      </c>
      <c r="CK216" s="8" t="n">
        <v>55</v>
      </c>
      <c r="CL216" s="10" t="n">
        <v>0.111</v>
      </c>
      <c r="CM216" s="8" t="n">
        <v>58</v>
      </c>
      <c r="CN216" s="10" t="n">
        <v>0.157</v>
      </c>
      <c r="CO216" s="8" t="n">
        <v>13</v>
      </c>
      <c r="CP216" s="7" t="n">
        <v>-0.609</v>
      </c>
      <c r="CQ216" s="7" t="n">
        <v>-0.653</v>
      </c>
      <c r="CR216" s="4" t="s">
        <v>121</v>
      </c>
      <c r="CS216" s="4"/>
    </row>
    <row r="217" customFormat="false" ht="15" hidden="false" customHeight="false" outlineLevel="0" collapsed="false">
      <c r="A217" s="3" t="n">
        <v>215</v>
      </c>
      <c r="B217" s="4" t="s">
        <v>572</v>
      </c>
      <c r="C217" s="5" t="s">
        <v>99</v>
      </c>
      <c r="D217" s="4" t="s">
        <v>573</v>
      </c>
      <c r="E217" s="4" t="s">
        <v>147</v>
      </c>
      <c r="F217" s="4" t="s">
        <v>270</v>
      </c>
      <c r="G217" s="3" t="n">
        <v>2</v>
      </c>
      <c r="H217" s="6" t="n">
        <v>23.3</v>
      </c>
      <c r="I217" s="3" t="n">
        <v>3</v>
      </c>
      <c r="J217" s="3" t="n">
        <v>7</v>
      </c>
      <c r="K217" s="7" t="n">
        <v>244.59</v>
      </c>
      <c r="L217" s="7" t="n">
        <v>31.75</v>
      </c>
      <c r="M217" s="8" t="n">
        <v>140</v>
      </c>
      <c r="N217" s="8" t="n">
        <v>331</v>
      </c>
      <c r="O217" s="7" t="n">
        <v>244.59</v>
      </c>
      <c r="P217" s="6" t="n">
        <v>7.5</v>
      </c>
      <c r="Q217" s="4" t="s">
        <v>147</v>
      </c>
      <c r="R217" s="8" t="n">
        <v>12</v>
      </c>
      <c r="S217" s="6" t="n">
        <v>102.4</v>
      </c>
      <c r="T217" s="7" t="n">
        <f aca="false">IFERROR(S217/R217,"")</f>
        <v>8.53333333333333</v>
      </c>
      <c r="U217" s="6" t="n">
        <v>83.4</v>
      </c>
      <c r="V217" s="6" t="n">
        <v>64.4</v>
      </c>
      <c r="W217" s="8" t="n">
        <v>58</v>
      </c>
      <c r="X217" s="7" t="n">
        <f aca="false">IFERROR(S217/AH217,"")</f>
        <v>1.73559322033898</v>
      </c>
      <c r="Y217" s="9" t="n">
        <f aca="false">IFERROR(S217/AF217,"")</f>
        <v>0.177777777777778</v>
      </c>
      <c r="Z217" s="6" t="n">
        <v>4.78</v>
      </c>
      <c r="AA217" s="6" t="n">
        <v>6.75</v>
      </c>
      <c r="AB217" s="6" t="n">
        <v>11.46</v>
      </c>
      <c r="AC217" s="10" t="n">
        <v>0.083</v>
      </c>
      <c r="AD217" s="10" t="n">
        <v>0</v>
      </c>
      <c r="AE217" s="7" t="n">
        <v>0.896</v>
      </c>
      <c r="AF217" s="8" t="n">
        <v>576</v>
      </c>
      <c r="AG217" s="10" t="n">
        <v>0.652</v>
      </c>
      <c r="AH217" s="8" t="n">
        <v>59</v>
      </c>
      <c r="AI217" s="8" t="n">
        <v>59</v>
      </c>
      <c r="AJ217" s="6" t="n">
        <f aca="false">IFERROR(AI217/R217,"")</f>
        <v>4.91666666666667</v>
      </c>
      <c r="AK217" s="10" t="n">
        <v>0.1735</v>
      </c>
      <c r="AL217" s="10" t="n">
        <v>0.2758</v>
      </c>
      <c r="AM217" s="9" t="n">
        <v>0.4533</v>
      </c>
      <c r="AN217" s="8" t="n">
        <v>38</v>
      </c>
      <c r="AO217" s="10" t="n">
        <f aca="false">IFERROR(AN217/AI217,"")</f>
        <v>0.644067796610169</v>
      </c>
      <c r="AP217" s="8" t="n">
        <v>404</v>
      </c>
      <c r="AQ217" s="7" t="n">
        <f aca="false">IFERROR(AP217/AI217,"")</f>
        <v>6.84745762711864</v>
      </c>
      <c r="AR217" s="6" t="n">
        <v>11.169</v>
      </c>
      <c r="AS217" s="7" t="n">
        <v>2.316</v>
      </c>
      <c r="AT217" s="7" t="n">
        <v>0.613</v>
      </c>
      <c r="AU217" s="7" t="n">
        <v>2.77588662494268</v>
      </c>
      <c r="AV217" s="7" t="n">
        <v>5.70762711864407</v>
      </c>
      <c r="AW217" s="7" t="n">
        <v>-0.39696735661699</v>
      </c>
      <c r="AX217" s="10" t="n">
        <v>0.0508</v>
      </c>
      <c r="AY217" s="8" t="n">
        <v>0</v>
      </c>
      <c r="AZ217" s="6" t="n">
        <f aca="false">IFERROR(AY217/R217,"")</f>
        <v>0</v>
      </c>
      <c r="BA217" s="10" t="n">
        <v>0</v>
      </c>
      <c r="BB217" s="8" t="n">
        <v>0</v>
      </c>
      <c r="BC217" s="7"/>
      <c r="BD217" s="7"/>
      <c r="BE217" s="7"/>
      <c r="BF217" s="8"/>
      <c r="BG217" s="7"/>
      <c r="BH217" s="6"/>
      <c r="BI217" s="7"/>
      <c r="BJ217" s="8" t="n">
        <v>9</v>
      </c>
      <c r="BK217" s="8" t="n">
        <v>6</v>
      </c>
      <c r="BL217" s="8" t="n">
        <v>3</v>
      </c>
      <c r="BM217" s="8" t="n">
        <v>4</v>
      </c>
      <c r="BN217" s="7" t="n">
        <v>3.64</v>
      </c>
      <c r="BO217" s="7" t="n">
        <f aca="false">IFERROR(BM217-BN217,"")</f>
        <v>0.36</v>
      </c>
      <c r="BP217" s="9" t="n">
        <f aca="false">IFERROR(BM217/AH217,"")</f>
        <v>0.0677966101694915</v>
      </c>
      <c r="BQ217" s="6" t="n">
        <v>73.6</v>
      </c>
      <c r="BR217" s="6" t="n">
        <v>72.8</v>
      </c>
      <c r="BS217" s="6" t="n">
        <v>64.4</v>
      </c>
      <c r="BT217" s="7" t="n">
        <v>3.397</v>
      </c>
      <c r="BU217" s="10" t="n">
        <v>0.1265</v>
      </c>
      <c r="BV217" s="10" t="n">
        <v>0.540540540540541</v>
      </c>
      <c r="BW217" s="7" t="n">
        <v>2.905</v>
      </c>
      <c r="BX217" s="10" t="n">
        <v>0.2</v>
      </c>
      <c r="BY217" s="10" t="n">
        <v>0.0702</v>
      </c>
      <c r="BZ217" s="7" t="n">
        <v>2.507</v>
      </c>
      <c r="CA217" s="10" t="n">
        <v>0.763</v>
      </c>
      <c r="CB217" s="8" t="n">
        <v>4</v>
      </c>
      <c r="CC217" s="10" t="n">
        <v>-0.0352</v>
      </c>
      <c r="CD217" s="10" t="n">
        <v>0.5028</v>
      </c>
      <c r="CE217" s="6" t="n">
        <v>62.65</v>
      </c>
      <c r="CF217" s="6" t="n">
        <v>40</v>
      </c>
      <c r="CG217" s="7" t="n">
        <v>4</v>
      </c>
      <c r="CH217" s="6" t="n">
        <v>28.3</v>
      </c>
      <c r="CI217" s="9" t="n">
        <v>0.1102</v>
      </c>
      <c r="CJ217" s="9" t="n">
        <v>0.1599</v>
      </c>
      <c r="CK217" s="8" t="n">
        <v>19</v>
      </c>
      <c r="CL217" s="10" t="n">
        <v>0.04</v>
      </c>
      <c r="CM217" s="8" t="n">
        <v>17</v>
      </c>
      <c r="CN217" s="10" t="n">
        <v>0.031</v>
      </c>
      <c r="CO217" s="8" t="n">
        <v>2</v>
      </c>
      <c r="CP217" s="7" t="n">
        <v>0.61</v>
      </c>
      <c r="CQ217" s="7" t="n">
        <v>0.697</v>
      </c>
      <c r="CR217" s="4" t="s">
        <v>232</v>
      </c>
      <c r="CS217" s="4"/>
    </row>
    <row r="218" customFormat="false" ht="15" hidden="false" customHeight="false" outlineLevel="0" collapsed="false">
      <c r="A218" s="3" t="n">
        <v>216</v>
      </c>
      <c r="B218" s="4" t="s">
        <v>574</v>
      </c>
      <c r="C218" s="5" t="s">
        <v>99</v>
      </c>
      <c r="D218" s="4" t="s">
        <v>575</v>
      </c>
      <c r="E218" s="4" t="s">
        <v>124</v>
      </c>
      <c r="F218" s="4" t="s">
        <v>99</v>
      </c>
      <c r="G218" s="3" t="n">
        <v>13</v>
      </c>
      <c r="H218" s="6" t="n">
        <v>28.4</v>
      </c>
      <c r="I218" s="3" t="n">
        <v>6</v>
      </c>
      <c r="J218" s="3" t="n">
        <v>8</v>
      </c>
      <c r="K218" s="7" t="n">
        <v>245.86</v>
      </c>
      <c r="L218" s="7" t="n">
        <v>54.98</v>
      </c>
      <c r="M218" s="8" t="n">
        <v>128</v>
      </c>
      <c r="N218" s="8" t="n">
        <v>348</v>
      </c>
      <c r="O218" s="7" t="n">
        <v>245.86</v>
      </c>
      <c r="P218" s="6" t="n">
        <v>13.9</v>
      </c>
      <c r="Q218" s="4"/>
      <c r="R218" s="8"/>
      <c r="S218" s="6"/>
      <c r="T218" s="7"/>
      <c r="U218" s="6"/>
      <c r="V218" s="6"/>
      <c r="W218" s="8"/>
      <c r="X218" s="7"/>
      <c r="Y218" s="9"/>
      <c r="Z218" s="6"/>
      <c r="AA218" s="6"/>
      <c r="AB218" s="6"/>
      <c r="AC218" s="10"/>
      <c r="AD218" s="10"/>
      <c r="AE218" s="7"/>
      <c r="AF218" s="8"/>
      <c r="AG218" s="10"/>
      <c r="AH218" s="8" t="n">
        <v>0</v>
      </c>
      <c r="AI218" s="8"/>
      <c r="AJ218" s="6"/>
      <c r="AK218" s="10"/>
      <c r="AL218" s="10"/>
      <c r="AM218" s="9"/>
      <c r="AN218" s="8"/>
      <c r="AO218" s="10"/>
      <c r="AP218" s="8"/>
      <c r="AQ218" s="7"/>
      <c r="AR218" s="6"/>
      <c r="AS218" s="7"/>
      <c r="AT218" s="7"/>
      <c r="AU218" s="7"/>
      <c r="AV218" s="7"/>
      <c r="AW218" s="7"/>
      <c r="AX218" s="10"/>
      <c r="AY218" s="8"/>
      <c r="AZ218" s="6"/>
      <c r="BA218" s="10"/>
      <c r="BB218" s="8"/>
      <c r="BC218" s="7"/>
      <c r="BD218" s="7"/>
      <c r="BE218" s="7"/>
      <c r="BF218" s="8"/>
      <c r="BG218" s="7"/>
      <c r="BH218" s="6"/>
      <c r="BI218" s="7"/>
      <c r="BJ218" s="8"/>
      <c r="BK218" s="8"/>
      <c r="BL218" s="8"/>
      <c r="BM218" s="8"/>
      <c r="BN218" s="7"/>
      <c r="BO218" s="7"/>
      <c r="BP218" s="9"/>
      <c r="BQ218" s="6" t="n">
        <v>63.3</v>
      </c>
      <c r="BR218" s="6" t="n">
        <v>46.4</v>
      </c>
      <c r="BS218" s="6" t="n">
        <v>74.5</v>
      </c>
      <c r="BT218" s="7" t="n">
        <v>2.906</v>
      </c>
      <c r="BU218" s="10" t="n">
        <v>0.1848</v>
      </c>
      <c r="BV218" s="10" t="n">
        <v>0.655172413793103</v>
      </c>
      <c r="BW218" s="7" t="n">
        <v>2.349</v>
      </c>
      <c r="BX218" s="10" t="n">
        <v>0.2125</v>
      </c>
      <c r="BY218" s="10" t="n">
        <v>0.0428</v>
      </c>
      <c r="BZ218" s="7" t="n">
        <v>2.547</v>
      </c>
      <c r="CA218" s="10" t="n">
        <v>0.852</v>
      </c>
      <c r="CB218" s="8" t="n">
        <v>4</v>
      </c>
      <c r="CC218" s="10" t="n">
        <v>-0.0088</v>
      </c>
      <c r="CD218" s="10" t="n">
        <v>0.5521</v>
      </c>
      <c r="CE218" s="6" t="n">
        <v>62.65</v>
      </c>
      <c r="CF218" s="6" t="n">
        <v>38</v>
      </c>
      <c r="CG218" s="7" t="n">
        <v>3.88</v>
      </c>
      <c r="CH218" s="6" t="n">
        <v>25.7</v>
      </c>
      <c r="CI218" s="9" t="n">
        <v>-0.0044</v>
      </c>
      <c r="CJ218" s="9" t="n">
        <v>0.1587</v>
      </c>
      <c r="CK218" s="8" t="n">
        <v>170</v>
      </c>
      <c r="CL218" s="10" t="n">
        <v>0.309</v>
      </c>
      <c r="CM218" s="8" t="n">
        <v>94</v>
      </c>
      <c r="CN218" s="10" t="n">
        <v>0.195</v>
      </c>
      <c r="CO218" s="8" t="n">
        <v>38</v>
      </c>
      <c r="CP218" s="7"/>
      <c r="CQ218" s="7"/>
      <c r="CR218" s="4"/>
      <c r="CS218" s="4" t="s">
        <v>354</v>
      </c>
    </row>
    <row r="219" customFormat="false" ht="15" hidden="false" customHeight="false" outlineLevel="0" collapsed="false">
      <c r="A219" s="3" t="n">
        <v>217</v>
      </c>
      <c r="B219" s="4" t="s">
        <v>576</v>
      </c>
      <c r="C219" s="11" t="s">
        <v>104</v>
      </c>
      <c r="D219" s="4" t="s">
        <v>577</v>
      </c>
      <c r="E219" s="4" t="s">
        <v>186</v>
      </c>
      <c r="F219" s="4" t="s">
        <v>104</v>
      </c>
      <c r="G219" s="3" t="n">
        <v>3</v>
      </c>
      <c r="H219" s="6" t="n">
        <v>24.5</v>
      </c>
      <c r="I219" s="3" t="n">
        <v>3</v>
      </c>
      <c r="J219" s="3" t="n">
        <v>13</v>
      </c>
      <c r="K219" s="7" t="n">
        <v>247.78</v>
      </c>
      <c r="L219" s="7" t="n">
        <v>30.4</v>
      </c>
      <c r="M219" s="8" t="n">
        <v>171</v>
      </c>
      <c r="N219" s="8" t="n">
        <v>317</v>
      </c>
      <c r="O219" s="7" t="n">
        <v>247.78</v>
      </c>
      <c r="P219" s="6" t="n">
        <v>2.7</v>
      </c>
      <c r="Q219" s="4" t="s">
        <v>186</v>
      </c>
      <c r="R219" s="8" t="n">
        <v>16</v>
      </c>
      <c r="S219" s="6" t="n">
        <v>71.2</v>
      </c>
      <c r="T219" s="7" t="n">
        <f aca="false">IFERROR(S219/R219,"")</f>
        <v>4.45</v>
      </c>
      <c r="U219" s="6" t="n">
        <v>60.7</v>
      </c>
      <c r="V219" s="6" t="n">
        <v>50.2</v>
      </c>
      <c r="W219" s="8" t="n">
        <v>53</v>
      </c>
      <c r="X219" s="7" t="n">
        <f aca="false">IFERROR(S219/AH219,"")</f>
        <v>1.00281690140845</v>
      </c>
      <c r="Y219" s="9" t="n">
        <f aca="false">IFERROR(S219/AF219,"")</f>
        <v>0.249824561403509</v>
      </c>
      <c r="Z219" s="6" t="n">
        <v>1.1</v>
      </c>
      <c r="AA219" s="6" t="n">
        <v>2.15</v>
      </c>
      <c r="AB219" s="6" t="n">
        <v>9.07</v>
      </c>
      <c r="AC219" s="10" t="n">
        <v>0.062</v>
      </c>
      <c r="AD219" s="10" t="n">
        <v>0.5</v>
      </c>
      <c r="AE219" s="7" t="n">
        <v>2.407</v>
      </c>
      <c r="AF219" s="8" t="n">
        <v>285</v>
      </c>
      <c r="AG219" s="10" t="n">
        <v>0.28</v>
      </c>
      <c r="AH219" s="8" t="n">
        <v>71</v>
      </c>
      <c r="AI219" s="8" t="n">
        <v>28</v>
      </c>
      <c r="AJ219" s="6" t="n">
        <f aca="false">IFERROR(AI219/R219,"")</f>
        <v>1.75</v>
      </c>
      <c r="AK219" s="10" t="n">
        <v>0.0622</v>
      </c>
      <c r="AL219" s="10" t="n">
        <v>0.0102</v>
      </c>
      <c r="AM219" s="9" t="n">
        <v>0.1004</v>
      </c>
      <c r="AN219" s="8" t="n">
        <v>21</v>
      </c>
      <c r="AO219" s="10" t="n">
        <f aca="false">IFERROR(AN219/AI219,"")</f>
        <v>0.75</v>
      </c>
      <c r="AP219" s="8" t="n">
        <v>186</v>
      </c>
      <c r="AQ219" s="7" t="n">
        <f aca="false">IFERROR(AP219/AI219,"")</f>
        <v>6.64285714285714</v>
      </c>
      <c r="AR219" s="6" t="n">
        <v>1.143</v>
      </c>
      <c r="AS219" s="7" t="n">
        <v>9</v>
      </c>
      <c r="AT219" s="7" t="n">
        <v>5.812</v>
      </c>
      <c r="AU219" s="7"/>
      <c r="AV219" s="7"/>
      <c r="AW219" s="7"/>
      <c r="AX219" s="10" t="n">
        <v>0.0357</v>
      </c>
      <c r="AY219" s="8" t="n">
        <v>43</v>
      </c>
      <c r="AZ219" s="6" t="n">
        <f aca="false">IFERROR(AY219/R219,"")</f>
        <v>2.6875</v>
      </c>
      <c r="BA219" s="10" t="n">
        <v>0.0993</v>
      </c>
      <c r="BB219" s="8" t="n">
        <v>236</v>
      </c>
      <c r="BC219" s="7" t="n">
        <f aca="false">IFERROR(BB219/AY219,"")</f>
        <v>5.48837209302326</v>
      </c>
      <c r="BD219" s="7" t="n">
        <v>3.023</v>
      </c>
      <c r="BE219" s="7" t="n">
        <v>2.465</v>
      </c>
      <c r="BF219" s="8" t="n">
        <v>2</v>
      </c>
      <c r="BG219" s="7"/>
      <c r="BH219" s="6"/>
      <c r="BI219" s="7"/>
      <c r="BJ219" s="8" t="n">
        <v>10</v>
      </c>
      <c r="BK219" s="8" t="n">
        <v>1</v>
      </c>
      <c r="BL219" s="8" t="n">
        <v>0</v>
      </c>
      <c r="BM219" s="8" t="n">
        <v>1</v>
      </c>
      <c r="BN219" s="7" t="n">
        <v>1.34</v>
      </c>
      <c r="BO219" s="7" t="n">
        <f aca="false">IFERROR(BM219-BN219,"")</f>
        <v>-0.34</v>
      </c>
      <c r="BP219" s="9" t="n">
        <f aca="false">IFERROR(BM219/AH219,"")</f>
        <v>0.0140845070422535</v>
      </c>
      <c r="BQ219" s="6" t="n">
        <v>38.6</v>
      </c>
      <c r="BR219" s="6" t="n">
        <v>56.3</v>
      </c>
      <c r="BS219" s="6" t="n">
        <v>25.8</v>
      </c>
      <c r="BT219" s="7" t="n">
        <v>2.892</v>
      </c>
      <c r="BU219" s="10" t="n">
        <v>0.1813</v>
      </c>
      <c r="BV219" s="10" t="n">
        <v>0.739130434782609</v>
      </c>
      <c r="BW219" s="7" t="n">
        <v>2.899</v>
      </c>
      <c r="BX219" s="10" t="n">
        <v>0.3117</v>
      </c>
      <c r="BY219" s="10" t="n">
        <v>0.0989</v>
      </c>
      <c r="BZ219" s="7" t="n">
        <v>2.423</v>
      </c>
      <c r="CA219" s="10" t="n">
        <v>0.808</v>
      </c>
      <c r="CB219" s="8" t="n">
        <v>3</v>
      </c>
      <c r="CC219" s="10" t="n">
        <v>-0.0877</v>
      </c>
      <c r="CD219" s="10" t="n">
        <v>0.4319</v>
      </c>
      <c r="CE219" s="6" t="n">
        <v>59.35</v>
      </c>
      <c r="CF219" s="6" t="n">
        <v>38</v>
      </c>
      <c r="CG219" s="7" t="n">
        <v>2.47</v>
      </c>
      <c r="CH219" s="6" t="n">
        <v>17.6</v>
      </c>
      <c r="CI219" s="9" t="n">
        <v>-0.061</v>
      </c>
      <c r="CJ219" s="9" t="n">
        <v>-0.1799</v>
      </c>
      <c r="CK219" s="8" t="n">
        <v>76</v>
      </c>
      <c r="CL219" s="10" t="n">
        <v>0.161</v>
      </c>
      <c r="CM219" s="8" t="n">
        <v>117</v>
      </c>
      <c r="CN219" s="10" t="n">
        <v>0.257</v>
      </c>
      <c r="CO219" s="8" t="n">
        <v>27</v>
      </c>
      <c r="CP219" s="7" t="n">
        <v>0.192</v>
      </c>
      <c r="CQ219" s="7" t="n">
        <v>0.016</v>
      </c>
      <c r="CR219" s="4" t="s">
        <v>102</v>
      </c>
      <c r="CS219" s="4"/>
    </row>
    <row r="220" customFormat="false" ht="15" hidden="false" customHeight="false" outlineLevel="0" collapsed="false">
      <c r="A220" s="3" t="n">
        <v>218</v>
      </c>
      <c r="B220" s="4" t="s">
        <v>578</v>
      </c>
      <c r="C220" s="12" t="s">
        <v>149</v>
      </c>
      <c r="D220" s="4" t="s">
        <v>579</v>
      </c>
      <c r="E220" s="4" t="s">
        <v>170</v>
      </c>
      <c r="F220" s="4" t="s">
        <v>149</v>
      </c>
      <c r="G220" s="3" t="n">
        <v>2</v>
      </c>
      <c r="H220" s="6" t="n">
        <v>30.1</v>
      </c>
      <c r="I220" s="3" t="n">
        <v>12</v>
      </c>
      <c r="J220" s="3" t="n">
        <v>7</v>
      </c>
      <c r="K220" s="7" t="n">
        <v>248.9</v>
      </c>
      <c r="L220" s="7" t="n">
        <v>21.8</v>
      </c>
      <c r="M220" s="8" t="n">
        <v>173</v>
      </c>
      <c r="N220" s="8" t="n">
        <v>299</v>
      </c>
      <c r="O220" s="7" t="n">
        <v>248.9</v>
      </c>
      <c r="P220" s="6" t="n">
        <v>15.5</v>
      </c>
      <c r="Q220" s="4" t="s">
        <v>258</v>
      </c>
      <c r="R220" s="8" t="n">
        <v>11</v>
      </c>
      <c r="S220" s="6" t="n">
        <v>86.3</v>
      </c>
      <c r="T220" s="7" t="n">
        <f aca="false">IFERROR(S220/R220,"")</f>
        <v>7.84545454545455</v>
      </c>
      <c r="U220" s="6" t="n">
        <v>69.8</v>
      </c>
      <c r="V220" s="6" t="n">
        <v>53.3</v>
      </c>
      <c r="W220" s="8" t="n">
        <v>28</v>
      </c>
      <c r="X220" s="7" t="n">
        <f aca="false">IFERROR(S220/AH220,"")</f>
        <v>1.79791666666667</v>
      </c>
      <c r="Y220" s="9" t="n">
        <f aca="false">IFERROR(S220/AF220,"")</f>
        <v>0.167898832684825</v>
      </c>
      <c r="Z220" s="6" t="n">
        <v>4.45</v>
      </c>
      <c r="AA220" s="6" t="n">
        <v>7.1</v>
      </c>
      <c r="AB220" s="6" t="n">
        <v>11.9</v>
      </c>
      <c r="AC220" s="10" t="n">
        <v>0</v>
      </c>
      <c r="AD220" s="10" t="n">
        <v>0.091</v>
      </c>
      <c r="AE220" s="7" t="n">
        <v>0.711</v>
      </c>
      <c r="AF220" s="8" t="n">
        <v>514</v>
      </c>
      <c r="AG220" s="10" t="n">
        <v>0.639</v>
      </c>
      <c r="AH220" s="8" t="n">
        <v>48</v>
      </c>
      <c r="AI220" s="8" t="n">
        <v>48</v>
      </c>
      <c r="AJ220" s="6" t="n">
        <f aca="false">IFERROR(AI220/R220,"")</f>
        <v>4.36363636363636</v>
      </c>
      <c r="AK220" s="10" t="n">
        <v>0.125</v>
      </c>
      <c r="AL220" s="10" t="n">
        <v>0.0962</v>
      </c>
      <c r="AM220" s="9" t="n">
        <v>0.2548</v>
      </c>
      <c r="AN220" s="8" t="n">
        <v>33</v>
      </c>
      <c r="AO220" s="10" t="n">
        <f aca="false">IFERROR(AN220/AI220,"")</f>
        <v>0.6875</v>
      </c>
      <c r="AP220" s="8" t="n">
        <v>293</v>
      </c>
      <c r="AQ220" s="7" t="n">
        <f aca="false">IFERROR(AP220/AI220,"")</f>
        <v>6.10416666666667</v>
      </c>
      <c r="AR220" s="6" t="n">
        <v>5.271</v>
      </c>
      <c r="AS220" s="7" t="n">
        <v>4.848</v>
      </c>
      <c r="AT220" s="7" t="n">
        <v>1.158</v>
      </c>
      <c r="AU220" s="7" t="n">
        <v>2.66460427128804</v>
      </c>
      <c r="AV220" s="7" t="n">
        <v>5.68121212121212</v>
      </c>
      <c r="AW220" s="7" t="n">
        <v>0.79688818545724</v>
      </c>
      <c r="AX220" s="10" t="n">
        <v>0.0208</v>
      </c>
      <c r="AY220" s="8" t="n">
        <v>0</v>
      </c>
      <c r="AZ220" s="6" t="n">
        <f aca="false">IFERROR(AY220/R220,"")</f>
        <v>0</v>
      </c>
      <c r="BA220" s="10" t="n">
        <v>0</v>
      </c>
      <c r="BB220" s="8" t="n">
        <v>0</v>
      </c>
      <c r="BC220" s="7"/>
      <c r="BD220" s="7"/>
      <c r="BE220" s="7"/>
      <c r="BF220" s="8"/>
      <c r="BG220" s="7"/>
      <c r="BH220" s="6"/>
      <c r="BI220" s="7"/>
      <c r="BJ220" s="8" t="n">
        <v>9</v>
      </c>
      <c r="BK220" s="8" t="n">
        <v>3</v>
      </c>
      <c r="BL220" s="8" t="n">
        <v>1</v>
      </c>
      <c r="BM220" s="8" t="n">
        <v>4</v>
      </c>
      <c r="BN220" s="7" t="n">
        <v>2.59</v>
      </c>
      <c r="BO220" s="7" t="n">
        <f aca="false">IFERROR(BM220-BN220,"")</f>
        <v>1.41</v>
      </c>
      <c r="BP220" s="9" t="n">
        <f aca="false">IFERROR(BM220/AH220,"")</f>
        <v>0.0833333333333333</v>
      </c>
      <c r="BQ220" s="6" t="n">
        <v>26.9</v>
      </c>
      <c r="BR220" s="6" t="n">
        <v>40.7</v>
      </c>
      <c r="BS220" s="6" t="n">
        <v>23</v>
      </c>
      <c r="BT220" s="7" t="n">
        <v>2.77</v>
      </c>
      <c r="BU220" s="10" t="n">
        <v>0.2195</v>
      </c>
      <c r="BV220" s="10" t="n">
        <v>0.611111111111111</v>
      </c>
      <c r="BW220" s="7" t="n">
        <v>2.614</v>
      </c>
      <c r="BX220" s="10" t="n">
        <v>0.3427</v>
      </c>
      <c r="BY220" s="10" t="n">
        <v>0.0832</v>
      </c>
      <c r="BZ220" s="7" t="n">
        <v>2.37</v>
      </c>
      <c r="CA220" s="10" t="n">
        <v>0.205</v>
      </c>
      <c r="CB220" s="8" t="n">
        <v>1</v>
      </c>
      <c r="CC220" s="10" t="n">
        <v>0.0064</v>
      </c>
      <c r="CD220" s="10" t="n">
        <v>0.579</v>
      </c>
      <c r="CE220" s="6" t="n">
        <v>63.53</v>
      </c>
      <c r="CF220" s="6" t="n">
        <v>39</v>
      </c>
      <c r="CG220" s="7" t="n">
        <v>3.47</v>
      </c>
      <c r="CH220" s="6" t="n">
        <v>21.6</v>
      </c>
      <c r="CI220" s="9" t="n">
        <v>0.0187</v>
      </c>
      <c r="CJ220" s="9" t="n">
        <v>-0.0542</v>
      </c>
      <c r="CK220" s="8" t="n">
        <v>15</v>
      </c>
      <c r="CL220" s="10" t="n">
        <v>0.028</v>
      </c>
      <c r="CM220" s="8" t="n">
        <v>23</v>
      </c>
      <c r="CN220" s="10" t="n">
        <v>0.049</v>
      </c>
      <c r="CO220" s="8" t="n">
        <v>2</v>
      </c>
      <c r="CP220" s="7" t="n">
        <v>-0.129</v>
      </c>
      <c r="CQ220" s="7" t="n">
        <v>0.133</v>
      </c>
      <c r="CR220" s="4" t="s">
        <v>102</v>
      </c>
      <c r="CS220" s="4"/>
    </row>
    <row r="221" customFormat="false" ht="15" hidden="false" customHeight="false" outlineLevel="0" collapsed="false">
      <c r="A221" s="3" t="n">
        <v>219</v>
      </c>
      <c r="B221" s="4" t="s">
        <v>580</v>
      </c>
      <c r="C221" s="5" t="s">
        <v>99</v>
      </c>
      <c r="D221" s="4" t="s">
        <v>581</v>
      </c>
      <c r="E221" s="4" t="s">
        <v>161</v>
      </c>
      <c r="F221" s="4" t="s">
        <v>99</v>
      </c>
      <c r="G221" s="3" t="n">
        <v>5</v>
      </c>
      <c r="H221" s="6" t="n">
        <v>22.2</v>
      </c>
      <c r="I221" s="3" t="n">
        <v>0</v>
      </c>
      <c r="J221" s="3" t="n">
        <v>6</v>
      </c>
      <c r="K221" s="7" t="n">
        <v>249.16</v>
      </c>
      <c r="L221" s="7" t="n">
        <v>30.46</v>
      </c>
      <c r="M221" s="8" t="n">
        <v>170</v>
      </c>
      <c r="N221" s="8" t="n">
        <v>311</v>
      </c>
      <c r="O221" s="7" t="n">
        <v>249.16</v>
      </c>
      <c r="P221" s="6" t="n">
        <v>13</v>
      </c>
      <c r="Q221" s="4"/>
      <c r="R221" s="8"/>
      <c r="S221" s="6"/>
      <c r="T221" s="7"/>
      <c r="U221" s="6"/>
      <c r="V221" s="6"/>
      <c r="W221" s="8"/>
      <c r="X221" s="7"/>
      <c r="Y221" s="9"/>
      <c r="Z221" s="6"/>
      <c r="AA221" s="6"/>
      <c r="AB221" s="6"/>
      <c r="AC221" s="10"/>
      <c r="AD221" s="10"/>
      <c r="AE221" s="7"/>
      <c r="AF221" s="8"/>
      <c r="AG221" s="10"/>
      <c r="AH221" s="8"/>
      <c r="AI221" s="8"/>
      <c r="AJ221" s="6"/>
      <c r="AK221" s="10"/>
      <c r="AL221" s="10"/>
      <c r="AM221" s="9"/>
      <c r="AN221" s="8"/>
      <c r="AO221" s="10"/>
      <c r="AP221" s="8"/>
      <c r="AQ221" s="7"/>
      <c r="AR221" s="6"/>
      <c r="AS221" s="7"/>
      <c r="AT221" s="7"/>
      <c r="AU221" s="7"/>
      <c r="AV221" s="7"/>
      <c r="AW221" s="7"/>
      <c r="AX221" s="10"/>
      <c r="AY221" s="8"/>
      <c r="AZ221" s="6"/>
      <c r="BA221" s="10"/>
      <c r="BB221" s="8"/>
      <c r="BC221" s="7"/>
      <c r="BD221" s="7"/>
      <c r="BE221" s="7"/>
      <c r="BF221" s="8"/>
      <c r="BG221" s="7"/>
      <c r="BH221" s="6"/>
      <c r="BI221" s="7"/>
      <c r="BJ221" s="8"/>
      <c r="BK221" s="8"/>
      <c r="BL221" s="8"/>
      <c r="BM221" s="8"/>
      <c r="BN221" s="7"/>
      <c r="BO221" s="7"/>
      <c r="BP221" s="9"/>
      <c r="BQ221" s="6" t="n">
        <v>38.6</v>
      </c>
      <c r="BR221" s="6" t="n">
        <v>37.5</v>
      </c>
      <c r="BS221" s="6" t="n">
        <v>44.5</v>
      </c>
      <c r="BT221" s="7" t="n">
        <v>2.839</v>
      </c>
      <c r="BU221" s="10" t="n">
        <v>0.2101</v>
      </c>
      <c r="BV221" s="10" t="n">
        <v>0.586206896551724</v>
      </c>
      <c r="BW221" s="7" t="n">
        <v>2.199</v>
      </c>
      <c r="BX221" s="10" t="n">
        <v>0.2422</v>
      </c>
      <c r="BY221" s="10" t="n">
        <v>0.0727</v>
      </c>
      <c r="BZ221" s="7" t="n">
        <v>2.29</v>
      </c>
      <c r="CA221" s="10" t="n">
        <v>0.672</v>
      </c>
      <c r="CB221" s="8" t="n">
        <v>4</v>
      </c>
      <c r="CC221" s="10" t="n">
        <v>-0.0584</v>
      </c>
      <c r="CD221" s="10" t="n">
        <v>0.5279</v>
      </c>
      <c r="CE221" s="6" t="n">
        <v>55.41</v>
      </c>
      <c r="CF221" s="6" t="n">
        <v>41</v>
      </c>
      <c r="CG221" s="7" t="n">
        <v>2.82</v>
      </c>
      <c r="CH221" s="6" t="n">
        <v>20.4</v>
      </c>
      <c r="CI221" s="9" t="n">
        <v>-0.026</v>
      </c>
      <c r="CJ221" s="9" t="n">
        <v>-0.0093</v>
      </c>
      <c r="CK221" s="8" t="n">
        <v>209</v>
      </c>
      <c r="CL221" s="10" t="n">
        <v>0.452</v>
      </c>
      <c r="CM221" s="8" t="n">
        <v>28</v>
      </c>
      <c r="CN221" s="10" t="n">
        <v>0.065</v>
      </c>
      <c r="CO221" s="8" t="n">
        <v>32</v>
      </c>
      <c r="CP221" s="7"/>
      <c r="CQ221" s="7"/>
      <c r="CR221" s="4"/>
      <c r="CS221" s="4" t="s">
        <v>206</v>
      </c>
    </row>
    <row r="222" customFormat="false" ht="15" hidden="false" customHeight="false" outlineLevel="0" collapsed="false">
      <c r="A222" s="3" t="n">
        <v>220</v>
      </c>
      <c r="B222" s="4" t="s">
        <v>582</v>
      </c>
      <c r="C222" s="5" t="s">
        <v>99</v>
      </c>
      <c r="D222" s="4" t="s">
        <v>583</v>
      </c>
      <c r="E222" s="4" t="s">
        <v>164</v>
      </c>
      <c r="F222" s="4" t="s">
        <v>99</v>
      </c>
      <c r="G222" s="3" t="n">
        <v>5</v>
      </c>
      <c r="H222" s="6" t="n">
        <v>23.5</v>
      </c>
      <c r="I222" s="3" t="n">
        <v>0</v>
      </c>
      <c r="J222" s="3" t="n">
        <v>5</v>
      </c>
      <c r="K222" s="7" t="n">
        <v>249.26</v>
      </c>
      <c r="L222" s="7" t="n">
        <v>61.96</v>
      </c>
      <c r="M222" s="8" t="n">
        <v>150</v>
      </c>
      <c r="N222" s="8" t="n">
        <v>439</v>
      </c>
      <c r="O222" s="7" t="n">
        <v>249.26</v>
      </c>
      <c r="P222" s="6" t="n">
        <v>8</v>
      </c>
      <c r="Q222" s="4"/>
      <c r="R222" s="8"/>
      <c r="S222" s="6"/>
      <c r="T222" s="7"/>
      <c r="U222" s="6"/>
      <c r="V222" s="6"/>
      <c r="W222" s="8"/>
      <c r="X222" s="7"/>
      <c r="Y222" s="9"/>
      <c r="Z222" s="6"/>
      <c r="AA222" s="6"/>
      <c r="AB222" s="6"/>
      <c r="AC222" s="10"/>
      <c r="AD222" s="10"/>
      <c r="AE222" s="7"/>
      <c r="AF222" s="8"/>
      <c r="AG222" s="10"/>
      <c r="AH222" s="8"/>
      <c r="AI222" s="8"/>
      <c r="AJ222" s="6"/>
      <c r="AK222" s="10"/>
      <c r="AL222" s="10"/>
      <c r="AM222" s="9"/>
      <c r="AN222" s="8"/>
      <c r="AO222" s="10"/>
      <c r="AP222" s="8"/>
      <c r="AQ222" s="7"/>
      <c r="AR222" s="6"/>
      <c r="AS222" s="7"/>
      <c r="AT222" s="7"/>
      <c r="AU222" s="7"/>
      <c r="AV222" s="7"/>
      <c r="AW222" s="7"/>
      <c r="AX222" s="10"/>
      <c r="AY222" s="8"/>
      <c r="AZ222" s="6"/>
      <c r="BA222" s="10"/>
      <c r="BB222" s="8"/>
      <c r="BC222" s="7"/>
      <c r="BD222" s="7"/>
      <c r="BE222" s="7"/>
      <c r="BF222" s="8"/>
      <c r="BG222" s="7"/>
      <c r="BH222" s="6"/>
      <c r="BI222" s="7"/>
      <c r="BJ222" s="8"/>
      <c r="BK222" s="8"/>
      <c r="BL222" s="8"/>
      <c r="BM222" s="8"/>
      <c r="BN222" s="7"/>
      <c r="BO222" s="7"/>
      <c r="BP222" s="9"/>
      <c r="BQ222" s="6" t="n">
        <v>50.1</v>
      </c>
      <c r="BR222" s="6" t="n">
        <v>66.2</v>
      </c>
      <c r="BS222" s="6" t="n">
        <v>34</v>
      </c>
      <c r="BT222" s="7" t="n">
        <v>3.062</v>
      </c>
      <c r="BU222" s="10" t="n">
        <v>0.1258</v>
      </c>
      <c r="BV222" s="10" t="n">
        <v>0.8125</v>
      </c>
      <c r="BW222" s="7" t="n">
        <v>2.623</v>
      </c>
      <c r="BX222" s="10" t="n">
        <v>0.2877</v>
      </c>
      <c r="BY222" s="10" t="n">
        <v>0.0659</v>
      </c>
      <c r="BZ222" s="7" t="n">
        <v>2.212</v>
      </c>
      <c r="CA222" s="10" t="n">
        <v>0.864</v>
      </c>
      <c r="CB222" s="8" t="n">
        <v>5</v>
      </c>
      <c r="CC222" s="10" t="n">
        <v>0.0395</v>
      </c>
      <c r="CD222" s="10" t="n">
        <v>0.5721</v>
      </c>
      <c r="CE222" s="6" t="n">
        <v>61.65</v>
      </c>
      <c r="CF222" s="6" t="n">
        <v>38</v>
      </c>
      <c r="CG222" s="7" t="n">
        <v>3.71</v>
      </c>
      <c r="CH222" s="6" t="n">
        <v>21.3</v>
      </c>
      <c r="CI222" s="9" t="n">
        <v>0.0273</v>
      </c>
      <c r="CJ222" s="9" t="n">
        <v>0.0399</v>
      </c>
      <c r="CK222" s="8" t="n">
        <v>147</v>
      </c>
      <c r="CL222" s="10" t="n">
        <v>0.268</v>
      </c>
      <c r="CM222" s="8" t="n">
        <v>129</v>
      </c>
      <c r="CN222" s="10" t="n">
        <v>0.3</v>
      </c>
      <c r="CO222" s="8" t="n">
        <v>43</v>
      </c>
      <c r="CP222" s="7"/>
      <c r="CQ222" s="7"/>
      <c r="CR222" s="4"/>
      <c r="CS222" s="4" t="s">
        <v>206</v>
      </c>
    </row>
    <row r="223" customFormat="false" ht="15" hidden="false" customHeight="false" outlineLevel="0" collapsed="false">
      <c r="A223" s="3" t="n">
        <v>221</v>
      </c>
      <c r="B223" s="4" t="s">
        <v>584</v>
      </c>
      <c r="C223" s="11" t="s">
        <v>104</v>
      </c>
      <c r="D223" s="4" t="s">
        <v>585</v>
      </c>
      <c r="E223" s="4" t="s">
        <v>115</v>
      </c>
      <c r="F223" s="4" t="s">
        <v>281</v>
      </c>
      <c r="G223" s="3" t="n">
        <v>3</v>
      </c>
      <c r="H223" s="6" t="n">
        <v>26.7</v>
      </c>
      <c r="I223" s="3" t="n">
        <v>3</v>
      </c>
      <c r="J223" s="3" t="n">
        <v>11</v>
      </c>
      <c r="K223" s="7" t="n">
        <v>251.2</v>
      </c>
      <c r="L223" s="7" t="n">
        <v>40.97</v>
      </c>
      <c r="M223" s="8" t="n">
        <v>160</v>
      </c>
      <c r="N223" s="8" t="n">
        <v>313</v>
      </c>
      <c r="O223" s="7" t="n">
        <v>251.2</v>
      </c>
      <c r="P223" s="6" t="n">
        <v>5.3</v>
      </c>
      <c r="Q223" s="4" t="s">
        <v>115</v>
      </c>
      <c r="R223" s="8" t="n">
        <v>10</v>
      </c>
      <c r="S223" s="6" t="n">
        <v>20.8</v>
      </c>
      <c r="T223" s="7" t="n">
        <f aca="false">IFERROR(S223/R223,"")</f>
        <v>2.08</v>
      </c>
      <c r="U223" s="6" t="n">
        <v>19.8</v>
      </c>
      <c r="V223" s="6" t="n">
        <v>18.8</v>
      </c>
      <c r="W223" s="8" t="n">
        <v>65</v>
      </c>
      <c r="X223" s="7" t="n">
        <f aca="false">IFERROR(S223/AH223,"")</f>
        <v>0.866666666666667</v>
      </c>
      <c r="Y223" s="9" t="n">
        <f aca="false">IFERROR(S223/AF223,"")</f>
        <v>0.577777777777778</v>
      </c>
      <c r="Z223" s="6" t="n">
        <v>0.6</v>
      </c>
      <c r="AA223" s="6" t="n">
        <v>0.9</v>
      </c>
      <c r="AB223" s="6" t="n">
        <v>6.16</v>
      </c>
      <c r="AC223" s="10" t="n">
        <v>0</v>
      </c>
      <c r="AD223" s="10" t="n">
        <v>0.6</v>
      </c>
      <c r="AE223" s="7" t="n">
        <v>4.224</v>
      </c>
      <c r="AF223" s="8" t="n">
        <v>36</v>
      </c>
      <c r="AG223" s="10" t="n">
        <v>0.055</v>
      </c>
      <c r="AH223" s="8" t="n">
        <v>24</v>
      </c>
      <c r="AI223" s="8" t="n">
        <v>2</v>
      </c>
      <c r="AJ223" s="6" t="n">
        <f aca="false">IFERROR(AI223/R223,"")</f>
        <v>0.2</v>
      </c>
      <c r="AK223" s="10" t="n">
        <v>0.0204</v>
      </c>
      <c r="AL223" s="10" t="n">
        <v>-0.0012</v>
      </c>
      <c r="AM223" s="9" t="n">
        <v>0.0298</v>
      </c>
      <c r="AN223" s="8" t="n">
        <v>2</v>
      </c>
      <c r="AO223" s="10"/>
      <c r="AP223" s="8" t="n">
        <v>15</v>
      </c>
      <c r="AQ223" s="7"/>
      <c r="AR223" s="6"/>
      <c r="AS223" s="7"/>
      <c r="AT223" s="7"/>
      <c r="AU223" s="7"/>
      <c r="AV223" s="7"/>
      <c r="AW223" s="7"/>
      <c r="AX223" s="10"/>
      <c r="AY223" s="8" t="n">
        <v>22</v>
      </c>
      <c r="AZ223" s="6" t="n">
        <f aca="false">IFERROR(AY223/R223,"")</f>
        <v>2.2</v>
      </c>
      <c r="BA223" s="10" t="n">
        <v>0.1594</v>
      </c>
      <c r="BB223" s="8" t="n">
        <v>73</v>
      </c>
      <c r="BC223" s="7" t="n">
        <f aca="false">IFERROR(BB223/AY223,"")</f>
        <v>3.31818181818182</v>
      </c>
      <c r="BD223" s="7" t="n">
        <v>1.636</v>
      </c>
      <c r="BE223" s="7" t="n">
        <v>1.682</v>
      </c>
      <c r="BF223" s="8" t="n">
        <v>3</v>
      </c>
      <c r="BG223" s="7"/>
      <c r="BH223" s="6"/>
      <c r="BI223" s="7"/>
      <c r="BJ223" s="8" t="n">
        <v>5</v>
      </c>
      <c r="BK223" s="8" t="n">
        <v>1</v>
      </c>
      <c r="BL223" s="8" t="n">
        <v>0</v>
      </c>
      <c r="BM223" s="8" t="n">
        <v>1</v>
      </c>
      <c r="BN223" s="7" t="n">
        <v>0.44</v>
      </c>
      <c r="BO223" s="7" t="n">
        <f aca="false">IFERROR(BM223-BN223,"")</f>
        <v>0.56</v>
      </c>
      <c r="BP223" s="9" t="n">
        <f aca="false">IFERROR(BM223/AH223,"")</f>
        <v>0.0416666666666667</v>
      </c>
      <c r="BQ223" s="6" t="n">
        <v>49.9</v>
      </c>
      <c r="BR223" s="6" t="n">
        <v>39.3</v>
      </c>
      <c r="BS223" s="6" t="n">
        <v>60.5</v>
      </c>
      <c r="BT223" s="7" t="n">
        <v>2.758</v>
      </c>
      <c r="BU223" s="10" t="n">
        <v>0.2121</v>
      </c>
      <c r="BV223" s="10" t="n">
        <v>0.612903225806452</v>
      </c>
      <c r="BW223" s="7" t="n">
        <v>2.477</v>
      </c>
      <c r="BX223" s="10" t="n">
        <v>0.2266</v>
      </c>
      <c r="BY223" s="10" t="n">
        <v>0.0535</v>
      </c>
      <c r="BZ223" s="7" t="n">
        <v>2.4</v>
      </c>
      <c r="CA223" s="10" t="n">
        <v>0.942</v>
      </c>
      <c r="CB223" s="8" t="n">
        <v>5</v>
      </c>
      <c r="CC223" s="10" t="n">
        <v>-0.0677</v>
      </c>
      <c r="CD223" s="10" t="n">
        <v>0.5204</v>
      </c>
      <c r="CE223" s="6" t="n">
        <v>58.65</v>
      </c>
      <c r="CF223" s="6" t="n">
        <v>39</v>
      </c>
      <c r="CG223" s="7" t="n">
        <v>3.53</v>
      </c>
      <c r="CH223" s="6" t="n">
        <v>28.4</v>
      </c>
      <c r="CI223" s="9" t="n">
        <v>-0.0491</v>
      </c>
      <c r="CJ223" s="9" t="n">
        <v>0.1122</v>
      </c>
      <c r="CK223" s="8" t="n">
        <v>39</v>
      </c>
      <c r="CL223" s="10" t="n">
        <v>0.086</v>
      </c>
      <c r="CM223" s="8" t="n">
        <v>221</v>
      </c>
      <c r="CN223" s="10" t="n">
        <v>0.436</v>
      </c>
      <c r="CO223" s="8" t="n">
        <v>37</v>
      </c>
      <c r="CP223" s="7" t="n">
        <v>-0.299</v>
      </c>
      <c r="CQ223" s="7" t="n">
        <v>-0.299</v>
      </c>
      <c r="CR223" s="4" t="s">
        <v>102</v>
      </c>
      <c r="CS223" s="4"/>
    </row>
    <row r="224" customFormat="false" ht="15" hidden="false" customHeight="false" outlineLevel="0" collapsed="false">
      <c r="A224" s="3" t="n">
        <v>222</v>
      </c>
      <c r="B224" s="4" t="s">
        <v>586</v>
      </c>
      <c r="C224" s="5" t="s">
        <v>99</v>
      </c>
      <c r="D224" s="4" t="s">
        <v>587</v>
      </c>
      <c r="E224" s="4" t="s">
        <v>124</v>
      </c>
      <c r="F224" s="4" t="s">
        <v>99</v>
      </c>
      <c r="G224" s="3" t="n">
        <v>3</v>
      </c>
      <c r="H224" s="6" t="n">
        <v>29.7</v>
      </c>
      <c r="I224" s="3" t="n">
        <v>9</v>
      </c>
      <c r="J224" s="3" t="n">
        <v>8</v>
      </c>
      <c r="K224" s="7" t="n">
        <v>251.51</v>
      </c>
      <c r="L224" s="7" t="n">
        <v>30.85</v>
      </c>
      <c r="M224" s="8" t="n">
        <v>165</v>
      </c>
      <c r="N224" s="8" t="n">
        <v>324</v>
      </c>
      <c r="O224" s="7" t="n">
        <v>251.51</v>
      </c>
      <c r="P224" s="6" t="n">
        <v>6.9</v>
      </c>
      <c r="Q224" s="4" t="s">
        <v>139</v>
      </c>
      <c r="R224" s="8" t="n">
        <v>11</v>
      </c>
      <c r="S224" s="6" t="n">
        <v>57.9</v>
      </c>
      <c r="T224" s="7" t="n">
        <f aca="false">IFERROR(S224/R224,"")</f>
        <v>5.26363636363636</v>
      </c>
      <c r="U224" s="6" t="n">
        <v>43.9</v>
      </c>
      <c r="V224" s="6" t="n">
        <v>29.9</v>
      </c>
      <c r="W224" s="8" t="n">
        <v>78</v>
      </c>
      <c r="X224" s="7" t="n">
        <f aca="false">IFERROR(S224/AH224,"")</f>
        <v>1.11346153846154</v>
      </c>
      <c r="Y224" s="9" t="n">
        <f aca="false">IFERROR(S224/AF224,"")</f>
        <v>0.133718244803695</v>
      </c>
      <c r="Z224" s="6" t="n">
        <v>1.6</v>
      </c>
      <c r="AA224" s="6" t="n">
        <v>5</v>
      </c>
      <c r="AB224" s="6" t="n">
        <v>8.55</v>
      </c>
      <c r="AC224" s="10" t="n">
        <v>0</v>
      </c>
      <c r="AD224" s="10" t="n">
        <v>0.455</v>
      </c>
      <c r="AE224" s="7" t="n">
        <v>0.954</v>
      </c>
      <c r="AF224" s="8" t="n">
        <v>433</v>
      </c>
      <c r="AG224" s="10" t="n">
        <v>0.486</v>
      </c>
      <c r="AH224" s="8" t="n">
        <v>52</v>
      </c>
      <c r="AI224" s="8" t="n">
        <v>52</v>
      </c>
      <c r="AJ224" s="6" t="n">
        <f aca="false">IFERROR(AI224/R224,"")</f>
        <v>4.72727272727273</v>
      </c>
      <c r="AK224" s="10" t="n">
        <v>0.144</v>
      </c>
      <c r="AL224" s="10" t="n">
        <v>0.119</v>
      </c>
      <c r="AM224" s="9" t="n">
        <v>0.2993</v>
      </c>
      <c r="AN224" s="8" t="n">
        <v>28</v>
      </c>
      <c r="AO224" s="10" t="n">
        <f aca="false">IFERROR(AN224/AI224,"")</f>
        <v>0.538461538461538</v>
      </c>
      <c r="AP224" s="8" t="n">
        <v>239</v>
      </c>
      <c r="AQ224" s="7" t="n">
        <f aca="false">IFERROR(AP224/AI224,"")</f>
        <v>4.59615384615385</v>
      </c>
      <c r="AR224" s="6" t="n">
        <v>7.019</v>
      </c>
      <c r="AS224" s="7" t="n">
        <v>4.107</v>
      </c>
      <c r="AT224" s="7" t="n">
        <v>0.655</v>
      </c>
      <c r="AU224" s="7" t="n">
        <v>2.53994125718566</v>
      </c>
      <c r="AV224" s="7" t="n">
        <v>5.71116279069767</v>
      </c>
      <c r="AW224" s="7" t="n">
        <v>-0.249072859662676</v>
      </c>
      <c r="AX224" s="10" t="n">
        <v>0.0385</v>
      </c>
      <c r="AY224" s="8" t="n">
        <v>0</v>
      </c>
      <c r="AZ224" s="6" t="n">
        <f aca="false">IFERROR(AY224/R224,"")</f>
        <v>0</v>
      </c>
      <c r="BA224" s="10" t="n">
        <v>0</v>
      </c>
      <c r="BB224" s="8" t="n">
        <v>0</v>
      </c>
      <c r="BC224" s="7"/>
      <c r="BD224" s="7"/>
      <c r="BE224" s="7"/>
      <c r="BF224" s="8"/>
      <c r="BG224" s="7"/>
      <c r="BH224" s="6"/>
      <c r="BI224" s="7"/>
      <c r="BJ224" s="8" t="n">
        <v>6</v>
      </c>
      <c r="BK224" s="8" t="n">
        <v>4</v>
      </c>
      <c r="BL224" s="8" t="n">
        <v>2</v>
      </c>
      <c r="BM224" s="8" t="n">
        <v>1</v>
      </c>
      <c r="BN224" s="7" t="n">
        <v>2.75</v>
      </c>
      <c r="BO224" s="7" t="n">
        <f aca="false">IFERROR(BM224-BN224,"")</f>
        <v>-1.75</v>
      </c>
      <c r="BP224" s="9" t="n">
        <f aca="false">IFERROR(BM224/AH224,"")</f>
        <v>0.0192307692307692</v>
      </c>
      <c r="BQ224" s="6" t="n">
        <v>63.3</v>
      </c>
      <c r="BR224" s="6" t="n">
        <v>46.4</v>
      </c>
      <c r="BS224" s="6" t="n">
        <v>74.5</v>
      </c>
      <c r="BT224" s="7" t="n">
        <v>2.906</v>
      </c>
      <c r="BU224" s="10" t="n">
        <v>0.1848</v>
      </c>
      <c r="BV224" s="10" t="n">
        <v>0.655172413793103</v>
      </c>
      <c r="BW224" s="7" t="n">
        <v>2.349</v>
      </c>
      <c r="BX224" s="10" t="n">
        <v>0.2125</v>
      </c>
      <c r="BY224" s="10" t="n">
        <v>0.0428</v>
      </c>
      <c r="BZ224" s="7" t="n">
        <v>2.547</v>
      </c>
      <c r="CA224" s="10" t="n">
        <v>0.852</v>
      </c>
      <c r="CB224" s="8" t="n">
        <v>4</v>
      </c>
      <c r="CC224" s="10" t="n">
        <v>-0.0088</v>
      </c>
      <c r="CD224" s="10" t="n">
        <v>0.5521</v>
      </c>
      <c r="CE224" s="6" t="n">
        <v>62.65</v>
      </c>
      <c r="CF224" s="6" t="n">
        <v>38</v>
      </c>
      <c r="CG224" s="7" t="n">
        <v>3.88</v>
      </c>
      <c r="CH224" s="6" t="n">
        <v>25.7</v>
      </c>
      <c r="CI224" s="9" t="n">
        <v>-0.0044</v>
      </c>
      <c r="CJ224" s="9" t="n">
        <v>0.1587</v>
      </c>
      <c r="CK224" s="8" t="n">
        <v>170</v>
      </c>
      <c r="CL224" s="10" t="n">
        <v>0.309</v>
      </c>
      <c r="CM224" s="8" t="n">
        <v>94</v>
      </c>
      <c r="CN224" s="10" t="n">
        <v>0.195</v>
      </c>
      <c r="CO224" s="8" t="n">
        <v>38</v>
      </c>
      <c r="CP224" s="7" t="n">
        <v>-0.125</v>
      </c>
      <c r="CQ224" s="7" t="n">
        <v>-0.213</v>
      </c>
      <c r="CR224" s="4" t="s">
        <v>102</v>
      </c>
      <c r="CS224" s="4"/>
    </row>
    <row r="225" customFormat="false" ht="15" hidden="false" customHeight="false" outlineLevel="0" collapsed="false">
      <c r="A225" s="3" t="n">
        <v>223</v>
      </c>
      <c r="B225" s="4" t="s">
        <v>588</v>
      </c>
      <c r="C225" s="5" t="s">
        <v>99</v>
      </c>
      <c r="D225" s="4" t="s">
        <v>589</v>
      </c>
      <c r="E225" s="4" t="s">
        <v>183</v>
      </c>
      <c r="F225" s="4" t="s">
        <v>99</v>
      </c>
      <c r="G225" s="3" t="n">
        <v>3</v>
      </c>
      <c r="H225" s="6" t="n">
        <v>22</v>
      </c>
      <c r="I225" s="3" t="n">
        <v>0</v>
      </c>
      <c r="J225" s="3" t="n">
        <v>13</v>
      </c>
      <c r="K225" s="7" t="n">
        <v>251.76</v>
      </c>
      <c r="L225" s="7" t="n">
        <v>45.73</v>
      </c>
      <c r="M225" s="8" t="n">
        <v>154</v>
      </c>
      <c r="N225" s="8" t="n">
        <v>339</v>
      </c>
      <c r="O225" s="7" t="n">
        <v>251.76</v>
      </c>
      <c r="P225" s="6" t="n">
        <v>15.3</v>
      </c>
      <c r="Q225" s="4"/>
      <c r="R225" s="8"/>
      <c r="S225" s="6"/>
      <c r="T225" s="7"/>
      <c r="U225" s="6"/>
      <c r="V225" s="6"/>
      <c r="W225" s="8"/>
      <c r="X225" s="7"/>
      <c r="Y225" s="9"/>
      <c r="Z225" s="6"/>
      <c r="AA225" s="6"/>
      <c r="AB225" s="6"/>
      <c r="AC225" s="10"/>
      <c r="AD225" s="10"/>
      <c r="AE225" s="7"/>
      <c r="AF225" s="8"/>
      <c r="AG225" s="10"/>
      <c r="AH225" s="8"/>
      <c r="AI225" s="8"/>
      <c r="AJ225" s="6"/>
      <c r="AK225" s="10"/>
      <c r="AL225" s="10"/>
      <c r="AM225" s="9"/>
      <c r="AN225" s="8"/>
      <c r="AO225" s="10"/>
      <c r="AP225" s="8"/>
      <c r="AQ225" s="7"/>
      <c r="AR225" s="6"/>
      <c r="AS225" s="7"/>
      <c r="AT225" s="7"/>
      <c r="AU225" s="7"/>
      <c r="AV225" s="7"/>
      <c r="AW225" s="7"/>
      <c r="AX225" s="10"/>
      <c r="AY225" s="8"/>
      <c r="AZ225" s="6"/>
      <c r="BA225" s="10"/>
      <c r="BB225" s="8"/>
      <c r="BC225" s="7"/>
      <c r="BD225" s="7"/>
      <c r="BE225" s="7"/>
      <c r="BF225" s="8"/>
      <c r="BG225" s="7"/>
      <c r="BH225" s="6"/>
      <c r="BI225" s="7"/>
      <c r="BJ225" s="8"/>
      <c r="BK225" s="8"/>
      <c r="BL225" s="8"/>
      <c r="BM225" s="8"/>
      <c r="BN225" s="7"/>
      <c r="BO225" s="7"/>
      <c r="BP225" s="9"/>
      <c r="BQ225" s="6" t="n">
        <v>53.2</v>
      </c>
      <c r="BR225" s="6" t="n">
        <v>64.1</v>
      </c>
      <c r="BS225" s="6" t="n">
        <v>41</v>
      </c>
      <c r="BT225" s="7" t="n">
        <v>3.032</v>
      </c>
      <c r="BU225" s="10" t="n">
        <v>0.1574</v>
      </c>
      <c r="BV225" s="10" t="n">
        <v>0.648648648648649</v>
      </c>
      <c r="BW225" s="7" t="n">
        <v>3.144</v>
      </c>
      <c r="BX225" s="10" t="n">
        <v>0.2725</v>
      </c>
      <c r="BY225" s="10" t="n">
        <v>0.0849</v>
      </c>
      <c r="BZ225" s="7" t="n">
        <v>2.454</v>
      </c>
      <c r="CA225" s="10" t="n">
        <v>0.572</v>
      </c>
      <c r="CB225" s="8" t="n">
        <v>2</v>
      </c>
      <c r="CC225" s="10" t="n">
        <v>-0.0884</v>
      </c>
      <c r="CD225" s="10" t="n">
        <v>0.4667</v>
      </c>
      <c r="CE225" s="6" t="n">
        <v>56.24</v>
      </c>
      <c r="CF225" s="6" t="n">
        <v>39</v>
      </c>
      <c r="CG225" s="7" t="n">
        <v>3.59</v>
      </c>
      <c r="CH225" s="6" t="n">
        <v>24.9</v>
      </c>
      <c r="CI225" s="9" t="n">
        <v>0.0996</v>
      </c>
      <c r="CJ225" s="9" t="n">
        <v>-0.035</v>
      </c>
      <c r="CK225" s="8" t="n">
        <v>75</v>
      </c>
      <c r="CL225" s="10" t="n">
        <v>0.184</v>
      </c>
      <c r="CM225" s="8" t="n">
        <v>64</v>
      </c>
      <c r="CN225" s="10" t="n">
        <v>0.126</v>
      </c>
      <c r="CO225" s="8" t="n">
        <v>26</v>
      </c>
      <c r="CP225" s="7"/>
      <c r="CQ225" s="7"/>
      <c r="CR225" s="4"/>
      <c r="CS225" s="4" t="s">
        <v>206</v>
      </c>
    </row>
    <row r="226" customFormat="false" ht="15" hidden="false" customHeight="false" outlineLevel="0" collapsed="false">
      <c r="A226" s="3" t="n">
        <v>224</v>
      </c>
      <c r="B226" s="4" t="s">
        <v>590</v>
      </c>
      <c r="C226" s="12" t="s">
        <v>149</v>
      </c>
      <c r="D226" s="4" t="s">
        <v>591</v>
      </c>
      <c r="E226" s="4" t="s">
        <v>209</v>
      </c>
      <c r="F226" s="4" t="s">
        <v>149</v>
      </c>
      <c r="G226" s="3" t="n">
        <v>1</v>
      </c>
      <c r="H226" s="6" t="n">
        <v>32</v>
      </c>
      <c r="I226" s="3" t="n">
        <v>10</v>
      </c>
      <c r="J226" s="3" t="n">
        <v>10</v>
      </c>
      <c r="K226" s="7" t="n">
        <v>253.2</v>
      </c>
      <c r="L226" s="7" t="n">
        <v>26.19</v>
      </c>
      <c r="M226" s="8" t="n">
        <v>138</v>
      </c>
      <c r="N226" s="8" t="n">
        <v>300</v>
      </c>
      <c r="O226" s="7" t="n">
        <v>253.2</v>
      </c>
      <c r="P226" s="6" t="n">
        <v>8.3</v>
      </c>
      <c r="Q226" s="4" t="s">
        <v>209</v>
      </c>
      <c r="R226" s="8" t="n">
        <v>16</v>
      </c>
      <c r="S226" s="6" t="n">
        <v>102.8</v>
      </c>
      <c r="T226" s="7" t="n">
        <f aca="false">IFERROR(S226/R226,"")</f>
        <v>6.425</v>
      </c>
      <c r="U226" s="6" t="n">
        <v>77.8</v>
      </c>
      <c r="V226" s="6" t="n">
        <v>52.8</v>
      </c>
      <c r="W226" s="8" t="n">
        <v>26</v>
      </c>
      <c r="X226" s="7" t="n">
        <f aca="false">IFERROR(S226/AH226,"")</f>
        <v>1.33506493506494</v>
      </c>
      <c r="Y226" s="9" t="n">
        <f aca="false">IFERROR(S226/AF226,"")</f>
        <v>0.224454148471616</v>
      </c>
      <c r="Z226" s="6" t="n">
        <v>3.1</v>
      </c>
      <c r="AA226" s="6" t="n">
        <v>6.5</v>
      </c>
      <c r="AB226" s="6" t="n">
        <v>9.72</v>
      </c>
      <c r="AC226" s="10" t="n">
        <v>0.062</v>
      </c>
      <c r="AD226" s="10" t="n">
        <v>0.125</v>
      </c>
      <c r="AE226" s="7" t="n">
        <v>0.602</v>
      </c>
      <c r="AF226" s="8" t="n">
        <v>458</v>
      </c>
      <c r="AG226" s="10" t="n">
        <v>0.421</v>
      </c>
      <c r="AH226" s="8" t="n">
        <v>77</v>
      </c>
      <c r="AI226" s="8" t="n">
        <v>76</v>
      </c>
      <c r="AJ226" s="6" t="n">
        <f aca="false">IFERROR(AI226/R226,"")</f>
        <v>4.75</v>
      </c>
      <c r="AK226" s="10" t="n">
        <v>0.1355</v>
      </c>
      <c r="AL226" s="10" t="n">
        <v>0.0799</v>
      </c>
      <c r="AM226" s="9" t="n">
        <v>0.2592</v>
      </c>
      <c r="AN226" s="8" t="n">
        <v>50</v>
      </c>
      <c r="AO226" s="10" t="n">
        <f aca="false">IFERROR(AN226/AI226,"")</f>
        <v>0.657894736842105</v>
      </c>
      <c r="AP226" s="8" t="n">
        <v>461</v>
      </c>
      <c r="AQ226" s="7" t="n">
        <f aca="false">IFERROR(AP226/AI226,"")</f>
        <v>6.06578947368421</v>
      </c>
      <c r="AR226" s="6" t="n">
        <v>4.355</v>
      </c>
      <c r="AS226" s="7" t="n">
        <v>6.04</v>
      </c>
      <c r="AT226" s="7" t="n">
        <v>1.393</v>
      </c>
      <c r="AU226" s="7" t="n">
        <v>4.5777356159887</v>
      </c>
      <c r="AV226" s="7" t="n">
        <v>6.77365384615385</v>
      </c>
      <c r="AW226" s="7" t="n">
        <v>-0.0837162753851661</v>
      </c>
      <c r="AX226" s="10" t="n">
        <v>0.1053</v>
      </c>
      <c r="AY226" s="8" t="n">
        <v>1</v>
      </c>
      <c r="AZ226" s="6" t="n">
        <f aca="false">IFERROR(AY226/R226,"")</f>
        <v>0.0625</v>
      </c>
      <c r="BA226" s="10" t="n">
        <v>0.0023</v>
      </c>
      <c r="BB226" s="8" t="n">
        <v>7</v>
      </c>
      <c r="BC226" s="7"/>
      <c r="BD226" s="7"/>
      <c r="BE226" s="7"/>
      <c r="BF226" s="8" t="n">
        <v>0</v>
      </c>
      <c r="BG226" s="7"/>
      <c r="BH226" s="6"/>
      <c r="BI226" s="7"/>
      <c r="BJ226" s="8" t="n">
        <v>10</v>
      </c>
      <c r="BK226" s="8" t="n">
        <v>0</v>
      </c>
      <c r="BL226" s="8" t="n">
        <v>0</v>
      </c>
      <c r="BM226" s="8" t="n">
        <v>1</v>
      </c>
      <c r="BN226" s="7" t="n">
        <v>2.3</v>
      </c>
      <c r="BO226" s="7" t="n">
        <f aca="false">IFERROR(BM226-BN226,"")</f>
        <v>-1.3</v>
      </c>
      <c r="BP226" s="9" t="n">
        <f aca="false">IFERROR(BM226/AH226,"")</f>
        <v>0.012987012987013</v>
      </c>
      <c r="BQ226" s="6" t="n">
        <v>63.2</v>
      </c>
      <c r="BR226" s="6" t="n">
        <v>50</v>
      </c>
      <c r="BS226" s="6" t="n">
        <v>70.8</v>
      </c>
      <c r="BT226" s="7" t="n">
        <v>2.952</v>
      </c>
      <c r="BU226" s="10" t="n">
        <v>0.1682</v>
      </c>
      <c r="BV226" s="10" t="n">
        <v>0.551724137931035</v>
      </c>
      <c r="BW226" s="7" t="n">
        <v>2.592</v>
      </c>
      <c r="BX226" s="10" t="n">
        <v>0.2088</v>
      </c>
      <c r="BY226" s="10" t="n">
        <v>0.037</v>
      </c>
      <c r="BZ226" s="7" t="n">
        <v>2.401</v>
      </c>
      <c r="CA226" s="10" t="n">
        <v>0.999</v>
      </c>
      <c r="CB226" s="8" t="n">
        <v>5</v>
      </c>
      <c r="CC226" s="10" t="n">
        <v>0.0157</v>
      </c>
      <c r="CD226" s="10" t="n">
        <v>0.59</v>
      </c>
      <c r="CE226" s="6" t="n">
        <v>63.47</v>
      </c>
      <c r="CF226" s="6" t="n">
        <v>38</v>
      </c>
      <c r="CG226" s="7" t="n">
        <v>3.47</v>
      </c>
      <c r="CH226" s="6" t="n">
        <v>23.6</v>
      </c>
      <c r="CI226" s="9" t="n">
        <v>0.0004</v>
      </c>
      <c r="CJ226" s="9" t="n">
        <v>0.0835</v>
      </c>
      <c r="CK226" s="8" t="n">
        <v>4</v>
      </c>
      <c r="CL226" s="10" t="n">
        <v>0.007</v>
      </c>
      <c r="CM226" s="8" t="n">
        <v>0</v>
      </c>
      <c r="CN226" s="10" t="n">
        <v>0</v>
      </c>
      <c r="CO226" s="8" t="n">
        <v>1</v>
      </c>
      <c r="CP226" s="7" t="n">
        <v>-0.006</v>
      </c>
      <c r="CQ226" s="7" t="n">
        <v>-0.094</v>
      </c>
      <c r="CR226" s="4" t="s">
        <v>102</v>
      </c>
      <c r="CS226" s="4"/>
    </row>
    <row r="227" customFormat="false" ht="15" hidden="false" customHeight="false" outlineLevel="0" collapsed="false">
      <c r="A227" s="3" t="n">
        <v>225</v>
      </c>
      <c r="B227" s="4" t="s">
        <v>592</v>
      </c>
      <c r="C227" s="11" t="s">
        <v>104</v>
      </c>
      <c r="D227" s="4" t="s">
        <v>593</v>
      </c>
      <c r="E227" s="4" t="s">
        <v>127</v>
      </c>
      <c r="F227" s="4" t="s">
        <v>281</v>
      </c>
      <c r="G227" s="3" t="n">
        <v>2</v>
      </c>
      <c r="H227" s="6" t="n">
        <v>22.9</v>
      </c>
      <c r="I227" s="3" t="n">
        <v>0</v>
      </c>
      <c r="J227" s="3" t="n">
        <v>6</v>
      </c>
      <c r="K227" s="7" t="n">
        <v>254</v>
      </c>
      <c r="L227" s="7" t="n">
        <v>34.79</v>
      </c>
      <c r="M227" s="8" t="n">
        <v>164</v>
      </c>
      <c r="N227" s="8" t="n">
        <v>354</v>
      </c>
      <c r="O227" s="7" t="n">
        <v>254</v>
      </c>
      <c r="P227" s="6" t="n">
        <v>9.9</v>
      </c>
      <c r="Q227" s="4"/>
      <c r="R227" s="8"/>
      <c r="S227" s="6"/>
      <c r="T227" s="7"/>
      <c r="U227" s="6"/>
      <c r="V227" s="6"/>
      <c r="W227" s="8"/>
      <c r="X227" s="7"/>
      <c r="Y227" s="9"/>
      <c r="Z227" s="6"/>
      <c r="AA227" s="6"/>
      <c r="AB227" s="6"/>
      <c r="AC227" s="10"/>
      <c r="AD227" s="10"/>
      <c r="AE227" s="7"/>
      <c r="AF227" s="8"/>
      <c r="AG227" s="10"/>
      <c r="AH227" s="8"/>
      <c r="AI227" s="8"/>
      <c r="AJ227" s="6"/>
      <c r="AK227" s="10"/>
      <c r="AL227" s="10"/>
      <c r="AM227" s="9"/>
      <c r="AN227" s="8"/>
      <c r="AO227" s="10"/>
      <c r="AP227" s="8"/>
      <c r="AQ227" s="7"/>
      <c r="AR227" s="6"/>
      <c r="AS227" s="7"/>
      <c r="AT227" s="7"/>
      <c r="AU227" s="7"/>
      <c r="AV227" s="7"/>
      <c r="AW227" s="7"/>
      <c r="AX227" s="10"/>
      <c r="AY227" s="8"/>
      <c r="AZ227" s="6"/>
      <c r="BA227" s="10"/>
      <c r="BB227" s="8"/>
      <c r="BC227" s="7"/>
      <c r="BD227" s="7"/>
      <c r="BE227" s="7"/>
      <c r="BF227" s="8"/>
      <c r="BG227" s="7"/>
      <c r="BH227" s="6"/>
      <c r="BI227" s="7"/>
      <c r="BJ227" s="8"/>
      <c r="BK227" s="8"/>
      <c r="BL227" s="8"/>
      <c r="BM227" s="8"/>
      <c r="BN227" s="7"/>
      <c r="BO227" s="7"/>
      <c r="BP227" s="9"/>
      <c r="BQ227" s="6" t="n">
        <v>36</v>
      </c>
      <c r="BR227" s="6" t="n">
        <v>51.8</v>
      </c>
      <c r="BS227" s="6" t="n">
        <v>26.2</v>
      </c>
      <c r="BT227" s="7" t="n">
        <v>2.961</v>
      </c>
      <c r="BU227" s="10" t="n">
        <v>0.1751</v>
      </c>
      <c r="BV227" s="10" t="n">
        <v>0.7</v>
      </c>
      <c r="BW227" s="7" t="n">
        <v>2.441</v>
      </c>
      <c r="BX227" s="10" t="n">
        <v>0.3037</v>
      </c>
      <c r="BY227" s="10" t="n">
        <v>0.1028</v>
      </c>
      <c r="BZ227" s="7" t="n">
        <v>2.429</v>
      </c>
      <c r="CA227" s="10" t="n">
        <v>0.819</v>
      </c>
      <c r="CB227" s="8" t="n">
        <v>5</v>
      </c>
      <c r="CC227" s="10" t="n">
        <v>-0.012</v>
      </c>
      <c r="CD227" s="10" t="n">
        <v>0.5369</v>
      </c>
      <c r="CE227" s="6" t="n">
        <v>55.47</v>
      </c>
      <c r="CF227" s="6" t="n">
        <v>39</v>
      </c>
      <c r="CG227" s="7" t="n">
        <v>3.12</v>
      </c>
      <c r="CH227" s="6" t="n">
        <v>20.2</v>
      </c>
      <c r="CI227" s="9" t="n">
        <v>-0.0149</v>
      </c>
      <c r="CJ227" s="9" t="n">
        <v>-0.1883</v>
      </c>
      <c r="CK227" s="8" t="n">
        <v>82</v>
      </c>
      <c r="CL227" s="10" t="n">
        <v>0.175</v>
      </c>
      <c r="CM227" s="8" t="n">
        <v>24</v>
      </c>
      <c r="CN227" s="10" t="n">
        <v>0.059</v>
      </c>
      <c r="CO227" s="8" t="n">
        <v>17</v>
      </c>
      <c r="CP227" s="7"/>
      <c r="CQ227" s="7"/>
      <c r="CR227" s="4"/>
      <c r="CS227" s="4" t="s">
        <v>206</v>
      </c>
    </row>
    <row r="228" customFormat="false" ht="15" hidden="false" customHeight="false" outlineLevel="0" collapsed="false">
      <c r="A228" s="3" t="n">
        <v>226</v>
      </c>
      <c r="B228" s="4" t="s">
        <v>594</v>
      </c>
      <c r="C228" s="5" t="s">
        <v>99</v>
      </c>
      <c r="D228" s="4" t="s">
        <v>595</v>
      </c>
      <c r="E228" s="4" t="s">
        <v>198</v>
      </c>
      <c r="F228" s="4" t="s">
        <v>99</v>
      </c>
      <c r="G228" s="3" t="n">
        <v>4</v>
      </c>
      <c r="H228" s="6" t="n">
        <v>22.1</v>
      </c>
      <c r="I228" s="3" t="n">
        <v>0</v>
      </c>
      <c r="J228" s="3" t="n">
        <v>10</v>
      </c>
      <c r="K228" s="7" t="n">
        <v>254.24</v>
      </c>
      <c r="L228" s="7" t="n">
        <v>35.2</v>
      </c>
      <c r="M228" s="8" t="n">
        <v>184</v>
      </c>
      <c r="N228" s="8" t="n">
        <v>351</v>
      </c>
      <c r="O228" s="7" t="n">
        <v>254.24</v>
      </c>
      <c r="P228" s="6" t="n">
        <v>9.4</v>
      </c>
      <c r="Q228" s="4"/>
      <c r="R228" s="8"/>
      <c r="S228" s="6"/>
      <c r="T228" s="7"/>
      <c r="U228" s="6"/>
      <c r="V228" s="6"/>
      <c r="W228" s="8"/>
      <c r="X228" s="7"/>
      <c r="Y228" s="9"/>
      <c r="Z228" s="6"/>
      <c r="AA228" s="6"/>
      <c r="AB228" s="6"/>
      <c r="AC228" s="10"/>
      <c r="AD228" s="10"/>
      <c r="AE228" s="7"/>
      <c r="AF228" s="8"/>
      <c r="AG228" s="10"/>
      <c r="AH228" s="8"/>
      <c r="AI228" s="8"/>
      <c r="AJ228" s="6"/>
      <c r="AK228" s="10"/>
      <c r="AL228" s="10"/>
      <c r="AM228" s="9"/>
      <c r="AN228" s="8"/>
      <c r="AO228" s="10"/>
      <c r="AP228" s="8"/>
      <c r="AQ228" s="7"/>
      <c r="AR228" s="6"/>
      <c r="AS228" s="7"/>
      <c r="AT228" s="7"/>
      <c r="AU228" s="7"/>
      <c r="AV228" s="7"/>
      <c r="AW228" s="7"/>
      <c r="AX228" s="10"/>
      <c r="AY228" s="8"/>
      <c r="AZ228" s="6"/>
      <c r="BA228" s="10"/>
      <c r="BB228" s="8"/>
      <c r="BC228" s="7"/>
      <c r="BD228" s="7"/>
      <c r="BE228" s="7"/>
      <c r="BF228" s="8"/>
      <c r="BG228" s="7"/>
      <c r="BH228" s="6"/>
      <c r="BI228" s="7"/>
      <c r="BJ228" s="8"/>
      <c r="BK228" s="8"/>
      <c r="BL228" s="8"/>
      <c r="BM228" s="8"/>
      <c r="BN228" s="7"/>
      <c r="BO228" s="7"/>
      <c r="BP228" s="9"/>
      <c r="BQ228" s="6" t="n">
        <v>57.4</v>
      </c>
      <c r="BR228" s="6" t="n">
        <v>46.3</v>
      </c>
      <c r="BS228" s="6" t="n">
        <v>65.4</v>
      </c>
      <c r="BT228" s="7" t="n">
        <v>2.736</v>
      </c>
      <c r="BU228" s="10" t="n">
        <v>0.1938</v>
      </c>
      <c r="BV228" s="10" t="n">
        <v>0.708333333333333</v>
      </c>
      <c r="BW228" s="7" t="n">
        <v>2.699</v>
      </c>
      <c r="BX228" s="10" t="n">
        <v>0.172</v>
      </c>
      <c r="BY228" s="10" t="n">
        <v>0.0571</v>
      </c>
      <c r="BZ228" s="7" t="n">
        <v>2.292</v>
      </c>
      <c r="CA228" s="10" t="n">
        <v>0.791</v>
      </c>
      <c r="CB228" s="8" t="n">
        <v>4</v>
      </c>
      <c r="CC228" s="10" t="n">
        <v>-0.0347</v>
      </c>
      <c r="CD228" s="10" t="n">
        <v>0.5148</v>
      </c>
      <c r="CE228" s="6" t="n">
        <v>62.65</v>
      </c>
      <c r="CF228" s="6" t="n">
        <v>41</v>
      </c>
      <c r="CG228" s="7" t="n">
        <v>3.12</v>
      </c>
      <c r="CH228" s="6" t="n">
        <v>22.4</v>
      </c>
      <c r="CI228" s="9" t="n">
        <v>0.0138</v>
      </c>
      <c r="CJ228" s="9" t="n">
        <v>-0.0264</v>
      </c>
      <c r="CK228" s="8" t="n">
        <v>111</v>
      </c>
      <c r="CL228" s="10" t="n">
        <v>0.205</v>
      </c>
      <c r="CM228" s="8" t="n">
        <v>138</v>
      </c>
      <c r="CN228" s="10" t="n">
        <v>0.292</v>
      </c>
      <c r="CO228" s="8" t="n">
        <v>38</v>
      </c>
      <c r="CP228" s="7"/>
      <c r="CQ228" s="7"/>
      <c r="CR228" s="4"/>
      <c r="CS228" s="4" t="s">
        <v>206</v>
      </c>
    </row>
    <row r="229" customFormat="false" ht="15" hidden="false" customHeight="false" outlineLevel="0" collapsed="false">
      <c r="A229" s="3" t="n">
        <v>227</v>
      </c>
      <c r="B229" s="4" t="s">
        <v>596</v>
      </c>
      <c r="C229" s="5" t="s">
        <v>99</v>
      </c>
      <c r="D229" s="4" t="s">
        <v>597</v>
      </c>
      <c r="E229" s="4" t="s">
        <v>115</v>
      </c>
      <c r="F229" s="4" t="s">
        <v>270</v>
      </c>
      <c r="G229" s="3" t="n">
        <v>2</v>
      </c>
      <c r="H229" s="6" t="n">
        <v>23.7</v>
      </c>
      <c r="I229" s="3" t="n">
        <v>2</v>
      </c>
      <c r="J229" s="3" t="n">
        <v>11</v>
      </c>
      <c r="K229" s="7" t="n">
        <v>254.68</v>
      </c>
      <c r="L229" s="7" t="n">
        <v>23.67</v>
      </c>
      <c r="M229" s="8" t="n">
        <v>197</v>
      </c>
      <c r="N229" s="8" t="n">
        <v>323</v>
      </c>
      <c r="O229" s="7" t="n">
        <v>254.68</v>
      </c>
      <c r="P229" s="6" t="n">
        <v>8.6</v>
      </c>
      <c r="Q229" s="4" t="s">
        <v>115</v>
      </c>
      <c r="R229" s="8" t="n">
        <v>8</v>
      </c>
      <c r="S229" s="6" t="n">
        <v>65.1</v>
      </c>
      <c r="T229" s="7" t="n">
        <f aca="false">IFERROR(S229/R229,"")</f>
        <v>8.1375</v>
      </c>
      <c r="U229" s="6" t="n">
        <v>58.6</v>
      </c>
      <c r="V229" s="6" t="n">
        <v>52.1</v>
      </c>
      <c r="W229" s="8" t="n">
        <v>76</v>
      </c>
      <c r="X229" s="7" t="n">
        <f aca="false">IFERROR(S229/AH229,"")</f>
        <v>2.95909090909091</v>
      </c>
      <c r="Y229" s="9" t="n">
        <f aca="false">IFERROR(S229/AF229,"")</f>
        <v>0.288053097345133</v>
      </c>
      <c r="Z229" s="6" t="n">
        <v>0</v>
      </c>
      <c r="AA229" s="6" t="n">
        <v>6.6</v>
      </c>
      <c r="AB229" s="6" t="n">
        <v>17.93</v>
      </c>
      <c r="AC229" s="10" t="n">
        <v>0.125</v>
      </c>
      <c r="AD229" s="10" t="n">
        <v>0.5</v>
      </c>
      <c r="AE229" s="7" t="n">
        <v>1.318</v>
      </c>
      <c r="AF229" s="8" t="n">
        <v>226</v>
      </c>
      <c r="AG229" s="10" t="n">
        <v>0.481</v>
      </c>
      <c r="AH229" s="8" t="n">
        <v>22</v>
      </c>
      <c r="AI229" s="8" t="n">
        <v>22</v>
      </c>
      <c r="AJ229" s="6" t="n">
        <f aca="false">IFERROR(AI229/R229,"")</f>
        <v>2.75</v>
      </c>
      <c r="AK229" s="10" t="n">
        <v>0.1063</v>
      </c>
      <c r="AL229" s="10" t="n">
        <v>0.1737</v>
      </c>
      <c r="AM229" s="9" t="n">
        <v>0.281</v>
      </c>
      <c r="AN229" s="8" t="n">
        <v>13</v>
      </c>
      <c r="AO229" s="10" t="n">
        <f aca="false">IFERROR(AN229/AI229,"")</f>
        <v>0.590909090909091</v>
      </c>
      <c r="AP229" s="8" t="n">
        <v>161</v>
      </c>
      <c r="AQ229" s="7" t="n">
        <f aca="false">IFERROR(AP229/AI229,"")</f>
        <v>7.31818181818182</v>
      </c>
      <c r="AR229" s="6" t="n">
        <v>15.318</v>
      </c>
      <c r="AS229" s="7" t="n">
        <v>2.538</v>
      </c>
      <c r="AT229" s="7" t="n">
        <v>0.478</v>
      </c>
      <c r="AU229" s="7"/>
      <c r="AV229" s="7"/>
      <c r="AW229" s="7"/>
      <c r="AX229" s="10" t="n">
        <v>0</v>
      </c>
      <c r="AY229" s="8" t="n">
        <v>0</v>
      </c>
      <c r="AZ229" s="6" t="n">
        <f aca="false">IFERROR(AY229/R229,"")</f>
        <v>0</v>
      </c>
      <c r="BA229" s="10" t="n">
        <v>0</v>
      </c>
      <c r="BB229" s="8" t="n">
        <v>0</v>
      </c>
      <c r="BC229" s="7"/>
      <c r="BD229" s="7"/>
      <c r="BE229" s="7"/>
      <c r="BF229" s="8"/>
      <c r="BG229" s="7"/>
      <c r="BH229" s="6"/>
      <c r="BI229" s="7"/>
      <c r="BJ229" s="8" t="n">
        <v>4</v>
      </c>
      <c r="BK229" s="8" t="n">
        <v>3</v>
      </c>
      <c r="BL229" s="8" t="n">
        <v>1</v>
      </c>
      <c r="BM229" s="8" t="n">
        <v>5</v>
      </c>
      <c r="BN229" s="7" t="n">
        <v>1.6</v>
      </c>
      <c r="BO229" s="7" t="n">
        <f aca="false">IFERROR(BM229-BN229,"")</f>
        <v>3.4</v>
      </c>
      <c r="BP229" s="9" t="n">
        <f aca="false">IFERROR(BM229/AH229,"")</f>
        <v>0.227272727272727</v>
      </c>
      <c r="BQ229" s="6" t="n">
        <v>49.9</v>
      </c>
      <c r="BR229" s="6" t="n">
        <v>39.3</v>
      </c>
      <c r="BS229" s="6" t="n">
        <v>60.5</v>
      </c>
      <c r="BT229" s="7" t="n">
        <v>2.758</v>
      </c>
      <c r="BU229" s="10" t="n">
        <v>0.2121</v>
      </c>
      <c r="BV229" s="10" t="n">
        <v>0.612903225806452</v>
      </c>
      <c r="BW229" s="7" t="n">
        <v>2.477</v>
      </c>
      <c r="BX229" s="10" t="n">
        <v>0.2266</v>
      </c>
      <c r="BY229" s="10" t="n">
        <v>0.0535</v>
      </c>
      <c r="BZ229" s="7" t="n">
        <v>2.4</v>
      </c>
      <c r="CA229" s="10" t="n">
        <v>0.942</v>
      </c>
      <c r="CB229" s="8" t="n">
        <v>5</v>
      </c>
      <c r="CC229" s="10" t="n">
        <v>-0.0677</v>
      </c>
      <c r="CD229" s="10" t="n">
        <v>0.5204</v>
      </c>
      <c r="CE229" s="6" t="n">
        <v>58.65</v>
      </c>
      <c r="CF229" s="6" t="n">
        <v>39</v>
      </c>
      <c r="CG229" s="7" t="n">
        <v>3.53</v>
      </c>
      <c r="CH229" s="6" t="n">
        <v>28.4</v>
      </c>
      <c r="CI229" s="9" t="n">
        <v>-0.0491</v>
      </c>
      <c r="CJ229" s="9" t="n">
        <v>0.1122</v>
      </c>
      <c r="CK229" s="8" t="n">
        <v>39</v>
      </c>
      <c r="CL229" s="10" t="n">
        <v>0.086</v>
      </c>
      <c r="CM229" s="8" t="n">
        <v>221</v>
      </c>
      <c r="CN229" s="10" t="n">
        <v>0.436</v>
      </c>
      <c r="CO229" s="8" t="n">
        <v>37</v>
      </c>
      <c r="CP229" s="7" t="n">
        <v>0.069</v>
      </c>
      <c r="CQ229" s="7" t="n">
        <v>0.814</v>
      </c>
      <c r="CR229" s="4" t="s">
        <v>102</v>
      </c>
      <c r="CS229" s="4"/>
    </row>
    <row r="230" customFormat="false" ht="15" hidden="false" customHeight="false" outlineLevel="0" collapsed="false">
      <c r="A230" s="3" t="n">
        <v>228</v>
      </c>
      <c r="B230" s="4" t="s">
        <v>598</v>
      </c>
      <c r="C230" s="5" t="s">
        <v>99</v>
      </c>
      <c r="D230" s="4" t="s">
        <v>599</v>
      </c>
      <c r="E230" s="4" t="s">
        <v>178</v>
      </c>
      <c r="F230" s="4" t="s">
        <v>99</v>
      </c>
      <c r="G230" s="3" t="n">
        <v>5</v>
      </c>
      <c r="H230" s="6" t="n">
        <v>23</v>
      </c>
      <c r="I230" s="3" t="n">
        <v>0</v>
      </c>
      <c r="J230" s="3" t="n">
        <v>8</v>
      </c>
      <c r="K230" s="7" t="n">
        <v>254.83</v>
      </c>
      <c r="L230" s="7" t="n">
        <v>33.83</v>
      </c>
      <c r="M230" s="8" t="n">
        <v>190</v>
      </c>
      <c r="N230" s="8" t="n">
        <v>379</v>
      </c>
      <c r="O230" s="7" t="n">
        <v>254.83</v>
      </c>
      <c r="P230" s="6" t="n">
        <v>9.6</v>
      </c>
      <c r="Q230" s="4"/>
      <c r="R230" s="8"/>
      <c r="S230" s="6"/>
      <c r="T230" s="7"/>
      <c r="U230" s="6"/>
      <c r="V230" s="6"/>
      <c r="W230" s="8"/>
      <c r="X230" s="7"/>
      <c r="Y230" s="9"/>
      <c r="Z230" s="6"/>
      <c r="AA230" s="6"/>
      <c r="AB230" s="6"/>
      <c r="AC230" s="10"/>
      <c r="AD230" s="10"/>
      <c r="AE230" s="7"/>
      <c r="AF230" s="8"/>
      <c r="AG230" s="10"/>
      <c r="AH230" s="8"/>
      <c r="AI230" s="8"/>
      <c r="AJ230" s="6"/>
      <c r="AK230" s="10"/>
      <c r="AL230" s="10"/>
      <c r="AM230" s="9"/>
      <c r="AN230" s="8"/>
      <c r="AO230" s="10"/>
      <c r="AP230" s="8"/>
      <c r="AQ230" s="7"/>
      <c r="AR230" s="6"/>
      <c r="AS230" s="7"/>
      <c r="AT230" s="7"/>
      <c r="AU230" s="7"/>
      <c r="AV230" s="7"/>
      <c r="AW230" s="7"/>
      <c r="AX230" s="10"/>
      <c r="AY230" s="8"/>
      <c r="AZ230" s="6"/>
      <c r="BA230" s="10"/>
      <c r="BB230" s="8"/>
      <c r="BC230" s="7"/>
      <c r="BD230" s="7"/>
      <c r="BE230" s="7"/>
      <c r="BF230" s="8"/>
      <c r="BG230" s="7"/>
      <c r="BH230" s="6"/>
      <c r="BI230" s="7"/>
      <c r="BJ230" s="8"/>
      <c r="BK230" s="8"/>
      <c r="BL230" s="8"/>
      <c r="BM230" s="8"/>
      <c r="BN230" s="7"/>
      <c r="BO230" s="7"/>
      <c r="BP230" s="9"/>
      <c r="BQ230" s="6" t="n">
        <v>45.9</v>
      </c>
      <c r="BR230" s="6" t="n">
        <v>56.8</v>
      </c>
      <c r="BS230" s="6" t="n">
        <v>36.8</v>
      </c>
      <c r="BT230" s="7" t="n">
        <v>2.974</v>
      </c>
      <c r="BU230" s="10" t="n">
        <v>0.1475</v>
      </c>
      <c r="BV230" s="10" t="n">
        <v>0.625</v>
      </c>
      <c r="BW230" s="7" t="n">
        <v>2.714</v>
      </c>
      <c r="BX230" s="10" t="n">
        <v>0.2947</v>
      </c>
      <c r="BY230" s="10" t="n">
        <v>0.076</v>
      </c>
      <c r="BZ230" s="7" t="n">
        <v>2.388</v>
      </c>
      <c r="CA230" s="10" t="n">
        <v>0.723</v>
      </c>
      <c r="CB230" s="8" t="n">
        <v>4</v>
      </c>
      <c r="CC230" s="10" t="n">
        <v>-0.0466</v>
      </c>
      <c r="CD230" s="10" t="n">
        <v>0.494</v>
      </c>
      <c r="CE230" s="6" t="n">
        <v>63.47</v>
      </c>
      <c r="CF230" s="6" t="n">
        <v>36</v>
      </c>
      <c r="CG230" s="7" t="n">
        <v>3.59</v>
      </c>
      <c r="CH230" s="6" t="n">
        <v>22.4</v>
      </c>
      <c r="CI230" s="9" t="n">
        <v>0.0356</v>
      </c>
      <c r="CJ230" s="9" t="n">
        <v>-0.008</v>
      </c>
      <c r="CK230" s="8" t="n">
        <v>177</v>
      </c>
      <c r="CL230" s="10" t="n">
        <v>0.352</v>
      </c>
      <c r="CM230" s="8" t="n">
        <v>3</v>
      </c>
      <c r="CN230" s="10" t="n">
        <v>0.006</v>
      </c>
      <c r="CO230" s="8" t="n">
        <v>21</v>
      </c>
      <c r="CP230" s="7"/>
      <c r="CQ230" s="7"/>
      <c r="CR230" s="4"/>
      <c r="CS230" s="4" t="s">
        <v>206</v>
      </c>
    </row>
    <row r="231" customFormat="false" ht="15" hidden="false" customHeight="false" outlineLevel="0" collapsed="false">
      <c r="A231" s="3" t="n">
        <v>229</v>
      </c>
      <c r="B231" s="4" t="s">
        <v>600</v>
      </c>
      <c r="C231" s="11" t="s">
        <v>104</v>
      </c>
      <c r="D231" s="4" t="s">
        <v>601</v>
      </c>
      <c r="E231" s="4" t="s">
        <v>147</v>
      </c>
      <c r="F231" s="4" t="s">
        <v>281</v>
      </c>
      <c r="G231" s="3" t="n">
        <v>2</v>
      </c>
      <c r="H231" s="6" t="n">
        <v>28.9</v>
      </c>
      <c r="I231" s="3" t="n">
        <v>8</v>
      </c>
      <c r="J231" s="3" t="n">
        <v>7</v>
      </c>
      <c r="K231" s="7" t="n">
        <v>255.07</v>
      </c>
      <c r="L231" s="7" t="n">
        <v>36.02</v>
      </c>
      <c r="M231" s="8" t="n">
        <v>156</v>
      </c>
      <c r="N231" s="8" t="n">
        <v>385</v>
      </c>
      <c r="O231" s="7" t="n">
        <v>255.07</v>
      </c>
      <c r="P231" s="6" t="n">
        <v>2.6</v>
      </c>
      <c r="Q231" s="4" t="s">
        <v>147</v>
      </c>
      <c r="R231" s="8" t="n">
        <v>17</v>
      </c>
      <c r="S231" s="6" t="n">
        <v>100.3</v>
      </c>
      <c r="T231" s="7" t="n">
        <f aca="false">IFERROR(S231/R231,"")</f>
        <v>5.9</v>
      </c>
      <c r="U231" s="6" t="n">
        <v>88.3</v>
      </c>
      <c r="V231" s="6" t="n">
        <v>76.3</v>
      </c>
      <c r="W231" s="8" t="n">
        <v>45</v>
      </c>
      <c r="X231" s="7" t="n">
        <f aca="false">IFERROR(S231/AH231,"")</f>
        <v>1.20843373493976</v>
      </c>
      <c r="Y231" s="9" t="n">
        <f aca="false">IFERROR(S231/AF231,"")</f>
        <v>0.299402985074627</v>
      </c>
      <c r="Z231" s="6" t="n">
        <v>2.4</v>
      </c>
      <c r="AA231" s="6" t="n">
        <v>5.5</v>
      </c>
      <c r="AB231" s="6" t="n">
        <v>9.28</v>
      </c>
      <c r="AC231" s="10" t="n">
        <v>0.059</v>
      </c>
      <c r="AD231" s="10" t="n">
        <v>0.235</v>
      </c>
      <c r="AE231" s="7" t="n">
        <v>0.961</v>
      </c>
      <c r="AF231" s="8" t="n">
        <v>335</v>
      </c>
      <c r="AG231" s="10" t="n">
        <v>0.296</v>
      </c>
      <c r="AH231" s="8" t="n">
        <v>83</v>
      </c>
      <c r="AI231" s="8" t="n">
        <v>33</v>
      </c>
      <c r="AJ231" s="6" t="n">
        <f aca="false">IFERROR(AI231/R231,"")</f>
        <v>1.94117647058824</v>
      </c>
      <c r="AK231" s="10" t="n">
        <v>0.0689</v>
      </c>
      <c r="AL231" s="10" t="n">
        <v>-0.0112</v>
      </c>
      <c r="AM231" s="9" t="n">
        <v>0.0955</v>
      </c>
      <c r="AN231" s="8" t="n">
        <v>24</v>
      </c>
      <c r="AO231" s="10" t="n">
        <f aca="false">IFERROR(AN231/AI231,"")</f>
        <v>0.727272727272727</v>
      </c>
      <c r="AP231" s="8" t="n">
        <v>263</v>
      </c>
      <c r="AQ231" s="7" t="n">
        <f aca="false">IFERROR(AP231/AI231,"")</f>
        <v>7.96969696969697</v>
      </c>
      <c r="AR231" s="6" t="n">
        <v>-1.182</v>
      </c>
      <c r="AS231" s="7" t="n">
        <v>12.542</v>
      </c>
      <c r="AT231" s="7" t="n">
        <v>-6.744</v>
      </c>
      <c r="AU231" s="7"/>
      <c r="AV231" s="7"/>
      <c r="AW231" s="7"/>
      <c r="AX231" s="10" t="n">
        <v>0.0606</v>
      </c>
      <c r="AY231" s="8" t="n">
        <v>50</v>
      </c>
      <c r="AZ231" s="6" t="n">
        <f aca="false">IFERROR(AY231/R231,"")</f>
        <v>2.94117647058824</v>
      </c>
      <c r="BA231" s="10" t="n">
        <v>0.0914</v>
      </c>
      <c r="BB231" s="8" t="n">
        <v>200</v>
      </c>
      <c r="BC231" s="7" t="n">
        <f aca="false">IFERROR(BB231/AY231,"")</f>
        <v>4</v>
      </c>
      <c r="BD231" s="7" t="n">
        <v>2.58</v>
      </c>
      <c r="BE231" s="7" t="n">
        <v>1.42</v>
      </c>
      <c r="BF231" s="8" t="n">
        <v>2</v>
      </c>
      <c r="BG231" s="7"/>
      <c r="BH231" s="6"/>
      <c r="BI231" s="7"/>
      <c r="BJ231" s="8" t="n">
        <v>23</v>
      </c>
      <c r="BK231" s="8" t="n">
        <v>12</v>
      </c>
      <c r="BL231" s="8" t="n">
        <v>6</v>
      </c>
      <c r="BM231" s="8" t="n">
        <v>5</v>
      </c>
      <c r="BN231" s="7" t="n">
        <v>4.85</v>
      </c>
      <c r="BO231" s="7" t="n">
        <f aca="false">IFERROR(BM231-BN231,"")</f>
        <v>0.15</v>
      </c>
      <c r="BP231" s="9" t="n">
        <f aca="false">IFERROR(BM231/AH231,"")</f>
        <v>0.0602409638554217</v>
      </c>
      <c r="BQ231" s="6" t="n">
        <v>73.6</v>
      </c>
      <c r="BR231" s="6" t="n">
        <v>72.8</v>
      </c>
      <c r="BS231" s="6" t="n">
        <v>64.4</v>
      </c>
      <c r="BT231" s="7" t="n">
        <v>3.397</v>
      </c>
      <c r="BU231" s="10" t="n">
        <v>0.1265</v>
      </c>
      <c r="BV231" s="10" t="n">
        <v>0.540540540540541</v>
      </c>
      <c r="BW231" s="7" t="n">
        <v>2.905</v>
      </c>
      <c r="BX231" s="10" t="n">
        <v>0.2</v>
      </c>
      <c r="BY231" s="10" t="n">
        <v>0.0702</v>
      </c>
      <c r="BZ231" s="7" t="n">
        <v>2.507</v>
      </c>
      <c r="CA231" s="10" t="n">
        <v>0.763</v>
      </c>
      <c r="CB231" s="8" t="n">
        <v>4</v>
      </c>
      <c r="CC231" s="10" t="n">
        <v>-0.0352</v>
      </c>
      <c r="CD231" s="10" t="n">
        <v>0.5028</v>
      </c>
      <c r="CE231" s="6" t="n">
        <v>62.65</v>
      </c>
      <c r="CF231" s="6" t="n">
        <v>40</v>
      </c>
      <c r="CG231" s="7" t="n">
        <v>4</v>
      </c>
      <c r="CH231" s="6" t="n">
        <v>28.3</v>
      </c>
      <c r="CI231" s="9" t="n">
        <v>0.1102</v>
      </c>
      <c r="CJ231" s="9" t="n">
        <v>0.1599</v>
      </c>
      <c r="CK231" s="8" t="n">
        <v>19</v>
      </c>
      <c r="CL231" s="10" t="n">
        <v>0.04</v>
      </c>
      <c r="CM231" s="8" t="n">
        <v>17</v>
      </c>
      <c r="CN231" s="10" t="n">
        <v>0.031</v>
      </c>
      <c r="CO231" s="8" t="n">
        <v>2</v>
      </c>
      <c r="CP231" s="7" t="n">
        <v>0.648</v>
      </c>
      <c r="CQ231" s="7" t="n">
        <v>0.385</v>
      </c>
      <c r="CR231" s="4" t="s">
        <v>232</v>
      </c>
      <c r="CS231" s="4"/>
    </row>
    <row r="232" customFormat="false" ht="15" hidden="false" customHeight="false" outlineLevel="0" collapsed="false">
      <c r="A232" s="3" t="n">
        <v>230</v>
      </c>
      <c r="B232" s="4" t="s">
        <v>602</v>
      </c>
      <c r="C232" s="13" t="s">
        <v>172</v>
      </c>
      <c r="D232" s="4" t="s">
        <v>603</v>
      </c>
      <c r="E232" s="4" t="s">
        <v>142</v>
      </c>
      <c r="F232" s="4" t="s">
        <v>172</v>
      </c>
      <c r="G232" s="3" t="n">
        <v>2</v>
      </c>
      <c r="H232" s="6" t="n">
        <v>22.9</v>
      </c>
      <c r="I232" s="3" t="n">
        <v>0</v>
      </c>
      <c r="J232" s="3" t="n">
        <v>13</v>
      </c>
      <c r="K232" s="7" t="n">
        <v>255.58</v>
      </c>
      <c r="L232" s="7" t="n">
        <v>37.52</v>
      </c>
      <c r="M232" s="8" t="n">
        <v>172</v>
      </c>
      <c r="N232" s="8" t="n">
        <v>345</v>
      </c>
      <c r="O232" s="7" t="n">
        <v>255.58</v>
      </c>
      <c r="P232" s="6" t="n">
        <v>25.6</v>
      </c>
      <c r="Q232" s="4"/>
      <c r="R232" s="8"/>
      <c r="S232" s="6"/>
      <c r="T232" s="7"/>
      <c r="U232" s="6"/>
      <c r="V232" s="6"/>
      <c r="W232" s="8"/>
      <c r="X232" s="7"/>
      <c r="Y232" s="9"/>
      <c r="Z232" s="6"/>
      <c r="AA232" s="6"/>
      <c r="AB232" s="6"/>
      <c r="AC232" s="10"/>
      <c r="AD232" s="10"/>
      <c r="AE232" s="7"/>
      <c r="AF232" s="8"/>
      <c r="AG232" s="10"/>
      <c r="AH232" s="8"/>
      <c r="AI232" s="8"/>
      <c r="AJ232" s="6"/>
      <c r="AK232" s="10"/>
      <c r="AL232" s="10"/>
      <c r="AM232" s="9"/>
      <c r="AN232" s="8"/>
      <c r="AO232" s="10"/>
      <c r="AP232" s="8"/>
      <c r="AQ232" s="7"/>
      <c r="AR232" s="6"/>
      <c r="AS232" s="7"/>
      <c r="AT232" s="7"/>
      <c r="AU232" s="7"/>
      <c r="AV232" s="7"/>
      <c r="AW232" s="7"/>
      <c r="AX232" s="10"/>
      <c r="AY232" s="8"/>
      <c r="AZ232" s="6"/>
      <c r="BA232" s="10"/>
      <c r="BB232" s="8"/>
      <c r="BC232" s="7"/>
      <c r="BD232" s="7"/>
      <c r="BE232" s="7"/>
      <c r="BF232" s="8"/>
      <c r="BG232" s="7"/>
      <c r="BH232" s="6"/>
      <c r="BI232" s="7"/>
      <c r="BJ232" s="8"/>
      <c r="BK232" s="8"/>
      <c r="BL232" s="8"/>
      <c r="BM232" s="8"/>
      <c r="BN232" s="7"/>
      <c r="BO232" s="7"/>
      <c r="BP232" s="9"/>
      <c r="BQ232" s="6" t="n">
        <v>15.2</v>
      </c>
      <c r="BR232" s="6" t="n">
        <v>7.8</v>
      </c>
      <c r="BS232" s="6" t="n">
        <v>37.5</v>
      </c>
      <c r="BT232" s="7" t="n">
        <v>2.49</v>
      </c>
      <c r="BU232" s="10" t="n">
        <v>0.2502</v>
      </c>
      <c r="BV232" s="10" t="n">
        <v>0.366666666666667</v>
      </c>
      <c r="BW232" s="7" t="n">
        <v>1.629</v>
      </c>
      <c r="BX232" s="10" t="n">
        <v>0.2641</v>
      </c>
      <c r="BY232" s="10" t="n">
        <v>0.1019</v>
      </c>
      <c r="BZ232" s="7" t="n">
        <v>2.487</v>
      </c>
      <c r="CA232" s="10" t="n">
        <v>0.384</v>
      </c>
      <c r="CB232" s="8" t="n">
        <v>2</v>
      </c>
      <c r="CC232" s="10" t="n">
        <v>-0.0175</v>
      </c>
      <c r="CD232" s="10" t="n">
        <v>0.5679</v>
      </c>
      <c r="CE232" s="6" t="n">
        <v>55.41</v>
      </c>
      <c r="CF232" s="6" t="n">
        <v>38</v>
      </c>
      <c r="CG232" s="7" t="n">
        <v>2.24</v>
      </c>
      <c r="CH232" s="6" t="n">
        <v>14.2</v>
      </c>
      <c r="CI232" s="9" t="n">
        <v>-0.2605</v>
      </c>
      <c r="CJ232" s="9" t="n">
        <v>-0.187</v>
      </c>
      <c r="CK232" s="8" t="n">
        <v>55</v>
      </c>
      <c r="CL232" s="10" t="n">
        <v>0.111</v>
      </c>
      <c r="CM232" s="8" t="n">
        <v>58</v>
      </c>
      <c r="CN232" s="10" t="n">
        <v>0.157</v>
      </c>
      <c r="CO232" s="8" t="n">
        <v>13</v>
      </c>
      <c r="CP232" s="7"/>
      <c r="CQ232" s="7"/>
      <c r="CR232" s="4"/>
      <c r="CS232" s="4" t="s">
        <v>206</v>
      </c>
    </row>
    <row r="233" customFormat="false" ht="15" hidden="false" customHeight="false" outlineLevel="0" collapsed="false">
      <c r="A233" s="3" t="n">
        <v>231</v>
      </c>
      <c r="B233" s="4" t="s">
        <v>604</v>
      </c>
      <c r="C233" s="5" t="s">
        <v>99</v>
      </c>
      <c r="D233" s="4" t="s">
        <v>605</v>
      </c>
      <c r="E233" s="4" t="s">
        <v>161</v>
      </c>
      <c r="F233" s="4"/>
      <c r="G233" s="3"/>
      <c r="H233" s="6" t="n">
        <v>32.5</v>
      </c>
      <c r="I233" s="3" t="n">
        <v>10</v>
      </c>
      <c r="J233" s="3"/>
      <c r="K233" s="7" t="n">
        <v>256.37</v>
      </c>
      <c r="L233" s="7" t="n">
        <v>47.4</v>
      </c>
      <c r="M233" s="8" t="n">
        <v>133</v>
      </c>
      <c r="N233" s="8" t="n">
        <v>340</v>
      </c>
      <c r="O233" s="7" t="n">
        <v>256.37</v>
      </c>
      <c r="P233" s="6" t="n">
        <v>18</v>
      </c>
      <c r="Q233" s="4" t="s">
        <v>161</v>
      </c>
      <c r="R233" s="8" t="n">
        <v>4</v>
      </c>
      <c r="S233" s="6" t="n">
        <v>53.5</v>
      </c>
      <c r="T233" s="7" t="n">
        <f aca="false">IFERROR(S233/R233,"")</f>
        <v>13.375</v>
      </c>
      <c r="U233" s="6" t="n">
        <v>43</v>
      </c>
      <c r="V233" s="6" t="n">
        <v>32.5</v>
      </c>
      <c r="W233" s="8" t="n">
        <v>81</v>
      </c>
      <c r="X233" s="7" t="n">
        <f aca="false">IFERROR(S233/AH233,"")</f>
        <v>1.8448275862069</v>
      </c>
      <c r="Y233" s="9" t="n">
        <f aca="false">IFERROR(S233/AF233,"")</f>
        <v>0.345161290322581</v>
      </c>
      <c r="Z233" s="6" t="n">
        <v>11.52</v>
      </c>
      <c r="AA233" s="6" t="n">
        <v>14.3</v>
      </c>
      <c r="AB233" s="6" t="n">
        <v>16.45</v>
      </c>
      <c r="AC233" s="10" t="n">
        <v>0</v>
      </c>
      <c r="AD233" s="10" t="n">
        <v>0</v>
      </c>
      <c r="AE233" s="7" t="n">
        <v>0.28</v>
      </c>
      <c r="AF233" s="8" t="n">
        <v>155</v>
      </c>
      <c r="AG233" s="10" t="n">
        <v>0.685</v>
      </c>
      <c r="AH233" s="8" t="n">
        <v>29</v>
      </c>
      <c r="AI233" s="8" t="n">
        <v>29</v>
      </c>
      <c r="AJ233" s="6" t="n">
        <f aca="false">IFERROR(AI233/R233,"")</f>
        <v>7.25</v>
      </c>
      <c r="AK233" s="10" t="n">
        <v>0.2397</v>
      </c>
      <c r="AL233" s="10" t="n">
        <v>0.4896</v>
      </c>
      <c r="AM233" s="9" t="n">
        <v>0.7023</v>
      </c>
      <c r="AN233" s="8" t="n">
        <v>21</v>
      </c>
      <c r="AO233" s="10" t="n">
        <f aca="false">IFERROR(AN233/AI233,"")</f>
        <v>0.724137931034483</v>
      </c>
      <c r="AP233" s="8" t="n">
        <v>265</v>
      </c>
      <c r="AQ233" s="7" t="n">
        <f aca="false">IFERROR(AP233/AI233,"")</f>
        <v>9.13793103448276</v>
      </c>
      <c r="AR233" s="6" t="n">
        <v>13.759</v>
      </c>
      <c r="AS233" s="7" t="n">
        <v>2.714</v>
      </c>
      <c r="AT233" s="7" t="n">
        <v>0.664</v>
      </c>
      <c r="AU233" s="7"/>
      <c r="AV233" s="7"/>
      <c r="AW233" s="7"/>
      <c r="AX233" s="10" t="n">
        <v>0</v>
      </c>
      <c r="AY233" s="8" t="n">
        <v>0</v>
      </c>
      <c r="AZ233" s="6" t="n">
        <f aca="false">IFERROR(AY233/R233,"")</f>
        <v>0</v>
      </c>
      <c r="BA233" s="10" t="n">
        <v>0</v>
      </c>
      <c r="BB233" s="8" t="n">
        <v>0</v>
      </c>
      <c r="BC233" s="7"/>
      <c r="BD233" s="7"/>
      <c r="BE233" s="7"/>
      <c r="BF233" s="8"/>
      <c r="BG233" s="7"/>
      <c r="BH233" s="6"/>
      <c r="BI233" s="7"/>
      <c r="BJ233" s="8" t="n">
        <v>2</v>
      </c>
      <c r="BK233" s="8" t="n">
        <v>2</v>
      </c>
      <c r="BL233" s="8" t="n">
        <v>1</v>
      </c>
      <c r="BM233" s="8" t="n">
        <v>1</v>
      </c>
      <c r="BN233" s="7" t="n">
        <v>1.23</v>
      </c>
      <c r="BO233" s="7" t="n">
        <f aca="false">IFERROR(BM233-BN233,"")</f>
        <v>-0.23</v>
      </c>
      <c r="BP233" s="9" t="n">
        <f aca="false">IFERROR(BM233/AH233,"")</f>
        <v>0.0344827586206897</v>
      </c>
      <c r="BQ233" s="6" t="n">
        <v>38.6</v>
      </c>
      <c r="BR233" s="6" t="n">
        <v>37.5</v>
      </c>
      <c r="BS233" s="6" t="n">
        <v>44.5</v>
      </c>
      <c r="BT233" s="7" t="n">
        <v>2.839</v>
      </c>
      <c r="BU233" s="10" t="n">
        <v>0.2101</v>
      </c>
      <c r="BV233" s="10" t="n">
        <v>0.586206896551724</v>
      </c>
      <c r="BW233" s="7" t="n">
        <v>2.199</v>
      </c>
      <c r="BX233" s="10" t="n">
        <v>0.2422</v>
      </c>
      <c r="BY233" s="10" t="n">
        <v>0.0727</v>
      </c>
      <c r="BZ233" s="7" t="n">
        <v>2.29</v>
      </c>
      <c r="CA233" s="10" t="n">
        <v>0.672</v>
      </c>
      <c r="CB233" s="8" t="n">
        <v>4</v>
      </c>
      <c r="CC233" s="10" t="n">
        <v>-0.0584</v>
      </c>
      <c r="CD233" s="10" t="n">
        <v>0.5279</v>
      </c>
      <c r="CE233" s="6" t="n">
        <v>55.41</v>
      </c>
      <c r="CF233" s="6" t="n">
        <v>41</v>
      </c>
      <c r="CG233" s="7" t="n">
        <v>2.82</v>
      </c>
      <c r="CH233" s="6" t="n">
        <v>20.4</v>
      </c>
      <c r="CI233" s="9" t="n">
        <v>-0.026</v>
      </c>
      <c r="CJ233" s="9" t="n">
        <v>-0.0093</v>
      </c>
      <c r="CK233" s="8" t="n">
        <v>209</v>
      </c>
      <c r="CL233" s="10" t="n">
        <v>0.452</v>
      </c>
      <c r="CM233" s="8" t="n">
        <v>28</v>
      </c>
      <c r="CN233" s="10" t="n">
        <v>0.065</v>
      </c>
      <c r="CO233" s="8" t="n">
        <v>32</v>
      </c>
      <c r="CP233" s="7" t="n">
        <v>-0.079</v>
      </c>
      <c r="CQ233" s="7" t="n">
        <v>2.681</v>
      </c>
      <c r="CR233" s="4" t="s">
        <v>102</v>
      </c>
      <c r="CS233" s="4" t="s">
        <v>606</v>
      </c>
    </row>
    <row r="234" customFormat="false" ht="15" hidden="false" customHeight="false" outlineLevel="0" collapsed="false">
      <c r="A234" s="3" t="n">
        <v>232</v>
      </c>
      <c r="B234" s="4" t="s">
        <v>607</v>
      </c>
      <c r="C234" s="5" t="s">
        <v>99</v>
      </c>
      <c r="D234" s="4" t="s">
        <v>608</v>
      </c>
      <c r="E234" s="4" t="s">
        <v>161</v>
      </c>
      <c r="F234" s="4" t="s">
        <v>99</v>
      </c>
      <c r="G234" s="3" t="n">
        <v>3</v>
      </c>
      <c r="H234" s="6" t="n">
        <v>22.9</v>
      </c>
      <c r="I234" s="3" t="n">
        <v>0</v>
      </c>
      <c r="J234" s="3" t="n">
        <v>6</v>
      </c>
      <c r="K234" s="7" t="n">
        <v>257.79</v>
      </c>
      <c r="L234" s="7" t="n">
        <v>57.39</v>
      </c>
      <c r="M234" s="8" t="n">
        <v>164</v>
      </c>
      <c r="N234" s="8" t="n">
        <v>390</v>
      </c>
      <c r="O234" s="7" t="n">
        <v>257.79</v>
      </c>
      <c r="P234" s="6" t="n">
        <v>3.4</v>
      </c>
      <c r="Q234" s="4"/>
      <c r="R234" s="8"/>
      <c r="S234" s="6"/>
      <c r="T234" s="7"/>
      <c r="U234" s="6"/>
      <c r="V234" s="6"/>
      <c r="W234" s="8"/>
      <c r="X234" s="7"/>
      <c r="Y234" s="9"/>
      <c r="Z234" s="6"/>
      <c r="AA234" s="6"/>
      <c r="AB234" s="6"/>
      <c r="AC234" s="10"/>
      <c r="AD234" s="10"/>
      <c r="AE234" s="7"/>
      <c r="AF234" s="8"/>
      <c r="AG234" s="10"/>
      <c r="AH234" s="8"/>
      <c r="AI234" s="8"/>
      <c r="AJ234" s="6"/>
      <c r="AK234" s="10"/>
      <c r="AL234" s="10"/>
      <c r="AM234" s="9"/>
      <c r="AN234" s="8"/>
      <c r="AO234" s="10"/>
      <c r="AP234" s="8"/>
      <c r="AQ234" s="7"/>
      <c r="AR234" s="6"/>
      <c r="AS234" s="7"/>
      <c r="AT234" s="7"/>
      <c r="AU234" s="7"/>
      <c r="AV234" s="7"/>
      <c r="AW234" s="7"/>
      <c r="AX234" s="10"/>
      <c r="AY234" s="8"/>
      <c r="AZ234" s="6"/>
      <c r="BA234" s="10"/>
      <c r="BB234" s="8"/>
      <c r="BC234" s="7"/>
      <c r="BD234" s="7"/>
      <c r="BE234" s="7"/>
      <c r="BF234" s="8"/>
      <c r="BG234" s="7"/>
      <c r="BH234" s="6"/>
      <c r="BI234" s="7"/>
      <c r="BJ234" s="8"/>
      <c r="BK234" s="8"/>
      <c r="BL234" s="8"/>
      <c r="BM234" s="8"/>
      <c r="BN234" s="7"/>
      <c r="BO234" s="7"/>
      <c r="BP234" s="9"/>
      <c r="BQ234" s="6" t="n">
        <v>38.6</v>
      </c>
      <c r="BR234" s="6" t="n">
        <v>37.5</v>
      </c>
      <c r="BS234" s="6" t="n">
        <v>44.5</v>
      </c>
      <c r="BT234" s="7" t="n">
        <v>2.839</v>
      </c>
      <c r="BU234" s="10" t="n">
        <v>0.2101</v>
      </c>
      <c r="BV234" s="10" t="n">
        <v>0.586206896551724</v>
      </c>
      <c r="BW234" s="7" t="n">
        <v>2.199</v>
      </c>
      <c r="BX234" s="10" t="n">
        <v>0.2422</v>
      </c>
      <c r="BY234" s="10" t="n">
        <v>0.0727</v>
      </c>
      <c r="BZ234" s="7" t="n">
        <v>2.29</v>
      </c>
      <c r="CA234" s="10" t="n">
        <v>0.672</v>
      </c>
      <c r="CB234" s="8" t="n">
        <v>4</v>
      </c>
      <c r="CC234" s="10" t="n">
        <v>-0.0584</v>
      </c>
      <c r="CD234" s="10" t="n">
        <v>0.5279</v>
      </c>
      <c r="CE234" s="6" t="n">
        <v>55.41</v>
      </c>
      <c r="CF234" s="6" t="n">
        <v>41</v>
      </c>
      <c r="CG234" s="7" t="n">
        <v>2.82</v>
      </c>
      <c r="CH234" s="6" t="n">
        <v>20.4</v>
      </c>
      <c r="CI234" s="9" t="n">
        <v>-0.026</v>
      </c>
      <c r="CJ234" s="9" t="n">
        <v>-0.0093</v>
      </c>
      <c r="CK234" s="8" t="n">
        <v>209</v>
      </c>
      <c r="CL234" s="10" t="n">
        <v>0.452</v>
      </c>
      <c r="CM234" s="8" t="n">
        <v>28</v>
      </c>
      <c r="CN234" s="10" t="n">
        <v>0.065</v>
      </c>
      <c r="CO234" s="8" t="n">
        <v>32</v>
      </c>
      <c r="CP234" s="7"/>
      <c r="CQ234" s="7"/>
      <c r="CR234" s="4"/>
      <c r="CS234" s="4" t="s">
        <v>206</v>
      </c>
    </row>
    <row r="235" customFormat="false" ht="15" hidden="false" customHeight="false" outlineLevel="0" collapsed="false">
      <c r="A235" s="3" t="n">
        <v>233</v>
      </c>
      <c r="B235" s="4" t="s">
        <v>609</v>
      </c>
      <c r="C235" s="5" t="s">
        <v>99</v>
      </c>
      <c r="D235" s="4" t="s">
        <v>610</v>
      </c>
      <c r="E235" s="4" t="s">
        <v>183</v>
      </c>
      <c r="F235" s="4" t="s">
        <v>270</v>
      </c>
      <c r="G235" s="3" t="n">
        <v>2</v>
      </c>
      <c r="H235" s="6" t="n">
        <v>23.2</v>
      </c>
      <c r="I235" s="3" t="n">
        <v>0</v>
      </c>
      <c r="J235" s="3" t="n">
        <v>13</v>
      </c>
      <c r="K235" s="7" t="n">
        <v>258.99</v>
      </c>
      <c r="L235" s="7" t="n">
        <v>23.75</v>
      </c>
      <c r="M235" s="8" t="n">
        <v>208</v>
      </c>
      <c r="N235" s="8" t="n">
        <v>350</v>
      </c>
      <c r="O235" s="7" t="n">
        <v>258.99</v>
      </c>
      <c r="P235" s="6" t="n">
        <v>8.5</v>
      </c>
      <c r="Q235" s="4"/>
      <c r="R235" s="8"/>
      <c r="S235" s="6"/>
      <c r="T235" s="7"/>
      <c r="U235" s="6"/>
      <c r="V235" s="6"/>
      <c r="W235" s="8"/>
      <c r="X235" s="7"/>
      <c r="Y235" s="9"/>
      <c r="Z235" s="6"/>
      <c r="AA235" s="6"/>
      <c r="AB235" s="6"/>
      <c r="AC235" s="10"/>
      <c r="AD235" s="10"/>
      <c r="AE235" s="7"/>
      <c r="AF235" s="8"/>
      <c r="AG235" s="10"/>
      <c r="AH235" s="8"/>
      <c r="AI235" s="8"/>
      <c r="AJ235" s="6"/>
      <c r="AK235" s="10"/>
      <c r="AL235" s="10"/>
      <c r="AM235" s="9"/>
      <c r="AN235" s="8"/>
      <c r="AO235" s="10"/>
      <c r="AP235" s="8"/>
      <c r="AQ235" s="7"/>
      <c r="AR235" s="6"/>
      <c r="AS235" s="7"/>
      <c r="AT235" s="7"/>
      <c r="AU235" s="7"/>
      <c r="AV235" s="7"/>
      <c r="AW235" s="7"/>
      <c r="AX235" s="10"/>
      <c r="AY235" s="8"/>
      <c r="AZ235" s="6"/>
      <c r="BA235" s="10"/>
      <c r="BB235" s="8"/>
      <c r="BC235" s="7"/>
      <c r="BD235" s="7"/>
      <c r="BE235" s="7"/>
      <c r="BF235" s="8"/>
      <c r="BG235" s="7"/>
      <c r="BH235" s="6"/>
      <c r="BI235" s="7"/>
      <c r="BJ235" s="8"/>
      <c r="BK235" s="8"/>
      <c r="BL235" s="8"/>
      <c r="BM235" s="8"/>
      <c r="BN235" s="7"/>
      <c r="BO235" s="7"/>
      <c r="BP235" s="9"/>
      <c r="BQ235" s="6" t="n">
        <v>53.2</v>
      </c>
      <c r="BR235" s="6" t="n">
        <v>64.1</v>
      </c>
      <c r="BS235" s="6" t="n">
        <v>41</v>
      </c>
      <c r="BT235" s="7" t="n">
        <v>3.032</v>
      </c>
      <c r="BU235" s="10" t="n">
        <v>0.1574</v>
      </c>
      <c r="BV235" s="10" t="n">
        <v>0.648648648648649</v>
      </c>
      <c r="BW235" s="7" t="n">
        <v>3.144</v>
      </c>
      <c r="BX235" s="10" t="n">
        <v>0.2725</v>
      </c>
      <c r="BY235" s="10" t="n">
        <v>0.0849</v>
      </c>
      <c r="BZ235" s="7" t="n">
        <v>2.454</v>
      </c>
      <c r="CA235" s="10" t="n">
        <v>0.572</v>
      </c>
      <c r="CB235" s="8" t="n">
        <v>2</v>
      </c>
      <c r="CC235" s="10" t="n">
        <v>-0.0884</v>
      </c>
      <c r="CD235" s="10" t="n">
        <v>0.4667</v>
      </c>
      <c r="CE235" s="6" t="n">
        <v>56.24</v>
      </c>
      <c r="CF235" s="6" t="n">
        <v>39</v>
      </c>
      <c r="CG235" s="7" t="n">
        <v>3.59</v>
      </c>
      <c r="CH235" s="6" t="n">
        <v>24.9</v>
      </c>
      <c r="CI235" s="9" t="n">
        <v>0.0996</v>
      </c>
      <c r="CJ235" s="9" t="n">
        <v>-0.035</v>
      </c>
      <c r="CK235" s="8" t="n">
        <v>75</v>
      </c>
      <c r="CL235" s="10" t="n">
        <v>0.184</v>
      </c>
      <c r="CM235" s="8" t="n">
        <v>64</v>
      </c>
      <c r="CN235" s="10" t="n">
        <v>0.126</v>
      </c>
      <c r="CO235" s="8" t="n">
        <v>26</v>
      </c>
      <c r="CP235" s="7"/>
      <c r="CQ235" s="7"/>
      <c r="CR235" s="4"/>
      <c r="CS235" s="4" t="s">
        <v>206</v>
      </c>
    </row>
    <row r="236" customFormat="false" ht="15" hidden="false" customHeight="false" outlineLevel="0" collapsed="false">
      <c r="A236" s="3" t="n">
        <v>234</v>
      </c>
      <c r="B236" s="4" t="s">
        <v>611</v>
      </c>
      <c r="C236" s="5" t="s">
        <v>99</v>
      </c>
      <c r="D236" s="4" t="s">
        <v>612</v>
      </c>
      <c r="E236" s="4" t="s">
        <v>209</v>
      </c>
      <c r="F236" s="4" t="s">
        <v>270</v>
      </c>
      <c r="G236" s="3" t="n">
        <v>1</v>
      </c>
      <c r="H236" s="6" t="n">
        <v>24.4</v>
      </c>
      <c r="I236" s="3" t="n">
        <v>4</v>
      </c>
      <c r="J236" s="3" t="n">
        <v>10</v>
      </c>
      <c r="K236" s="7" t="n">
        <v>259.05</v>
      </c>
      <c r="L236" s="7" t="n">
        <v>24.21</v>
      </c>
      <c r="M236" s="8" t="n">
        <v>202</v>
      </c>
      <c r="N236" s="8" t="n">
        <v>299</v>
      </c>
      <c r="O236" s="7" t="n">
        <v>259.05</v>
      </c>
      <c r="P236" s="6" t="n">
        <v>6.5</v>
      </c>
      <c r="Q236" s="4" t="s">
        <v>209</v>
      </c>
      <c r="R236" s="8" t="n">
        <v>15</v>
      </c>
      <c r="S236" s="6" t="n">
        <v>95</v>
      </c>
      <c r="T236" s="7" t="n">
        <f aca="false">IFERROR(S236/R236,"")</f>
        <v>6.33333333333333</v>
      </c>
      <c r="U236" s="6" t="n">
        <v>76.5</v>
      </c>
      <c r="V236" s="6" t="n">
        <v>58</v>
      </c>
      <c r="W236" s="8" t="n">
        <v>62</v>
      </c>
      <c r="X236" s="7" t="n">
        <f aca="false">IFERROR(S236/AH236,"")</f>
        <v>1.50793650793651</v>
      </c>
      <c r="Y236" s="9" t="n">
        <f aca="false">IFERROR(S236/AF236,"")</f>
        <v>0.25065963060686</v>
      </c>
      <c r="Z236" s="6" t="n">
        <v>3.35</v>
      </c>
      <c r="AA236" s="6" t="n">
        <v>4.2</v>
      </c>
      <c r="AB236" s="6" t="n">
        <v>10.13</v>
      </c>
      <c r="AC236" s="10" t="n">
        <v>0.067</v>
      </c>
      <c r="AD236" s="10" t="n">
        <v>0.2</v>
      </c>
      <c r="AE236" s="7" t="n">
        <v>1.319</v>
      </c>
      <c r="AF236" s="8" t="n">
        <v>379</v>
      </c>
      <c r="AG236" s="10" t="n">
        <v>0.369</v>
      </c>
      <c r="AH236" s="8" t="n">
        <v>63</v>
      </c>
      <c r="AI236" s="8" t="n">
        <v>51</v>
      </c>
      <c r="AJ236" s="6" t="n">
        <f aca="false">IFERROR(AI236/R236,"")</f>
        <v>3.4</v>
      </c>
      <c r="AK236" s="10" t="n">
        <v>0.0975</v>
      </c>
      <c r="AL236" s="10" t="n">
        <v>0.1285</v>
      </c>
      <c r="AM236" s="9" t="n">
        <v>0.2362</v>
      </c>
      <c r="AN236" s="8" t="n">
        <v>37</v>
      </c>
      <c r="AO236" s="10" t="n">
        <f aca="false">IFERROR(AN236/AI236,"")</f>
        <v>0.725490196078431</v>
      </c>
      <c r="AP236" s="8" t="n">
        <v>322</v>
      </c>
      <c r="AQ236" s="7" t="n">
        <f aca="false">IFERROR(AP236/AI236,"")</f>
        <v>6.31372549019608</v>
      </c>
      <c r="AR236" s="6" t="n">
        <v>9.373</v>
      </c>
      <c r="AS236" s="7" t="n">
        <v>6.243</v>
      </c>
      <c r="AT236" s="7" t="n">
        <v>0.674</v>
      </c>
      <c r="AU236" s="7" t="n">
        <v>4.52869989411998</v>
      </c>
      <c r="AV236" s="7" t="n">
        <v>7.81641025641026</v>
      </c>
      <c r="AW236" s="7" t="n">
        <v>0.472529158532391</v>
      </c>
      <c r="AX236" s="10" t="n">
        <v>0.0196</v>
      </c>
      <c r="AY236" s="8" t="n">
        <v>12</v>
      </c>
      <c r="AZ236" s="6" t="n">
        <f aca="false">IFERROR(AY236/R236,"")</f>
        <v>0.8</v>
      </c>
      <c r="BA236" s="10" t="n">
        <v>0.0296</v>
      </c>
      <c r="BB236" s="8" t="n">
        <v>78</v>
      </c>
      <c r="BC236" s="7"/>
      <c r="BD236" s="7"/>
      <c r="BE236" s="7"/>
      <c r="BF236" s="8" t="n">
        <v>1</v>
      </c>
      <c r="BG236" s="7"/>
      <c r="BH236" s="6"/>
      <c r="BI236" s="7"/>
      <c r="BJ236" s="8" t="n">
        <v>5</v>
      </c>
      <c r="BK236" s="8" t="n">
        <v>1</v>
      </c>
      <c r="BL236" s="8" t="n">
        <v>0</v>
      </c>
      <c r="BM236" s="8" t="n">
        <v>2</v>
      </c>
      <c r="BN236" s="7" t="n">
        <v>1.42</v>
      </c>
      <c r="BO236" s="7" t="n">
        <f aca="false">IFERROR(BM236-BN236,"")</f>
        <v>0.58</v>
      </c>
      <c r="BP236" s="9" t="n">
        <f aca="false">IFERROR(BM236/AH236,"")</f>
        <v>0.0317460317460317</v>
      </c>
      <c r="BQ236" s="6" t="n">
        <v>63.2</v>
      </c>
      <c r="BR236" s="6" t="n">
        <v>50</v>
      </c>
      <c r="BS236" s="6" t="n">
        <v>70.8</v>
      </c>
      <c r="BT236" s="7" t="n">
        <v>2.952</v>
      </c>
      <c r="BU236" s="10" t="n">
        <v>0.1682</v>
      </c>
      <c r="BV236" s="10" t="n">
        <v>0.551724137931035</v>
      </c>
      <c r="BW236" s="7" t="n">
        <v>2.592</v>
      </c>
      <c r="BX236" s="10" t="n">
        <v>0.2088</v>
      </c>
      <c r="BY236" s="10" t="n">
        <v>0.037</v>
      </c>
      <c r="BZ236" s="7" t="n">
        <v>2.401</v>
      </c>
      <c r="CA236" s="10" t="n">
        <v>0.999</v>
      </c>
      <c r="CB236" s="8" t="n">
        <v>5</v>
      </c>
      <c r="CC236" s="10" t="n">
        <v>0.0157</v>
      </c>
      <c r="CD236" s="10" t="n">
        <v>0.59</v>
      </c>
      <c r="CE236" s="6" t="n">
        <v>63.47</v>
      </c>
      <c r="CF236" s="6" t="n">
        <v>38</v>
      </c>
      <c r="CG236" s="7" t="n">
        <v>3.47</v>
      </c>
      <c r="CH236" s="6" t="n">
        <v>23.6</v>
      </c>
      <c r="CI236" s="9" t="n">
        <v>0.0004</v>
      </c>
      <c r="CJ236" s="9" t="n">
        <v>0.0835</v>
      </c>
      <c r="CK236" s="8" t="n">
        <v>4</v>
      </c>
      <c r="CL236" s="10" t="n">
        <v>0.007</v>
      </c>
      <c r="CM236" s="8" t="n">
        <v>0</v>
      </c>
      <c r="CN236" s="10" t="n">
        <v>0</v>
      </c>
      <c r="CO236" s="8" t="n">
        <v>1</v>
      </c>
      <c r="CP236" s="7" t="n">
        <v>0.86</v>
      </c>
      <c r="CQ236" s="7" t="n">
        <v>0.421</v>
      </c>
      <c r="CR236" s="4" t="s">
        <v>232</v>
      </c>
      <c r="CS236" s="4"/>
    </row>
    <row r="237" customFormat="false" ht="15" hidden="false" customHeight="false" outlineLevel="0" collapsed="false">
      <c r="A237" s="3" t="n">
        <v>235</v>
      </c>
      <c r="B237" s="4" t="s">
        <v>613</v>
      </c>
      <c r="C237" s="5" t="s">
        <v>99</v>
      </c>
      <c r="D237" s="4" t="s">
        <v>614</v>
      </c>
      <c r="E237" s="4" t="s">
        <v>191</v>
      </c>
      <c r="F237" s="4" t="s">
        <v>99</v>
      </c>
      <c r="G237" s="3" t="n">
        <v>3</v>
      </c>
      <c r="H237" s="6" t="n">
        <v>25.5</v>
      </c>
      <c r="I237" s="3" t="n">
        <v>3</v>
      </c>
      <c r="J237" s="3" t="n">
        <v>5</v>
      </c>
      <c r="K237" s="7" t="n">
        <v>259.56</v>
      </c>
      <c r="L237" s="7" t="n">
        <v>31.85</v>
      </c>
      <c r="M237" s="8" t="n">
        <v>178</v>
      </c>
      <c r="N237" s="8" t="n">
        <v>332</v>
      </c>
      <c r="O237" s="7" t="n">
        <v>259.56</v>
      </c>
      <c r="P237" s="6" t="n">
        <v>2.9</v>
      </c>
      <c r="Q237" s="4" t="s">
        <v>191</v>
      </c>
      <c r="R237" s="8" t="n">
        <v>15</v>
      </c>
      <c r="S237" s="6" t="n">
        <v>89.3</v>
      </c>
      <c r="T237" s="7" t="n">
        <f aca="false">IFERROR(S237/R237,"")</f>
        <v>5.95333333333333</v>
      </c>
      <c r="U237" s="6" t="n">
        <v>71.8</v>
      </c>
      <c r="V237" s="6" t="n">
        <v>54.3</v>
      </c>
      <c r="W237" s="8" t="n">
        <v>64</v>
      </c>
      <c r="X237" s="7" t="n">
        <f aca="false">IFERROR(S237/AH237,"")</f>
        <v>1.37384615384615</v>
      </c>
      <c r="Y237" s="9" t="n">
        <f aca="false">IFERROR(S237/AF237,"")</f>
        <v>0.139096573208723</v>
      </c>
      <c r="Z237" s="6" t="n">
        <v>1.75</v>
      </c>
      <c r="AA237" s="6" t="n">
        <v>3.7</v>
      </c>
      <c r="AB237" s="6" t="n">
        <v>10.58</v>
      </c>
      <c r="AC237" s="10" t="n">
        <v>0.067</v>
      </c>
      <c r="AD237" s="10" t="n">
        <v>0.333</v>
      </c>
      <c r="AE237" s="7" t="n">
        <v>1.854</v>
      </c>
      <c r="AF237" s="8" t="n">
        <v>642</v>
      </c>
      <c r="AG237" s="10" t="n">
        <v>0.679</v>
      </c>
      <c r="AH237" s="8" t="n">
        <v>65</v>
      </c>
      <c r="AI237" s="8" t="n">
        <v>64</v>
      </c>
      <c r="AJ237" s="6" t="n">
        <f aca="false">IFERROR(AI237/R237,"")</f>
        <v>4.26666666666667</v>
      </c>
      <c r="AK237" s="10" t="n">
        <v>0.1509</v>
      </c>
      <c r="AL237" s="10" t="n">
        <v>0.2151</v>
      </c>
      <c r="AM237" s="9" t="n">
        <v>0.3769</v>
      </c>
      <c r="AN237" s="8" t="n">
        <v>35</v>
      </c>
      <c r="AO237" s="10" t="n">
        <f aca="false">IFERROR(AN237/AI237,"")</f>
        <v>0.546875</v>
      </c>
      <c r="AP237" s="8" t="n">
        <v>363</v>
      </c>
      <c r="AQ237" s="7" t="n">
        <f aca="false">IFERROR(AP237/AI237,"")</f>
        <v>5.671875</v>
      </c>
      <c r="AR237" s="6" t="n">
        <v>9.891</v>
      </c>
      <c r="AS237" s="7" t="n">
        <v>2.143</v>
      </c>
      <c r="AT237" s="7" t="n">
        <v>0.573</v>
      </c>
      <c r="AU237" s="7" t="n">
        <v>2.59962161301118</v>
      </c>
      <c r="AV237" s="7" t="n">
        <v>6.73344827586207</v>
      </c>
      <c r="AW237" s="7" t="n">
        <v>-0.571655106327481</v>
      </c>
      <c r="AX237" s="10" t="n">
        <v>0.0312</v>
      </c>
      <c r="AY237" s="8" t="n">
        <v>1</v>
      </c>
      <c r="AZ237" s="6" t="n">
        <f aca="false">IFERROR(AY237/R237,"")</f>
        <v>0.0666666666666667</v>
      </c>
      <c r="BA237" s="10" t="n">
        <v>0.0025</v>
      </c>
      <c r="BB237" s="8" t="n">
        <v>0</v>
      </c>
      <c r="BC237" s="7"/>
      <c r="BD237" s="7"/>
      <c r="BE237" s="7"/>
      <c r="BF237" s="8" t="n">
        <v>0</v>
      </c>
      <c r="BG237" s="7"/>
      <c r="BH237" s="6"/>
      <c r="BI237" s="7"/>
      <c r="BJ237" s="8" t="n">
        <v>12</v>
      </c>
      <c r="BK237" s="8" t="n">
        <v>3</v>
      </c>
      <c r="BL237" s="8" t="n">
        <v>2</v>
      </c>
      <c r="BM237" s="8" t="n">
        <v>3</v>
      </c>
      <c r="BN237" s="7" t="n">
        <v>3.35</v>
      </c>
      <c r="BO237" s="7" t="n">
        <f aca="false">IFERROR(BM237-BN237,"")</f>
        <v>-0.35</v>
      </c>
      <c r="BP237" s="9" t="n">
        <f aca="false">IFERROR(BM237/AH237,"")</f>
        <v>0.0461538461538462</v>
      </c>
      <c r="BQ237" s="6" t="n">
        <v>56.6</v>
      </c>
      <c r="BR237" s="6" t="n">
        <v>63.1</v>
      </c>
      <c r="BS237" s="6" t="n">
        <v>47.3</v>
      </c>
      <c r="BT237" s="7" t="n">
        <v>3.179</v>
      </c>
      <c r="BU237" s="10" t="n">
        <v>0.1391</v>
      </c>
      <c r="BV237" s="10" t="n">
        <v>0.689655172413793</v>
      </c>
      <c r="BW237" s="7" t="n">
        <v>2.49</v>
      </c>
      <c r="BX237" s="10" t="n">
        <v>0.2718</v>
      </c>
      <c r="BY237" s="10" t="n">
        <v>0.0629</v>
      </c>
      <c r="BZ237" s="7" t="n">
        <v>2.4</v>
      </c>
      <c r="CA237" s="10" t="n">
        <v>0.596</v>
      </c>
      <c r="CB237" s="8" t="n">
        <v>3</v>
      </c>
      <c r="CC237" s="10" t="n">
        <v>-0.061</v>
      </c>
      <c r="CD237" s="10" t="n">
        <v>0.5106</v>
      </c>
      <c r="CE237" s="6" t="n">
        <v>58.59</v>
      </c>
      <c r="CF237" s="6" t="n">
        <v>39</v>
      </c>
      <c r="CG237" s="7" t="n">
        <v>2.82</v>
      </c>
      <c r="CH237" s="6" t="n">
        <v>18.3</v>
      </c>
      <c r="CI237" s="9" t="n">
        <v>-0.0262</v>
      </c>
      <c r="CJ237" s="9" t="n">
        <v>-0.0498</v>
      </c>
      <c r="CK237" s="8" t="n">
        <v>50</v>
      </c>
      <c r="CL237" s="10" t="n">
        <v>0.104</v>
      </c>
      <c r="CM237" s="8" t="n">
        <v>242</v>
      </c>
      <c r="CN237" s="10" t="n">
        <v>0.525</v>
      </c>
      <c r="CO237" s="8" t="n">
        <v>40</v>
      </c>
      <c r="CP237" s="7" t="n">
        <v>0.807</v>
      </c>
      <c r="CQ237" s="7" t="n">
        <v>0.413</v>
      </c>
      <c r="CR237" s="4" t="s">
        <v>232</v>
      </c>
      <c r="CS237" s="4"/>
    </row>
    <row r="238" customFormat="false" ht="15" hidden="false" customHeight="false" outlineLevel="0" collapsed="false">
      <c r="A238" s="3" t="n">
        <v>236</v>
      </c>
      <c r="B238" s="4" t="s">
        <v>615</v>
      </c>
      <c r="C238" s="11" t="s">
        <v>104</v>
      </c>
      <c r="D238" s="4" t="s">
        <v>616</v>
      </c>
      <c r="E238" s="4" t="s">
        <v>151</v>
      </c>
      <c r="F238" s="4" t="s">
        <v>104</v>
      </c>
      <c r="G238" s="3" t="n">
        <v>4</v>
      </c>
      <c r="H238" s="6" t="n">
        <v>24.1</v>
      </c>
      <c r="I238" s="3" t="n">
        <v>3</v>
      </c>
      <c r="J238" s="3" t="n">
        <v>14</v>
      </c>
      <c r="K238" s="7" t="n">
        <v>261.14</v>
      </c>
      <c r="L238" s="7" t="n">
        <v>47.28</v>
      </c>
      <c r="M238" s="8" t="n">
        <v>145</v>
      </c>
      <c r="N238" s="8" t="n">
        <v>364</v>
      </c>
      <c r="O238" s="7" t="n">
        <v>261.14</v>
      </c>
      <c r="P238" s="6" t="n">
        <v>8.9</v>
      </c>
      <c r="Q238" s="4" t="s">
        <v>151</v>
      </c>
      <c r="R238" s="8" t="n">
        <v>4</v>
      </c>
      <c r="S238" s="6" t="n">
        <v>35.4</v>
      </c>
      <c r="T238" s="7" t="n">
        <f aca="false">IFERROR(S238/R238,"")</f>
        <v>8.85</v>
      </c>
      <c r="U238" s="6" t="n">
        <v>28.9</v>
      </c>
      <c r="V238" s="6" t="n">
        <v>22.4</v>
      </c>
      <c r="W238" s="8" t="n">
        <v>61</v>
      </c>
      <c r="X238" s="7" t="n">
        <f aca="false">IFERROR(S238/AH238,"")</f>
        <v>0.786666666666667</v>
      </c>
      <c r="Y238" s="9" t="n">
        <f aca="false">IFERROR(S238/AF238,"")</f>
        <v>0.287804878048781</v>
      </c>
      <c r="Z238" s="6" t="n">
        <v>8.33</v>
      </c>
      <c r="AA238" s="6" t="n">
        <v>8.45</v>
      </c>
      <c r="AB238" s="6" t="n">
        <v>9.54</v>
      </c>
      <c r="AC238" s="10" t="n">
        <v>0</v>
      </c>
      <c r="AD238" s="10" t="n">
        <v>0</v>
      </c>
      <c r="AE238" s="7" t="n">
        <v>0.124</v>
      </c>
      <c r="AF238" s="8" t="n">
        <v>123</v>
      </c>
      <c r="AG238" s="10" t="n">
        <v>0.483</v>
      </c>
      <c r="AH238" s="8" t="n">
        <v>45</v>
      </c>
      <c r="AI238" s="8" t="n">
        <v>16</v>
      </c>
      <c r="AJ238" s="6" t="n">
        <f aca="false">IFERROR(AI238/R238,"")</f>
        <v>4</v>
      </c>
      <c r="AK238" s="10" t="n">
        <v>0.125</v>
      </c>
      <c r="AL238" s="10" t="n">
        <v>-0.0301</v>
      </c>
      <c r="AM238" s="9" t="n">
        <v>0.1664</v>
      </c>
      <c r="AN238" s="8" t="n">
        <v>13</v>
      </c>
      <c r="AO238" s="10" t="n">
        <f aca="false">IFERROR(AN238/AI238,"")</f>
        <v>0.8125</v>
      </c>
      <c r="AP238" s="8" t="n">
        <v>64</v>
      </c>
      <c r="AQ238" s="7" t="n">
        <f aca="false">IFERROR(AP238/AI238,"")</f>
        <v>4</v>
      </c>
      <c r="AR238" s="6" t="n">
        <v>-1.375</v>
      </c>
      <c r="AS238" s="7" t="n">
        <v>5.615</v>
      </c>
      <c r="AT238" s="7" t="n">
        <v>-2.909</v>
      </c>
      <c r="AU238" s="7"/>
      <c r="AV238" s="7"/>
      <c r="AW238" s="7"/>
      <c r="AX238" s="10" t="n">
        <v>0</v>
      </c>
      <c r="AY238" s="8" t="n">
        <v>29</v>
      </c>
      <c r="AZ238" s="6" t="n">
        <f aca="false">IFERROR(AY238/R238,"")</f>
        <v>7.25</v>
      </c>
      <c r="BA238" s="10" t="n">
        <v>0.3085</v>
      </c>
      <c r="BB238" s="8" t="n">
        <v>160</v>
      </c>
      <c r="BC238" s="7" t="n">
        <f aca="false">IFERROR(BB238/AY238,"")</f>
        <v>5.51724137931035</v>
      </c>
      <c r="BD238" s="7" t="n">
        <v>3.034</v>
      </c>
      <c r="BE238" s="7" t="n">
        <v>2.483</v>
      </c>
      <c r="BF238" s="8" t="n">
        <v>2</v>
      </c>
      <c r="BG238" s="7"/>
      <c r="BH238" s="6"/>
      <c r="BI238" s="7"/>
      <c r="BJ238" s="8" t="n">
        <v>5</v>
      </c>
      <c r="BK238" s="8" t="n">
        <v>2</v>
      </c>
      <c r="BL238" s="8" t="n">
        <v>1</v>
      </c>
      <c r="BM238" s="8" t="n">
        <v>0</v>
      </c>
      <c r="BN238" s="7" t="n">
        <v>1.65</v>
      </c>
      <c r="BO238" s="7" t="n">
        <f aca="false">IFERROR(BM238-BN238,"")</f>
        <v>-1.65</v>
      </c>
      <c r="BP238" s="9" t="n">
        <f aca="false">IFERROR(BM238/AH238,"")</f>
        <v>0</v>
      </c>
      <c r="BQ238" s="6" t="n">
        <v>36.9</v>
      </c>
      <c r="BR238" s="6" t="n">
        <v>43.8</v>
      </c>
      <c r="BS238" s="6" t="n">
        <v>35.6</v>
      </c>
      <c r="BT238" s="7" t="n">
        <v>2.771</v>
      </c>
      <c r="BU238" s="10" t="n">
        <v>0.2005</v>
      </c>
      <c r="BV238" s="10" t="n">
        <v>0.65625</v>
      </c>
      <c r="BW238" s="7" t="n">
        <v>2.593</v>
      </c>
      <c r="BX238" s="10" t="n">
        <v>0.282</v>
      </c>
      <c r="BY238" s="10" t="n">
        <v>0.0839</v>
      </c>
      <c r="BZ238" s="7" t="n">
        <v>2.373</v>
      </c>
      <c r="CA238" s="10" t="n">
        <v>0.686</v>
      </c>
      <c r="CB238" s="8" t="n">
        <v>3</v>
      </c>
      <c r="CC238" s="10" t="n">
        <v>0.0399</v>
      </c>
      <c r="CD238" s="10" t="n">
        <v>0.6204</v>
      </c>
      <c r="CE238" s="6" t="n">
        <v>63.18</v>
      </c>
      <c r="CF238" s="6" t="n">
        <v>39</v>
      </c>
      <c r="CG238" s="7" t="n">
        <v>3.59</v>
      </c>
      <c r="CH238" s="6" t="n">
        <v>20.9</v>
      </c>
      <c r="CI238" s="9" t="n">
        <v>-0.0591</v>
      </c>
      <c r="CJ238" s="9" t="n">
        <v>0.0023</v>
      </c>
      <c r="CK238" s="8" t="n">
        <v>106</v>
      </c>
      <c r="CL238" s="10" t="n">
        <v>0.172</v>
      </c>
      <c r="CM238" s="8" t="n">
        <v>173</v>
      </c>
      <c r="CN238" s="10" t="n">
        <v>0.473</v>
      </c>
      <c r="CO238" s="8" t="n">
        <v>41</v>
      </c>
      <c r="CP238" s="7" t="n">
        <v>-0.017</v>
      </c>
      <c r="CQ238" s="7" t="n">
        <v>0.99</v>
      </c>
      <c r="CR238" s="4" t="s">
        <v>102</v>
      </c>
      <c r="CS238" s="4"/>
    </row>
    <row r="239" customFormat="false" ht="15" hidden="false" customHeight="false" outlineLevel="0" collapsed="false">
      <c r="A239" s="3" t="n">
        <v>237</v>
      </c>
      <c r="B239" s="4" t="s">
        <v>617</v>
      </c>
      <c r="C239" s="12" t="s">
        <v>149</v>
      </c>
      <c r="D239" s="4" t="s">
        <v>618</v>
      </c>
      <c r="E239" s="4" t="s">
        <v>109</v>
      </c>
      <c r="F239" s="4" t="s">
        <v>149</v>
      </c>
      <c r="G239" s="3" t="n">
        <v>1</v>
      </c>
      <c r="H239" s="6" t="n">
        <v>27.6</v>
      </c>
      <c r="I239" s="3" t="n">
        <v>7</v>
      </c>
      <c r="J239" s="3" t="n">
        <v>11</v>
      </c>
      <c r="K239" s="7" t="n">
        <v>262.81</v>
      </c>
      <c r="L239" s="7" t="n">
        <v>20.19</v>
      </c>
      <c r="M239" s="8" t="n">
        <v>214</v>
      </c>
      <c r="N239" s="8" t="n">
        <v>353</v>
      </c>
      <c r="O239" s="7" t="n">
        <v>262.81</v>
      </c>
      <c r="P239" s="6" t="n">
        <v>11.6</v>
      </c>
      <c r="Q239" s="4" t="s">
        <v>109</v>
      </c>
      <c r="R239" s="8" t="n">
        <v>14</v>
      </c>
      <c r="S239" s="6" t="n">
        <v>129.8</v>
      </c>
      <c r="T239" s="7" t="n">
        <f aca="false">IFERROR(S239/R239,"")</f>
        <v>9.27142857142857</v>
      </c>
      <c r="U239" s="6" t="n">
        <v>108.3</v>
      </c>
      <c r="V239" s="6" t="n">
        <v>86.8</v>
      </c>
      <c r="W239" s="8" t="n">
        <v>17</v>
      </c>
      <c r="X239" s="7" t="n">
        <f aca="false">IFERROR(S239/AH239,"")</f>
        <v>2.31785714285714</v>
      </c>
      <c r="Y239" s="9" t="n">
        <f aca="false">IFERROR(S239/AF239,"")</f>
        <v>0.209017713365539</v>
      </c>
      <c r="Z239" s="6" t="n">
        <v>3.8</v>
      </c>
      <c r="AA239" s="6" t="n">
        <v>8.55</v>
      </c>
      <c r="AB239" s="6" t="n">
        <v>14.37</v>
      </c>
      <c r="AC239" s="10" t="n">
        <v>0.214</v>
      </c>
      <c r="AD239" s="10" t="n">
        <v>0.143</v>
      </c>
      <c r="AE239" s="7" t="n">
        <v>0.851</v>
      </c>
      <c r="AF239" s="8" t="n">
        <v>621</v>
      </c>
      <c r="AG239" s="10" t="n">
        <v>0.604</v>
      </c>
      <c r="AH239" s="8" t="n">
        <v>56</v>
      </c>
      <c r="AI239" s="8" t="n">
        <v>56</v>
      </c>
      <c r="AJ239" s="6" t="n">
        <f aca="false">IFERROR(AI239/R239,"")</f>
        <v>4</v>
      </c>
      <c r="AK239" s="10" t="n">
        <v>0.1143</v>
      </c>
      <c r="AL239" s="10" t="n">
        <v>0.0534</v>
      </c>
      <c r="AM239" s="9" t="n">
        <v>0.2088</v>
      </c>
      <c r="AN239" s="8" t="n">
        <v>43</v>
      </c>
      <c r="AO239" s="10" t="n">
        <f aca="false">IFERROR(AN239/AI239,"")</f>
        <v>0.767857142857143</v>
      </c>
      <c r="AP239" s="8" t="n">
        <v>408</v>
      </c>
      <c r="AQ239" s="7" t="n">
        <f aca="false">IFERROR(AP239/AI239,"")</f>
        <v>7.28571428571429</v>
      </c>
      <c r="AR239" s="6" t="n">
        <v>4.429</v>
      </c>
      <c r="AS239" s="7" t="n">
        <v>6.302</v>
      </c>
      <c r="AT239" s="7" t="n">
        <v>1.645</v>
      </c>
      <c r="AU239" s="7" t="n">
        <v>3.54799210641913</v>
      </c>
      <c r="AV239" s="7" t="n">
        <v>5.72297872340426</v>
      </c>
      <c r="AW239" s="7" t="n">
        <v>0.438194024447579</v>
      </c>
      <c r="AX239" s="10" t="n">
        <v>0.0536</v>
      </c>
      <c r="AY239" s="8" t="n">
        <v>0</v>
      </c>
      <c r="AZ239" s="6" t="n">
        <f aca="false">IFERROR(AY239/R239,"")</f>
        <v>0</v>
      </c>
      <c r="BA239" s="10" t="n">
        <v>0</v>
      </c>
      <c r="BB239" s="8" t="n">
        <v>0</v>
      </c>
      <c r="BC239" s="7"/>
      <c r="BD239" s="7"/>
      <c r="BE239" s="7"/>
      <c r="BF239" s="8"/>
      <c r="BG239" s="7"/>
      <c r="BH239" s="6"/>
      <c r="BI239" s="7"/>
      <c r="BJ239" s="8" t="n">
        <v>22</v>
      </c>
      <c r="BK239" s="8" t="n">
        <v>10</v>
      </c>
      <c r="BL239" s="8" t="n">
        <v>2</v>
      </c>
      <c r="BM239" s="8" t="n">
        <v>8</v>
      </c>
      <c r="BN239" s="7" t="n">
        <v>5.87</v>
      </c>
      <c r="BO239" s="7" t="n">
        <f aca="false">IFERROR(BM239-BN239,"")</f>
        <v>2.13</v>
      </c>
      <c r="BP239" s="9" t="n">
        <f aca="false">IFERROR(BM239/AH239,"")</f>
        <v>0.142857142857143</v>
      </c>
      <c r="BQ239" s="6" t="n">
        <v>80.4</v>
      </c>
      <c r="BR239" s="6" t="n">
        <v>76.4</v>
      </c>
      <c r="BS239" s="6" t="n">
        <v>71.5</v>
      </c>
      <c r="BT239" s="7" t="n">
        <v>3.462</v>
      </c>
      <c r="BU239" s="10" t="n">
        <v>0.1266</v>
      </c>
      <c r="BV239" s="10" t="n">
        <v>0.638297872340426</v>
      </c>
      <c r="BW239" s="7" t="n">
        <v>2.811</v>
      </c>
      <c r="BX239" s="10" t="n">
        <v>0.194</v>
      </c>
      <c r="BY239" s="10" t="n">
        <v>0.0424</v>
      </c>
      <c r="BZ239" s="7" t="n">
        <v>2.396</v>
      </c>
      <c r="CA239" s="10" t="n">
        <v>0.904</v>
      </c>
      <c r="CB239" s="8" t="n">
        <v>5</v>
      </c>
      <c r="CC239" s="10" t="n">
        <v>0.0296</v>
      </c>
      <c r="CD239" s="10" t="n">
        <v>0.6185</v>
      </c>
      <c r="CE239" s="6" t="n">
        <v>62.12</v>
      </c>
      <c r="CF239" s="6" t="n">
        <v>37</v>
      </c>
      <c r="CG239" s="7" t="n">
        <v>4.47</v>
      </c>
      <c r="CH239" s="6" t="n">
        <v>30.5</v>
      </c>
      <c r="CI239" s="9" t="n">
        <v>0.0262</v>
      </c>
      <c r="CJ239" s="9" t="n">
        <v>0.2292</v>
      </c>
      <c r="CK239" s="8" t="n">
        <v>15</v>
      </c>
      <c r="CL239" s="10" t="n">
        <v>0.026</v>
      </c>
      <c r="CM239" s="8" t="n">
        <v>0</v>
      </c>
      <c r="CN239" s="10" t="n">
        <v>0</v>
      </c>
      <c r="CO239" s="8" t="n">
        <v>1</v>
      </c>
      <c r="CP239" s="7" t="n">
        <v>0.423</v>
      </c>
      <c r="CQ239" s="7" t="n">
        <v>0.379</v>
      </c>
      <c r="CR239" s="4" t="s">
        <v>232</v>
      </c>
      <c r="CS239" s="4"/>
    </row>
    <row r="240" customFormat="false" ht="15" hidden="false" customHeight="false" outlineLevel="0" collapsed="false">
      <c r="A240" s="3" t="n">
        <v>238</v>
      </c>
      <c r="B240" s="4" t="s">
        <v>619</v>
      </c>
      <c r="C240" s="13" t="s">
        <v>172</v>
      </c>
      <c r="D240" s="4" t="s">
        <v>620</v>
      </c>
      <c r="E240" s="4" t="s">
        <v>112</v>
      </c>
      <c r="F240" s="4" t="s">
        <v>172</v>
      </c>
      <c r="G240" s="3" t="n">
        <v>1</v>
      </c>
      <c r="H240" s="6" t="n">
        <v>28.5</v>
      </c>
      <c r="I240" s="3" t="n">
        <v>7</v>
      </c>
      <c r="J240" s="3" t="n">
        <v>11</v>
      </c>
      <c r="K240" s="7" t="n">
        <v>264.28</v>
      </c>
      <c r="L240" s="7" t="n">
        <v>37.9</v>
      </c>
      <c r="M240" s="8" t="n">
        <v>134</v>
      </c>
      <c r="N240" s="8" t="n">
        <v>346</v>
      </c>
      <c r="O240" s="7" t="n">
        <v>264.28</v>
      </c>
      <c r="P240" s="6" t="n">
        <v>13.1</v>
      </c>
      <c r="Q240" s="4" t="s">
        <v>161</v>
      </c>
      <c r="R240" s="8" t="n">
        <v>14</v>
      </c>
      <c r="S240" s="6" t="n">
        <v>160.7</v>
      </c>
      <c r="T240" s="7" t="n">
        <f aca="false">IFERROR(S240/R240,"")</f>
        <v>11.4785714285714</v>
      </c>
      <c r="U240" s="6" t="n">
        <v>160.7</v>
      </c>
      <c r="V240" s="6" t="n">
        <v>160.7</v>
      </c>
      <c r="W240" s="8" t="n">
        <v>25</v>
      </c>
      <c r="X240" s="7" t="n">
        <f aca="false">IFERROR(S240/AH240,"")</f>
        <v>8.035</v>
      </c>
      <c r="Y240" s="9" t="n">
        <f aca="false">IFERROR(S240/AF240,"")</f>
        <v>0.207087628865979</v>
      </c>
      <c r="Z240" s="6" t="n">
        <v>6.66</v>
      </c>
      <c r="AA240" s="6" t="n">
        <v>9.95</v>
      </c>
      <c r="AB240" s="6" t="n">
        <v>18.81</v>
      </c>
      <c r="AC240" s="10" t="n">
        <v>0.143</v>
      </c>
      <c r="AD240" s="10" t="n">
        <v>0.286</v>
      </c>
      <c r="AE240" s="7" t="n">
        <v>0.733</v>
      </c>
      <c r="AF240" s="8" t="n">
        <v>776</v>
      </c>
      <c r="AG240" s="10" t="n">
        <v>0.954</v>
      </c>
      <c r="AH240" s="8" t="n">
        <v>20</v>
      </c>
      <c r="AI240" s="8" t="n">
        <v>0</v>
      </c>
      <c r="AJ240" s="6" t="n">
        <f aca="false">IFERROR(AI240/R240,"")</f>
        <v>0</v>
      </c>
      <c r="AK240" s="10" t="n">
        <v>0</v>
      </c>
      <c r="AL240" s="10" t="n">
        <v>0</v>
      </c>
      <c r="AM240" s="9" t="n">
        <v>0</v>
      </c>
      <c r="AN240" s="8" t="n">
        <v>0</v>
      </c>
      <c r="AO240" s="10"/>
      <c r="AP240" s="8" t="n">
        <v>0</v>
      </c>
      <c r="AQ240" s="7"/>
      <c r="AR240" s="6"/>
      <c r="AS240" s="7"/>
      <c r="AT240" s="7"/>
      <c r="AU240" s="7"/>
      <c r="AV240" s="7"/>
      <c r="AW240" s="7"/>
      <c r="AX240" s="10"/>
      <c r="AY240" s="8" t="n">
        <v>20</v>
      </c>
      <c r="AZ240" s="6" t="n">
        <f aca="false">IFERROR(AY240/R240,"")</f>
        <v>1.42857142857143</v>
      </c>
      <c r="BA240" s="10" t="n">
        <v>0.0573</v>
      </c>
      <c r="BB240" s="8" t="n">
        <v>43</v>
      </c>
      <c r="BC240" s="7" t="n">
        <f aca="false">IFERROR(BB240/AY240,"")</f>
        <v>2.15</v>
      </c>
      <c r="BD240" s="7" t="n">
        <v>2</v>
      </c>
      <c r="BE240" s="7" t="n">
        <v>0.15</v>
      </c>
      <c r="BF240" s="8" t="n">
        <v>0</v>
      </c>
      <c r="BG240" s="7"/>
      <c r="BH240" s="6"/>
      <c r="BI240" s="7"/>
      <c r="BJ240" s="8" t="n">
        <v>2</v>
      </c>
      <c r="BK240" s="8" t="n">
        <v>0</v>
      </c>
      <c r="BL240" s="8" t="n">
        <v>0</v>
      </c>
      <c r="BM240" s="8" t="n">
        <v>0</v>
      </c>
      <c r="BN240" s="7" t="n">
        <v>0.18</v>
      </c>
      <c r="BO240" s="7" t="n">
        <f aca="false">IFERROR(BM240-BN240,"")</f>
        <v>-0.18</v>
      </c>
      <c r="BP240" s="9" t="n">
        <f aca="false">IFERROR(BM240/AH240,"")</f>
        <v>0</v>
      </c>
      <c r="BQ240" s="6" t="n">
        <v>62.4</v>
      </c>
      <c r="BR240" s="6" t="n">
        <v>52.7</v>
      </c>
      <c r="BS240" s="6" t="n">
        <v>66.9</v>
      </c>
      <c r="BT240" s="7" t="n">
        <v>3.071</v>
      </c>
      <c r="BU240" s="10" t="n">
        <v>0.1627</v>
      </c>
      <c r="BV240" s="10" t="n">
        <v>0.523809523809524</v>
      </c>
      <c r="BW240" s="7" t="n">
        <v>2.522</v>
      </c>
      <c r="BX240" s="10" t="n">
        <v>0.2037</v>
      </c>
      <c r="BY240" s="10" t="n">
        <v>0.0494</v>
      </c>
      <c r="BZ240" s="7" t="n">
        <v>2.4</v>
      </c>
      <c r="CA240" s="10" t="n">
        <v>0.798</v>
      </c>
      <c r="CB240" s="8" t="n">
        <v>4</v>
      </c>
      <c r="CC240" s="10" t="n">
        <v>-0.0621</v>
      </c>
      <c r="CD240" s="10" t="n">
        <v>0.549</v>
      </c>
      <c r="CE240" s="6" t="n">
        <v>60.94</v>
      </c>
      <c r="CF240" s="6" t="n">
        <v>38</v>
      </c>
      <c r="CG240" s="7" t="n">
        <v>3.12</v>
      </c>
      <c r="CH240" s="6" t="n">
        <v>20.8</v>
      </c>
      <c r="CI240" s="9" t="n">
        <v>-0.0314</v>
      </c>
      <c r="CJ240" s="9" t="n">
        <v>-0.0132</v>
      </c>
      <c r="CK240" s="8" t="n">
        <v>151</v>
      </c>
      <c r="CL240" s="10" t="n">
        <v>0.291</v>
      </c>
      <c r="CM240" s="8" t="n">
        <v>160</v>
      </c>
      <c r="CN240" s="10" t="n">
        <v>0.335</v>
      </c>
      <c r="CO240" s="8" t="n">
        <v>49</v>
      </c>
      <c r="CP240" s="7" t="n">
        <v>0.038</v>
      </c>
      <c r="CQ240" s="7" t="n">
        <v>-0.138</v>
      </c>
      <c r="CR240" s="4" t="s">
        <v>102</v>
      </c>
      <c r="CS240" s="4"/>
    </row>
    <row r="241" customFormat="false" ht="15" hidden="false" customHeight="false" outlineLevel="0" collapsed="false">
      <c r="A241" s="3" t="n">
        <v>239</v>
      </c>
      <c r="B241" s="4" t="s">
        <v>621</v>
      </c>
      <c r="C241" s="11" t="s">
        <v>104</v>
      </c>
      <c r="D241" s="4" t="s">
        <v>622</v>
      </c>
      <c r="E241" s="4" t="s">
        <v>235</v>
      </c>
      <c r="F241" s="4" t="s">
        <v>281</v>
      </c>
      <c r="G241" s="3" t="n">
        <v>2</v>
      </c>
      <c r="H241" s="6" t="n">
        <v>22</v>
      </c>
      <c r="I241" s="3" t="n">
        <v>2</v>
      </c>
      <c r="J241" s="3" t="n">
        <v>7</v>
      </c>
      <c r="K241" s="7" t="n">
        <v>264.49</v>
      </c>
      <c r="L241" s="7" t="n">
        <v>27.59</v>
      </c>
      <c r="M241" s="8" t="n">
        <v>169</v>
      </c>
      <c r="N241" s="8" t="n">
        <v>326</v>
      </c>
      <c r="O241" s="7" t="n">
        <v>264.49</v>
      </c>
      <c r="P241" s="6" t="n">
        <v>3.6</v>
      </c>
      <c r="Q241" s="4" t="s">
        <v>235</v>
      </c>
      <c r="R241" s="8" t="n">
        <v>16</v>
      </c>
      <c r="S241" s="6" t="n">
        <v>24.8</v>
      </c>
      <c r="T241" s="7" t="n">
        <f aca="false">IFERROR(S241/R241,"")</f>
        <v>1.55</v>
      </c>
      <c r="U241" s="6" t="n">
        <v>19.8</v>
      </c>
      <c r="V241" s="6" t="n">
        <v>14.8</v>
      </c>
      <c r="W241" s="8" t="n">
        <v>64</v>
      </c>
      <c r="X241" s="7" t="n">
        <f aca="false">IFERROR(S241/AH241,"")</f>
        <v>0.729411764705882</v>
      </c>
      <c r="Y241" s="9" t="n">
        <f aca="false">IFERROR(S241/AF241,"")</f>
        <v>0.0957528957528958</v>
      </c>
      <c r="Z241" s="6" t="n">
        <v>0.82</v>
      </c>
      <c r="AA241" s="6" t="n">
        <v>1.65</v>
      </c>
      <c r="AB241" s="6" t="n">
        <v>2.5</v>
      </c>
      <c r="AC241" s="10" t="n">
        <v>0</v>
      </c>
      <c r="AD241" s="10" t="n">
        <v>0.812</v>
      </c>
      <c r="AE241" s="7" t="n">
        <v>0.638</v>
      </c>
      <c r="AF241" s="8" t="n">
        <v>259</v>
      </c>
      <c r="AG241" s="10" t="n">
        <v>0.226</v>
      </c>
      <c r="AH241" s="8" t="n">
        <v>34</v>
      </c>
      <c r="AI241" s="8" t="n">
        <v>11</v>
      </c>
      <c r="AJ241" s="6" t="n">
        <f aca="false">IFERROR(AI241/R241,"")</f>
        <v>0.6875</v>
      </c>
      <c r="AK241" s="10" t="n">
        <v>0.0213</v>
      </c>
      <c r="AL241" s="10" t="n">
        <v>-0.0033</v>
      </c>
      <c r="AM241" s="9" t="n">
        <v>0.0296</v>
      </c>
      <c r="AN241" s="8" t="n">
        <v>10</v>
      </c>
      <c r="AO241" s="10" t="n">
        <f aca="false">IFERROR(AN241/AI241,"")</f>
        <v>0.909090909090909</v>
      </c>
      <c r="AP241" s="8" t="n">
        <v>54</v>
      </c>
      <c r="AQ241" s="7" t="n">
        <f aca="false">IFERROR(AP241/AI241,"")</f>
        <v>4.90909090909091</v>
      </c>
      <c r="AR241" s="6" t="n">
        <v>-1.364</v>
      </c>
      <c r="AS241" s="7" t="n">
        <v>6.1</v>
      </c>
      <c r="AT241" s="7" t="n">
        <v>-3.6</v>
      </c>
      <c r="AU241" s="7"/>
      <c r="AV241" s="7"/>
      <c r="AW241" s="7"/>
      <c r="AX241" s="10" t="n">
        <v>0</v>
      </c>
      <c r="AY241" s="8" t="n">
        <v>23</v>
      </c>
      <c r="AZ241" s="6" t="n">
        <f aca="false">IFERROR(AY241/R241,"")</f>
        <v>1.4375</v>
      </c>
      <c r="BA241" s="10" t="n">
        <v>0.0495</v>
      </c>
      <c r="BB241" s="8" t="n">
        <v>94</v>
      </c>
      <c r="BC241" s="7" t="n">
        <f aca="false">IFERROR(BB241/AY241,"")</f>
        <v>4.08695652173913</v>
      </c>
      <c r="BD241" s="7" t="n">
        <v>2.565</v>
      </c>
      <c r="BE241" s="7" t="n">
        <v>1.522</v>
      </c>
      <c r="BF241" s="8" t="n">
        <v>2</v>
      </c>
      <c r="BG241" s="7"/>
      <c r="BH241" s="6"/>
      <c r="BI241" s="7"/>
      <c r="BJ241" s="8" t="n">
        <v>6</v>
      </c>
      <c r="BK241" s="8" t="n">
        <v>1</v>
      </c>
      <c r="BL241" s="8" t="n">
        <v>1</v>
      </c>
      <c r="BM241" s="8" t="n">
        <v>0</v>
      </c>
      <c r="BN241" s="7" t="n">
        <v>1</v>
      </c>
      <c r="BO241" s="7" t="n">
        <f aca="false">IFERROR(BM241-BN241,"")</f>
        <v>-1</v>
      </c>
      <c r="BP241" s="9" t="n">
        <f aca="false">IFERROR(BM241/AH241,"")</f>
        <v>0</v>
      </c>
      <c r="BQ241" s="6" t="n">
        <v>44.3</v>
      </c>
      <c r="BR241" s="6" t="n">
        <v>40.2</v>
      </c>
      <c r="BS241" s="6" t="n">
        <v>50.8</v>
      </c>
      <c r="BT241" s="7" t="n">
        <v>2.885</v>
      </c>
      <c r="BU241" s="10" t="n">
        <v>0.1784</v>
      </c>
      <c r="BV241" s="10" t="n">
        <v>0.5</v>
      </c>
      <c r="BW241" s="7" t="n">
        <v>2.219</v>
      </c>
      <c r="BX241" s="10" t="n">
        <v>0.2504</v>
      </c>
      <c r="BY241" s="10" t="n">
        <v>0.0647</v>
      </c>
      <c r="BZ241" s="7" t="n">
        <v>2.395</v>
      </c>
      <c r="CA241" s="10" t="n">
        <v>1</v>
      </c>
      <c r="CB241" s="8" t="n">
        <v>5</v>
      </c>
      <c r="CC241" s="10" t="n">
        <v>0.0164</v>
      </c>
      <c r="CD241" s="10" t="n">
        <v>0.5756</v>
      </c>
      <c r="CE241" s="6" t="n">
        <v>63.18</v>
      </c>
      <c r="CF241" s="6" t="n">
        <v>40</v>
      </c>
      <c r="CG241" s="7" t="n">
        <v>4.24</v>
      </c>
      <c r="CH241" s="6" t="n">
        <v>27.9</v>
      </c>
      <c r="CI241" s="9" t="n">
        <v>-0.0041</v>
      </c>
      <c r="CJ241" s="9" t="n">
        <v>0.0592</v>
      </c>
      <c r="CK241" s="8" t="n">
        <v>132</v>
      </c>
      <c r="CL241" s="10" t="n">
        <v>0.241</v>
      </c>
      <c r="CM241" s="8" t="n">
        <v>271</v>
      </c>
      <c r="CN241" s="10" t="n">
        <v>0.554</v>
      </c>
      <c r="CO241" s="8" t="n">
        <v>85</v>
      </c>
      <c r="CP241" s="7" t="n">
        <v>-0.113</v>
      </c>
      <c r="CQ241" s="7" t="n">
        <v>-0.289</v>
      </c>
      <c r="CR241" s="4" t="s">
        <v>102</v>
      </c>
      <c r="CS241" s="4"/>
    </row>
    <row r="242" customFormat="false" ht="15" hidden="false" customHeight="false" outlineLevel="0" collapsed="false">
      <c r="A242" s="3" t="n">
        <v>240</v>
      </c>
      <c r="B242" s="4" t="s">
        <v>623</v>
      </c>
      <c r="C242" s="11" t="s">
        <v>104</v>
      </c>
      <c r="D242" s="4" t="s">
        <v>624</v>
      </c>
      <c r="E242" s="4" t="s">
        <v>124</v>
      </c>
      <c r="F242" s="4" t="s">
        <v>104</v>
      </c>
      <c r="G242" s="3" t="n">
        <v>2</v>
      </c>
      <c r="H242" s="6" t="n">
        <v>22.4</v>
      </c>
      <c r="I242" s="3" t="n">
        <v>2</v>
      </c>
      <c r="J242" s="3" t="n">
        <v>8</v>
      </c>
      <c r="K242" s="7" t="n">
        <v>264.7</v>
      </c>
      <c r="L242" s="7" t="n">
        <v>40.56</v>
      </c>
      <c r="M242" s="8" t="n">
        <v>160</v>
      </c>
      <c r="N242" s="8" t="n">
        <v>401</v>
      </c>
      <c r="O242" s="7" t="n">
        <v>264.7</v>
      </c>
      <c r="P242" s="6" t="n">
        <v>7.7</v>
      </c>
      <c r="Q242" s="4"/>
      <c r="R242" s="8"/>
      <c r="S242" s="6"/>
      <c r="T242" s="7"/>
      <c r="U242" s="6"/>
      <c r="V242" s="6"/>
      <c r="W242" s="8"/>
      <c r="X242" s="7"/>
      <c r="Y242" s="9"/>
      <c r="Z242" s="6"/>
      <c r="AA242" s="6"/>
      <c r="AB242" s="6"/>
      <c r="AC242" s="10"/>
      <c r="AD242" s="10"/>
      <c r="AE242" s="7"/>
      <c r="AF242" s="8" t="n">
        <v>3</v>
      </c>
      <c r="AG242" s="10" t="n">
        <v>0.017</v>
      </c>
      <c r="AH242" s="8" t="n">
        <v>0</v>
      </c>
      <c r="AI242" s="8"/>
      <c r="AJ242" s="6"/>
      <c r="AK242" s="10"/>
      <c r="AL242" s="10"/>
      <c r="AM242" s="9"/>
      <c r="AN242" s="8"/>
      <c r="AO242" s="10"/>
      <c r="AP242" s="8"/>
      <c r="AQ242" s="7"/>
      <c r="AR242" s="6"/>
      <c r="AS242" s="7"/>
      <c r="AT242" s="7"/>
      <c r="AU242" s="7"/>
      <c r="AV242" s="7"/>
      <c r="AW242" s="7"/>
      <c r="AX242" s="10"/>
      <c r="AY242" s="8"/>
      <c r="AZ242" s="6"/>
      <c r="BA242" s="10"/>
      <c r="BB242" s="8"/>
      <c r="BC242" s="7"/>
      <c r="BD242" s="7"/>
      <c r="BE242" s="7"/>
      <c r="BF242" s="8"/>
      <c r="BG242" s="7"/>
      <c r="BH242" s="6"/>
      <c r="BI242" s="7"/>
      <c r="BJ242" s="8"/>
      <c r="BK242" s="8"/>
      <c r="BL242" s="8"/>
      <c r="BM242" s="8"/>
      <c r="BN242" s="7"/>
      <c r="BO242" s="7"/>
      <c r="BP242" s="9"/>
      <c r="BQ242" s="6" t="n">
        <v>63.3</v>
      </c>
      <c r="BR242" s="6" t="n">
        <v>46.4</v>
      </c>
      <c r="BS242" s="6" t="n">
        <v>74.5</v>
      </c>
      <c r="BT242" s="7" t="n">
        <v>2.906</v>
      </c>
      <c r="BU242" s="10" t="n">
        <v>0.1848</v>
      </c>
      <c r="BV242" s="10" t="n">
        <v>0.655172413793103</v>
      </c>
      <c r="BW242" s="7" t="n">
        <v>2.349</v>
      </c>
      <c r="BX242" s="10" t="n">
        <v>0.2125</v>
      </c>
      <c r="BY242" s="10" t="n">
        <v>0.0428</v>
      </c>
      <c r="BZ242" s="7" t="n">
        <v>2.547</v>
      </c>
      <c r="CA242" s="10" t="n">
        <v>0.852</v>
      </c>
      <c r="CB242" s="8" t="n">
        <v>4</v>
      </c>
      <c r="CC242" s="10" t="n">
        <v>-0.0088</v>
      </c>
      <c r="CD242" s="10" t="n">
        <v>0.5521</v>
      </c>
      <c r="CE242" s="6" t="n">
        <v>62.65</v>
      </c>
      <c r="CF242" s="6" t="n">
        <v>38</v>
      </c>
      <c r="CG242" s="7" t="n">
        <v>3.88</v>
      </c>
      <c r="CH242" s="6" t="n">
        <v>25.7</v>
      </c>
      <c r="CI242" s="9" t="n">
        <v>-0.0044</v>
      </c>
      <c r="CJ242" s="9" t="n">
        <v>0.1587</v>
      </c>
      <c r="CK242" s="8" t="n">
        <v>170</v>
      </c>
      <c r="CL242" s="10" t="n">
        <v>0.309</v>
      </c>
      <c r="CM242" s="8" t="n">
        <v>94</v>
      </c>
      <c r="CN242" s="10" t="n">
        <v>0.195</v>
      </c>
      <c r="CO242" s="8" t="n">
        <v>38</v>
      </c>
      <c r="CP242" s="7"/>
      <c r="CQ242" s="7"/>
      <c r="CR242" s="4"/>
      <c r="CS242" s="4" t="s">
        <v>354</v>
      </c>
    </row>
    <row r="243" customFormat="false" ht="15" hidden="false" customHeight="false" outlineLevel="0" collapsed="false">
      <c r="A243" s="3" t="n">
        <v>241</v>
      </c>
      <c r="B243" s="4" t="s">
        <v>625</v>
      </c>
      <c r="C243" s="11" t="s">
        <v>104</v>
      </c>
      <c r="D243" s="4" t="s">
        <v>626</v>
      </c>
      <c r="E243" s="4" t="s">
        <v>218</v>
      </c>
      <c r="F243" s="4" t="s">
        <v>104</v>
      </c>
      <c r="G243" s="3" t="n">
        <v>3</v>
      </c>
      <c r="H243" s="6" t="n">
        <v>26.6</v>
      </c>
      <c r="I243" s="3" t="n">
        <v>4</v>
      </c>
      <c r="J243" s="3" t="n">
        <v>11</v>
      </c>
      <c r="K243" s="7" t="n">
        <v>265.18</v>
      </c>
      <c r="L243" s="7" t="n">
        <v>28.24</v>
      </c>
      <c r="M243" s="8" t="n">
        <v>182</v>
      </c>
      <c r="N243" s="8" t="n">
        <v>321</v>
      </c>
      <c r="O243" s="7" t="n">
        <v>265.18</v>
      </c>
      <c r="P243" s="6" t="n">
        <v>3.8</v>
      </c>
      <c r="Q243" s="4" t="s">
        <v>218</v>
      </c>
      <c r="R243" s="8" t="n">
        <v>17</v>
      </c>
      <c r="S243" s="6" t="n">
        <v>32.7</v>
      </c>
      <c r="T243" s="7" t="n">
        <f aca="false">IFERROR(S243/R243,"")</f>
        <v>1.92352941176471</v>
      </c>
      <c r="U243" s="6" t="n">
        <v>26.2</v>
      </c>
      <c r="V243" s="6" t="n">
        <v>19.7</v>
      </c>
      <c r="W243" s="8" t="n">
        <v>63</v>
      </c>
      <c r="X243" s="7" t="n">
        <f aca="false">IFERROR(S243/AH243,"")</f>
        <v>0.743181818181818</v>
      </c>
      <c r="Y243" s="9" t="n">
        <f aca="false">IFERROR(S243/AF243,"")</f>
        <v>0.161083743842365</v>
      </c>
      <c r="Z243" s="6" t="n">
        <v>0.1</v>
      </c>
      <c r="AA243" s="6" t="n">
        <v>1.3</v>
      </c>
      <c r="AB243" s="6" t="n">
        <v>4.08</v>
      </c>
      <c r="AC243" s="10" t="n">
        <v>0</v>
      </c>
      <c r="AD243" s="10" t="n">
        <v>0.706</v>
      </c>
      <c r="AE243" s="7" t="n">
        <v>1.55</v>
      </c>
      <c r="AF243" s="8" t="n">
        <v>203</v>
      </c>
      <c r="AG243" s="10" t="n">
        <v>0.201</v>
      </c>
      <c r="AH243" s="8" t="n">
        <v>44</v>
      </c>
      <c r="AI243" s="8" t="n">
        <v>17</v>
      </c>
      <c r="AJ243" s="6" t="n">
        <f aca="false">IFERROR(AI243/R243,"")</f>
        <v>1</v>
      </c>
      <c r="AK243" s="10" t="n">
        <v>0.037</v>
      </c>
      <c r="AL243" s="10" t="n">
        <v>0.0015</v>
      </c>
      <c r="AM243" s="9" t="n">
        <v>0.0566</v>
      </c>
      <c r="AN243" s="8" t="n">
        <v>13</v>
      </c>
      <c r="AO243" s="10" t="n">
        <f aca="false">IFERROR(AN243/AI243,"")</f>
        <v>0.764705882352941</v>
      </c>
      <c r="AP243" s="8" t="n">
        <v>91</v>
      </c>
      <c r="AQ243" s="7" t="n">
        <f aca="false">IFERROR(AP243/AI243,"")</f>
        <v>5.35294117647059</v>
      </c>
      <c r="AR243" s="6" t="n">
        <v>0.353</v>
      </c>
      <c r="AS243" s="7" t="n">
        <v>8.154</v>
      </c>
      <c r="AT243" s="7" t="n">
        <v>15.167</v>
      </c>
      <c r="AU243" s="7"/>
      <c r="AV243" s="7"/>
      <c r="AW243" s="7"/>
      <c r="AX243" s="10" t="n">
        <v>0.1176</v>
      </c>
      <c r="AY243" s="8" t="n">
        <v>27</v>
      </c>
      <c r="AZ243" s="6" t="n">
        <f aca="false">IFERROR(AY243/R243,"")</f>
        <v>1.58823529411765</v>
      </c>
      <c r="BA243" s="10" t="n">
        <v>0.0549</v>
      </c>
      <c r="BB243" s="8" t="n">
        <v>106</v>
      </c>
      <c r="BC243" s="7" t="n">
        <f aca="false">IFERROR(BB243/AY243,"")</f>
        <v>3.92592592592593</v>
      </c>
      <c r="BD243" s="7" t="n">
        <v>2.074</v>
      </c>
      <c r="BE243" s="7" t="n">
        <v>1.852</v>
      </c>
      <c r="BF243" s="8" t="n">
        <v>1</v>
      </c>
      <c r="BG243" s="7"/>
      <c r="BH243" s="6"/>
      <c r="BI243" s="7"/>
      <c r="BJ243" s="8" t="n">
        <v>6</v>
      </c>
      <c r="BK243" s="8" t="n">
        <v>1</v>
      </c>
      <c r="BL243" s="8" t="n">
        <v>0</v>
      </c>
      <c r="BM243" s="8" t="n">
        <v>0</v>
      </c>
      <c r="BN243" s="7" t="n">
        <v>1.14</v>
      </c>
      <c r="BO243" s="7" t="n">
        <f aca="false">IFERROR(BM243-BN243,"")</f>
        <v>-1.14</v>
      </c>
      <c r="BP243" s="9" t="n">
        <f aca="false">IFERROR(BM243/AH243,"")</f>
        <v>0</v>
      </c>
      <c r="BQ243" s="6" t="n">
        <v>52.5</v>
      </c>
      <c r="BR243" s="6" t="n">
        <v>45.3</v>
      </c>
      <c r="BS243" s="6" t="n">
        <v>58.7</v>
      </c>
      <c r="BT243" s="7" t="n">
        <v>2.905</v>
      </c>
      <c r="BU243" s="10" t="n">
        <v>0.1629</v>
      </c>
      <c r="BV243" s="10" t="n">
        <v>0.604651162790698</v>
      </c>
      <c r="BW243" s="7" t="n">
        <v>2.199</v>
      </c>
      <c r="BX243" s="10" t="n">
        <v>0.2454</v>
      </c>
      <c r="BY243" s="10" t="n">
        <v>0.0493</v>
      </c>
      <c r="BZ243" s="7" t="n">
        <v>2.41</v>
      </c>
      <c r="CA243" s="10" t="n">
        <v>0.704</v>
      </c>
      <c r="CB243" s="8" t="n">
        <v>4</v>
      </c>
      <c r="CC243" s="10" t="n">
        <v>-0.0441</v>
      </c>
      <c r="CD243" s="10" t="n">
        <v>0.5063</v>
      </c>
      <c r="CE243" s="6" t="n">
        <v>58.41</v>
      </c>
      <c r="CF243" s="6" t="n">
        <v>39</v>
      </c>
      <c r="CG243" s="7" t="n">
        <v>3.47</v>
      </c>
      <c r="CH243" s="6" t="n">
        <v>23</v>
      </c>
      <c r="CI243" s="9" t="n">
        <v>-0.0102</v>
      </c>
      <c r="CJ243" s="9" t="n">
        <v>0.229</v>
      </c>
      <c r="CK243" s="8" t="n">
        <v>155</v>
      </c>
      <c r="CL243" s="10" t="n">
        <v>0.337</v>
      </c>
      <c r="CM243" s="8" t="n">
        <v>148</v>
      </c>
      <c r="CN243" s="10" t="n">
        <v>0.301</v>
      </c>
      <c r="CO243" s="8" t="n">
        <v>52</v>
      </c>
      <c r="CP243" s="7" t="n">
        <v>0.001</v>
      </c>
      <c r="CQ243" s="7" t="n">
        <v>-0.131</v>
      </c>
      <c r="CR243" s="4" t="s">
        <v>102</v>
      </c>
      <c r="CS243" s="4"/>
    </row>
    <row r="244" customFormat="false" ht="15" hidden="false" customHeight="false" outlineLevel="0" collapsed="false">
      <c r="A244" s="3" t="n">
        <v>242</v>
      </c>
      <c r="B244" s="4" t="s">
        <v>627</v>
      </c>
      <c r="C244" s="11" t="s">
        <v>104</v>
      </c>
      <c r="D244" s="4" t="s">
        <v>628</v>
      </c>
      <c r="E244" s="4" t="s">
        <v>130</v>
      </c>
      <c r="F244" s="4" t="s">
        <v>104</v>
      </c>
      <c r="G244" s="3" t="n">
        <v>2</v>
      </c>
      <c r="H244" s="6" t="n">
        <v>23</v>
      </c>
      <c r="I244" s="3" t="n">
        <v>2</v>
      </c>
      <c r="J244" s="3" t="n">
        <v>13</v>
      </c>
      <c r="K244" s="7" t="n">
        <v>266.77</v>
      </c>
      <c r="L244" s="7" t="n">
        <v>24.16</v>
      </c>
      <c r="M244" s="8" t="n">
        <v>177</v>
      </c>
      <c r="N244" s="8" t="n">
        <v>329</v>
      </c>
      <c r="O244" s="7" t="n">
        <v>266.77</v>
      </c>
      <c r="P244" s="6" t="n">
        <v>2</v>
      </c>
      <c r="Q244" s="4" t="s">
        <v>130</v>
      </c>
      <c r="R244" s="8" t="n">
        <v>5</v>
      </c>
      <c r="S244" s="6" t="n">
        <v>9.6</v>
      </c>
      <c r="T244" s="7" t="n">
        <f aca="false">IFERROR(S244/R244,"")</f>
        <v>1.92</v>
      </c>
      <c r="U244" s="6" t="n">
        <v>9.6</v>
      </c>
      <c r="V244" s="6" t="n">
        <v>9.6</v>
      </c>
      <c r="W244" s="8" t="n">
        <v>68</v>
      </c>
      <c r="X244" s="7" t="n">
        <f aca="false">IFERROR(S244/AH244,"")</f>
        <v>0.342857142857143</v>
      </c>
      <c r="Y244" s="9" t="n">
        <f aca="false">IFERROR(S244/AF244,"")</f>
        <v>0.137142857142857</v>
      </c>
      <c r="Z244" s="6" t="n">
        <v>0.3</v>
      </c>
      <c r="AA244" s="6" t="n">
        <v>2.2</v>
      </c>
      <c r="AB244" s="6" t="n">
        <v>3.44</v>
      </c>
      <c r="AC244" s="10" t="n">
        <v>0</v>
      </c>
      <c r="AD244" s="10" t="n">
        <v>0.4</v>
      </c>
      <c r="AE244" s="7" t="n">
        <v>0.797</v>
      </c>
      <c r="AF244" s="8" t="n">
        <v>70</v>
      </c>
      <c r="AG244" s="10" t="n">
        <v>0.12</v>
      </c>
      <c r="AH244" s="8" t="n">
        <v>28</v>
      </c>
      <c r="AI244" s="8" t="n">
        <v>2</v>
      </c>
      <c r="AJ244" s="6" t="n">
        <f aca="false">IFERROR(AI244/R244,"")</f>
        <v>0.4</v>
      </c>
      <c r="AK244" s="10" t="n">
        <v>0.0132</v>
      </c>
      <c r="AL244" s="10" t="n">
        <v>-0.0047</v>
      </c>
      <c r="AM244" s="9" t="n">
        <v>0.0165</v>
      </c>
      <c r="AN244" s="8" t="n">
        <v>0</v>
      </c>
      <c r="AO244" s="10"/>
      <c r="AP244" s="8" t="n">
        <v>0</v>
      </c>
      <c r="AQ244" s="7"/>
      <c r="AR244" s="6"/>
      <c r="AS244" s="7"/>
      <c r="AT244" s="7"/>
      <c r="AU244" s="7"/>
      <c r="AV244" s="7"/>
      <c r="AW244" s="7"/>
      <c r="AX244" s="10"/>
      <c r="AY244" s="8" t="n">
        <v>26</v>
      </c>
      <c r="AZ244" s="6" t="n">
        <f aca="false">IFERROR(AY244/R244,"")</f>
        <v>5.2</v>
      </c>
      <c r="BA244" s="10" t="n">
        <v>0.1699</v>
      </c>
      <c r="BB244" s="8" t="n">
        <v>96</v>
      </c>
      <c r="BC244" s="7" t="n">
        <f aca="false">IFERROR(BB244/AY244,"")</f>
        <v>3.69230769230769</v>
      </c>
      <c r="BD244" s="7" t="n">
        <v>1.846</v>
      </c>
      <c r="BE244" s="7" t="n">
        <v>1.846</v>
      </c>
      <c r="BF244" s="8" t="n">
        <v>0</v>
      </c>
      <c r="BG244" s="7"/>
      <c r="BH244" s="6"/>
      <c r="BI244" s="7"/>
      <c r="BJ244" s="8" t="n">
        <v>6</v>
      </c>
      <c r="BK244" s="8" t="n">
        <v>2</v>
      </c>
      <c r="BL244" s="8" t="n">
        <v>1</v>
      </c>
      <c r="BM244" s="8" t="n">
        <v>0</v>
      </c>
      <c r="BN244" s="7" t="n">
        <v>1.21</v>
      </c>
      <c r="BO244" s="7" t="n">
        <f aca="false">IFERROR(BM244-BN244,"")</f>
        <v>-1.21</v>
      </c>
      <c r="BP244" s="9" t="n">
        <f aca="false">IFERROR(BM244/AH244,"")</f>
        <v>0</v>
      </c>
      <c r="BQ244" s="6" t="n">
        <v>60.3</v>
      </c>
      <c r="BR244" s="6" t="n">
        <v>57.7</v>
      </c>
      <c r="BS244" s="6" t="n">
        <v>58.5</v>
      </c>
      <c r="BT244" s="7" t="n">
        <v>3.072</v>
      </c>
      <c r="BU244" s="10" t="n">
        <v>0.1487</v>
      </c>
      <c r="BV244" s="10" t="n">
        <v>0.6875</v>
      </c>
      <c r="BW244" s="7" t="n">
        <v>2.428</v>
      </c>
      <c r="BX244" s="10" t="n">
        <v>0.2121</v>
      </c>
      <c r="BY244" s="10" t="n">
        <v>0.047</v>
      </c>
      <c r="BZ244" s="7" t="n">
        <v>2.237</v>
      </c>
      <c r="CA244" s="10" t="n">
        <v>0.832</v>
      </c>
      <c r="CB244" s="8" t="n">
        <v>5</v>
      </c>
      <c r="CC244" s="10" t="n">
        <v>-0.0091</v>
      </c>
      <c r="CD244" s="10" t="n">
        <v>0.5637</v>
      </c>
      <c r="CE244" s="6" t="n">
        <v>59.47</v>
      </c>
      <c r="CF244" s="6" t="n">
        <v>39</v>
      </c>
      <c r="CG244" s="7" t="n">
        <v>4.12</v>
      </c>
      <c r="CH244" s="6" t="n">
        <v>27.4</v>
      </c>
      <c r="CI244" s="9" t="n">
        <v>0.094</v>
      </c>
      <c r="CJ244" s="9" t="n">
        <v>0.0558</v>
      </c>
      <c r="CK244" s="8" t="n">
        <v>147</v>
      </c>
      <c r="CL244" s="10" t="n">
        <v>0.277</v>
      </c>
      <c r="CM244" s="8" t="n">
        <v>24</v>
      </c>
      <c r="CN244" s="10" t="n">
        <v>0.054</v>
      </c>
      <c r="CO244" s="8" t="n">
        <v>20</v>
      </c>
      <c r="CP244" s="7" t="n">
        <v>-0.182</v>
      </c>
      <c r="CQ244" s="7" t="n">
        <v>-0.139</v>
      </c>
      <c r="CR244" s="4" t="s">
        <v>102</v>
      </c>
      <c r="CS244" s="4"/>
    </row>
    <row r="245" customFormat="false" ht="15" hidden="false" customHeight="false" outlineLevel="0" collapsed="false">
      <c r="A245" s="3" t="n">
        <v>243</v>
      </c>
      <c r="B245" s="4" t="s">
        <v>629</v>
      </c>
      <c r="C245" s="5" t="s">
        <v>99</v>
      </c>
      <c r="D245" s="4" t="s">
        <v>630</v>
      </c>
      <c r="E245" s="4" t="s">
        <v>178</v>
      </c>
      <c r="F245" s="4" t="s">
        <v>99</v>
      </c>
      <c r="G245" s="3" t="n">
        <v>2</v>
      </c>
      <c r="H245" s="6" t="n">
        <v>29.6</v>
      </c>
      <c r="I245" s="3" t="n">
        <v>8</v>
      </c>
      <c r="J245" s="3" t="n">
        <v>8</v>
      </c>
      <c r="K245" s="7" t="n">
        <v>267.21</v>
      </c>
      <c r="L245" s="7" t="n">
        <v>28</v>
      </c>
      <c r="M245" s="8" t="n">
        <v>199</v>
      </c>
      <c r="N245" s="8" t="n">
        <v>371</v>
      </c>
      <c r="O245" s="7" t="n">
        <v>267.21</v>
      </c>
      <c r="P245" s="6" t="n">
        <v>3.8</v>
      </c>
      <c r="Q245" s="4" t="s">
        <v>178</v>
      </c>
      <c r="R245" s="8" t="n">
        <v>14</v>
      </c>
      <c r="S245" s="6" t="n">
        <v>98.8</v>
      </c>
      <c r="T245" s="7" t="n">
        <f aca="false">IFERROR(S245/R245,"")</f>
        <v>7.05714285714286</v>
      </c>
      <c r="U245" s="6" t="n">
        <v>80.3</v>
      </c>
      <c r="V245" s="6" t="n">
        <v>61.8</v>
      </c>
      <c r="W245" s="8" t="n">
        <v>61</v>
      </c>
      <c r="X245" s="7" t="n">
        <f aca="false">IFERROR(S245/AH245,"")</f>
        <v>1.56825396825397</v>
      </c>
      <c r="Y245" s="9" t="n">
        <f aca="false">IFERROR(S245/AF245,"")</f>
        <v>0.130860927152318</v>
      </c>
      <c r="Z245" s="6" t="n">
        <v>4.22</v>
      </c>
      <c r="AA245" s="6" t="n">
        <v>7.2</v>
      </c>
      <c r="AB245" s="6" t="n">
        <v>11.28</v>
      </c>
      <c r="AC245" s="10" t="n">
        <v>0</v>
      </c>
      <c r="AD245" s="10" t="n">
        <v>0.143</v>
      </c>
      <c r="AE245" s="7" t="n">
        <v>0.573</v>
      </c>
      <c r="AF245" s="8" t="n">
        <v>755</v>
      </c>
      <c r="AG245" s="10" t="n">
        <v>0.813</v>
      </c>
      <c r="AH245" s="8" t="n">
        <v>63</v>
      </c>
      <c r="AI245" s="8" t="n">
        <v>63</v>
      </c>
      <c r="AJ245" s="6" t="n">
        <f aca="false">IFERROR(AI245/R245,"")</f>
        <v>4.5</v>
      </c>
      <c r="AK245" s="10" t="n">
        <v>0.1518</v>
      </c>
      <c r="AL245" s="10" t="n">
        <v>0.24</v>
      </c>
      <c r="AM245" s="9" t="n">
        <v>0.3957</v>
      </c>
      <c r="AN245" s="8" t="n">
        <v>37</v>
      </c>
      <c r="AO245" s="10" t="n">
        <f aca="false">IFERROR(AN245/AI245,"")</f>
        <v>0.587301587301587</v>
      </c>
      <c r="AP245" s="8" t="n">
        <v>538</v>
      </c>
      <c r="AQ245" s="7" t="n">
        <f aca="false">IFERROR(AP245/AI245,"")</f>
        <v>8.53968253968254</v>
      </c>
      <c r="AR245" s="6" t="n">
        <v>13.381</v>
      </c>
      <c r="AS245" s="7" t="n">
        <v>5.351</v>
      </c>
      <c r="AT245" s="7" t="n">
        <v>0.638</v>
      </c>
      <c r="AU245" s="7" t="n">
        <v>2.7084140568845</v>
      </c>
      <c r="AV245" s="7" t="n">
        <v>5.72047619047619</v>
      </c>
      <c r="AW245" s="7" t="n">
        <v>0.782344891861625</v>
      </c>
      <c r="AX245" s="10" t="n">
        <v>0.0794</v>
      </c>
      <c r="AY245" s="8" t="n">
        <v>0</v>
      </c>
      <c r="AZ245" s="6" t="n">
        <f aca="false">IFERROR(AY245/R245,"")</f>
        <v>0</v>
      </c>
      <c r="BA245" s="10" t="n">
        <v>0</v>
      </c>
      <c r="BB245" s="8" t="n">
        <v>0</v>
      </c>
      <c r="BC245" s="7"/>
      <c r="BD245" s="7"/>
      <c r="BE245" s="7"/>
      <c r="BF245" s="8"/>
      <c r="BG245" s="7"/>
      <c r="BH245" s="6"/>
      <c r="BI245" s="7"/>
      <c r="BJ245" s="8" t="n">
        <v>6</v>
      </c>
      <c r="BK245" s="8" t="n">
        <v>5</v>
      </c>
      <c r="BL245" s="8" t="n">
        <v>0</v>
      </c>
      <c r="BM245" s="8" t="n">
        <v>1</v>
      </c>
      <c r="BN245" s="7" t="n">
        <v>2.36</v>
      </c>
      <c r="BO245" s="7" t="n">
        <f aca="false">IFERROR(BM245-BN245,"")</f>
        <v>-1.36</v>
      </c>
      <c r="BP245" s="9" t="n">
        <f aca="false">IFERROR(BM245/AH245,"")</f>
        <v>0.0158730158730159</v>
      </c>
      <c r="BQ245" s="6" t="n">
        <v>45.9</v>
      </c>
      <c r="BR245" s="6" t="n">
        <v>56.8</v>
      </c>
      <c r="BS245" s="6" t="n">
        <v>36.8</v>
      </c>
      <c r="BT245" s="7" t="n">
        <v>2.974</v>
      </c>
      <c r="BU245" s="10" t="n">
        <v>0.1475</v>
      </c>
      <c r="BV245" s="10" t="n">
        <v>0.625</v>
      </c>
      <c r="BW245" s="7" t="n">
        <v>2.714</v>
      </c>
      <c r="BX245" s="10" t="n">
        <v>0.2947</v>
      </c>
      <c r="BY245" s="10" t="n">
        <v>0.076</v>
      </c>
      <c r="BZ245" s="7" t="n">
        <v>2.388</v>
      </c>
      <c r="CA245" s="10" t="n">
        <v>0.723</v>
      </c>
      <c r="CB245" s="8" t="n">
        <v>4</v>
      </c>
      <c r="CC245" s="10" t="n">
        <v>-0.0466</v>
      </c>
      <c r="CD245" s="10" t="n">
        <v>0.494</v>
      </c>
      <c r="CE245" s="6" t="n">
        <v>63.47</v>
      </c>
      <c r="CF245" s="6" t="n">
        <v>36</v>
      </c>
      <c r="CG245" s="7" t="n">
        <v>3.59</v>
      </c>
      <c r="CH245" s="6" t="n">
        <v>22.4</v>
      </c>
      <c r="CI245" s="9" t="n">
        <v>0.0356</v>
      </c>
      <c r="CJ245" s="9" t="n">
        <v>-0.008</v>
      </c>
      <c r="CK245" s="8" t="n">
        <v>177</v>
      </c>
      <c r="CL245" s="10" t="n">
        <v>0.352</v>
      </c>
      <c r="CM245" s="8" t="n">
        <v>3</v>
      </c>
      <c r="CN245" s="10" t="n">
        <v>0.006</v>
      </c>
      <c r="CO245" s="8" t="n">
        <v>21</v>
      </c>
      <c r="CP245" s="7" t="n">
        <v>0.974</v>
      </c>
      <c r="CQ245" s="7" t="n">
        <v>0.667</v>
      </c>
      <c r="CR245" s="4" t="s">
        <v>232</v>
      </c>
      <c r="CS245" s="4"/>
    </row>
    <row r="246" customFormat="false" ht="15" hidden="false" customHeight="false" outlineLevel="0" collapsed="false">
      <c r="A246" s="3" t="n">
        <v>244</v>
      </c>
      <c r="B246" s="4" t="s">
        <v>631</v>
      </c>
      <c r="C246" s="5" t="s">
        <v>99</v>
      </c>
      <c r="D246" s="4" t="s">
        <v>632</v>
      </c>
      <c r="E246" s="4" t="s">
        <v>164</v>
      </c>
      <c r="F246" s="4" t="s">
        <v>99</v>
      </c>
      <c r="G246" s="3" t="n">
        <v>3</v>
      </c>
      <c r="H246" s="6" t="n">
        <v>26</v>
      </c>
      <c r="I246" s="3" t="n">
        <v>5</v>
      </c>
      <c r="J246" s="3" t="n">
        <v>5</v>
      </c>
      <c r="K246" s="7" t="n">
        <v>267.62</v>
      </c>
      <c r="L246" s="7" t="n">
        <v>31.88</v>
      </c>
      <c r="M246" s="8" t="n">
        <v>170</v>
      </c>
      <c r="N246" s="8" t="n">
        <v>370</v>
      </c>
      <c r="O246" s="7" t="n">
        <v>267.62</v>
      </c>
      <c r="P246" s="6" t="n">
        <v>3.5</v>
      </c>
      <c r="Q246" s="4" t="s">
        <v>164</v>
      </c>
      <c r="R246" s="8" t="n">
        <v>12</v>
      </c>
      <c r="S246" s="6" t="n">
        <v>80.8</v>
      </c>
      <c r="T246" s="7" t="n">
        <f aca="false">IFERROR(S246/R246,"")</f>
        <v>6.73333333333333</v>
      </c>
      <c r="U246" s="6" t="n">
        <v>71.3</v>
      </c>
      <c r="V246" s="6" t="n">
        <v>61.8</v>
      </c>
      <c r="W246" s="8" t="n">
        <v>69</v>
      </c>
      <c r="X246" s="7" t="n">
        <f aca="false">IFERROR(S246/AH246,"")</f>
        <v>2.18378378378378</v>
      </c>
      <c r="Y246" s="9" t="n">
        <f aca="false">IFERROR(S246/AF246,"")</f>
        <v>0.219565217391304</v>
      </c>
      <c r="Z246" s="6" t="n">
        <v>2.92</v>
      </c>
      <c r="AA246" s="6" t="n">
        <v>6.4</v>
      </c>
      <c r="AB246" s="6" t="n">
        <v>12.66</v>
      </c>
      <c r="AC246" s="10" t="n">
        <v>0</v>
      </c>
      <c r="AD246" s="10" t="n">
        <v>0.25</v>
      </c>
      <c r="AE246" s="7" t="n">
        <v>0.892</v>
      </c>
      <c r="AF246" s="8" t="n">
        <v>368</v>
      </c>
      <c r="AG246" s="10" t="n">
        <v>0.39</v>
      </c>
      <c r="AH246" s="8" t="n">
        <v>37</v>
      </c>
      <c r="AI246" s="8" t="n">
        <v>37</v>
      </c>
      <c r="AJ246" s="6" t="n">
        <f aca="false">IFERROR(AI246/R246,"")</f>
        <v>3.08333333333333</v>
      </c>
      <c r="AK246" s="10" t="n">
        <v>0.0887</v>
      </c>
      <c r="AL246" s="10" t="n">
        <v>0.2805</v>
      </c>
      <c r="AM246" s="9" t="n">
        <v>0.3294</v>
      </c>
      <c r="AN246" s="8" t="n">
        <v>19</v>
      </c>
      <c r="AO246" s="10" t="n">
        <f aca="false">IFERROR(AN246/AI246,"")</f>
        <v>0.513513513513514</v>
      </c>
      <c r="AP246" s="8" t="n">
        <v>438</v>
      </c>
      <c r="AQ246" s="7" t="n">
        <f aca="false">IFERROR(AP246/AI246,"")</f>
        <v>11.8378378378378</v>
      </c>
      <c r="AR246" s="6" t="n">
        <v>26.892</v>
      </c>
      <c r="AS246" s="7" t="n">
        <v>3.105</v>
      </c>
      <c r="AT246" s="7" t="n">
        <v>0.44</v>
      </c>
      <c r="AU246" s="7"/>
      <c r="AV246" s="7"/>
      <c r="AW246" s="7"/>
      <c r="AX246" s="10" t="n">
        <v>0.0811</v>
      </c>
      <c r="AY246" s="8" t="n">
        <v>0</v>
      </c>
      <c r="AZ246" s="6" t="n">
        <f aca="false">IFERROR(AY246/R246,"")</f>
        <v>0</v>
      </c>
      <c r="BA246" s="10" t="n">
        <v>0</v>
      </c>
      <c r="BB246" s="8" t="n">
        <v>0</v>
      </c>
      <c r="BC246" s="7"/>
      <c r="BD246" s="7"/>
      <c r="BE246" s="7"/>
      <c r="BF246" s="8"/>
      <c r="BG246" s="7"/>
      <c r="BH246" s="6"/>
      <c r="BI246" s="7"/>
      <c r="BJ246" s="8" t="n">
        <v>4</v>
      </c>
      <c r="BK246" s="8" t="n">
        <v>2</v>
      </c>
      <c r="BL246" s="8" t="n">
        <v>2</v>
      </c>
      <c r="BM246" s="8" t="n">
        <v>3</v>
      </c>
      <c r="BN246" s="7" t="n">
        <v>1.72</v>
      </c>
      <c r="BO246" s="7" t="n">
        <f aca="false">IFERROR(BM246-BN246,"")</f>
        <v>1.28</v>
      </c>
      <c r="BP246" s="9" t="n">
        <f aca="false">IFERROR(BM246/AH246,"")</f>
        <v>0.0810810810810811</v>
      </c>
      <c r="BQ246" s="6" t="n">
        <v>50.1</v>
      </c>
      <c r="BR246" s="6" t="n">
        <v>66.2</v>
      </c>
      <c r="BS246" s="6" t="n">
        <v>34</v>
      </c>
      <c r="BT246" s="7" t="n">
        <v>3.062</v>
      </c>
      <c r="BU246" s="10" t="n">
        <v>0.1258</v>
      </c>
      <c r="BV246" s="10" t="n">
        <v>0.8125</v>
      </c>
      <c r="BW246" s="7" t="n">
        <v>2.623</v>
      </c>
      <c r="BX246" s="10" t="n">
        <v>0.2877</v>
      </c>
      <c r="BY246" s="10" t="n">
        <v>0.0659</v>
      </c>
      <c r="BZ246" s="7" t="n">
        <v>2.212</v>
      </c>
      <c r="CA246" s="10" t="n">
        <v>0.864</v>
      </c>
      <c r="CB246" s="8" t="n">
        <v>5</v>
      </c>
      <c r="CC246" s="10" t="n">
        <v>0.0395</v>
      </c>
      <c r="CD246" s="10" t="n">
        <v>0.5721</v>
      </c>
      <c r="CE246" s="6" t="n">
        <v>61.65</v>
      </c>
      <c r="CF246" s="6" t="n">
        <v>38</v>
      </c>
      <c r="CG246" s="7" t="n">
        <v>3.71</v>
      </c>
      <c r="CH246" s="6" t="n">
        <v>21.3</v>
      </c>
      <c r="CI246" s="9" t="n">
        <v>0.0273</v>
      </c>
      <c r="CJ246" s="9" t="n">
        <v>0.0399</v>
      </c>
      <c r="CK246" s="8" t="n">
        <v>147</v>
      </c>
      <c r="CL246" s="10" t="n">
        <v>0.268</v>
      </c>
      <c r="CM246" s="8" t="n">
        <v>129</v>
      </c>
      <c r="CN246" s="10" t="n">
        <v>0.3</v>
      </c>
      <c r="CO246" s="8" t="n">
        <v>43</v>
      </c>
      <c r="CP246" s="7" t="n">
        <v>0.659</v>
      </c>
      <c r="CQ246" s="7" t="n">
        <v>0.571</v>
      </c>
      <c r="CR246" s="4" t="s">
        <v>232</v>
      </c>
      <c r="CS246" s="4"/>
    </row>
    <row r="247" customFormat="false" ht="15" hidden="false" customHeight="false" outlineLevel="0" collapsed="false">
      <c r="A247" s="3" t="n">
        <v>245</v>
      </c>
      <c r="B247" s="4" t="s">
        <v>633</v>
      </c>
      <c r="C247" s="5" t="s">
        <v>99</v>
      </c>
      <c r="D247" s="4" t="s">
        <v>634</v>
      </c>
      <c r="E247" s="4" t="s">
        <v>170</v>
      </c>
      <c r="F247" s="4"/>
      <c r="G247" s="3"/>
      <c r="H247" s="6" t="n">
        <v>34.3</v>
      </c>
      <c r="I247" s="3" t="n">
        <v>13</v>
      </c>
      <c r="J247" s="3" t="n">
        <v>7</v>
      </c>
      <c r="K247" s="7" t="n">
        <v>267.75</v>
      </c>
      <c r="L247" s="7" t="n">
        <v>28.87</v>
      </c>
      <c r="M247" s="8" t="n">
        <v>168</v>
      </c>
      <c r="N247" s="8" t="n">
        <v>298</v>
      </c>
      <c r="O247" s="7" t="n">
        <v>267.75</v>
      </c>
      <c r="P247" s="6" t="n">
        <v>6</v>
      </c>
      <c r="Q247" s="4" t="s">
        <v>170</v>
      </c>
      <c r="R247" s="8" t="n">
        <v>17</v>
      </c>
      <c r="S247" s="6" t="n">
        <v>182.7</v>
      </c>
      <c r="T247" s="7" t="n">
        <f aca="false">IFERROR(S247/R247,"")</f>
        <v>10.7470588235294</v>
      </c>
      <c r="U247" s="6" t="n">
        <v>142.2</v>
      </c>
      <c r="V247" s="6" t="n">
        <v>101.7</v>
      </c>
      <c r="W247" s="8" t="n">
        <v>29</v>
      </c>
      <c r="X247" s="7" t="n">
        <f aca="false">IFERROR(S247/AH247,"")</f>
        <v>1.49754098360656</v>
      </c>
      <c r="Y247" s="9" t="n">
        <f aca="false">IFERROR(S247/AF247,"")</f>
        <v>0.29</v>
      </c>
      <c r="Z247" s="6" t="n">
        <v>6.7</v>
      </c>
      <c r="AA247" s="6" t="n">
        <v>8.7</v>
      </c>
      <c r="AB247" s="6" t="n">
        <v>18.54</v>
      </c>
      <c r="AC247" s="10" t="n">
        <v>0.176</v>
      </c>
      <c r="AD247" s="10" t="n">
        <v>0</v>
      </c>
      <c r="AE247" s="7" t="n">
        <v>0.782</v>
      </c>
      <c r="AF247" s="8" t="n">
        <v>630</v>
      </c>
      <c r="AG247" s="10" t="n">
        <v>0.555</v>
      </c>
      <c r="AH247" s="8" t="n">
        <v>122</v>
      </c>
      <c r="AI247" s="8" t="n">
        <v>122</v>
      </c>
      <c r="AJ247" s="6" t="n">
        <f aca="false">IFERROR(AI247/R247,"")</f>
        <v>7.17647058823529</v>
      </c>
      <c r="AK247" s="10" t="n">
        <v>0.2243</v>
      </c>
      <c r="AL247" s="10" t="n">
        <v>0.233</v>
      </c>
      <c r="AM247" s="9" t="n">
        <v>0.4996</v>
      </c>
      <c r="AN247" s="8" t="n">
        <v>81</v>
      </c>
      <c r="AO247" s="10" t="n">
        <f aca="false">IFERROR(AN247/AI247,"")</f>
        <v>0.663934426229508</v>
      </c>
      <c r="AP247" s="8" t="n">
        <v>777</v>
      </c>
      <c r="AQ247" s="7" t="n">
        <f aca="false">IFERROR(AP247/AI247,"")</f>
        <v>6.36885245901639</v>
      </c>
      <c r="AR247" s="6" t="n">
        <v>8.418</v>
      </c>
      <c r="AS247" s="7" t="n">
        <v>2.852</v>
      </c>
      <c r="AT247" s="7" t="n">
        <v>0.757</v>
      </c>
      <c r="AU247" s="7" t="n">
        <v>2.56317384006557</v>
      </c>
      <c r="AV247" s="7" t="n">
        <v>6.1756779661017</v>
      </c>
      <c r="AW247" s="7" t="n">
        <v>0.31398707678399</v>
      </c>
      <c r="AX247" s="10" t="n">
        <v>0.0492</v>
      </c>
      <c r="AY247" s="8" t="n">
        <v>0</v>
      </c>
      <c r="AZ247" s="6" t="n">
        <f aca="false">IFERROR(AY247/R247,"")</f>
        <v>0</v>
      </c>
      <c r="BA247" s="10" t="n">
        <v>0</v>
      </c>
      <c r="BB247" s="8" t="n">
        <v>0</v>
      </c>
      <c r="BC247" s="7"/>
      <c r="BD247" s="7"/>
      <c r="BE247" s="7"/>
      <c r="BF247" s="8"/>
      <c r="BG247" s="7"/>
      <c r="BH247" s="6"/>
      <c r="BI247" s="7"/>
      <c r="BJ247" s="8" t="n">
        <v>16</v>
      </c>
      <c r="BK247" s="8" t="n">
        <v>7</v>
      </c>
      <c r="BL247" s="8" t="n">
        <v>3</v>
      </c>
      <c r="BM247" s="8" t="n">
        <v>4</v>
      </c>
      <c r="BN247" s="7" t="n">
        <v>5.73</v>
      </c>
      <c r="BO247" s="7" t="n">
        <f aca="false">IFERROR(BM247-BN247,"")</f>
        <v>-1.73</v>
      </c>
      <c r="BP247" s="9" t="n">
        <f aca="false">IFERROR(BM247/AH247,"")</f>
        <v>0.0327868852459016</v>
      </c>
      <c r="BQ247" s="6" t="n">
        <v>26.9</v>
      </c>
      <c r="BR247" s="6" t="n">
        <v>40.7</v>
      </c>
      <c r="BS247" s="6" t="n">
        <v>23</v>
      </c>
      <c r="BT247" s="7" t="n">
        <v>2.77</v>
      </c>
      <c r="BU247" s="10" t="n">
        <v>0.2195</v>
      </c>
      <c r="BV247" s="10" t="n">
        <v>0.611111111111111</v>
      </c>
      <c r="BW247" s="7" t="n">
        <v>2.614</v>
      </c>
      <c r="BX247" s="10" t="n">
        <v>0.3427</v>
      </c>
      <c r="BY247" s="10" t="n">
        <v>0.0832</v>
      </c>
      <c r="BZ247" s="7" t="n">
        <v>2.37</v>
      </c>
      <c r="CA247" s="10" t="n">
        <v>0.205</v>
      </c>
      <c r="CB247" s="8" t="n">
        <v>1</v>
      </c>
      <c r="CC247" s="10" t="n">
        <v>0.0064</v>
      </c>
      <c r="CD247" s="10" t="n">
        <v>0.579</v>
      </c>
      <c r="CE247" s="6" t="n">
        <v>63.53</v>
      </c>
      <c r="CF247" s="6" t="n">
        <v>39</v>
      </c>
      <c r="CG247" s="7" t="n">
        <v>3.47</v>
      </c>
      <c r="CH247" s="6" t="n">
        <v>21.6</v>
      </c>
      <c r="CI247" s="9" t="n">
        <v>0.0187</v>
      </c>
      <c r="CJ247" s="9" t="n">
        <v>-0.0542</v>
      </c>
      <c r="CK247" s="8" t="n">
        <v>15</v>
      </c>
      <c r="CL247" s="10" t="n">
        <v>0.028</v>
      </c>
      <c r="CM247" s="8" t="n">
        <v>23</v>
      </c>
      <c r="CN247" s="10" t="n">
        <v>0.049</v>
      </c>
      <c r="CO247" s="8" t="n">
        <v>2</v>
      </c>
      <c r="CP247" s="7" t="n">
        <v>2.447</v>
      </c>
      <c r="CQ247" s="7" t="n">
        <v>1.965</v>
      </c>
      <c r="CR247" s="4" t="s">
        <v>321</v>
      </c>
      <c r="CS247" s="4" t="s">
        <v>606</v>
      </c>
    </row>
    <row r="248" customFormat="false" ht="15" hidden="false" customHeight="false" outlineLevel="0" collapsed="false">
      <c r="A248" s="3" t="n">
        <v>246</v>
      </c>
      <c r="B248" s="4" t="s">
        <v>635</v>
      </c>
      <c r="C248" s="11" t="s">
        <v>104</v>
      </c>
      <c r="D248" s="4" t="s">
        <v>636</v>
      </c>
      <c r="E248" s="4" t="s">
        <v>124</v>
      </c>
      <c r="F248" s="4" t="s">
        <v>104</v>
      </c>
      <c r="G248" s="3" t="n">
        <v>3</v>
      </c>
      <c r="H248" s="6" t="n">
        <v>24.8</v>
      </c>
      <c r="I248" s="3" t="n">
        <v>0</v>
      </c>
      <c r="J248" s="3" t="n">
        <v>8</v>
      </c>
      <c r="K248" s="7" t="n">
        <v>268.09</v>
      </c>
      <c r="L248" s="7" t="n">
        <v>45.39</v>
      </c>
      <c r="M248" s="8" t="n">
        <v>160</v>
      </c>
      <c r="N248" s="8" t="n">
        <v>337</v>
      </c>
      <c r="O248" s="7" t="n">
        <v>268.09</v>
      </c>
      <c r="P248" s="6" t="n">
        <v>8.6</v>
      </c>
      <c r="Q248" s="4"/>
      <c r="R248" s="8"/>
      <c r="S248" s="6"/>
      <c r="T248" s="7"/>
      <c r="U248" s="6"/>
      <c r="V248" s="6"/>
      <c r="W248" s="8"/>
      <c r="X248" s="7"/>
      <c r="Y248" s="9"/>
      <c r="Z248" s="6"/>
      <c r="AA248" s="6"/>
      <c r="AB248" s="6"/>
      <c r="AC248" s="10"/>
      <c r="AD248" s="10"/>
      <c r="AE248" s="7"/>
      <c r="AF248" s="8"/>
      <c r="AG248" s="10"/>
      <c r="AH248" s="8"/>
      <c r="AI248" s="8"/>
      <c r="AJ248" s="6"/>
      <c r="AK248" s="10"/>
      <c r="AL248" s="10"/>
      <c r="AM248" s="9"/>
      <c r="AN248" s="8"/>
      <c r="AO248" s="10"/>
      <c r="AP248" s="8"/>
      <c r="AQ248" s="7"/>
      <c r="AR248" s="6"/>
      <c r="AS248" s="7"/>
      <c r="AT248" s="7"/>
      <c r="AU248" s="7"/>
      <c r="AV248" s="7"/>
      <c r="AW248" s="7"/>
      <c r="AX248" s="10"/>
      <c r="AY248" s="8"/>
      <c r="AZ248" s="6"/>
      <c r="BA248" s="10"/>
      <c r="BB248" s="8"/>
      <c r="BC248" s="7"/>
      <c r="BD248" s="7"/>
      <c r="BE248" s="7"/>
      <c r="BF248" s="8"/>
      <c r="BG248" s="7"/>
      <c r="BH248" s="6"/>
      <c r="BI248" s="7"/>
      <c r="BJ248" s="8"/>
      <c r="BK248" s="8"/>
      <c r="BL248" s="8"/>
      <c r="BM248" s="8"/>
      <c r="BN248" s="7"/>
      <c r="BO248" s="7"/>
      <c r="BP248" s="9"/>
      <c r="BQ248" s="6" t="n">
        <v>63.3</v>
      </c>
      <c r="BR248" s="6" t="n">
        <v>46.4</v>
      </c>
      <c r="BS248" s="6" t="n">
        <v>74.5</v>
      </c>
      <c r="BT248" s="7" t="n">
        <v>2.906</v>
      </c>
      <c r="BU248" s="10" t="n">
        <v>0.1848</v>
      </c>
      <c r="BV248" s="10" t="n">
        <v>0.655172413793103</v>
      </c>
      <c r="BW248" s="7" t="n">
        <v>2.349</v>
      </c>
      <c r="BX248" s="10" t="n">
        <v>0.2125</v>
      </c>
      <c r="BY248" s="10" t="n">
        <v>0.0428</v>
      </c>
      <c r="BZ248" s="7" t="n">
        <v>2.547</v>
      </c>
      <c r="CA248" s="10" t="n">
        <v>0.852</v>
      </c>
      <c r="CB248" s="8" t="n">
        <v>4</v>
      </c>
      <c r="CC248" s="10" t="n">
        <v>-0.0088</v>
      </c>
      <c r="CD248" s="10" t="n">
        <v>0.5521</v>
      </c>
      <c r="CE248" s="6" t="n">
        <v>62.65</v>
      </c>
      <c r="CF248" s="6" t="n">
        <v>38</v>
      </c>
      <c r="CG248" s="7" t="n">
        <v>3.88</v>
      </c>
      <c r="CH248" s="6" t="n">
        <v>25.7</v>
      </c>
      <c r="CI248" s="9" t="n">
        <v>-0.0044</v>
      </c>
      <c r="CJ248" s="9" t="n">
        <v>0.1587</v>
      </c>
      <c r="CK248" s="8" t="n">
        <v>170</v>
      </c>
      <c r="CL248" s="10" t="n">
        <v>0.309</v>
      </c>
      <c r="CM248" s="8" t="n">
        <v>94</v>
      </c>
      <c r="CN248" s="10" t="n">
        <v>0.195</v>
      </c>
      <c r="CO248" s="8" t="n">
        <v>38</v>
      </c>
      <c r="CP248" s="7"/>
      <c r="CQ248" s="7"/>
      <c r="CR248" s="4"/>
      <c r="CS248" s="4" t="s">
        <v>206</v>
      </c>
    </row>
    <row r="249" customFormat="false" ht="15" hidden="false" customHeight="false" outlineLevel="0" collapsed="false">
      <c r="A249" s="3" t="n">
        <v>247</v>
      </c>
      <c r="B249" s="4" t="s">
        <v>637</v>
      </c>
      <c r="C249" s="11" t="s">
        <v>104</v>
      </c>
      <c r="D249" s="4" t="s">
        <v>638</v>
      </c>
      <c r="E249" s="4" t="s">
        <v>101</v>
      </c>
      <c r="F249" s="4" t="s">
        <v>104</v>
      </c>
      <c r="G249" s="3" t="n">
        <v>2</v>
      </c>
      <c r="H249" s="6" t="n">
        <v>30.9</v>
      </c>
      <c r="I249" s="3" t="n">
        <v>10</v>
      </c>
      <c r="J249" s="3" t="n">
        <v>6</v>
      </c>
      <c r="K249" s="7" t="n">
        <v>270.44</v>
      </c>
      <c r="L249" s="7" t="n">
        <v>39.7</v>
      </c>
      <c r="M249" s="8" t="n">
        <v>157</v>
      </c>
      <c r="N249" s="8" t="n">
        <v>414</v>
      </c>
      <c r="O249" s="7" t="n">
        <v>270.44</v>
      </c>
      <c r="P249" s="6" t="n">
        <v>4</v>
      </c>
      <c r="Q249" s="4" t="s">
        <v>101</v>
      </c>
      <c r="R249" s="8" t="n">
        <v>15</v>
      </c>
      <c r="S249" s="6" t="n">
        <v>77.9</v>
      </c>
      <c r="T249" s="7" t="n">
        <f aca="false">IFERROR(S249/R249,"")</f>
        <v>5.19333333333333</v>
      </c>
      <c r="U249" s="6" t="n">
        <v>69.4</v>
      </c>
      <c r="V249" s="6" t="n">
        <v>60.9</v>
      </c>
      <c r="W249" s="8" t="n">
        <v>52</v>
      </c>
      <c r="X249" s="7" t="n">
        <f aca="false">IFERROR(S249/AH249,"")</f>
        <v>0.741904761904762</v>
      </c>
      <c r="Y249" s="9" t="n">
        <f aca="false">IFERROR(S249/AF249,"")</f>
        <v>0.22514450867052</v>
      </c>
      <c r="Z249" s="6" t="n">
        <v>1.55</v>
      </c>
      <c r="AA249" s="6" t="n">
        <v>4.9</v>
      </c>
      <c r="AB249" s="6" t="n">
        <v>8.29</v>
      </c>
      <c r="AC249" s="10" t="n">
        <v>0</v>
      </c>
      <c r="AD249" s="10" t="n">
        <v>0.267</v>
      </c>
      <c r="AE249" s="7" t="n">
        <v>0.968</v>
      </c>
      <c r="AF249" s="8" t="n">
        <v>346</v>
      </c>
      <c r="AG249" s="10" t="n">
        <v>0.351</v>
      </c>
      <c r="AH249" s="8" t="n">
        <v>105</v>
      </c>
      <c r="AI249" s="8" t="n">
        <v>21</v>
      </c>
      <c r="AJ249" s="6" t="n">
        <f aca="false">IFERROR(AI249/R249,"")</f>
        <v>1.4</v>
      </c>
      <c r="AK249" s="10" t="n">
        <v>0.0393</v>
      </c>
      <c r="AL249" s="10" t="n">
        <v>-0.0081</v>
      </c>
      <c r="AM249" s="9" t="n">
        <v>0.0533</v>
      </c>
      <c r="AN249" s="8" t="n">
        <v>17</v>
      </c>
      <c r="AO249" s="10" t="n">
        <f aca="false">IFERROR(AN249/AI249,"")</f>
        <v>0.80952380952381</v>
      </c>
      <c r="AP249" s="8" t="n">
        <v>87</v>
      </c>
      <c r="AQ249" s="7" t="n">
        <f aca="false">IFERROR(AP249/AI249,"")</f>
        <v>4.14285714285714</v>
      </c>
      <c r="AR249" s="6" t="n">
        <v>-1.524</v>
      </c>
      <c r="AS249" s="7" t="n">
        <v>6.412</v>
      </c>
      <c r="AT249" s="7" t="n">
        <v>-2.719</v>
      </c>
      <c r="AU249" s="7"/>
      <c r="AV249" s="7"/>
      <c r="AW249" s="7"/>
      <c r="AX249" s="10" t="n">
        <v>0.0476</v>
      </c>
      <c r="AY249" s="8" t="n">
        <v>84</v>
      </c>
      <c r="AZ249" s="6" t="n">
        <f aca="false">IFERROR(AY249/R249,"")</f>
        <v>5.6</v>
      </c>
      <c r="BA249" s="10" t="n">
        <v>0.25</v>
      </c>
      <c r="BB249" s="8" t="n">
        <v>382</v>
      </c>
      <c r="BC249" s="7" t="n">
        <f aca="false">IFERROR(BB249/AY249,"")</f>
        <v>4.54761904761905</v>
      </c>
      <c r="BD249" s="7" t="n">
        <v>2.286</v>
      </c>
      <c r="BE249" s="7" t="n">
        <v>2.262</v>
      </c>
      <c r="BF249" s="8" t="n">
        <v>4</v>
      </c>
      <c r="BG249" s="7"/>
      <c r="BH249" s="6"/>
      <c r="BI249" s="7"/>
      <c r="BJ249" s="8" t="n">
        <v>17</v>
      </c>
      <c r="BK249" s="8" t="n">
        <v>8</v>
      </c>
      <c r="BL249" s="8" t="n">
        <v>4</v>
      </c>
      <c r="BM249" s="8" t="n">
        <v>3</v>
      </c>
      <c r="BN249" s="7" t="n">
        <v>3.52</v>
      </c>
      <c r="BO249" s="7" t="n">
        <f aca="false">IFERROR(BM249-BN249,"")</f>
        <v>-0.52</v>
      </c>
      <c r="BP249" s="9" t="n">
        <f aca="false">IFERROR(BM249/AH249,"")</f>
        <v>0.0285714285714286</v>
      </c>
      <c r="BQ249" s="6" t="n">
        <v>60.4</v>
      </c>
      <c r="BR249" s="6" t="n">
        <v>63.4</v>
      </c>
      <c r="BS249" s="6" t="n">
        <v>53</v>
      </c>
      <c r="BT249" s="7" t="n">
        <v>3.212</v>
      </c>
      <c r="BU249" s="10" t="n">
        <v>0.1072</v>
      </c>
      <c r="BV249" s="10" t="n">
        <v>0.657142857142857</v>
      </c>
      <c r="BW249" s="7" t="n">
        <v>2.249</v>
      </c>
      <c r="BX249" s="10" t="n">
        <v>0.2234</v>
      </c>
      <c r="BY249" s="10" t="n">
        <v>0.0527</v>
      </c>
      <c r="BZ249" s="7" t="n">
        <v>2.22</v>
      </c>
      <c r="CA249" s="10" t="n">
        <v>0.996</v>
      </c>
      <c r="CB249" s="8" t="n">
        <v>5</v>
      </c>
      <c r="CC249" s="10" t="n">
        <v>0.0172</v>
      </c>
      <c r="CD249" s="10" t="n">
        <v>0.6322</v>
      </c>
      <c r="CE249" s="6" t="n">
        <v>61.71</v>
      </c>
      <c r="CF249" s="6" t="n">
        <v>38</v>
      </c>
      <c r="CG249" s="7" t="n">
        <v>3.29</v>
      </c>
      <c r="CH249" s="6" t="n">
        <v>24.4</v>
      </c>
      <c r="CI249" s="9" t="n">
        <v>0.0246</v>
      </c>
      <c r="CJ249" s="9" t="n">
        <v>-0.0266</v>
      </c>
      <c r="CK249" s="8" t="n">
        <v>41</v>
      </c>
      <c r="CL249" s="10" t="n">
        <v>0.067</v>
      </c>
      <c r="CM249" s="8" t="n">
        <v>9</v>
      </c>
      <c r="CN249" s="10" t="n">
        <v>0.024</v>
      </c>
      <c r="CO249" s="8" t="n">
        <v>6</v>
      </c>
      <c r="CP249" s="7" t="n">
        <v>0.59</v>
      </c>
      <c r="CQ249" s="7" t="n">
        <v>0.414</v>
      </c>
      <c r="CR249" s="4" t="s">
        <v>232</v>
      </c>
      <c r="CS249" s="4"/>
    </row>
    <row r="250" customFormat="false" ht="15" hidden="false" customHeight="false" outlineLevel="0" collapsed="false">
      <c r="A250" s="3" t="n">
        <v>248</v>
      </c>
      <c r="B250" s="4" t="s">
        <v>639</v>
      </c>
      <c r="C250" s="12" t="s">
        <v>149</v>
      </c>
      <c r="D250" s="4" t="s">
        <v>640</v>
      </c>
      <c r="E250" s="4" t="s">
        <v>101</v>
      </c>
      <c r="F250" s="4" t="s">
        <v>149</v>
      </c>
      <c r="G250" s="3" t="n">
        <v>1</v>
      </c>
      <c r="H250" s="6" t="n">
        <v>30.9</v>
      </c>
      <c r="I250" s="3" t="n">
        <v>9</v>
      </c>
      <c r="J250" s="3" t="n">
        <v>6</v>
      </c>
      <c r="K250" s="7" t="n">
        <v>270.5</v>
      </c>
      <c r="L250" s="7" t="n">
        <v>25.05</v>
      </c>
      <c r="M250" s="8" t="n">
        <v>226</v>
      </c>
      <c r="N250" s="8" t="n">
        <v>355</v>
      </c>
      <c r="O250" s="7" t="n">
        <v>270.5</v>
      </c>
      <c r="P250" s="6" t="n">
        <v>7.9</v>
      </c>
      <c r="Q250" s="4" t="s">
        <v>101</v>
      </c>
      <c r="R250" s="8" t="n">
        <v>12</v>
      </c>
      <c r="S250" s="6" t="n">
        <v>70.7</v>
      </c>
      <c r="T250" s="7" t="n">
        <f aca="false">IFERROR(S250/R250,"")</f>
        <v>5.89166666666667</v>
      </c>
      <c r="U250" s="6" t="n">
        <v>56.7</v>
      </c>
      <c r="V250" s="6" t="n">
        <v>42.7</v>
      </c>
      <c r="W250" s="8" t="n">
        <v>29</v>
      </c>
      <c r="X250" s="7" t="n">
        <f aca="false">IFERROR(S250/AH250,"")</f>
        <v>1.68333333333333</v>
      </c>
      <c r="Y250" s="9" t="n">
        <f aca="false">IFERROR(S250/AF250,"")</f>
        <v>0.220249221183801</v>
      </c>
      <c r="Z250" s="6" t="n">
        <v>2.33</v>
      </c>
      <c r="AA250" s="6" t="n">
        <v>3.7</v>
      </c>
      <c r="AB250" s="6" t="n">
        <v>9.25</v>
      </c>
      <c r="AC250" s="10" t="n">
        <v>0.083</v>
      </c>
      <c r="AD250" s="10" t="n">
        <v>0.167</v>
      </c>
      <c r="AE250" s="7" t="n">
        <v>1.508</v>
      </c>
      <c r="AF250" s="8" t="n">
        <v>321</v>
      </c>
      <c r="AG250" s="10" t="n">
        <v>0.385</v>
      </c>
      <c r="AH250" s="8" t="n">
        <v>42</v>
      </c>
      <c r="AI250" s="8" t="n">
        <v>42</v>
      </c>
      <c r="AJ250" s="6" t="n">
        <f aca="false">IFERROR(AI250/R250,"")</f>
        <v>3.5</v>
      </c>
      <c r="AK250" s="10" t="n">
        <v>0.1034</v>
      </c>
      <c r="AL250" s="10" t="n">
        <v>0.1336</v>
      </c>
      <c r="AM250" s="9" t="n">
        <v>0.2486</v>
      </c>
      <c r="AN250" s="8" t="n">
        <v>28</v>
      </c>
      <c r="AO250" s="10" t="n">
        <f aca="false">IFERROR(AN250/AI250,"")</f>
        <v>0.666666666666667</v>
      </c>
      <c r="AP250" s="8" t="n">
        <v>307</v>
      </c>
      <c r="AQ250" s="7" t="n">
        <f aca="false">IFERROR(AP250/AI250,"")</f>
        <v>7.30952380952381</v>
      </c>
      <c r="AR250" s="6" t="n">
        <v>9.952</v>
      </c>
      <c r="AS250" s="7" t="n">
        <v>2.25</v>
      </c>
      <c r="AT250" s="7" t="n">
        <v>0.734</v>
      </c>
      <c r="AU250" s="7"/>
      <c r="AV250" s="7"/>
      <c r="AW250" s="7"/>
      <c r="AX250" s="10" t="n">
        <v>0.0238</v>
      </c>
      <c r="AY250" s="8" t="n">
        <v>0</v>
      </c>
      <c r="AZ250" s="6" t="n">
        <f aca="false">IFERROR(AY250/R250,"")</f>
        <v>0</v>
      </c>
      <c r="BA250" s="10" t="n">
        <v>0</v>
      </c>
      <c r="BB250" s="8" t="n">
        <v>0</v>
      </c>
      <c r="BC250" s="7"/>
      <c r="BD250" s="7"/>
      <c r="BE250" s="7"/>
      <c r="BF250" s="8"/>
      <c r="BG250" s="7"/>
      <c r="BH250" s="6"/>
      <c r="BI250" s="7"/>
      <c r="BJ250" s="8" t="n">
        <v>7</v>
      </c>
      <c r="BK250" s="8" t="n">
        <v>4</v>
      </c>
      <c r="BL250" s="8" t="n">
        <v>3</v>
      </c>
      <c r="BM250" s="8" t="n">
        <v>2</v>
      </c>
      <c r="BN250" s="7" t="n">
        <v>2.77</v>
      </c>
      <c r="BO250" s="7" t="n">
        <f aca="false">IFERROR(BM250-BN250,"")</f>
        <v>-0.77</v>
      </c>
      <c r="BP250" s="9" t="n">
        <f aca="false">IFERROR(BM250/AH250,"")</f>
        <v>0.0476190476190476</v>
      </c>
      <c r="BQ250" s="6" t="n">
        <v>60.4</v>
      </c>
      <c r="BR250" s="6" t="n">
        <v>63.4</v>
      </c>
      <c r="BS250" s="6" t="n">
        <v>53</v>
      </c>
      <c r="BT250" s="7" t="n">
        <v>3.212</v>
      </c>
      <c r="BU250" s="10" t="n">
        <v>0.1072</v>
      </c>
      <c r="BV250" s="10" t="n">
        <v>0.657142857142857</v>
      </c>
      <c r="BW250" s="7" t="n">
        <v>2.249</v>
      </c>
      <c r="BX250" s="10" t="n">
        <v>0.2234</v>
      </c>
      <c r="BY250" s="10" t="n">
        <v>0.0527</v>
      </c>
      <c r="BZ250" s="7" t="n">
        <v>2.22</v>
      </c>
      <c r="CA250" s="10" t="n">
        <v>0.996</v>
      </c>
      <c r="CB250" s="8" t="n">
        <v>5</v>
      </c>
      <c r="CC250" s="10" t="n">
        <v>0.0172</v>
      </c>
      <c r="CD250" s="10" t="n">
        <v>0.6322</v>
      </c>
      <c r="CE250" s="6" t="n">
        <v>61.71</v>
      </c>
      <c r="CF250" s="6" t="n">
        <v>38</v>
      </c>
      <c r="CG250" s="7" t="n">
        <v>3.29</v>
      </c>
      <c r="CH250" s="6" t="n">
        <v>24.4</v>
      </c>
      <c r="CI250" s="9" t="n">
        <v>0.0246</v>
      </c>
      <c r="CJ250" s="9" t="n">
        <v>-0.0266</v>
      </c>
      <c r="CK250" s="8" t="n">
        <v>41</v>
      </c>
      <c r="CL250" s="10" t="n">
        <v>0.067</v>
      </c>
      <c r="CM250" s="8" t="n">
        <v>9</v>
      </c>
      <c r="CN250" s="10" t="n">
        <v>0.024</v>
      </c>
      <c r="CO250" s="8" t="n">
        <v>6</v>
      </c>
      <c r="CP250" s="7" t="n">
        <v>-0.067</v>
      </c>
      <c r="CQ250" s="7" t="n">
        <v>-0.067</v>
      </c>
      <c r="CR250" s="4" t="s">
        <v>102</v>
      </c>
      <c r="CS250" s="4"/>
    </row>
    <row r="251" customFormat="false" ht="15" hidden="false" customHeight="false" outlineLevel="0" collapsed="false">
      <c r="A251" s="3" t="n">
        <v>249</v>
      </c>
      <c r="B251" s="4" t="s">
        <v>641</v>
      </c>
      <c r="C251" s="5" t="s">
        <v>99</v>
      </c>
      <c r="D251" s="4" t="s">
        <v>642</v>
      </c>
      <c r="E251" s="4" t="s">
        <v>135</v>
      </c>
      <c r="F251" s="4" t="s">
        <v>281</v>
      </c>
      <c r="G251" s="3" t="n">
        <v>1</v>
      </c>
      <c r="H251" s="6" t="n">
        <v>23.8</v>
      </c>
      <c r="I251" s="3" t="n">
        <v>2</v>
      </c>
      <c r="J251" s="3" t="n">
        <v>11</v>
      </c>
      <c r="K251" s="7" t="n">
        <v>270.51</v>
      </c>
      <c r="L251" s="7" t="n">
        <v>32.31</v>
      </c>
      <c r="M251" s="8" t="n">
        <v>195</v>
      </c>
      <c r="N251" s="8" t="n">
        <v>343</v>
      </c>
      <c r="O251" s="7" t="n">
        <v>270.51</v>
      </c>
      <c r="P251" s="6" t="n">
        <v>4.5</v>
      </c>
      <c r="Q251" s="4" t="s">
        <v>135</v>
      </c>
      <c r="R251" s="8" t="n">
        <v>14</v>
      </c>
      <c r="S251" s="6" t="n">
        <v>49.2</v>
      </c>
      <c r="T251" s="7" t="n">
        <f aca="false">IFERROR(S251/R251,"")</f>
        <v>3.51428571428571</v>
      </c>
      <c r="U251" s="6" t="n">
        <v>44.2</v>
      </c>
      <c r="V251" s="6" t="n">
        <v>39.2</v>
      </c>
      <c r="W251" s="8" t="n">
        <v>82</v>
      </c>
      <c r="X251" s="7" t="n">
        <f aca="false">IFERROR(S251/AH251,"")</f>
        <v>2.13913043478261</v>
      </c>
      <c r="Y251" s="9" t="n">
        <f aca="false">IFERROR(S251/AF251,"")</f>
        <v>0.146428571428571</v>
      </c>
      <c r="Z251" s="6" t="n">
        <v>0</v>
      </c>
      <c r="AA251" s="6" t="n">
        <v>1.15</v>
      </c>
      <c r="AB251" s="6" t="n">
        <v>10.42</v>
      </c>
      <c r="AC251" s="10" t="n">
        <v>0</v>
      </c>
      <c r="AD251" s="10" t="n">
        <v>0.643</v>
      </c>
      <c r="AE251" s="7" t="n">
        <v>4.413</v>
      </c>
      <c r="AF251" s="8" t="n">
        <v>336</v>
      </c>
      <c r="AG251" s="10" t="n">
        <v>0.308</v>
      </c>
      <c r="AH251" s="8" t="n">
        <v>23</v>
      </c>
      <c r="AI251" s="8" t="n">
        <v>21</v>
      </c>
      <c r="AJ251" s="6" t="n">
        <f aca="false">IFERROR(AI251/R251,"")</f>
        <v>1.5</v>
      </c>
      <c r="AK251" s="10" t="n">
        <v>0.0515</v>
      </c>
      <c r="AL251" s="10" t="n">
        <v>0.1038</v>
      </c>
      <c r="AM251" s="9" t="n">
        <v>0.1499</v>
      </c>
      <c r="AN251" s="8" t="n">
        <v>10</v>
      </c>
      <c r="AO251" s="10" t="n">
        <f aca="false">IFERROR(AN251/AI251,"")</f>
        <v>0.476190476190476</v>
      </c>
      <c r="AP251" s="8" t="n">
        <v>209</v>
      </c>
      <c r="AQ251" s="7" t="n">
        <f aca="false">IFERROR(AP251/AI251,"")</f>
        <v>9.95238095238095</v>
      </c>
      <c r="AR251" s="6" t="n">
        <v>19.048</v>
      </c>
      <c r="AS251" s="7" t="n">
        <v>7.9</v>
      </c>
      <c r="AT251" s="7" t="n">
        <v>0.522</v>
      </c>
      <c r="AU251" s="7"/>
      <c r="AV251" s="7"/>
      <c r="AW251" s="7"/>
      <c r="AX251" s="10" t="n">
        <v>0.0476</v>
      </c>
      <c r="AY251" s="8" t="n">
        <v>2</v>
      </c>
      <c r="AZ251" s="6" t="n">
        <f aca="false">IFERROR(AY251/R251,"")</f>
        <v>0.142857142857143</v>
      </c>
      <c r="BA251" s="10" t="n">
        <v>0.0049</v>
      </c>
      <c r="BB251" s="8" t="n">
        <v>3</v>
      </c>
      <c r="BC251" s="7"/>
      <c r="BD251" s="7"/>
      <c r="BE251" s="7"/>
      <c r="BF251" s="8" t="n">
        <v>0</v>
      </c>
      <c r="BG251" s="7"/>
      <c r="BH251" s="6"/>
      <c r="BI251" s="7"/>
      <c r="BJ251" s="8" t="n">
        <v>0</v>
      </c>
      <c r="BK251" s="8" t="n">
        <v>0</v>
      </c>
      <c r="BL251" s="8" t="n">
        <v>0</v>
      </c>
      <c r="BM251" s="8" t="n">
        <v>3</v>
      </c>
      <c r="BN251" s="7" t="n">
        <v>0.38</v>
      </c>
      <c r="BO251" s="7" t="n">
        <f aca="false">IFERROR(BM251-BN251,"")</f>
        <v>2.62</v>
      </c>
      <c r="BP251" s="9" t="n">
        <f aca="false">IFERROR(BM251/AH251,"")</f>
        <v>0.130434782608696</v>
      </c>
      <c r="BQ251" s="6" t="n">
        <v>41.6</v>
      </c>
      <c r="BR251" s="6" t="n">
        <v>43.3</v>
      </c>
      <c r="BS251" s="6" t="n">
        <v>43.5</v>
      </c>
      <c r="BT251" s="7" t="n">
        <v>2.802</v>
      </c>
      <c r="BU251" s="10" t="n">
        <v>0.1883</v>
      </c>
      <c r="BV251" s="10" t="n">
        <v>0.575757575757576</v>
      </c>
      <c r="BW251" s="7" t="n">
        <v>2.561</v>
      </c>
      <c r="BX251" s="10" t="n">
        <v>0.261</v>
      </c>
      <c r="BY251" s="10" t="n">
        <v>0.0789</v>
      </c>
      <c r="BZ251" s="7" t="n">
        <v>2.406</v>
      </c>
      <c r="CA251" s="10" t="n">
        <v>0.533</v>
      </c>
      <c r="CB251" s="8" t="n">
        <v>3</v>
      </c>
      <c r="CC251" s="10" t="n">
        <v>0.0242</v>
      </c>
      <c r="CD251" s="10" t="n">
        <v>0.5691</v>
      </c>
      <c r="CE251" s="6" t="n">
        <v>59.82</v>
      </c>
      <c r="CF251" s="6" t="n">
        <v>38</v>
      </c>
      <c r="CG251" s="7" t="n">
        <v>3.76</v>
      </c>
      <c r="CH251" s="6" t="n">
        <v>28.8</v>
      </c>
      <c r="CI251" s="9" t="n">
        <v>0.0077</v>
      </c>
      <c r="CJ251" s="9" t="n">
        <v>0.2873</v>
      </c>
      <c r="CK251" s="8" t="n">
        <v>128</v>
      </c>
      <c r="CL251" s="10" t="n">
        <v>0.266</v>
      </c>
      <c r="CM251" s="8" t="n">
        <v>10</v>
      </c>
      <c r="CN251" s="10" t="n">
        <v>0.02</v>
      </c>
      <c r="CO251" s="8" t="n">
        <v>17</v>
      </c>
      <c r="CP251" s="7" t="n">
        <v>0.16</v>
      </c>
      <c r="CQ251" s="7" t="n">
        <v>0.028</v>
      </c>
      <c r="CR251" s="4" t="s">
        <v>102</v>
      </c>
      <c r="CS251" s="4"/>
    </row>
    <row r="252" customFormat="false" ht="15" hidden="false" customHeight="false" outlineLevel="0" collapsed="false">
      <c r="A252" s="3" t="n">
        <v>250</v>
      </c>
      <c r="B252" s="4" t="s">
        <v>643</v>
      </c>
      <c r="C252" s="11" t="s">
        <v>104</v>
      </c>
      <c r="D252" s="4" t="s">
        <v>644</v>
      </c>
      <c r="E252" s="4" t="s">
        <v>284</v>
      </c>
      <c r="F252" s="4" t="s">
        <v>104</v>
      </c>
      <c r="G252" s="3" t="n">
        <v>3</v>
      </c>
      <c r="H252" s="6" t="n">
        <v>23</v>
      </c>
      <c r="I252" s="3" t="n">
        <v>2</v>
      </c>
      <c r="J252" s="3" t="n">
        <v>9</v>
      </c>
      <c r="K252" s="7" t="n">
        <v>271.06</v>
      </c>
      <c r="L252" s="7" t="n">
        <v>34.33</v>
      </c>
      <c r="M252" s="8" t="n">
        <v>145</v>
      </c>
      <c r="N252" s="8" t="n">
        <v>343</v>
      </c>
      <c r="O252" s="7" t="n">
        <v>271.06</v>
      </c>
      <c r="P252" s="6" t="n">
        <v>6.1</v>
      </c>
      <c r="Q252" s="4" t="s">
        <v>284</v>
      </c>
      <c r="R252" s="8" t="n">
        <v>10</v>
      </c>
      <c r="S252" s="6" t="n">
        <v>8.8</v>
      </c>
      <c r="T252" s="7" t="n">
        <f aca="false">IFERROR(S252/R252,"")</f>
        <v>0.88</v>
      </c>
      <c r="U252" s="6" t="n">
        <v>8.3</v>
      </c>
      <c r="V252" s="6" t="n">
        <v>7.8</v>
      </c>
      <c r="W252" s="8" t="n">
        <v>69</v>
      </c>
      <c r="X252" s="7" t="n">
        <f aca="false">IFERROR(S252/AH252,"")</f>
        <v>0.293333333333333</v>
      </c>
      <c r="Y252" s="9" t="n">
        <f aca="false">IFERROR(S252/AF252,"")</f>
        <v>0.172549019607843</v>
      </c>
      <c r="Z252" s="6" t="n">
        <v>0.3</v>
      </c>
      <c r="AA252" s="6" t="n">
        <v>0.4</v>
      </c>
      <c r="AB252" s="6" t="n">
        <v>1.95</v>
      </c>
      <c r="AC252" s="10" t="n">
        <v>0</v>
      </c>
      <c r="AD252" s="10" t="n">
        <v>0.9</v>
      </c>
      <c r="AE252" s="7" t="n">
        <v>2.272</v>
      </c>
      <c r="AF252" s="8" t="n">
        <v>51</v>
      </c>
      <c r="AG252" s="10" t="n">
        <v>0.091</v>
      </c>
      <c r="AH252" s="8" t="n">
        <v>30</v>
      </c>
      <c r="AI252" s="8" t="n">
        <v>2</v>
      </c>
      <c r="AJ252" s="6" t="n">
        <f aca="false">IFERROR(AI252/R252,"")</f>
        <v>0.2</v>
      </c>
      <c r="AK252" s="10" t="n">
        <v>0.007</v>
      </c>
      <c r="AL252" s="10" t="n">
        <v>-0.0052</v>
      </c>
      <c r="AM252" s="9" t="n">
        <v>0.0069</v>
      </c>
      <c r="AN252" s="8" t="n">
        <v>1</v>
      </c>
      <c r="AO252" s="10"/>
      <c r="AP252" s="8" t="n">
        <v>9</v>
      </c>
      <c r="AQ252" s="7"/>
      <c r="AR252" s="6"/>
      <c r="AS252" s="7"/>
      <c r="AT252" s="7"/>
      <c r="AU252" s="7"/>
      <c r="AV252" s="7"/>
      <c r="AW252" s="7"/>
      <c r="AX252" s="10"/>
      <c r="AY252" s="8" t="n">
        <v>28</v>
      </c>
      <c r="AZ252" s="6" t="n">
        <f aca="false">IFERROR(AY252/R252,"")</f>
        <v>2.8</v>
      </c>
      <c r="BA252" s="10" t="n">
        <v>0.1207</v>
      </c>
      <c r="BB252" s="8" t="n">
        <v>69</v>
      </c>
      <c r="BC252" s="7" t="n">
        <f aca="false">IFERROR(BB252/AY252,"")</f>
        <v>2.46428571428571</v>
      </c>
      <c r="BD252" s="7" t="n">
        <v>1.25</v>
      </c>
      <c r="BE252" s="7" t="n">
        <v>1.214</v>
      </c>
      <c r="BF252" s="8" t="n">
        <v>2</v>
      </c>
      <c r="BG252" s="7"/>
      <c r="BH252" s="6"/>
      <c r="BI252" s="7"/>
      <c r="BJ252" s="8" t="n">
        <v>4</v>
      </c>
      <c r="BK252" s="8" t="n">
        <v>0</v>
      </c>
      <c r="BL252" s="8" t="n">
        <v>0</v>
      </c>
      <c r="BM252" s="8" t="n">
        <v>0</v>
      </c>
      <c r="BN252" s="7" t="n">
        <v>0.44</v>
      </c>
      <c r="BO252" s="7" t="n">
        <f aca="false">IFERROR(BM252-BN252,"")</f>
        <v>-0.44</v>
      </c>
      <c r="BP252" s="9" t="n">
        <f aca="false">IFERROR(BM252/AH252,"")</f>
        <v>0</v>
      </c>
      <c r="BQ252" s="6" t="n">
        <v>57.4</v>
      </c>
      <c r="BR252" s="6" t="n">
        <v>46.5</v>
      </c>
      <c r="BS252" s="6" t="n">
        <v>65.1</v>
      </c>
      <c r="BT252" s="7" t="n">
        <v>2.87</v>
      </c>
      <c r="BU252" s="10" t="n">
        <v>0.172</v>
      </c>
      <c r="BV252" s="10" t="n">
        <v>0.68</v>
      </c>
      <c r="BW252" s="7" t="n">
        <v>2.285</v>
      </c>
      <c r="BX252" s="10" t="n">
        <v>0.1636</v>
      </c>
      <c r="BY252" s="10" t="n">
        <v>0.0526</v>
      </c>
      <c r="BZ252" s="7" t="n">
        <v>2.209</v>
      </c>
      <c r="CA252" s="10" t="n">
        <v>0.824</v>
      </c>
      <c r="CB252" s="8" t="n">
        <v>5</v>
      </c>
      <c r="CC252" s="10" t="n">
        <v>-0.007</v>
      </c>
      <c r="CD252" s="10" t="n">
        <v>0.5795</v>
      </c>
      <c r="CE252" s="6" t="n">
        <v>57.35</v>
      </c>
      <c r="CF252" s="6" t="n">
        <v>40</v>
      </c>
      <c r="CG252" s="7" t="n">
        <v>3</v>
      </c>
      <c r="CH252" s="6" t="n">
        <v>23.4</v>
      </c>
      <c r="CI252" s="9" t="n">
        <v>0.0188</v>
      </c>
      <c r="CJ252" s="9" t="n">
        <v>0.0312</v>
      </c>
      <c r="CK252" s="8" t="n">
        <v>179</v>
      </c>
      <c r="CL252" s="10" t="n">
        <v>0.343</v>
      </c>
      <c r="CM252" s="8" t="n">
        <v>129</v>
      </c>
      <c r="CN252" s="10" t="n">
        <v>0.317</v>
      </c>
      <c r="CO252" s="8" t="n">
        <v>59</v>
      </c>
      <c r="CP252" s="7" t="n">
        <v>-0.12</v>
      </c>
      <c r="CQ252" s="7" t="n">
        <v>-0.12</v>
      </c>
      <c r="CR252" s="4" t="s">
        <v>102</v>
      </c>
      <c r="CS252" s="4"/>
    </row>
  </sheetData>
  <autoFilter ref="A2:CS252"/>
  <conditionalFormatting sqref="G3:G252">
    <cfRule type="colorScale" priority="2">
      <colorScale>
        <cfvo type="percentile" val="5"/>
        <cfvo type="percentile" val="50"/>
        <cfvo type="percentile" val="95"/>
        <color rgb="FF63BE7B"/>
        <color rgb="FFFFEB84"/>
        <color rgb="FFF8696B"/>
      </colorScale>
    </cfRule>
  </conditionalFormatting>
  <conditionalFormatting sqref="K3:K252">
    <cfRule type="colorScale" priority="3">
      <colorScale>
        <cfvo type="percentile" val="5"/>
        <cfvo type="percentile" val="50"/>
        <cfvo type="percentile" val="95"/>
        <color rgb="FF63BE7B"/>
        <color rgb="FFFFEB84"/>
        <color rgb="FFF8696B"/>
      </colorScale>
    </cfRule>
  </conditionalFormatting>
  <conditionalFormatting sqref="O3:O252">
    <cfRule type="colorScale" priority="4">
      <colorScale>
        <cfvo type="percentile" val="5"/>
        <cfvo type="percentile" val="50"/>
        <cfvo type="percentile" val="95"/>
        <color rgb="FF63BE7B"/>
        <color rgb="FFFFEB84"/>
        <color rgb="FFF8696B"/>
      </colorScale>
    </cfRule>
  </conditionalFormatting>
  <conditionalFormatting sqref="W3:W252">
    <cfRule type="colorScale" priority="5">
      <colorScale>
        <cfvo type="percentile" val="5"/>
        <cfvo type="percentile" val="50"/>
        <cfvo type="percentile" val="95"/>
        <color rgb="FF63BE7B"/>
        <color rgb="FFFFEB84"/>
        <color rgb="FFF8696B"/>
      </colorScale>
    </cfRule>
  </conditionalFormatting>
  <conditionalFormatting sqref="AD3:AD252">
    <cfRule type="colorScale" priority="6">
      <colorScale>
        <cfvo type="percentile" val="5"/>
        <cfvo type="percentile" val="50"/>
        <cfvo type="percentile" val="95"/>
        <color rgb="FF63BE7B"/>
        <color rgb="FFFFEB84"/>
        <color rgb="FFF8696B"/>
      </colorScale>
    </cfRule>
  </conditionalFormatting>
  <conditionalFormatting sqref="AE3:AE252">
    <cfRule type="colorScale" priority="7">
      <colorScale>
        <cfvo type="percentile" val="5"/>
        <cfvo type="percentile" val="50"/>
        <cfvo type="percentile" val="95"/>
        <color rgb="FF63BE7B"/>
        <color rgb="FFFFEB84"/>
        <color rgb="FFF8696B"/>
      </colorScale>
    </cfRule>
  </conditionalFormatting>
  <conditionalFormatting sqref="AX3:AX252">
    <cfRule type="colorScale" priority="8">
      <colorScale>
        <cfvo type="percentile" val="5"/>
        <cfvo type="percentile" val="50"/>
        <cfvo type="percentile" val="95"/>
        <color rgb="FF63BE7B"/>
        <color rgb="FFFFEB84"/>
        <color rgb="FFF8696B"/>
      </colorScale>
    </cfRule>
  </conditionalFormatting>
  <conditionalFormatting sqref="BH3:BH252">
    <cfRule type="colorScale" priority="9">
      <colorScale>
        <cfvo type="percentile" val="5"/>
        <cfvo type="percentile" val="50"/>
        <cfvo type="percentile" val="95"/>
        <color rgb="FF63BE7B"/>
        <color rgb="FFFFEB84"/>
        <color rgb="FFF8696B"/>
      </colorScale>
    </cfRule>
  </conditionalFormatting>
  <conditionalFormatting sqref="BI3:BI252">
    <cfRule type="colorScale" priority="10">
      <colorScale>
        <cfvo type="percentile" val="5"/>
        <cfvo type="percentile" val="50"/>
        <cfvo type="percentile" val="95"/>
        <color rgb="FF63BE7B"/>
        <color rgb="FFFFEB84"/>
        <color rgb="FFF8696B"/>
      </colorScale>
    </cfRule>
  </conditionalFormatting>
  <conditionalFormatting sqref="BU3:BU252">
    <cfRule type="colorScale" priority="11">
      <colorScale>
        <cfvo type="percentile" val="5"/>
        <cfvo type="percentile" val="50"/>
        <cfvo type="percentile" val="95"/>
        <color rgb="FF63BE7B"/>
        <color rgb="FFFFEB84"/>
        <color rgb="FFF8696B"/>
      </colorScale>
    </cfRule>
  </conditionalFormatting>
  <conditionalFormatting sqref="BX3:BX252">
    <cfRule type="colorScale" priority="12">
      <colorScale>
        <cfvo type="percentile" val="5"/>
        <cfvo type="percentile" val="50"/>
        <cfvo type="percentile" val="95"/>
        <color rgb="FF63BE7B"/>
        <color rgb="FFFFEB84"/>
        <color rgb="FFF8696B"/>
      </colorScale>
    </cfRule>
  </conditionalFormatting>
  <conditionalFormatting sqref="BY3:BY252">
    <cfRule type="colorScale" priority="13">
      <colorScale>
        <cfvo type="percentile" val="5"/>
        <cfvo type="percentile" val="50"/>
        <cfvo type="percentile" val="95"/>
        <color rgb="FF63BE7B"/>
        <color rgb="FFFFEB84"/>
        <color rgb="FFF8696B"/>
      </colorScale>
    </cfRule>
  </conditionalFormatting>
  <conditionalFormatting sqref="CF3:CF252">
    <cfRule type="colorScale" priority="14">
      <colorScale>
        <cfvo type="percentile" val="5"/>
        <cfvo type="percentile" val="50"/>
        <cfvo type="percentile" val="95"/>
        <color rgb="FF63BE7B"/>
        <color rgb="FFFFEB84"/>
        <color rgb="FFF8696B"/>
      </colorScale>
    </cfRule>
  </conditionalFormatting>
  <conditionalFormatting sqref="AA3:AA252">
    <cfRule type="colorScale" priority="15">
      <colorScale>
        <cfvo type="percentile" val="5"/>
        <cfvo type="percentile" val="50"/>
        <cfvo type="percentile" val="95"/>
        <color rgb="FFF8696B"/>
        <color rgb="FFFFEB84"/>
        <color rgb="FF63BE7B"/>
      </colorScale>
    </cfRule>
  </conditionalFormatting>
  <conditionalFormatting sqref="AB3:AB252">
    <cfRule type="colorScale" priority="16">
      <colorScale>
        <cfvo type="percentile" val="5"/>
        <cfvo type="percentile" val="50"/>
        <cfvo type="percentile" val="95"/>
        <color rgb="FFF8696B"/>
        <color rgb="FFFFEB84"/>
        <color rgb="FF63BE7B"/>
      </colorScale>
    </cfRule>
  </conditionalFormatting>
  <conditionalFormatting sqref="AC3:AC252">
    <cfRule type="colorScale" priority="17">
      <colorScale>
        <cfvo type="percentile" val="5"/>
        <cfvo type="percentile" val="50"/>
        <cfvo type="percentile" val="95"/>
        <color rgb="FFF8696B"/>
        <color rgb="FFFFEB84"/>
        <color rgb="FF63BE7B"/>
      </colorScale>
    </cfRule>
  </conditionalFormatting>
  <conditionalFormatting sqref="R3:R252">
    <cfRule type="colorScale" priority="18">
      <colorScale>
        <cfvo type="percentile" val="5"/>
        <cfvo type="percentile" val="50"/>
        <cfvo type="percentile" val="95"/>
        <color rgb="FFF8696B"/>
        <color rgb="FFFFEB84"/>
        <color rgb="FF63BE7B"/>
      </colorScale>
    </cfRule>
  </conditionalFormatting>
  <conditionalFormatting sqref="S3:S252">
    <cfRule type="colorScale" priority="19">
      <colorScale>
        <cfvo type="percentile" val="5"/>
        <cfvo type="percentile" val="50"/>
        <cfvo type="percentile" val="95"/>
        <color rgb="FFF8696B"/>
        <color rgb="FFFFEB84"/>
        <color rgb="FF63BE7B"/>
      </colorScale>
    </cfRule>
  </conditionalFormatting>
  <conditionalFormatting sqref="AF3:AF252">
    <cfRule type="colorScale" priority="20">
      <colorScale>
        <cfvo type="percentile" val="5"/>
        <cfvo type="percentile" val="50"/>
        <cfvo type="percentile" val="95"/>
        <color rgb="FFF8696B"/>
        <color rgb="FFFFEB84"/>
        <color rgb="FF63BE7B"/>
      </colorScale>
    </cfRule>
  </conditionalFormatting>
  <conditionalFormatting sqref="AG3:AG252">
    <cfRule type="colorScale" priority="21">
      <colorScale>
        <cfvo type="percentile" val="5"/>
        <cfvo type="percentile" val="50"/>
        <cfvo type="percentile" val="95"/>
        <color rgb="FFF8696B"/>
        <color rgb="FFFFEB84"/>
        <color rgb="FF63BE7B"/>
      </colorScale>
    </cfRule>
  </conditionalFormatting>
  <conditionalFormatting sqref="AH3:AH252">
    <cfRule type="colorScale" priority="22">
      <colorScale>
        <cfvo type="percentile" val="5"/>
        <cfvo type="percentile" val="50"/>
        <cfvo type="percentile" val="95"/>
        <color rgb="FFF8696B"/>
        <color rgb="FFFFEB84"/>
        <color rgb="FF63BE7B"/>
      </colorScale>
    </cfRule>
  </conditionalFormatting>
  <conditionalFormatting sqref="AI3:AI252">
    <cfRule type="colorScale" priority="23">
      <colorScale>
        <cfvo type="percentile" val="5"/>
        <cfvo type="percentile" val="50"/>
        <cfvo type="percentile" val="95"/>
        <color rgb="FFF8696B"/>
        <color rgb="FFFFEB84"/>
        <color rgb="FF63BE7B"/>
      </colorScale>
    </cfRule>
  </conditionalFormatting>
  <conditionalFormatting sqref="AJ3:AJ252">
    <cfRule type="colorScale" priority="24">
      <colorScale>
        <cfvo type="percentile" val="5"/>
        <cfvo type="percentile" val="50"/>
        <cfvo type="percentile" val="95"/>
        <color rgb="FFF8696B"/>
        <color rgb="FFFFEB84"/>
        <color rgb="FF63BE7B"/>
      </colorScale>
    </cfRule>
  </conditionalFormatting>
  <conditionalFormatting sqref="AK3:AK252">
    <cfRule type="colorScale" priority="25">
      <colorScale>
        <cfvo type="percentile" val="5"/>
        <cfvo type="percentile" val="50"/>
        <cfvo type="percentile" val="95"/>
        <color rgb="FFF8696B"/>
        <color rgb="FFFFEB84"/>
        <color rgb="FF63BE7B"/>
      </colorScale>
    </cfRule>
  </conditionalFormatting>
  <conditionalFormatting sqref="AL3:AL252">
    <cfRule type="colorScale" priority="26">
      <colorScale>
        <cfvo type="percentile" val="5"/>
        <cfvo type="percentile" val="50"/>
        <cfvo type="percentile" val="95"/>
        <color rgb="FFF8696B"/>
        <color rgb="FFFFEB84"/>
        <color rgb="FF63BE7B"/>
      </colorScale>
    </cfRule>
  </conditionalFormatting>
  <conditionalFormatting sqref="AM3:AM252">
    <cfRule type="colorScale" priority="27">
      <colorScale>
        <cfvo type="percentile" val="5"/>
        <cfvo type="percentile" val="50"/>
        <cfvo type="percentile" val="95"/>
        <color rgb="FFF8696B"/>
        <color rgb="FFFFEB84"/>
        <color rgb="FF63BE7B"/>
      </colorScale>
    </cfRule>
  </conditionalFormatting>
  <conditionalFormatting sqref="AN3:AN252">
    <cfRule type="colorScale" priority="28">
      <colorScale>
        <cfvo type="percentile" val="5"/>
        <cfvo type="percentile" val="50"/>
        <cfvo type="percentile" val="95"/>
        <color rgb="FFF8696B"/>
        <color rgb="FFFFEB84"/>
        <color rgb="FF63BE7B"/>
      </colorScale>
    </cfRule>
  </conditionalFormatting>
  <conditionalFormatting sqref="AO3:AO252">
    <cfRule type="colorScale" priority="29">
      <colorScale>
        <cfvo type="percentile" val="5"/>
        <cfvo type="percentile" val="50"/>
        <cfvo type="percentile" val="95"/>
        <color rgb="FFF8696B"/>
        <color rgb="FFFFEB84"/>
        <color rgb="FF63BE7B"/>
      </colorScale>
    </cfRule>
  </conditionalFormatting>
  <conditionalFormatting sqref="AP3:AP252">
    <cfRule type="colorScale" priority="30">
      <colorScale>
        <cfvo type="percentile" val="5"/>
        <cfvo type="percentile" val="50"/>
        <cfvo type="percentile" val="95"/>
        <color rgb="FFF8696B"/>
        <color rgb="FFFFEB84"/>
        <color rgb="FF63BE7B"/>
      </colorScale>
    </cfRule>
  </conditionalFormatting>
  <conditionalFormatting sqref="AQ3:AQ252">
    <cfRule type="colorScale" priority="31">
      <colorScale>
        <cfvo type="percentile" val="5"/>
        <cfvo type="percentile" val="50"/>
        <cfvo type="percentile" val="95"/>
        <color rgb="FFF8696B"/>
        <color rgb="FFFFEB84"/>
        <color rgb="FF63BE7B"/>
      </colorScale>
    </cfRule>
  </conditionalFormatting>
  <conditionalFormatting sqref="AS3:AS252">
    <cfRule type="colorScale" priority="32">
      <colorScale>
        <cfvo type="percentile" val="5"/>
        <cfvo type="percentile" val="50"/>
        <cfvo type="percentile" val="95"/>
        <color rgb="FFF8696B"/>
        <color rgb="FFFFEB84"/>
        <color rgb="FF63BE7B"/>
      </colorScale>
    </cfRule>
  </conditionalFormatting>
  <conditionalFormatting sqref="AT3:AT252">
    <cfRule type="colorScale" priority="33">
      <colorScale>
        <cfvo type="percentile" val="5"/>
        <cfvo type="percentile" val="50"/>
        <cfvo type="percentile" val="95"/>
        <color rgb="FFF8696B"/>
        <color rgb="FFFFEB84"/>
        <color rgb="FF63BE7B"/>
      </colorScale>
    </cfRule>
  </conditionalFormatting>
  <conditionalFormatting sqref="AU3:AU252">
    <cfRule type="colorScale" priority="34">
      <colorScale>
        <cfvo type="percentile" val="5"/>
        <cfvo type="percentile" val="50"/>
        <cfvo type="percentile" val="95"/>
        <color rgb="FFF8696B"/>
        <color rgb="FFFFEB84"/>
        <color rgb="FF63BE7B"/>
      </colorScale>
    </cfRule>
  </conditionalFormatting>
  <conditionalFormatting sqref="AW3:AW252">
    <cfRule type="colorScale" priority="35">
      <colorScale>
        <cfvo type="percentile" val="5"/>
        <cfvo type="percentile" val="50"/>
        <cfvo type="percentile" val="95"/>
        <color rgb="FFF8696B"/>
        <color rgb="FFFFEB84"/>
        <color rgb="FF63BE7B"/>
      </colorScale>
    </cfRule>
  </conditionalFormatting>
  <conditionalFormatting sqref="T3:T252">
    <cfRule type="colorScale" priority="36">
      <colorScale>
        <cfvo type="percentile" val="5"/>
        <cfvo type="percentile" val="50"/>
        <cfvo type="percentile" val="95"/>
        <color rgb="FFF8696B"/>
        <color rgb="FFFFEB84"/>
        <color rgb="FF63BE7B"/>
      </colorScale>
    </cfRule>
  </conditionalFormatting>
  <conditionalFormatting sqref="AY3:AY252">
    <cfRule type="colorScale" priority="37">
      <colorScale>
        <cfvo type="percentile" val="5"/>
        <cfvo type="percentile" val="50"/>
        <cfvo type="percentile" val="95"/>
        <color rgb="FFF8696B"/>
        <color rgb="FFFFEB84"/>
        <color rgb="FF63BE7B"/>
      </colorScale>
    </cfRule>
  </conditionalFormatting>
  <conditionalFormatting sqref="AZ3:AZ252">
    <cfRule type="colorScale" priority="38">
      <colorScale>
        <cfvo type="percentile" val="5"/>
        <cfvo type="percentile" val="50"/>
        <cfvo type="percentile" val="95"/>
        <color rgb="FFF8696B"/>
        <color rgb="FFFFEB84"/>
        <color rgb="FF63BE7B"/>
      </colorScale>
    </cfRule>
  </conditionalFormatting>
  <conditionalFormatting sqref="BA3:BA252">
    <cfRule type="colorScale" priority="39">
      <colorScale>
        <cfvo type="percentile" val="5"/>
        <cfvo type="percentile" val="50"/>
        <cfvo type="percentile" val="95"/>
        <color rgb="FFF8696B"/>
        <color rgb="FFFFEB84"/>
        <color rgb="FF63BE7B"/>
      </colorScale>
    </cfRule>
  </conditionalFormatting>
  <conditionalFormatting sqref="BB3:BB252">
    <cfRule type="colorScale" priority="40">
      <colorScale>
        <cfvo type="percentile" val="5"/>
        <cfvo type="percentile" val="50"/>
        <cfvo type="percentile" val="95"/>
        <color rgb="FFF8696B"/>
        <color rgb="FFFFEB84"/>
        <color rgb="FF63BE7B"/>
      </colorScale>
    </cfRule>
  </conditionalFormatting>
  <conditionalFormatting sqref="BC3:BC252">
    <cfRule type="colorScale" priority="41">
      <colorScale>
        <cfvo type="percentile" val="5"/>
        <cfvo type="percentile" val="50"/>
        <cfvo type="percentile" val="95"/>
        <color rgb="FFF8696B"/>
        <color rgb="FFFFEB84"/>
        <color rgb="FF63BE7B"/>
      </colorScale>
    </cfRule>
  </conditionalFormatting>
  <conditionalFormatting sqref="BD3:BD252">
    <cfRule type="colorScale" priority="42">
      <colorScale>
        <cfvo type="percentile" val="5"/>
        <cfvo type="percentile" val="50"/>
        <cfvo type="percentile" val="95"/>
        <color rgb="FFF8696B"/>
        <color rgb="FFFFEB84"/>
        <color rgb="FF63BE7B"/>
      </colorScale>
    </cfRule>
  </conditionalFormatting>
  <conditionalFormatting sqref="BE3:BE252">
    <cfRule type="colorScale" priority="43">
      <colorScale>
        <cfvo type="percentile" val="5"/>
        <cfvo type="percentile" val="50"/>
        <cfvo type="percentile" val="95"/>
        <color rgb="FFF8696B"/>
        <color rgb="FFFFEB84"/>
        <color rgb="FF63BE7B"/>
      </colorScale>
    </cfRule>
  </conditionalFormatting>
  <conditionalFormatting sqref="BF3:BF252">
    <cfRule type="colorScale" priority="44">
      <colorScale>
        <cfvo type="percentile" val="5"/>
        <cfvo type="percentile" val="50"/>
        <cfvo type="percentile" val="95"/>
        <color rgb="FFF8696B"/>
        <color rgb="FFFFEB84"/>
        <color rgb="FF63BE7B"/>
      </colorScale>
    </cfRule>
  </conditionalFormatting>
  <conditionalFormatting sqref="BG3:BG252">
    <cfRule type="colorScale" priority="45">
      <colorScale>
        <cfvo type="percentile" val="5"/>
        <cfvo type="percentile" val="50"/>
        <cfvo type="percentile" val="95"/>
        <color rgb="FFF8696B"/>
        <color rgb="FFFFEB84"/>
        <color rgb="FF63BE7B"/>
      </colorScale>
    </cfRule>
  </conditionalFormatting>
  <conditionalFormatting sqref="U3:U252">
    <cfRule type="colorScale" priority="46">
      <colorScale>
        <cfvo type="percentile" val="5"/>
        <cfvo type="percentile" val="50"/>
        <cfvo type="percentile" val="95"/>
        <color rgb="FFF8696B"/>
        <color rgb="FFFFEB84"/>
        <color rgb="FF63BE7B"/>
      </colorScale>
    </cfRule>
  </conditionalFormatting>
  <conditionalFormatting sqref="V3:V252">
    <cfRule type="colorScale" priority="47">
      <colorScale>
        <cfvo type="percentile" val="5"/>
        <cfvo type="percentile" val="50"/>
        <cfvo type="percentile" val="95"/>
        <color rgb="FFF8696B"/>
        <color rgb="FFFFEB84"/>
        <color rgb="FF63BE7B"/>
      </colorScale>
    </cfRule>
  </conditionalFormatting>
  <conditionalFormatting sqref="BJ3:BJ252">
    <cfRule type="colorScale" priority="48">
      <colorScale>
        <cfvo type="percentile" val="5"/>
        <cfvo type="percentile" val="50"/>
        <cfvo type="percentile" val="95"/>
        <color rgb="FFF8696B"/>
        <color rgb="FFFFEB84"/>
        <color rgb="FF63BE7B"/>
      </colorScale>
    </cfRule>
  </conditionalFormatting>
  <conditionalFormatting sqref="BK3:BK252">
    <cfRule type="colorScale" priority="49">
      <colorScale>
        <cfvo type="percentile" val="5"/>
        <cfvo type="percentile" val="50"/>
        <cfvo type="percentile" val="95"/>
        <color rgb="FFF8696B"/>
        <color rgb="FFFFEB84"/>
        <color rgb="FF63BE7B"/>
      </colorScale>
    </cfRule>
  </conditionalFormatting>
  <conditionalFormatting sqref="BL3:BL252">
    <cfRule type="colorScale" priority="50">
      <colorScale>
        <cfvo type="percentile" val="5"/>
        <cfvo type="percentile" val="50"/>
        <cfvo type="percentile" val="95"/>
        <color rgb="FFF8696B"/>
        <color rgb="FFFFEB84"/>
        <color rgb="FF63BE7B"/>
      </colorScale>
    </cfRule>
  </conditionalFormatting>
  <conditionalFormatting sqref="BM3:BM252">
    <cfRule type="colorScale" priority="51">
      <colorScale>
        <cfvo type="percentile" val="5"/>
        <cfvo type="percentile" val="50"/>
        <cfvo type="percentile" val="95"/>
        <color rgb="FFF8696B"/>
        <color rgb="FFFFEB84"/>
        <color rgb="FF63BE7B"/>
      </colorScale>
    </cfRule>
  </conditionalFormatting>
  <conditionalFormatting sqref="BN3:BN252">
    <cfRule type="colorScale" priority="52">
      <colorScale>
        <cfvo type="percentile" val="5"/>
        <cfvo type="percentile" val="50"/>
        <cfvo type="percentile" val="95"/>
        <color rgb="FFF8696B"/>
        <color rgb="FFFFEB84"/>
        <color rgb="FF63BE7B"/>
      </colorScale>
    </cfRule>
  </conditionalFormatting>
  <conditionalFormatting sqref="BP3:BP252">
    <cfRule type="colorScale" priority="53">
      <colorScale>
        <cfvo type="percentile" val="5"/>
        <cfvo type="percentile" val="50"/>
        <cfvo type="percentile" val="95"/>
        <color rgb="FFF8696B"/>
        <color rgb="FFFFEB84"/>
        <color rgb="FF63BE7B"/>
      </colorScale>
    </cfRule>
  </conditionalFormatting>
  <conditionalFormatting sqref="BQ3:BQ252">
    <cfRule type="colorScale" priority="54">
      <colorScale>
        <cfvo type="percentile" val="5"/>
        <cfvo type="percentile" val="50"/>
        <cfvo type="percentile" val="95"/>
        <color rgb="FFF8696B"/>
        <color rgb="FFFFEB84"/>
        <color rgb="FF63BE7B"/>
      </colorScale>
    </cfRule>
  </conditionalFormatting>
  <conditionalFormatting sqref="BR3:BR252">
    <cfRule type="colorScale" priority="55">
      <colorScale>
        <cfvo type="percentile" val="5"/>
        <cfvo type="percentile" val="50"/>
        <cfvo type="percentile" val="95"/>
        <color rgb="FFF8696B"/>
        <color rgb="FFFFEB84"/>
        <color rgb="FF63BE7B"/>
      </colorScale>
    </cfRule>
  </conditionalFormatting>
  <conditionalFormatting sqref="BS3:BS252">
    <cfRule type="colorScale" priority="56">
      <colorScale>
        <cfvo type="percentile" val="5"/>
        <cfvo type="percentile" val="50"/>
        <cfvo type="percentile" val="95"/>
        <color rgb="FFF8696B"/>
        <color rgb="FFFFEB84"/>
        <color rgb="FF63BE7B"/>
      </colorScale>
    </cfRule>
  </conditionalFormatting>
  <conditionalFormatting sqref="BT3:BT252">
    <cfRule type="colorScale" priority="57">
      <colorScale>
        <cfvo type="percentile" val="5"/>
        <cfvo type="percentile" val="50"/>
        <cfvo type="percentile" val="95"/>
        <color rgb="FFF8696B"/>
        <color rgb="FFFFEB84"/>
        <color rgb="FF63BE7B"/>
      </colorScale>
    </cfRule>
  </conditionalFormatting>
  <conditionalFormatting sqref="P3:P252">
    <cfRule type="colorScale" priority="58">
      <colorScale>
        <cfvo type="percentile" val="5"/>
        <cfvo type="percentile" val="50"/>
        <cfvo type="percentile" val="95"/>
        <color rgb="FFF8696B"/>
        <color rgb="FFFFEB84"/>
        <color rgb="FF63BE7B"/>
      </colorScale>
    </cfRule>
  </conditionalFormatting>
  <conditionalFormatting sqref="BV3:BV252">
    <cfRule type="colorScale" priority="59">
      <colorScale>
        <cfvo type="percentile" val="5"/>
        <cfvo type="percentile" val="50"/>
        <cfvo type="percentile" val="95"/>
        <color rgb="FFF8696B"/>
        <color rgb="FFFFEB84"/>
        <color rgb="FF63BE7B"/>
      </colorScale>
    </cfRule>
  </conditionalFormatting>
  <conditionalFormatting sqref="BW3:BW252">
    <cfRule type="colorScale" priority="60">
      <colorScale>
        <cfvo type="percentile" val="5"/>
        <cfvo type="percentile" val="50"/>
        <cfvo type="percentile" val="95"/>
        <color rgb="FFF8696B"/>
        <color rgb="FFFFEB84"/>
        <color rgb="FF63BE7B"/>
      </colorScale>
    </cfRule>
  </conditionalFormatting>
  <conditionalFormatting sqref="X3:X252">
    <cfRule type="colorScale" priority="61">
      <colorScale>
        <cfvo type="percentile" val="5"/>
        <cfvo type="percentile" val="50"/>
        <cfvo type="percentile" val="95"/>
        <color rgb="FFF8696B"/>
        <color rgb="FFFFEB84"/>
        <color rgb="FF63BE7B"/>
      </colorScale>
    </cfRule>
  </conditionalFormatting>
  <conditionalFormatting sqref="Y3:Y252">
    <cfRule type="colorScale" priority="62">
      <colorScale>
        <cfvo type="percentile" val="5"/>
        <cfvo type="percentile" val="50"/>
        <cfvo type="percentile" val="95"/>
        <color rgb="FFF8696B"/>
        <color rgb="FFFFEB84"/>
        <color rgb="FF63BE7B"/>
      </colorScale>
    </cfRule>
  </conditionalFormatting>
  <conditionalFormatting sqref="BZ3:BZ252">
    <cfRule type="colorScale" priority="63">
      <colorScale>
        <cfvo type="percentile" val="5"/>
        <cfvo type="percentile" val="50"/>
        <cfvo type="percentile" val="95"/>
        <color rgb="FFF8696B"/>
        <color rgb="FFFFEB84"/>
        <color rgb="FF63BE7B"/>
      </colorScale>
    </cfRule>
  </conditionalFormatting>
  <conditionalFormatting sqref="CA3:CA252">
    <cfRule type="colorScale" priority="64">
      <colorScale>
        <cfvo type="percentile" val="5"/>
        <cfvo type="percentile" val="50"/>
        <cfvo type="percentile" val="95"/>
        <color rgb="FFF8696B"/>
        <color rgb="FFFFEB84"/>
        <color rgb="FF63BE7B"/>
      </colorScale>
    </cfRule>
  </conditionalFormatting>
  <conditionalFormatting sqref="CB3:CB252">
    <cfRule type="colorScale" priority="65">
      <colorScale>
        <cfvo type="percentile" val="5"/>
        <cfvo type="percentile" val="50"/>
        <cfvo type="percentile" val="95"/>
        <color rgb="FFF8696B"/>
        <color rgb="FFFFEB84"/>
        <color rgb="FF63BE7B"/>
      </colorScale>
    </cfRule>
  </conditionalFormatting>
  <conditionalFormatting sqref="CE3:CE252">
    <cfRule type="colorScale" priority="66">
      <colorScale>
        <cfvo type="percentile" val="5"/>
        <cfvo type="percentile" val="50"/>
        <cfvo type="percentile" val="95"/>
        <color rgb="FFF8696B"/>
        <color rgb="FFFFEB84"/>
        <color rgb="FF63BE7B"/>
      </colorScale>
    </cfRule>
  </conditionalFormatting>
  <conditionalFormatting sqref="Z3:Z252">
    <cfRule type="colorScale" priority="67">
      <colorScale>
        <cfvo type="percentile" val="5"/>
        <cfvo type="percentile" val="50"/>
        <cfvo type="percentile" val="95"/>
        <color rgb="FFF8696B"/>
        <color rgb="FFFFEB84"/>
        <color rgb="FF63BE7B"/>
      </colorScale>
    </cfRule>
  </conditionalFormatting>
  <conditionalFormatting sqref="CG3:CG252">
    <cfRule type="colorScale" priority="68">
      <colorScale>
        <cfvo type="percentile" val="5"/>
        <cfvo type="percentile" val="50"/>
        <cfvo type="percentile" val="95"/>
        <color rgb="FFF8696B"/>
        <color rgb="FFFFEB84"/>
        <color rgb="FF63BE7B"/>
      </colorScale>
    </cfRule>
  </conditionalFormatting>
  <conditionalFormatting sqref="CH3:CH252">
    <cfRule type="colorScale" priority="69">
      <colorScale>
        <cfvo type="percentile" val="5"/>
        <cfvo type="percentile" val="50"/>
        <cfvo type="percentile" val="95"/>
        <color rgb="FFF8696B"/>
        <color rgb="FFFFEB84"/>
        <color rgb="FF63BE7B"/>
      </colorScale>
    </cfRule>
  </conditionalFormatting>
  <conditionalFormatting sqref="CI3:CI252">
    <cfRule type="colorScale" priority="70">
      <colorScale>
        <cfvo type="percentile" val="5"/>
        <cfvo type="percentile" val="50"/>
        <cfvo type="percentile" val="95"/>
        <color rgb="FFF8696B"/>
        <color rgb="FFFFEB84"/>
        <color rgb="FF63BE7B"/>
      </colorScale>
    </cfRule>
  </conditionalFormatting>
  <conditionalFormatting sqref="CJ3:CJ252">
    <cfRule type="colorScale" priority="71">
      <colorScale>
        <cfvo type="percentile" val="5"/>
        <cfvo type="percentile" val="50"/>
        <cfvo type="percentile" val="95"/>
        <color rgb="FFF8696B"/>
        <color rgb="FFFFEB84"/>
        <color rgb="FF63BE7B"/>
      </colorScale>
    </cfRule>
  </conditionalFormatting>
  <conditionalFormatting sqref="CK3:CK252">
    <cfRule type="colorScale" priority="72">
      <colorScale>
        <cfvo type="percentile" val="5"/>
        <cfvo type="percentile" val="50"/>
        <cfvo type="percentile" val="95"/>
        <color rgb="FFF8696B"/>
        <color rgb="FFFFEB84"/>
        <color rgb="FF63BE7B"/>
      </colorScale>
    </cfRule>
  </conditionalFormatting>
  <conditionalFormatting sqref="CL3:CL252">
    <cfRule type="colorScale" priority="73">
      <colorScale>
        <cfvo type="percentile" val="5"/>
        <cfvo type="percentile" val="50"/>
        <cfvo type="percentile" val="95"/>
        <color rgb="FFF8696B"/>
        <color rgb="FFFFEB84"/>
        <color rgb="FF63BE7B"/>
      </colorScale>
    </cfRule>
  </conditionalFormatting>
  <conditionalFormatting sqref="CM3:CM252">
    <cfRule type="colorScale" priority="74">
      <colorScale>
        <cfvo type="percentile" val="5"/>
        <cfvo type="percentile" val="50"/>
        <cfvo type="percentile" val="95"/>
        <color rgb="FFF8696B"/>
        <color rgb="FFFFEB84"/>
        <color rgb="FF63BE7B"/>
      </colorScale>
    </cfRule>
  </conditionalFormatting>
  <conditionalFormatting sqref="CN3:CN252">
    <cfRule type="colorScale" priority="75">
      <colorScale>
        <cfvo type="percentile" val="5"/>
        <cfvo type="percentile" val="50"/>
        <cfvo type="percentile" val="95"/>
        <color rgb="FFF8696B"/>
        <color rgb="FFFFEB84"/>
        <color rgb="FF63BE7B"/>
      </colorScale>
    </cfRule>
  </conditionalFormatting>
  <conditionalFormatting sqref="CO3:CO252">
    <cfRule type="colorScale" priority="76">
      <colorScale>
        <cfvo type="percentile" val="5"/>
        <cfvo type="percentile" val="50"/>
        <cfvo type="percentile" val="95"/>
        <color rgb="FFF8696B"/>
        <color rgb="FFFFEB84"/>
        <color rgb="FF63BE7B"/>
      </colorScale>
    </cfRule>
  </conditionalFormatting>
  <conditionalFormatting sqref="CP3:CP252">
    <cfRule type="colorScale" priority="77">
      <colorScale>
        <cfvo type="percentile" val="5"/>
        <cfvo type="percentile" val="50"/>
        <cfvo type="percentile" val="95"/>
        <color rgb="FFF8696B"/>
        <color rgb="FFFFEB84"/>
        <color rgb="FF63BE7B"/>
      </colorScale>
    </cfRule>
  </conditionalFormatting>
  <conditionalFormatting sqref="CQ3:CQ252">
    <cfRule type="colorScale" priority="78">
      <colorScale>
        <cfvo type="percentile" val="5"/>
        <cfvo type="percentile" val="50"/>
        <cfvo type="percentile" val="95"/>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5" min="3" style="0" width="9"/>
    <col collapsed="false" customWidth="true" hidden="false" outlineLevel="0" max="6" min="6" style="0" width="12"/>
    <col collapsed="false" customWidth="true" hidden="false" outlineLevel="0" max="15" min="7" style="0" width="9"/>
    <col collapsed="false" customWidth="true" hidden="false" outlineLevel="0" max="16" min="16" style="0" width="12"/>
    <col collapsed="false" customWidth="true" hidden="false" outlineLevel="0" max="20" min="17" style="0" width="9"/>
    <col collapsed="false" customWidth="true" hidden="false" outlineLevel="0" max="21" min="21" style="0" width="12"/>
    <col collapsed="false" customWidth="true" hidden="false" outlineLevel="0" max="22" min="22" style="0" width="9"/>
    <col collapsed="false" customWidth="true" hidden="false" outlineLevel="0" max="26" min="23" style="0" width="12"/>
    <col collapsed="false" customWidth="true" hidden="false" outlineLevel="0" max="27" min="27" style="0" width="9"/>
    <col collapsed="false" customWidth="true" hidden="false" outlineLevel="0" max="28" min="28" style="0" width="12"/>
    <col collapsed="false" customWidth="true" hidden="false" outlineLevel="0" max="30" min="29" style="0" width="9"/>
    <col collapsed="false" customWidth="true" hidden="false" outlineLevel="0" max="31" min="31" style="0" width="12"/>
    <col collapsed="false" customWidth="true" hidden="false" outlineLevel="0" max="47" min="32" style="0" width="9"/>
    <col collapsed="false" customWidth="true" hidden="false" outlineLevel="0" max="49" min="48" style="0" width="12"/>
    <col collapsed="false" customWidth="true" hidden="false" outlineLevel="0" max="50" min="50" style="0" width="9"/>
    <col collapsed="false" customWidth="true" hidden="false" outlineLevel="0" max="62" min="51" style="0" width="12"/>
    <col collapsed="false" customWidth="true" hidden="false" outlineLevel="0" max="63" min="63" style="0" width="9"/>
    <col collapsed="false" customWidth="true" hidden="false" outlineLevel="0" max="64" min="64" style="0" width="12"/>
    <col collapsed="false" customWidth="true" hidden="false" outlineLevel="0" max="66" min="65" style="0" width="9"/>
    <col collapsed="false" customWidth="true" hidden="false" outlineLevel="0" max="67" min="67" style="0" width="12"/>
    <col collapsed="false" customWidth="true" hidden="false" outlineLevel="0" max="68" min="68" style="0" width="9"/>
    <col collapsed="false" customWidth="true" hidden="false" outlineLevel="0" max="72" min="69" style="0" width="12"/>
    <col collapsed="false" customWidth="true" hidden="false" outlineLevel="0" max="73" min="73" style="0" width="22"/>
    <col collapsed="false" customWidth="true" hidden="false" outlineLevel="0" max="74" min="74" style="0" width="44"/>
  </cols>
  <sheetData>
    <row r="1" customFormat="false" ht="15" hidden="false" customHeight="false" outlineLevel="0" collapsed="false">
      <c r="A1" s="1" t="s">
        <v>645</v>
      </c>
    </row>
    <row r="2" customFormat="false" ht="33.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646</v>
      </c>
      <c r="AG2" s="2" t="s">
        <v>647</v>
      </c>
      <c r="AH2" s="2" t="s">
        <v>648</v>
      </c>
      <c r="AI2" s="2" t="s">
        <v>649</v>
      </c>
      <c r="AJ2" s="2" t="s">
        <v>650</v>
      </c>
      <c r="AK2" s="2" t="s">
        <v>651</v>
      </c>
      <c r="AL2" s="2" t="s">
        <v>652</v>
      </c>
      <c r="AM2" s="2" t="s">
        <v>51</v>
      </c>
      <c r="AN2" s="2" t="s">
        <v>52</v>
      </c>
      <c r="AO2" s="2" t="s">
        <v>54</v>
      </c>
      <c r="AP2" s="2" t="s">
        <v>55</v>
      </c>
      <c r="AQ2" s="2" t="s">
        <v>59</v>
      </c>
      <c r="AR2" s="2" t="s">
        <v>62</v>
      </c>
      <c r="AS2" s="2" t="s">
        <v>63</v>
      </c>
      <c r="AT2" s="2" t="s">
        <v>64</v>
      </c>
      <c r="AU2" s="2" t="s">
        <v>65</v>
      </c>
      <c r="AV2" s="2" t="s">
        <v>66</v>
      </c>
      <c r="AW2" s="2" t="s">
        <v>67</v>
      </c>
      <c r="AX2" s="2" t="s">
        <v>68</v>
      </c>
      <c r="AY2" s="2" t="s">
        <v>69</v>
      </c>
      <c r="AZ2" s="2" t="s">
        <v>70</v>
      </c>
      <c r="BA2" s="2" t="s">
        <v>71</v>
      </c>
      <c r="BB2" s="2" t="s">
        <v>72</v>
      </c>
      <c r="BC2" s="2" t="s">
        <v>73</v>
      </c>
      <c r="BD2" s="2" t="s">
        <v>74</v>
      </c>
      <c r="BE2" s="2" t="s">
        <v>75</v>
      </c>
      <c r="BF2" s="2" t="s">
        <v>76</v>
      </c>
      <c r="BG2" s="2" t="s">
        <v>77</v>
      </c>
      <c r="BH2" s="2" t="s">
        <v>78</v>
      </c>
      <c r="BI2" s="2" t="s">
        <v>79</v>
      </c>
      <c r="BJ2" s="2" t="s">
        <v>80</v>
      </c>
      <c r="BK2" s="2" t="s">
        <v>81</v>
      </c>
      <c r="BL2" s="2" t="s">
        <v>82</v>
      </c>
      <c r="BM2" s="2" t="s">
        <v>83</v>
      </c>
      <c r="BN2" s="2" t="s">
        <v>84</v>
      </c>
      <c r="BO2" s="2" t="s">
        <v>85</v>
      </c>
      <c r="BP2" s="2" t="s">
        <v>86</v>
      </c>
      <c r="BQ2" s="2" t="s">
        <v>87</v>
      </c>
      <c r="BR2" s="2" t="s">
        <v>88</v>
      </c>
      <c r="BS2" s="2" t="s">
        <v>94</v>
      </c>
      <c r="BT2" s="2" t="s">
        <v>95</v>
      </c>
      <c r="BU2" s="2" t="s">
        <v>96</v>
      </c>
      <c r="BV2" s="2" t="s">
        <v>97</v>
      </c>
    </row>
    <row r="3" customFormat="false" ht="15" hidden="false" customHeight="false" outlineLevel="0" collapsed="false">
      <c r="A3" s="3" t="n">
        <v>1</v>
      </c>
      <c r="B3" s="4" t="s">
        <v>171</v>
      </c>
      <c r="C3" s="13" t="s">
        <v>172</v>
      </c>
      <c r="D3" s="4" t="s">
        <v>173</v>
      </c>
      <c r="E3" s="4" t="s">
        <v>147</v>
      </c>
      <c r="F3" s="4" t="s">
        <v>172</v>
      </c>
      <c r="G3" s="3" t="n">
        <v>1</v>
      </c>
      <c r="H3" s="6" t="n">
        <v>30.2</v>
      </c>
      <c r="I3" s="3" t="n">
        <v>9</v>
      </c>
      <c r="J3" s="3" t="n">
        <v>7</v>
      </c>
      <c r="K3" s="7" t="n">
        <v>25.86</v>
      </c>
      <c r="L3" s="7" t="n">
        <v>2.48</v>
      </c>
      <c r="M3" s="8" t="n">
        <v>21</v>
      </c>
      <c r="N3" s="8" t="n">
        <v>36</v>
      </c>
      <c r="O3" s="7" t="n">
        <v>25.86</v>
      </c>
      <c r="P3" s="6" t="n">
        <v>99.6</v>
      </c>
      <c r="Q3" s="4" t="s">
        <v>147</v>
      </c>
      <c r="R3" s="8" t="n">
        <v>16</v>
      </c>
      <c r="S3" s="6" t="n">
        <v>364.62</v>
      </c>
      <c r="T3" s="7" t="n">
        <f aca="false">IFERROR(S3/R3,"")</f>
        <v>22.78875</v>
      </c>
      <c r="U3" s="6" t="n">
        <v>364.62</v>
      </c>
      <c r="V3" s="6" t="n">
        <v>364.62</v>
      </c>
      <c r="W3" s="8" t="n">
        <v>1</v>
      </c>
      <c r="X3" s="7" t="n">
        <v>3.256</v>
      </c>
      <c r="Y3" s="9" t="n">
        <v>0.353</v>
      </c>
      <c r="Z3" s="6" t="n">
        <v>16.39</v>
      </c>
      <c r="AA3" s="6" t="n">
        <v>23.1</v>
      </c>
      <c r="AB3" s="6" t="n">
        <v>35.58</v>
      </c>
      <c r="AC3" s="10" t="n">
        <v>0.625</v>
      </c>
      <c r="AD3" s="10" t="n">
        <v>0</v>
      </c>
      <c r="AE3" s="7" t="n">
        <v>0.45</v>
      </c>
      <c r="AF3" s="8" t="n">
        <v>460</v>
      </c>
      <c r="AG3" s="8" t="n">
        <v>319</v>
      </c>
      <c r="AH3" s="8" t="n">
        <v>3668</v>
      </c>
      <c r="AI3" s="8" t="n">
        <v>25</v>
      </c>
      <c r="AJ3" s="8" t="n">
        <v>10</v>
      </c>
      <c r="AK3" s="8" t="n">
        <v>40</v>
      </c>
      <c r="AL3" s="6" t="n">
        <v>71.3263364575351</v>
      </c>
      <c r="AM3" s="8" t="n">
        <v>112</v>
      </c>
      <c r="AN3" s="6" t="n">
        <f aca="false">IFERROR(AM3/R3,"")</f>
        <v>7</v>
      </c>
      <c r="AO3" s="8" t="n">
        <v>579</v>
      </c>
      <c r="AP3" s="7" t="n">
        <f aca="false">IFERROR(AO3/AM3,"")</f>
        <v>5.16964285714286</v>
      </c>
      <c r="AQ3" s="7"/>
      <c r="AR3" s="8" t="n">
        <v>27</v>
      </c>
      <c r="AS3" s="8" t="n">
        <v>21</v>
      </c>
      <c r="AT3" s="8" t="n">
        <v>17</v>
      </c>
      <c r="AU3" s="8" t="n">
        <v>14</v>
      </c>
      <c r="AV3" s="7" t="n">
        <v>8.5</v>
      </c>
      <c r="AW3" s="7" t="n">
        <f aca="false">IFERROR(AU3-AV3,"")</f>
        <v>5.5</v>
      </c>
      <c r="AX3" s="9" t="n">
        <v>0.125</v>
      </c>
      <c r="AY3" s="6" t="n">
        <v>73.6</v>
      </c>
      <c r="AZ3" s="6" t="n">
        <v>72.8</v>
      </c>
      <c r="BA3" s="6" t="n">
        <v>64.4</v>
      </c>
      <c r="BB3" s="7" t="n">
        <v>3.397</v>
      </c>
      <c r="BC3" s="10" t="n">
        <v>0.1265</v>
      </c>
      <c r="BD3" s="10" t="n">
        <v>0.540540540540541</v>
      </c>
      <c r="BE3" s="7" t="n">
        <v>2.905</v>
      </c>
      <c r="BF3" s="10" t="n">
        <v>0.2</v>
      </c>
      <c r="BG3" s="10" t="n">
        <v>0.0702</v>
      </c>
      <c r="BH3" s="7" t="n">
        <v>2.507</v>
      </c>
      <c r="BI3" s="10" t="n">
        <v>0.763</v>
      </c>
      <c r="BJ3" s="8" t="n">
        <v>4</v>
      </c>
      <c r="BK3" s="10" t="n">
        <v>-0.0352</v>
      </c>
      <c r="BL3" s="10" t="n">
        <v>0.5028</v>
      </c>
      <c r="BM3" s="6" t="n">
        <v>62.65</v>
      </c>
      <c r="BN3" s="6" t="n">
        <v>40</v>
      </c>
      <c r="BO3" s="7" t="n">
        <v>4</v>
      </c>
      <c r="BP3" s="6" t="n">
        <v>28.3</v>
      </c>
      <c r="BQ3" s="9" t="n">
        <v>0.1102</v>
      </c>
      <c r="BR3" s="9" t="n">
        <v>0.1599</v>
      </c>
      <c r="BS3" s="7" t="n">
        <v>0.027</v>
      </c>
      <c r="BT3" s="7" t="n">
        <v>0.026</v>
      </c>
      <c r="BU3" s="4" t="s">
        <v>102</v>
      </c>
      <c r="BV3" s="4"/>
    </row>
    <row r="4" customFormat="false" ht="15" hidden="false" customHeight="false" outlineLevel="0" collapsed="false">
      <c r="A4" s="3" t="n">
        <v>2</v>
      </c>
      <c r="B4" s="4" t="s">
        <v>187</v>
      </c>
      <c r="C4" s="13" t="s">
        <v>172</v>
      </c>
      <c r="D4" s="4" t="s">
        <v>188</v>
      </c>
      <c r="E4" s="4" t="s">
        <v>183</v>
      </c>
      <c r="F4" s="4" t="s">
        <v>172</v>
      </c>
      <c r="G4" s="3" t="n">
        <v>1</v>
      </c>
      <c r="H4" s="6" t="n">
        <v>29.6</v>
      </c>
      <c r="I4" s="3" t="n">
        <v>9</v>
      </c>
      <c r="J4" s="3" t="n">
        <v>13</v>
      </c>
      <c r="K4" s="7" t="n">
        <v>32.31</v>
      </c>
      <c r="L4" s="7" t="n">
        <v>9.26</v>
      </c>
      <c r="M4" s="8" t="n">
        <v>25</v>
      </c>
      <c r="N4" s="8" t="n">
        <v>59</v>
      </c>
      <c r="O4" s="7" t="n">
        <v>32.31</v>
      </c>
      <c r="P4" s="6" t="n">
        <v>99.2</v>
      </c>
      <c r="Q4" s="4" t="s">
        <v>183</v>
      </c>
      <c r="R4" s="8" t="n">
        <v>13</v>
      </c>
      <c r="S4" s="6" t="n">
        <v>214.86</v>
      </c>
      <c r="T4" s="7" t="n">
        <f aca="false">IFERROR(S4/R4,"")</f>
        <v>16.5276923076923</v>
      </c>
      <c r="U4" s="6" t="n">
        <v>214.86</v>
      </c>
      <c r="V4" s="6" t="n">
        <v>214.86</v>
      </c>
      <c r="W4" s="8" t="n">
        <v>20</v>
      </c>
      <c r="X4" s="7" t="n">
        <v>3.207</v>
      </c>
      <c r="Y4" s="9" t="n">
        <v>0.306</v>
      </c>
      <c r="Z4" s="6" t="n">
        <v>7.22</v>
      </c>
      <c r="AA4" s="6" t="n">
        <v>16.64</v>
      </c>
      <c r="AB4" s="6" t="n">
        <v>26.44</v>
      </c>
      <c r="AC4" s="10" t="n">
        <v>0.462</v>
      </c>
      <c r="AD4" s="10" t="n">
        <v>0.231</v>
      </c>
      <c r="AE4" s="7" t="n">
        <v>0.546</v>
      </c>
      <c r="AF4" s="8" t="n">
        <v>302</v>
      </c>
      <c r="AG4" s="8" t="n">
        <v>192</v>
      </c>
      <c r="AH4" s="8" t="n">
        <v>2549</v>
      </c>
      <c r="AI4" s="8" t="n">
        <v>21</v>
      </c>
      <c r="AJ4" s="8" t="n">
        <v>7</v>
      </c>
      <c r="AK4" s="8" t="n">
        <v>36</v>
      </c>
      <c r="AL4" s="6" t="n">
        <v>18.1570221709542</v>
      </c>
      <c r="AM4" s="8" t="n">
        <v>67</v>
      </c>
      <c r="AN4" s="6" t="n">
        <f aca="false">IFERROR(AM4/R4,"")</f>
        <v>5.15384615384615</v>
      </c>
      <c r="AO4" s="8" t="n">
        <v>349</v>
      </c>
      <c r="AP4" s="7" t="n">
        <f aca="false">IFERROR(AO4/AM4,"")</f>
        <v>5.2089552238806</v>
      </c>
      <c r="AQ4" s="7"/>
      <c r="AR4" s="8" t="n">
        <v>13</v>
      </c>
      <c r="AS4" s="8" t="n">
        <v>5</v>
      </c>
      <c r="AT4" s="8" t="n">
        <v>1</v>
      </c>
      <c r="AU4" s="8" t="n">
        <v>2</v>
      </c>
      <c r="AV4" s="7" t="n">
        <v>1.45</v>
      </c>
      <c r="AW4" s="7" t="n">
        <f aca="false">IFERROR(AU4-AV4,"")</f>
        <v>0.55</v>
      </c>
      <c r="AX4" s="9" t="n">
        <v>0.03</v>
      </c>
      <c r="AY4" s="6" t="n">
        <v>53.2</v>
      </c>
      <c r="AZ4" s="6" t="n">
        <v>64.1</v>
      </c>
      <c r="BA4" s="6" t="n">
        <v>41</v>
      </c>
      <c r="BB4" s="7" t="n">
        <v>3.032</v>
      </c>
      <c r="BC4" s="10" t="n">
        <v>0.1574</v>
      </c>
      <c r="BD4" s="10" t="n">
        <v>0.648648648648649</v>
      </c>
      <c r="BE4" s="7" t="n">
        <v>3.144</v>
      </c>
      <c r="BF4" s="10" t="n">
        <v>0.2725</v>
      </c>
      <c r="BG4" s="10" t="n">
        <v>0.0849</v>
      </c>
      <c r="BH4" s="7" t="n">
        <v>2.454</v>
      </c>
      <c r="BI4" s="10" t="n">
        <v>0.572</v>
      </c>
      <c r="BJ4" s="8" t="n">
        <v>2</v>
      </c>
      <c r="BK4" s="10" t="n">
        <v>-0.0884</v>
      </c>
      <c r="BL4" s="10" t="n">
        <v>0.4667</v>
      </c>
      <c r="BM4" s="6" t="n">
        <v>56.24</v>
      </c>
      <c r="BN4" s="6" t="n">
        <v>39</v>
      </c>
      <c r="BO4" s="7" t="n">
        <v>3.59</v>
      </c>
      <c r="BP4" s="6" t="n">
        <v>24.9</v>
      </c>
      <c r="BQ4" s="9" t="n">
        <v>0.0996</v>
      </c>
      <c r="BR4" s="9" t="n">
        <v>-0.035</v>
      </c>
      <c r="BS4" s="7" t="n">
        <v>-0.77</v>
      </c>
      <c r="BT4" s="7" t="n">
        <v>-0.596</v>
      </c>
      <c r="BU4" s="4" t="s">
        <v>121</v>
      </c>
      <c r="BV4" s="4"/>
    </row>
    <row r="5" customFormat="false" ht="15" hidden="false" customHeight="false" outlineLevel="0" collapsed="false">
      <c r="A5" s="3" t="n">
        <v>3</v>
      </c>
      <c r="B5" s="4" t="s">
        <v>210</v>
      </c>
      <c r="C5" s="13" t="s">
        <v>172</v>
      </c>
      <c r="D5" s="4" t="s">
        <v>211</v>
      </c>
      <c r="E5" s="4" t="s">
        <v>135</v>
      </c>
      <c r="F5" s="4" t="s">
        <v>172</v>
      </c>
      <c r="G5" s="3" t="n">
        <v>1</v>
      </c>
      <c r="H5" s="6" t="n">
        <v>24</v>
      </c>
      <c r="I5" s="3" t="n">
        <v>3</v>
      </c>
      <c r="J5" s="3" t="n">
        <v>11</v>
      </c>
      <c r="K5" s="7" t="n">
        <v>39.19</v>
      </c>
      <c r="L5" s="7" t="n">
        <v>14.57</v>
      </c>
      <c r="M5" s="8" t="n">
        <v>26</v>
      </c>
      <c r="N5" s="8" t="n">
        <v>92</v>
      </c>
      <c r="O5" s="7" t="n">
        <v>39.19</v>
      </c>
      <c r="P5" s="6" t="n">
        <v>98.6</v>
      </c>
      <c r="Q5" s="4" t="s">
        <v>135</v>
      </c>
      <c r="R5" s="8" t="n">
        <v>17</v>
      </c>
      <c r="S5" s="6" t="n">
        <v>351.96</v>
      </c>
      <c r="T5" s="7" t="n">
        <f aca="false">IFERROR(S5/R5,"")</f>
        <v>20.7035294117647</v>
      </c>
      <c r="U5" s="6" t="n">
        <v>351.46</v>
      </c>
      <c r="V5" s="6" t="n">
        <v>350.96</v>
      </c>
      <c r="W5" s="8" t="n">
        <v>2</v>
      </c>
      <c r="X5" s="7" t="n">
        <v>3.384</v>
      </c>
      <c r="Y5" s="9" t="n">
        <v>0.335</v>
      </c>
      <c r="Z5" s="6" t="n">
        <v>15.96</v>
      </c>
      <c r="AA5" s="6" t="n">
        <v>20.48</v>
      </c>
      <c r="AB5" s="6" t="n">
        <v>26.29</v>
      </c>
      <c r="AC5" s="10" t="n">
        <v>0.588</v>
      </c>
      <c r="AD5" s="10" t="n">
        <v>0</v>
      </c>
      <c r="AE5" s="7" t="n">
        <v>0.263</v>
      </c>
      <c r="AF5" s="8" t="n">
        <v>492</v>
      </c>
      <c r="AG5" s="8" t="n">
        <v>354</v>
      </c>
      <c r="AH5" s="8" t="n">
        <v>4394</v>
      </c>
      <c r="AI5" s="8" t="n">
        <v>31</v>
      </c>
      <c r="AJ5" s="8" t="n">
        <v>8</v>
      </c>
      <c r="AK5" s="8" t="n">
        <v>47</v>
      </c>
      <c r="AL5" s="6" t="n">
        <v>166.214541956108</v>
      </c>
      <c r="AM5" s="8" t="n">
        <v>103</v>
      </c>
      <c r="AN5" s="6" t="n">
        <f aca="false">IFERROR(AM5/R5,"")</f>
        <v>6.05882352941176</v>
      </c>
      <c r="AO5" s="8" t="n">
        <v>450</v>
      </c>
      <c r="AP5" s="7" t="n">
        <f aca="false">IFERROR(AO5/AM5,"")</f>
        <v>4.36893203883495</v>
      </c>
      <c r="AQ5" s="7"/>
      <c r="AR5" s="8" t="n">
        <v>17</v>
      </c>
      <c r="AS5" s="8" t="n">
        <v>12</v>
      </c>
      <c r="AT5" s="8" t="n">
        <v>3</v>
      </c>
      <c r="AU5" s="8" t="n">
        <v>4</v>
      </c>
      <c r="AV5" s="7" t="n">
        <v>3.25</v>
      </c>
      <c r="AW5" s="7" t="n">
        <f aca="false">IFERROR(AU5-AV5,"")</f>
        <v>0.75</v>
      </c>
      <c r="AX5" s="9" t="n">
        <v>0.038</v>
      </c>
      <c r="AY5" s="6" t="n">
        <v>41.6</v>
      </c>
      <c r="AZ5" s="6" t="n">
        <v>43.3</v>
      </c>
      <c r="BA5" s="6" t="n">
        <v>43.5</v>
      </c>
      <c r="BB5" s="7" t="n">
        <v>2.802</v>
      </c>
      <c r="BC5" s="10" t="n">
        <v>0.1883</v>
      </c>
      <c r="BD5" s="10" t="n">
        <v>0.575757575757576</v>
      </c>
      <c r="BE5" s="7" t="n">
        <v>2.561</v>
      </c>
      <c r="BF5" s="10" t="n">
        <v>0.261</v>
      </c>
      <c r="BG5" s="10" t="n">
        <v>0.0789</v>
      </c>
      <c r="BH5" s="7" t="n">
        <v>2.406</v>
      </c>
      <c r="BI5" s="10" t="n">
        <v>0.533</v>
      </c>
      <c r="BJ5" s="8" t="n">
        <v>3</v>
      </c>
      <c r="BK5" s="10" t="n">
        <v>0.0242</v>
      </c>
      <c r="BL5" s="10" t="n">
        <v>0.5691</v>
      </c>
      <c r="BM5" s="6" t="n">
        <v>59.82</v>
      </c>
      <c r="BN5" s="6" t="n">
        <v>38</v>
      </c>
      <c r="BO5" s="7" t="n">
        <v>3.76</v>
      </c>
      <c r="BP5" s="6" t="n">
        <v>28.8</v>
      </c>
      <c r="BQ5" s="9" t="n">
        <v>0.0077</v>
      </c>
      <c r="BR5" s="9" t="n">
        <v>0.2873</v>
      </c>
      <c r="BS5" s="7" t="n">
        <v>0.054</v>
      </c>
      <c r="BT5" s="7" t="n">
        <v>0.053</v>
      </c>
      <c r="BU5" s="4" t="s">
        <v>102</v>
      </c>
      <c r="BV5" s="4"/>
    </row>
    <row r="6" customFormat="false" ht="15" hidden="false" customHeight="false" outlineLevel="0" collapsed="false">
      <c r="A6" s="3" t="n">
        <v>4</v>
      </c>
      <c r="B6" s="4" t="s">
        <v>224</v>
      </c>
      <c r="C6" s="13" t="s">
        <v>172</v>
      </c>
      <c r="D6" s="4" t="s">
        <v>225</v>
      </c>
      <c r="E6" s="4" t="s">
        <v>101</v>
      </c>
      <c r="F6" s="4" t="s">
        <v>172</v>
      </c>
      <c r="G6" s="3" t="n">
        <v>1</v>
      </c>
      <c r="H6" s="6" t="n">
        <v>29.7</v>
      </c>
      <c r="I6" s="3" t="n">
        <v>7</v>
      </c>
      <c r="J6" s="3" t="n">
        <v>6</v>
      </c>
      <c r="K6" s="7" t="n">
        <v>45.77</v>
      </c>
      <c r="L6" s="7" t="n">
        <v>12.34</v>
      </c>
      <c r="M6" s="8" t="n">
        <v>27</v>
      </c>
      <c r="N6" s="8" t="n">
        <v>72</v>
      </c>
      <c r="O6" s="7" t="n">
        <v>45.77</v>
      </c>
      <c r="P6" s="6" t="n">
        <v>97.8</v>
      </c>
      <c r="Q6" s="4" t="s">
        <v>101</v>
      </c>
      <c r="R6" s="8" t="n">
        <v>8</v>
      </c>
      <c r="S6" s="6" t="n">
        <v>134.46</v>
      </c>
      <c r="T6" s="7" t="n">
        <f aca="false">IFERROR(S6/R6,"")</f>
        <v>16.8075</v>
      </c>
      <c r="U6" s="6" t="n">
        <v>134.46</v>
      </c>
      <c r="V6" s="6" t="n">
        <v>134.46</v>
      </c>
      <c r="W6" s="8" t="n">
        <v>27</v>
      </c>
      <c r="X6" s="7" t="n">
        <v>9.604</v>
      </c>
      <c r="Y6" s="9" t="n">
        <v>0.281</v>
      </c>
      <c r="Z6" s="6" t="n">
        <v>8.38</v>
      </c>
      <c r="AA6" s="6" t="n">
        <v>19.82</v>
      </c>
      <c r="AB6" s="6" t="n">
        <v>23.25</v>
      </c>
      <c r="AC6" s="10" t="n">
        <v>0.625</v>
      </c>
      <c r="AD6" s="10" t="n">
        <v>0.25</v>
      </c>
      <c r="AE6" s="7" t="n">
        <v>0.433</v>
      </c>
      <c r="AF6" s="8" t="n">
        <v>259</v>
      </c>
      <c r="AG6" s="8" t="n">
        <v>173</v>
      </c>
      <c r="AH6" s="8" t="n">
        <v>1809</v>
      </c>
      <c r="AI6" s="8" t="n">
        <v>17</v>
      </c>
      <c r="AJ6" s="8" t="n">
        <v>5</v>
      </c>
      <c r="AK6" s="8" t="n">
        <v>17</v>
      </c>
      <c r="AL6" s="6" t="n">
        <v>36.6070933425231</v>
      </c>
      <c r="AM6" s="8" t="n">
        <v>14</v>
      </c>
      <c r="AN6" s="6" t="n">
        <f aca="false">IFERROR(AM6/R6,"")</f>
        <v>1.75</v>
      </c>
      <c r="AO6" s="8" t="n">
        <v>41</v>
      </c>
      <c r="AP6" s="7"/>
      <c r="AQ6" s="7"/>
      <c r="AR6" s="8" t="n">
        <v>2</v>
      </c>
      <c r="AS6" s="8" t="n">
        <v>1</v>
      </c>
      <c r="AT6" s="8" t="n">
        <v>1</v>
      </c>
      <c r="AU6" s="8" t="n">
        <v>0</v>
      </c>
      <c r="AV6" s="7" t="n">
        <v>0.64</v>
      </c>
      <c r="AW6" s="7" t="n">
        <f aca="false">IFERROR(AU6-AV6,"")</f>
        <v>-0.64</v>
      </c>
      <c r="AX6" s="9" t="n">
        <v>0</v>
      </c>
      <c r="AY6" s="6" t="n">
        <v>60.4</v>
      </c>
      <c r="AZ6" s="6" t="n">
        <v>63.4</v>
      </c>
      <c r="BA6" s="6" t="n">
        <v>53</v>
      </c>
      <c r="BB6" s="7" t="n">
        <v>3.212</v>
      </c>
      <c r="BC6" s="10" t="n">
        <v>0.1072</v>
      </c>
      <c r="BD6" s="10" t="n">
        <v>0.657142857142857</v>
      </c>
      <c r="BE6" s="7" t="n">
        <v>2.249</v>
      </c>
      <c r="BF6" s="10" t="n">
        <v>0.2234</v>
      </c>
      <c r="BG6" s="10" t="n">
        <v>0.0527</v>
      </c>
      <c r="BH6" s="7" t="n">
        <v>2.22</v>
      </c>
      <c r="BI6" s="10" t="n">
        <v>0.996</v>
      </c>
      <c r="BJ6" s="8" t="n">
        <v>5</v>
      </c>
      <c r="BK6" s="10" t="n">
        <v>0.0172</v>
      </c>
      <c r="BL6" s="10" t="n">
        <v>0.6322</v>
      </c>
      <c r="BM6" s="6" t="n">
        <v>61.71</v>
      </c>
      <c r="BN6" s="6" t="n">
        <v>38</v>
      </c>
      <c r="BO6" s="7" t="n">
        <v>3.29</v>
      </c>
      <c r="BP6" s="6" t="n">
        <v>24.4</v>
      </c>
      <c r="BQ6" s="9" t="n">
        <v>0.0246</v>
      </c>
      <c r="BR6" s="9" t="n">
        <v>-0.0266</v>
      </c>
      <c r="BS6" s="7" t="n">
        <v>-1.006</v>
      </c>
      <c r="BT6" s="7" t="n">
        <v>-0.481</v>
      </c>
      <c r="BU6" s="4" t="s">
        <v>165</v>
      </c>
      <c r="BV6" s="4"/>
    </row>
    <row r="7" customFormat="false" ht="15" hidden="false" customHeight="false" outlineLevel="0" collapsed="false">
      <c r="A7" s="3" t="n">
        <v>5</v>
      </c>
      <c r="B7" s="4" t="s">
        <v>228</v>
      </c>
      <c r="C7" s="13" t="s">
        <v>172</v>
      </c>
      <c r="D7" s="4" t="s">
        <v>229</v>
      </c>
      <c r="E7" s="4" t="s">
        <v>221</v>
      </c>
      <c r="F7" s="4" t="s">
        <v>172</v>
      </c>
      <c r="G7" s="3" t="n">
        <v>1</v>
      </c>
      <c r="H7" s="6" t="n">
        <v>25.7</v>
      </c>
      <c r="I7" s="3" t="n">
        <v>3</v>
      </c>
      <c r="J7" s="3" t="n">
        <v>7</v>
      </c>
      <c r="K7" s="7" t="n">
        <v>49.78</v>
      </c>
      <c r="L7" s="7" t="n">
        <v>14.77</v>
      </c>
      <c r="M7" s="8" t="n">
        <v>27</v>
      </c>
      <c r="N7" s="8" t="n">
        <v>92</v>
      </c>
      <c r="O7" s="7" t="n">
        <v>49.78</v>
      </c>
      <c r="P7" s="6" t="n">
        <v>97.7</v>
      </c>
      <c r="Q7" s="4" t="s">
        <v>221</v>
      </c>
      <c r="R7" s="8" t="n">
        <v>7</v>
      </c>
      <c r="S7" s="6" t="n">
        <v>114.28</v>
      </c>
      <c r="T7" s="7" t="n">
        <f aca="false">IFERROR(S7/R7,"")</f>
        <v>16.3257142857143</v>
      </c>
      <c r="U7" s="6" t="n">
        <v>114.28</v>
      </c>
      <c r="V7" s="6" t="n">
        <v>114.28</v>
      </c>
      <c r="W7" s="8" t="n">
        <v>28</v>
      </c>
      <c r="X7" s="7" t="n">
        <v>1.97</v>
      </c>
      <c r="Y7" s="9" t="n">
        <v>0.282</v>
      </c>
      <c r="Z7" s="6" t="n">
        <v>16.18</v>
      </c>
      <c r="AA7" s="6" t="n">
        <v>17.74</v>
      </c>
      <c r="AB7" s="6" t="n">
        <v>20.27</v>
      </c>
      <c r="AC7" s="10" t="n">
        <v>0.143</v>
      </c>
      <c r="AD7" s="10" t="n">
        <v>0.143</v>
      </c>
      <c r="AE7" s="7" t="n">
        <v>0.359</v>
      </c>
      <c r="AF7" s="8" t="n">
        <v>188</v>
      </c>
      <c r="AG7" s="8" t="n">
        <v>114</v>
      </c>
      <c r="AH7" s="8" t="n">
        <v>1262</v>
      </c>
      <c r="AI7" s="8" t="n">
        <v>8</v>
      </c>
      <c r="AJ7" s="8" t="n">
        <v>3</v>
      </c>
      <c r="AK7" s="8" t="n">
        <v>18</v>
      </c>
      <c r="AL7" s="6" t="n">
        <v>-4.77699602182444</v>
      </c>
      <c r="AM7" s="8" t="n">
        <v>58</v>
      </c>
      <c r="AN7" s="6" t="n">
        <f aca="false">IFERROR(AM7/R7,"")</f>
        <v>8.28571428571429</v>
      </c>
      <c r="AO7" s="8" t="n">
        <v>278</v>
      </c>
      <c r="AP7" s="7" t="n">
        <f aca="false">IFERROR(AO7/AM7,"")</f>
        <v>4.79310344827586</v>
      </c>
      <c r="AQ7" s="7"/>
      <c r="AR7" s="8" t="n">
        <v>6</v>
      </c>
      <c r="AS7" s="8" t="n">
        <v>2</v>
      </c>
      <c r="AT7" s="8" t="n">
        <v>2</v>
      </c>
      <c r="AU7" s="8" t="n">
        <v>2</v>
      </c>
      <c r="AV7" s="7" t="n">
        <v>1.52</v>
      </c>
      <c r="AW7" s="7" t="n">
        <f aca="false">IFERROR(AU7-AV7,"")</f>
        <v>0.48</v>
      </c>
      <c r="AX7" s="9" t="n">
        <v>0.034</v>
      </c>
      <c r="AY7" s="6" t="n">
        <v>54.8</v>
      </c>
      <c r="AZ7" s="6" t="n">
        <v>50.7</v>
      </c>
      <c r="BA7" s="6" t="n">
        <v>56.8</v>
      </c>
      <c r="BB7" s="7" t="n">
        <v>2.998</v>
      </c>
      <c r="BC7" s="10" t="n">
        <v>0.1651</v>
      </c>
      <c r="BD7" s="10" t="n">
        <v>0.548387096774194</v>
      </c>
      <c r="BE7" s="7" t="n">
        <v>2.512</v>
      </c>
      <c r="BF7" s="10" t="n">
        <v>0.2217</v>
      </c>
      <c r="BG7" s="10" t="n">
        <v>0.0606</v>
      </c>
      <c r="BH7" s="7" t="n">
        <v>2.36</v>
      </c>
      <c r="BI7" s="10" t="n">
        <v>0.706</v>
      </c>
      <c r="BJ7" s="8" t="n">
        <v>4</v>
      </c>
      <c r="BK7" s="10" t="n">
        <v>-0.0427</v>
      </c>
      <c r="BL7" s="10" t="n">
        <v>0.4747</v>
      </c>
      <c r="BM7" s="6" t="n">
        <v>57.59</v>
      </c>
      <c r="BN7" s="6" t="n">
        <v>38</v>
      </c>
      <c r="BO7" s="7" t="n">
        <v>2.94</v>
      </c>
      <c r="BP7" s="6" t="n">
        <v>20.9</v>
      </c>
      <c r="BQ7" s="9" t="n">
        <v>0.0192</v>
      </c>
      <c r="BR7" s="9" t="n">
        <v>-0.0055</v>
      </c>
      <c r="BS7" s="7" t="n">
        <v>-1.015</v>
      </c>
      <c r="BT7" s="7" t="n">
        <v>-0.533</v>
      </c>
      <c r="BU7" s="4" t="s">
        <v>165</v>
      </c>
      <c r="BV7" s="4"/>
    </row>
    <row r="8" customFormat="false" ht="15" hidden="false" customHeight="false" outlineLevel="0" collapsed="false">
      <c r="A8" s="3" t="n">
        <v>6</v>
      </c>
      <c r="B8" s="4" t="s">
        <v>248</v>
      </c>
      <c r="C8" s="13" t="s">
        <v>172</v>
      </c>
      <c r="D8" s="4" t="s">
        <v>249</v>
      </c>
      <c r="E8" s="4" t="s">
        <v>136</v>
      </c>
      <c r="F8" s="4" t="s">
        <v>172</v>
      </c>
      <c r="G8" s="3" t="n">
        <v>1</v>
      </c>
      <c r="H8" s="6" t="n">
        <v>28</v>
      </c>
      <c r="I8" s="3" t="n">
        <v>7</v>
      </c>
      <c r="J8" s="3" t="n">
        <v>10</v>
      </c>
      <c r="K8" s="7" t="n">
        <v>56.94</v>
      </c>
      <c r="L8" s="7" t="n">
        <v>11.02</v>
      </c>
      <c r="M8" s="8" t="n">
        <v>27</v>
      </c>
      <c r="N8" s="8" t="n">
        <v>79</v>
      </c>
      <c r="O8" s="7" t="n">
        <v>56.94</v>
      </c>
      <c r="P8" s="6" t="n">
        <v>97.1</v>
      </c>
      <c r="Q8" s="4" t="s">
        <v>136</v>
      </c>
      <c r="R8" s="8" t="n">
        <v>16</v>
      </c>
      <c r="S8" s="6" t="n">
        <v>301.06</v>
      </c>
      <c r="T8" s="7" t="n">
        <f aca="false">IFERROR(S8/R8,"")</f>
        <v>18.81625</v>
      </c>
      <c r="U8" s="6" t="n">
        <v>301.06</v>
      </c>
      <c r="V8" s="6" t="n">
        <v>301.06</v>
      </c>
      <c r="W8" s="8" t="n">
        <v>8</v>
      </c>
      <c r="X8" s="7" t="n">
        <v>2.867</v>
      </c>
      <c r="Y8" s="9" t="n">
        <v>0.312</v>
      </c>
      <c r="Z8" s="6" t="n">
        <v>13.88</v>
      </c>
      <c r="AA8" s="6" t="n">
        <v>19.45</v>
      </c>
      <c r="AB8" s="6" t="n">
        <v>25.09</v>
      </c>
      <c r="AC8" s="10" t="n">
        <v>0.625</v>
      </c>
      <c r="AD8" s="10" t="n">
        <v>0.062</v>
      </c>
      <c r="AE8" s="7" t="n">
        <v>0.39</v>
      </c>
      <c r="AF8" s="8" t="n">
        <v>454</v>
      </c>
      <c r="AG8" s="8" t="n">
        <v>294</v>
      </c>
      <c r="AH8" s="8" t="n">
        <v>3224</v>
      </c>
      <c r="AI8" s="8" t="n">
        <v>25</v>
      </c>
      <c r="AJ8" s="8" t="n">
        <v>6</v>
      </c>
      <c r="AK8" s="8" t="n">
        <v>32</v>
      </c>
      <c r="AL8" s="6" t="n">
        <v>34.3144432765787</v>
      </c>
      <c r="AM8" s="8" t="n">
        <v>105</v>
      </c>
      <c r="AN8" s="6" t="n">
        <f aca="false">IFERROR(AM8/R8,"")</f>
        <v>6.5625</v>
      </c>
      <c r="AO8" s="8" t="n">
        <v>421</v>
      </c>
      <c r="AP8" s="7" t="n">
        <f aca="false">IFERROR(AO8/AM8,"")</f>
        <v>4.00952380952381</v>
      </c>
      <c r="AQ8" s="7"/>
      <c r="AR8" s="8" t="n">
        <v>27</v>
      </c>
      <c r="AS8" s="8" t="n">
        <v>15</v>
      </c>
      <c r="AT8" s="8" t="n">
        <v>12</v>
      </c>
      <c r="AU8" s="8" t="n">
        <v>8</v>
      </c>
      <c r="AV8" s="7" t="n">
        <v>6.68</v>
      </c>
      <c r="AW8" s="7" t="n">
        <f aca="false">IFERROR(AU8-AV8,"")</f>
        <v>1.32</v>
      </c>
      <c r="AX8" s="9" t="n">
        <v>0.076</v>
      </c>
      <c r="AY8" s="6" t="n">
        <v>48.2</v>
      </c>
      <c r="AZ8" s="6" t="n">
        <v>35.6</v>
      </c>
      <c r="BA8" s="6" t="n">
        <v>61.6</v>
      </c>
      <c r="BB8" s="7" t="n">
        <v>2.749</v>
      </c>
      <c r="BC8" s="10" t="n">
        <v>0.2192</v>
      </c>
      <c r="BD8" s="10" t="n">
        <v>0.466666666666667</v>
      </c>
      <c r="BE8" s="7" t="n">
        <v>2.6</v>
      </c>
      <c r="BF8" s="10" t="n">
        <v>0.2334</v>
      </c>
      <c r="BG8" s="10" t="n">
        <v>0.0577</v>
      </c>
      <c r="BH8" s="7" t="n">
        <v>2.491</v>
      </c>
      <c r="BI8" s="10" t="n">
        <v>0.909</v>
      </c>
      <c r="BJ8" s="8" t="n">
        <v>5</v>
      </c>
      <c r="BK8" s="10" t="n">
        <v>-0.0248</v>
      </c>
      <c r="BL8" s="10" t="n">
        <v>0.5347</v>
      </c>
      <c r="BM8" s="6" t="n">
        <v>58.53</v>
      </c>
      <c r="BN8" s="6" t="n">
        <v>39</v>
      </c>
      <c r="BO8" s="7" t="n">
        <v>2.76</v>
      </c>
      <c r="BP8" s="6" t="n">
        <v>22.3</v>
      </c>
      <c r="BQ8" s="9" t="n">
        <v>0.0054</v>
      </c>
      <c r="BR8" s="9" t="n">
        <v>0.0436</v>
      </c>
      <c r="BS8" s="7" t="n">
        <v>-0.103</v>
      </c>
      <c r="BT8" s="7" t="n">
        <v>-0.059</v>
      </c>
      <c r="BU8" s="4" t="s">
        <v>102</v>
      </c>
      <c r="BV8" s="4"/>
    </row>
    <row r="9" customFormat="false" ht="15" hidden="false" customHeight="false" outlineLevel="0" collapsed="false">
      <c r="A9" s="3" t="n">
        <v>7</v>
      </c>
      <c r="B9" s="4" t="s">
        <v>266</v>
      </c>
      <c r="C9" s="13" t="s">
        <v>172</v>
      </c>
      <c r="D9" s="4" t="s">
        <v>267</v>
      </c>
      <c r="E9" s="4" t="s">
        <v>203</v>
      </c>
      <c r="F9" s="4" t="s">
        <v>172</v>
      </c>
      <c r="G9" s="3" t="n">
        <v>1</v>
      </c>
      <c r="H9" s="6" t="n">
        <v>24.7</v>
      </c>
      <c r="I9" s="3" t="n">
        <v>3</v>
      </c>
      <c r="J9" s="3" t="n">
        <v>10</v>
      </c>
      <c r="K9" s="7" t="n">
        <v>68.07</v>
      </c>
      <c r="L9" s="7" t="n">
        <v>10.9</v>
      </c>
      <c r="M9" s="8" t="n">
        <v>37</v>
      </c>
      <c r="N9" s="8" t="n">
        <v>98</v>
      </c>
      <c r="O9" s="7" t="n">
        <v>68.07</v>
      </c>
      <c r="P9" s="6" t="n">
        <v>93</v>
      </c>
      <c r="Q9" s="4" t="s">
        <v>203</v>
      </c>
      <c r="R9" s="8" t="n">
        <v>17</v>
      </c>
      <c r="S9" s="6" t="n">
        <v>318.68</v>
      </c>
      <c r="T9" s="7" t="n">
        <f aca="false">IFERROR(S9/R9,"")</f>
        <v>18.7458823529412</v>
      </c>
      <c r="U9" s="6" t="n">
        <v>317.68</v>
      </c>
      <c r="V9" s="6" t="n">
        <v>316.68</v>
      </c>
      <c r="W9" s="8" t="n">
        <v>5</v>
      </c>
      <c r="X9" s="7" t="n">
        <v>4.034</v>
      </c>
      <c r="Y9" s="9" t="n">
        <v>0.279</v>
      </c>
      <c r="Z9" s="6" t="n">
        <v>11.8</v>
      </c>
      <c r="AA9" s="6" t="n">
        <v>18.98</v>
      </c>
      <c r="AB9" s="6" t="n">
        <v>24.74</v>
      </c>
      <c r="AC9" s="10" t="n">
        <v>0.529</v>
      </c>
      <c r="AD9" s="10" t="n">
        <v>0.059</v>
      </c>
      <c r="AE9" s="7" t="n">
        <v>0.434</v>
      </c>
      <c r="AF9" s="8" t="n">
        <v>568</v>
      </c>
      <c r="AG9" s="8" t="n">
        <v>330</v>
      </c>
      <c r="AH9" s="8" t="n">
        <v>3942</v>
      </c>
      <c r="AI9" s="8" t="n">
        <v>27</v>
      </c>
      <c r="AJ9" s="8" t="n">
        <v>7</v>
      </c>
      <c r="AK9" s="8" t="n">
        <v>24</v>
      </c>
      <c r="AL9" s="6" t="n">
        <v>42.2173957579903</v>
      </c>
      <c r="AM9" s="8" t="n">
        <v>77</v>
      </c>
      <c r="AN9" s="6" t="n">
        <f aca="false">IFERROR(AM9/R9,"")</f>
        <v>4.52941176470588</v>
      </c>
      <c r="AO9" s="8" t="n">
        <v>388</v>
      </c>
      <c r="AP9" s="7" t="n">
        <f aca="false">IFERROR(AO9/AM9,"")</f>
        <v>5.03896103896104</v>
      </c>
      <c r="AQ9" s="7"/>
      <c r="AR9" s="8" t="n">
        <v>18</v>
      </c>
      <c r="AS9" s="8" t="n">
        <v>8</v>
      </c>
      <c r="AT9" s="8" t="n">
        <v>3</v>
      </c>
      <c r="AU9" s="8" t="n">
        <v>4</v>
      </c>
      <c r="AV9" s="7" t="n">
        <v>3.07</v>
      </c>
      <c r="AW9" s="7" t="n">
        <f aca="false">IFERROR(AU9-AV9,"")</f>
        <v>0.93</v>
      </c>
      <c r="AX9" s="9" t="n">
        <v>0.051</v>
      </c>
      <c r="AY9" s="6" t="n">
        <v>76.3</v>
      </c>
      <c r="AZ9" s="6" t="n">
        <v>80.3</v>
      </c>
      <c r="BA9" s="6" t="n">
        <v>61.1</v>
      </c>
      <c r="BB9" s="7" t="n">
        <v>3.337</v>
      </c>
      <c r="BC9" s="10" t="n">
        <v>0.1354</v>
      </c>
      <c r="BD9" s="10" t="n">
        <v>0.794117647058824</v>
      </c>
      <c r="BE9" s="7" t="n">
        <v>3.125</v>
      </c>
      <c r="BF9" s="10" t="n">
        <v>0.2787</v>
      </c>
      <c r="BG9" s="10" t="n">
        <v>0.0358</v>
      </c>
      <c r="BH9" s="7" t="n">
        <v>2.496</v>
      </c>
      <c r="BI9" s="10" t="n">
        <v>0.802</v>
      </c>
      <c r="BJ9" s="8" t="n">
        <v>4</v>
      </c>
      <c r="BK9" s="10" t="n">
        <v>-0.039</v>
      </c>
      <c r="BL9" s="10" t="n">
        <v>0.5233</v>
      </c>
      <c r="BM9" s="6" t="n">
        <v>64.47</v>
      </c>
      <c r="BN9" s="6" t="n">
        <v>37</v>
      </c>
      <c r="BO9" s="7" t="n">
        <v>3.41</v>
      </c>
      <c r="BP9" s="6" t="n">
        <v>25.9</v>
      </c>
      <c r="BQ9" s="9" t="n">
        <v>0.0786</v>
      </c>
      <c r="BR9" s="9" t="n">
        <v>0.0802</v>
      </c>
      <c r="BS9" s="7" t="n">
        <v>0.064</v>
      </c>
      <c r="BT9" s="7" t="n">
        <v>-0.068</v>
      </c>
      <c r="BU9" s="4" t="s">
        <v>102</v>
      </c>
      <c r="BV9" s="4"/>
    </row>
    <row r="10" customFormat="false" ht="15" hidden="false" customHeight="false" outlineLevel="0" collapsed="false">
      <c r="A10" s="3" t="n">
        <v>8</v>
      </c>
      <c r="B10" s="4" t="s">
        <v>273</v>
      </c>
      <c r="C10" s="13" t="s">
        <v>172</v>
      </c>
      <c r="D10" s="4" t="s">
        <v>274</v>
      </c>
      <c r="E10" s="4" t="s">
        <v>170</v>
      </c>
      <c r="F10" s="4" t="s">
        <v>172</v>
      </c>
      <c r="G10" s="3" t="n">
        <v>1</v>
      </c>
      <c r="H10" s="6" t="n">
        <v>28.4</v>
      </c>
      <c r="I10" s="3" t="n">
        <v>7</v>
      </c>
      <c r="J10" s="3" t="n">
        <v>7</v>
      </c>
      <c r="K10" s="7" t="n">
        <v>70</v>
      </c>
      <c r="L10" s="7" t="n">
        <v>11.18</v>
      </c>
      <c r="M10" s="8" t="n">
        <v>37</v>
      </c>
      <c r="N10" s="8" t="n">
        <v>101</v>
      </c>
      <c r="O10" s="7" t="n">
        <v>70</v>
      </c>
      <c r="P10" s="6" t="n">
        <v>91.1</v>
      </c>
      <c r="Q10" s="4" t="s">
        <v>170</v>
      </c>
      <c r="R10" s="8" t="n">
        <v>16</v>
      </c>
      <c r="S10" s="6" t="n">
        <v>286.88</v>
      </c>
      <c r="T10" s="7" t="n">
        <f aca="false">IFERROR(S10/R10,"")</f>
        <v>17.93</v>
      </c>
      <c r="U10" s="6" t="n">
        <v>286.88</v>
      </c>
      <c r="V10" s="6" t="n">
        <v>286.88</v>
      </c>
      <c r="W10" s="8" t="n">
        <v>10</v>
      </c>
      <c r="X10" s="7" t="n">
        <v>3.456</v>
      </c>
      <c r="Y10" s="9" t="n">
        <v>0.275</v>
      </c>
      <c r="Z10" s="6" t="n">
        <v>12.76</v>
      </c>
      <c r="AA10" s="6" t="n">
        <v>14.92</v>
      </c>
      <c r="AB10" s="6" t="n">
        <v>27.85</v>
      </c>
      <c r="AC10" s="10" t="n">
        <v>0.312</v>
      </c>
      <c r="AD10" s="10" t="n">
        <v>0.062</v>
      </c>
      <c r="AE10" s="7" t="n">
        <v>0.519</v>
      </c>
      <c r="AF10" s="8" t="n">
        <v>512</v>
      </c>
      <c r="AG10" s="8" t="n">
        <v>340</v>
      </c>
      <c r="AH10" s="8" t="n">
        <v>3727</v>
      </c>
      <c r="AI10" s="8" t="n">
        <v>26</v>
      </c>
      <c r="AJ10" s="8" t="n">
        <v>13</v>
      </c>
      <c r="AK10" s="8" t="n">
        <v>54</v>
      </c>
      <c r="AL10" s="6" t="n">
        <v>16.1146135014785</v>
      </c>
      <c r="AM10" s="8" t="n">
        <v>83</v>
      </c>
      <c r="AN10" s="6" t="n">
        <f aca="false">IFERROR(AM10/R10,"")</f>
        <v>5.1875</v>
      </c>
      <c r="AO10" s="8" t="n">
        <v>498</v>
      </c>
      <c r="AP10" s="7" t="n">
        <f aca="false">IFERROR(AO10/AM10,"")</f>
        <v>6</v>
      </c>
      <c r="AQ10" s="7"/>
      <c r="AR10" s="8" t="n">
        <v>11</v>
      </c>
      <c r="AS10" s="8" t="n">
        <v>6</v>
      </c>
      <c r="AT10" s="8" t="n">
        <v>3</v>
      </c>
      <c r="AU10" s="8" t="n">
        <v>2</v>
      </c>
      <c r="AV10" s="7" t="n">
        <v>2.38</v>
      </c>
      <c r="AW10" s="7" t="n">
        <f aca="false">IFERROR(AU10-AV10,"")</f>
        <v>-0.38</v>
      </c>
      <c r="AX10" s="9" t="n">
        <v>0.024</v>
      </c>
      <c r="AY10" s="6" t="n">
        <v>26.9</v>
      </c>
      <c r="AZ10" s="6" t="n">
        <v>40.7</v>
      </c>
      <c r="BA10" s="6" t="n">
        <v>23</v>
      </c>
      <c r="BB10" s="7" t="n">
        <v>2.77</v>
      </c>
      <c r="BC10" s="10" t="n">
        <v>0.2195</v>
      </c>
      <c r="BD10" s="10" t="n">
        <v>0.611111111111111</v>
      </c>
      <c r="BE10" s="7" t="n">
        <v>2.614</v>
      </c>
      <c r="BF10" s="10" t="n">
        <v>0.3427</v>
      </c>
      <c r="BG10" s="10" t="n">
        <v>0.0832</v>
      </c>
      <c r="BH10" s="7" t="n">
        <v>2.37</v>
      </c>
      <c r="BI10" s="10" t="n">
        <v>0.205</v>
      </c>
      <c r="BJ10" s="8" t="n">
        <v>1</v>
      </c>
      <c r="BK10" s="10" t="n">
        <v>0.0064</v>
      </c>
      <c r="BL10" s="10" t="n">
        <v>0.579</v>
      </c>
      <c r="BM10" s="6" t="n">
        <v>63.53</v>
      </c>
      <c r="BN10" s="6" t="n">
        <v>39</v>
      </c>
      <c r="BO10" s="7" t="n">
        <v>3.47</v>
      </c>
      <c r="BP10" s="6" t="n">
        <v>21.6</v>
      </c>
      <c r="BQ10" s="9" t="n">
        <v>0.0187</v>
      </c>
      <c r="BR10" s="9" t="n">
        <v>-0.0542</v>
      </c>
      <c r="BS10" s="7" t="n">
        <v>-0.12</v>
      </c>
      <c r="BT10" s="7" t="n">
        <v>-0.164</v>
      </c>
      <c r="BU10" s="4" t="s">
        <v>102</v>
      </c>
      <c r="BV10" s="4"/>
    </row>
    <row r="11" customFormat="false" ht="15" hidden="false" customHeight="false" outlineLevel="0" collapsed="false">
      <c r="A11" s="3" t="n">
        <v>9</v>
      </c>
      <c r="B11" s="4" t="s">
        <v>291</v>
      </c>
      <c r="C11" s="13" t="s">
        <v>172</v>
      </c>
      <c r="D11" s="4" t="s">
        <v>292</v>
      </c>
      <c r="E11" s="4" t="s">
        <v>235</v>
      </c>
      <c r="F11" s="4" t="s">
        <v>172</v>
      </c>
      <c r="G11" s="3" t="n">
        <v>1</v>
      </c>
      <c r="H11" s="6" t="n">
        <v>26.9</v>
      </c>
      <c r="I11" s="3" t="n">
        <v>6</v>
      </c>
      <c r="J11" s="3" t="n">
        <v>7</v>
      </c>
      <c r="K11" s="7" t="n">
        <v>79.86</v>
      </c>
      <c r="L11" s="7" t="n">
        <v>12.48</v>
      </c>
      <c r="M11" s="8" t="n">
        <v>59</v>
      </c>
      <c r="N11" s="8" t="n">
        <v>108</v>
      </c>
      <c r="O11" s="7" t="n">
        <v>79.86</v>
      </c>
      <c r="P11" s="6" t="n">
        <v>88.6</v>
      </c>
      <c r="Q11" s="4" t="s">
        <v>235</v>
      </c>
      <c r="R11" s="8" t="n">
        <v>17</v>
      </c>
      <c r="S11" s="6" t="n">
        <v>338.18</v>
      </c>
      <c r="T11" s="7" t="n">
        <f aca="false">IFERROR(S11/R11,"")</f>
        <v>19.8929411764706</v>
      </c>
      <c r="U11" s="6" t="n">
        <v>338.18</v>
      </c>
      <c r="V11" s="6" t="n">
        <v>338.18</v>
      </c>
      <c r="W11" s="8" t="n">
        <v>4</v>
      </c>
      <c r="X11" s="7" t="n">
        <v>4.124</v>
      </c>
      <c r="Y11" s="9" t="n">
        <v>0.304</v>
      </c>
      <c r="Z11" s="6" t="n">
        <v>15.02</v>
      </c>
      <c r="AA11" s="6" t="n">
        <v>19.24</v>
      </c>
      <c r="AB11" s="6" t="n">
        <v>25.06</v>
      </c>
      <c r="AC11" s="10" t="n">
        <v>0.647</v>
      </c>
      <c r="AD11" s="10" t="n">
        <v>0</v>
      </c>
      <c r="AE11" s="7" t="n">
        <v>0.457</v>
      </c>
      <c r="AF11" s="8" t="n">
        <v>560</v>
      </c>
      <c r="AG11" s="8" t="n">
        <v>341</v>
      </c>
      <c r="AH11" s="8" t="n">
        <v>4007</v>
      </c>
      <c r="AI11" s="8" t="n">
        <v>29</v>
      </c>
      <c r="AJ11" s="8" t="n">
        <v>12</v>
      </c>
      <c r="AK11" s="8" t="n">
        <v>41</v>
      </c>
      <c r="AL11" s="6" t="n">
        <v>38.4097214363881</v>
      </c>
      <c r="AM11" s="8" t="n">
        <v>82</v>
      </c>
      <c r="AN11" s="6" t="n">
        <f aca="false">IFERROR(AM11/R11,"")</f>
        <v>4.82352941176471</v>
      </c>
      <c r="AO11" s="8" t="n">
        <v>359</v>
      </c>
      <c r="AP11" s="7" t="n">
        <f aca="false">IFERROR(AO11/AM11,"")</f>
        <v>4.37804878048781</v>
      </c>
      <c r="AQ11" s="7"/>
      <c r="AR11" s="8" t="n">
        <v>23</v>
      </c>
      <c r="AS11" s="8" t="n">
        <v>14</v>
      </c>
      <c r="AT11" s="8" t="n">
        <v>10</v>
      </c>
      <c r="AU11" s="8" t="n">
        <v>9</v>
      </c>
      <c r="AV11" s="7" t="n">
        <v>5.45</v>
      </c>
      <c r="AW11" s="7" t="n">
        <f aca="false">IFERROR(AU11-AV11,"")</f>
        <v>3.55</v>
      </c>
      <c r="AX11" s="9" t="n">
        <v>0.11</v>
      </c>
      <c r="AY11" s="6" t="n">
        <v>44.3</v>
      </c>
      <c r="AZ11" s="6" t="n">
        <v>40.2</v>
      </c>
      <c r="BA11" s="6" t="n">
        <v>50.8</v>
      </c>
      <c r="BB11" s="7" t="n">
        <v>2.885</v>
      </c>
      <c r="BC11" s="10" t="n">
        <v>0.1784</v>
      </c>
      <c r="BD11" s="10" t="n">
        <v>0.5</v>
      </c>
      <c r="BE11" s="7" t="n">
        <v>2.219</v>
      </c>
      <c r="BF11" s="10" t="n">
        <v>0.2504</v>
      </c>
      <c r="BG11" s="10" t="n">
        <v>0.0647</v>
      </c>
      <c r="BH11" s="7" t="n">
        <v>2.395</v>
      </c>
      <c r="BI11" s="10" t="n">
        <v>1</v>
      </c>
      <c r="BJ11" s="8" t="n">
        <v>5</v>
      </c>
      <c r="BK11" s="10" t="n">
        <v>0.0164</v>
      </c>
      <c r="BL11" s="10" t="n">
        <v>0.5756</v>
      </c>
      <c r="BM11" s="6" t="n">
        <v>63.18</v>
      </c>
      <c r="BN11" s="6" t="n">
        <v>40</v>
      </c>
      <c r="BO11" s="7" t="n">
        <v>4.24</v>
      </c>
      <c r="BP11" s="6" t="n">
        <v>27.9</v>
      </c>
      <c r="BQ11" s="9" t="n">
        <v>-0.0041</v>
      </c>
      <c r="BR11" s="9" t="n">
        <v>0.0592</v>
      </c>
      <c r="BS11" s="7" t="n">
        <v>0.179</v>
      </c>
      <c r="BT11" s="7" t="n">
        <v>0.134</v>
      </c>
      <c r="BU11" s="4" t="s">
        <v>102</v>
      </c>
      <c r="BV11" s="4"/>
    </row>
    <row r="12" customFormat="false" ht="15" hidden="false" customHeight="false" outlineLevel="0" collapsed="false">
      <c r="A12" s="3" t="n">
        <v>10</v>
      </c>
      <c r="B12" s="4" t="s">
        <v>293</v>
      </c>
      <c r="C12" s="13" t="s">
        <v>172</v>
      </c>
      <c r="D12" s="4" t="s">
        <v>294</v>
      </c>
      <c r="E12" s="4" t="s">
        <v>120</v>
      </c>
      <c r="F12" s="4" t="s">
        <v>172</v>
      </c>
      <c r="G12" s="3" t="n">
        <v>1</v>
      </c>
      <c r="H12" s="6" t="n">
        <v>33.1</v>
      </c>
      <c r="I12" s="3" t="n">
        <v>11</v>
      </c>
      <c r="J12" s="3" t="n">
        <v>14</v>
      </c>
      <c r="K12" s="7" t="n">
        <v>80.01</v>
      </c>
      <c r="L12" s="7" t="n">
        <v>12.87</v>
      </c>
      <c r="M12" s="8" t="n">
        <v>37</v>
      </c>
      <c r="N12" s="8" t="n">
        <v>108</v>
      </c>
      <c r="O12" s="7" t="n">
        <v>80.01</v>
      </c>
      <c r="P12" s="6" t="n">
        <v>92.1</v>
      </c>
      <c r="Q12" s="4" t="s">
        <v>120</v>
      </c>
      <c r="R12" s="8" t="n">
        <v>17</v>
      </c>
      <c r="S12" s="6" t="n">
        <v>313.78</v>
      </c>
      <c r="T12" s="7" t="n">
        <f aca="false">IFERROR(S12/R12,"")</f>
        <v>18.4576470588235</v>
      </c>
      <c r="U12" s="6" t="n">
        <v>313.78</v>
      </c>
      <c r="V12" s="6" t="n">
        <v>313.78</v>
      </c>
      <c r="W12" s="8" t="n">
        <v>6</v>
      </c>
      <c r="X12" s="7" t="n">
        <v>5.92</v>
      </c>
      <c r="Y12" s="9" t="n">
        <v>0.276</v>
      </c>
      <c r="Z12" s="6" t="n">
        <v>12.04</v>
      </c>
      <c r="AA12" s="6" t="n">
        <v>20.6</v>
      </c>
      <c r="AB12" s="6" t="n">
        <v>25.96</v>
      </c>
      <c r="AC12" s="10" t="n">
        <v>0.588</v>
      </c>
      <c r="AD12" s="10" t="n">
        <v>0.118</v>
      </c>
      <c r="AE12" s="7" t="n">
        <v>0.402</v>
      </c>
      <c r="AF12" s="8" t="n">
        <v>600</v>
      </c>
      <c r="AG12" s="8" t="n">
        <v>404</v>
      </c>
      <c r="AH12" s="8" t="n">
        <v>4552</v>
      </c>
      <c r="AI12" s="8" t="n">
        <v>30</v>
      </c>
      <c r="AJ12" s="8" t="n">
        <v>10</v>
      </c>
      <c r="AK12" s="8" t="n">
        <v>31</v>
      </c>
      <c r="AL12" s="6" t="n">
        <v>114.349433204959</v>
      </c>
      <c r="AM12" s="8" t="n">
        <v>53</v>
      </c>
      <c r="AN12" s="6" t="n">
        <f aca="false">IFERROR(AM12/R12,"")</f>
        <v>3.11764705882353</v>
      </c>
      <c r="AO12" s="8" t="n">
        <v>177</v>
      </c>
      <c r="AP12" s="7" t="n">
        <f aca="false">IFERROR(AO12/AM12,"")</f>
        <v>3.33962264150943</v>
      </c>
      <c r="AQ12" s="7"/>
      <c r="AR12" s="8" t="n">
        <v>8</v>
      </c>
      <c r="AS12" s="8" t="n">
        <v>6</v>
      </c>
      <c r="AT12" s="8" t="n">
        <v>4</v>
      </c>
      <c r="AU12" s="8" t="n">
        <v>2</v>
      </c>
      <c r="AV12" s="7" t="n">
        <v>2.34</v>
      </c>
      <c r="AW12" s="7" t="n">
        <f aca="false">IFERROR(AU12-AV12,"")</f>
        <v>-0.34</v>
      </c>
      <c r="AX12" s="9" t="n">
        <v>0.038</v>
      </c>
      <c r="AY12" s="6" t="n">
        <v>65.1</v>
      </c>
      <c r="AZ12" s="6" t="n">
        <v>61.6</v>
      </c>
      <c r="BA12" s="6" t="n">
        <v>62.2</v>
      </c>
      <c r="BB12" s="7" t="n">
        <v>3.074</v>
      </c>
      <c r="BC12" s="10" t="n">
        <v>0.1352</v>
      </c>
      <c r="BD12" s="10" t="n">
        <v>0.705882352941177</v>
      </c>
      <c r="BE12" s="7" t="n">
        <v>2.563</v>
      </c>
      <c r="BF12" s="10" t="n">
        <v>0.2356</v>
      </c>
      <c r="BG12" s="10" t="n">
        <v>0.044</v>
      </c>
      <c r="BH12" s="7" t="n">
        <v>2.396</v>
      </c>
      <c r="BI12" s="10" t="n">
        <v>0.848</v>
      </c>
      <c r="BJ12" s="8" t="n">
        <v>5</v>
      </c>
      <c r="BK12" s="10" t="n">
        <v>-0.0098</v>
      </c>
      <c r="BL12" s="10" t="n">
        <v>0.5628</v>
      </c>
      <c r="BM12" s="6" t="n">
        <v>64.94</v>
      </c>
      <c r="BN12" s="6" t="n">
        <v>36</v>
      </c>
      <c r="BO12" s="7" t="n">
        <v>3.82</v>
      </c>
      <c r="BP12" s="6" t="n">
        <v>27.7</v>
      </c>
      <c r="BQ12" s="9" t="n">
        <v>0.005</v>
      </c>
      <c r="BR12" s="9" t="n">
        <v>0.1615</v>
      </c>
      <c r="BS12" s="7" t="n">
        <v>0.126</v>
      </c>
      <c r="BT12" s="7" t="n">
        <v>-0.005</v>
      </c>
      <c r="BU12" s="4" t="s">
        <v>102</v>
      </c>
      <c r="BV12" s="4"/>
    </row>
    <row r="13" customFormat="false" ht="15" hidden="false" customHeight="false" outlineLevel="0" collapsed="false">
      <c r="A13" s="3" t="n">
        <v>11</v>
      </c>
      <c r="B13" s="4" t="s">
        <v>326</v>
      </c>
      <c r="C13" s="13" t="s">
        <v>172</v>
      </c>
      <c r="D13" s="4" t="s">
        <v>327</v>
      </c>
      <c r="E13" s="4" t="s">
        <v>178</v>
      </c>
      <c r="F13" s="4" t="s">
        <v>172</v>
      </c>
      <c r="G13" s="3" t="n">
        <v>1</v>
      </c>
      <c r="H13" s="6" t="n">
        <v>23.3</v>
      </c>
      <c r="I13" s="3" t="n">
        <v>2</v>
      </c>
      <c r="J13" s="3" t="n">
        <v>8</v>
      </c>
      <c r="K13" s="7" t="n">
        <v>94.7</v>
      </c>
      <c r="L13" s="7" t="n">
        <v>12.62</v>
      </c>
      <c r="M13" s="8" t="n">
        <v>63</v>
      </c>
      <c r="N13" s="8" t="n">
        <v>119</v>
      </c>
      <c r="O13" s="7" t="n">
        <v>94.7</v>
      </c>
      <c r="P13" s="6" t="n">
        <v>93.2</v>
      </c>
      <c r="Q13" s="4" t="s">
        <v>178</v>
      </c>
      <c r="R13" s="8" t="n">
        <v>14</v>
      </c>
      <c r="S13" s="6" t="n">
        <v>241.58</v>
      </c>
      <c r="T13" s="7" t="n">
        <f aca="false">IFERROR(S13/R13,"")</f>
        <v>17.2557142857143</v>
      </c>
      <c r="U13" s="6" t="n">
        <v>241.58</v>
      </c>
      <c r="V13" s="6" t="n">
        <v>241.58</v>
      </c>
      <c r="W13" s="8" t="n">
        <v>13</v>
      </c>
      <c r="X13" s="7" t="n">
        <v>2.809</v>
      </c>
      <c r="Y13" s="9" t="n">
        <v>0.312</v>
      </c>
      <c r="Z13" s="6" t="n">
        <v>14.06</v>
      </c>
      <c r="AA13" s="6" t="n">
        <v>20.12</v>
      </c>
      <c r="AB13" s="6" t="n">
        <v>26.33</v>
      </c>
      <c r="AC13" s="10" t="n">
        <v>0.571</v>
      </c>
      <c r="AD13" s="10" t="n">
        <v>0.214</v>
      </c>
      <c r="AE13" s="7" t="n">
        <v>0.509</v>
      </c>
      <c r="AF13" s="8" t="n">
        <v>339</v>
      </c>
      <c r="AG13" s="8" t="n">
        <v>216</v>
      </c>
      <c r="AH13" s="8" t="n">
        <v>2272</v>
      </c>
      <c r="AI13" s="8" t="n">
        <v>15</v>
      </c>
      <c r="AJ13" s="8" t="n">
        <v>5</v>
      </c>
      <c r="AK13" s="8" t="n">
        <v>35</v>
      </c>
      <c r="AL13" s="6" t="n">
        <v>3.41943225378957</v>
      </c>
      <c r="AM13" s="8" t="n">
        <v>86</v>
      </c>
      <c r="AN13" s="6" t="n">
        <f aca="false">IFERROR(AM13/R13,"")</f>
        <v>6.14285714285714</v>
      </c>
      <c r="AO13" s="8" t="n">
        <v>487</v>
      </c>
      <c r="AP13" s="7" t="n">
        <f aca="false">IFERROR(AO13/AM13,"")</f>
        <v>5.66279069767442</v>
      </c>
      <c r="AQ13" s="7"/>
      <c r="AR13" s="8" t="n">
        <v>22</v>
      </c>
      <c r="AS13" s="8" t="n">
        <v>12</v>
      </c>
      <c r="AT13" s="8" t="n">
        <v>7</v>
      </c>
      <c r="AU13" s="8" t="n">
        <v>9</v>
      </c>
      <c r="AV13" s="7" t="n">
        <v>4.72</v>
      </c>
      <c r="AW13" s="7" t="n">
        <f aca="false">IFERROR(AU13-AV13,"")</f>
        <v>4.28</v>
      </c>
      <c r="AX13" s="9" t="n">
        <v>0.105</v>
      </c>
      <c r="AY13" s="6" t="n">
        <v>45.9</v>
      </c>
      <c r="AZ13" s="6" t="n">
        <v>56.8</v>
      </c>
      <c r="BA13" s="6" t="n">
        <v>36.8</v>
      </c>
      <c r="BB13" s="7" t="n">
        <v>2.974</v>
      </c>
      <c r="BC13" s="10" t="n">
        <v>0.1475</v>
      </c>
      <c r="BD13" s="10" t="n">
        <v>0.625</v>
      </c>
      <c r="BE13" s="7" t="n">
        <v>2.714</v>
      </c>
      <c r="BF13" s="10" t="n">
        <v>0.2947</v>
      </c>
      <c r="BG13" s="10" t="n">
        <v>0.076</v>
      </c>
      <c r="BH13" s="7" t="n">
        <v>2.388</v>
      </c>
      <c r="BI13" s="10" t="n">
        <v>0.723</v>
      </c>
      <c r="BJ13" s="8" t="n">
        <v>4</v>
      </c>
      <c r="BK13" s="10" t="n">
        <v>-0.0466</v>
      </c>
      <c r="BL13" s="10" t="n">
        <v>0.494</v>
      </c>
      <c r="BM13" s="6" t="n">
        <v>63.47</v>
      </c>
      <c r="BN13" s="6" t="n">
        <v>36</v>
      </c>
      <c r="BO13" s="7" t="n">
        <v>3.59</v>
      </c>
      <c r="BP13" s="6" t="n">
        <v>22.4</v>
      </c>
      <c r="BQ13" s="9" t="n">
        <v>0.0356</v>
      </c>
      <c r="BR13" s="9" t="n">
        <v>-0.008</v>
      </c>
      <c r="BS13" s="7" t="n">
        <v>-0.145</v>
      </c>
      <c r="BT13" s="7" t="n">
        <v>-0.189</v>
      </c>
      <c r="BU13" s="4" t="s">
        <v>102</v>
      </c>
      <c r="BV13" s="4"/>
    </row>
    <row r="14" customFormat="false" ht="15" hidden="false" customHeight="false" outlineLevel="0" collapsed="false">
      <c r="A14" s="3" t="n">
        <v>12</v>
      </c>
      <c r="B14" s="4" t="s">
        <v>328</v>
      </c>
      <c r="C14" s="13" t="s">
        <v>172</v>
      </c>
      <c r="D14" s="4" t="s">
        <v>329</v>
      </c>
      <c r="E14" s="4" t="s">
        <v>124</v>
      </c>
      <c r="F14" s="4" t="s">
        <v>172</v>
      </c>
      <c r="G14" s="3" t="n">
        <v>1</v>
      </c>
      <c r="H14" s="6" t="n">
        <v>26.6</v>
      </c>
      <c r="I14" s="3" t="n">
        <v>5</v>
      </c>
      <c r="J14" s="3" t="n">
        <v>8</v>
      </c>
      <c r="K14" s="7" t="n">
        <v>97.35</v>
      </c>
      <c r="L14" s="7" t="n">
        <v>9.37</v>
      </c>
      <c r="M14" s="8" t="n">
        <v>63</v>
      </c>
      <c r="N14" s="8" t="n">
        <v>125</v>
      </c>
      <c r="O14" s="7" t="n">
        <v>97.35</v>
      </c>
      <c r="P14" s="6" t="n">
        <v>86.4</v>
      </c>
      <c r="Q14" s="4" t="s">
        <v>124</v>
      </c>
      <c r="R14" s="8" t="n">
        <v>9</v>
      </c>
      <c r="S14" s="6" t="n">
        <v>177.38</v>
      </c>
      <c r="T14" s="7" t="n">
        <f aca="false">IFERROR(S14/R14,"")</f>
        <v>19.7088888888889</v>
      </c>
      <c r="U14" s="6" t="n">
        <v>177.38</v>
      </c>
      <c r="V14" s="6" t="n">
        <v>177.38</v>
      </c>
      <c r="W14" s="8" t="n">
        <v>23</v>
      </c>
      <c r="X14" s="7" t="n">
        <v>5.375</v>
      </c>
      <c r="Y14" s="9" t="n">
        <v>0.308</v>
      </c>
      <c r="Z14" s="6" t="n">
        <v>16.78</v>
      </c>
      <c r="AA14" s="6" t="n">
        <v>17.66</v>
      </c>
      <c r="AB14" s="6" t="n">
        <v>29.96</v>
      </c>
      <c r="AC14" s="10" t="n">
        <v>0.444</v>
      </c>
      <c r="AD14" s="10" t="n">
        <v>0</v>
      </c>
      <c r="AE14" s="7" t="n">
        <v>0.583</v>
      </c>
      <c r="AF14" s="8" t="n">
        <v>284</v>
      </c>
      <c r="AG14" s="8" t="n">
        <v>197</v>
      </c>
      <c r="AH14" s="8" t="n">
        <v>2167</v>
      </c>
      <c r="AI14" s="8" t="n">
        <v>20</v>
      </c>
      <c r="AJ14" s="8" t="n">
        <v>10</v>
      </c>
      <c r="AK14" s="8" t="n">
        <v>11</v>
      </c>
      <c r="AL14" s="6" t="n">
        <v>63.1299391168205</v>
      </c>
      <c r="AM14" s="8" t="n">
        <v>33</v>
      </c>
      <c r="AN14" s="6" t="n">
        <f aca="false">IFERROR(AM14/R14,"")</f>
        <v>3.66666666666667</v>
      </c>
      <c r="AO14" s="8" t="n">
        <v>147</v>
      </c>
      <c r="AP14" s="7" t="n">
        <f aca="false">IFERROR(AO14/AM14,"")</f>
        <v>4.45454545454545</v>
      </c>
      <c r="AQ14" s="7"/>
      <c r="AR14" s="8" t="n">
        <v>7</v>
      </c>
      <c r="AS14" s="8" t="n">
        <v>3</v>
      </c>
      <c r="AT14" s="8" t="n">
        <v>2</v>
      </c>
      <c r="AU14" s="8" t="n">
        <v>3</v>
      </c>
      <c r="AV14" s="7" t="n">
        <v>1.29</v>
      </c>
      <c r="AW14" s="7" t="n">
        <f aca="false">IFERROR(AU14-AV14,"")</f>
        <v>1.71</v>
      </c>
      <c r="AX14" s="9" t="n">
        <v>0.091</v>
      </c>
      <c r="AY14" s="6" t="n">
        <v>63.3</v>
      </c>
      <c r="AZ14" s="6" t="n">
        <v>46.4</v>
      </c>
      <c r="BA14" s="6" t="n">
        <v>74.5</v>
      </c>
      <c r="BB14" s="7" t="n">
        <v>2.906</v>
      </c>
      <c r="BC14" s="10" t="n">
        <v>0.1848</v>
      </c>
      <c r="BD14" s="10" t="n">
        <v>0.655172413793103</v>
      </c>
      <c r="BE14" s="7" t="n">
        <v>2.349</v>
      </c>
      <c r="BF14" s="10" t="n">
        <v>0.2125</v>
      </c>
      <c r="BG14" s="10" t="n">
        <v>0.0428</v>
      </c>
      <c r="BH14" s="7" t="n">
        <v>2.547</v>
      </c>
      <c r="BI14" s="10" t="n">
        <v>0.852</v>
      </c>
      <c r="BJ14" s="8" t="n">
        <v>4</v>
      </c>
      <c r="BK14" s="10" t="n">
        <v>-0.0088</v>
      </c>
      <c r="BL14" s="10" t="n">
        <v>0.5521</v>
      </c>
      <c r="BM14" s="6" t="n">
        <v>62.65</v>
      </c>
      <c r="BN14" s="6" t="n">
        <v>38</v>
      </c>
      <c r="BO14" s="7" t="n">
        <v>3.88</v>
      </c>
      <c r="BP14" s="6" t="n">
        <v>25.7</v>
      </c>
      <c r="BQ14" s="9" t="n">
        <v>-0.0044</v>
      </c>
      <c r="BR14" s="9" t="n">
        <v>0.1587</v>
      </c>
      <c r="BS14" s="7" t="n">
        <v>-0.548</v>
      </c>
      <c r="BT14" s="7" t="n">
        <v>0.197</v>
      </c>
      <c r="BU14" s="4" t="s">
        <v>121</v>
      </c>
      <c r="BV14" s="4"/>
    </row>
    <row r="15" customFormat="false" ht="15" hidden="false" customHeight="false" outlineLevel="0" collapsed="false">
      <c r="A15" s="3" t="n">
        <v>13</v>
      </c>
      <c r="B15" s="4" t="s">
        <v>332</v>
      </c>
      <c r="C15" s="13" t="s">
        <v>172</v>
      </c>
      <c r="D15" s="4" t="s">
        <v>333</v>
      </c>
      <c r="E15" s="4" t="s">
        <v>164</v>
      </c>
      <c r="F15" s="4" t="s">
        <v>172</v>
      </c>
      <c r="G15" s="3" t="n">
        <v>1</v>
      </c>
      <c r="H15" s="6" t="n">
        <v>30.9</v>
      </c>
      <c r="I15" s="3" t="n">
        <v>10</v>
      </c>
      <c r="J15" s="3" t="n">
        <v>5</v>
      </c>
      <c r="K15" s="7" t="n">
        <v>101.13</v>
      </c>
      <c r="L15" s="7" t="n">
        <v>11.7</v>
      </c>
      <c r="M15" s="8" t="n">
        <v>63</v>
      </c>
      <c r="N15" s="8" t="n">
        <v>129</v>
      </c>
      <c r="O15" s="7" t="n">
        <v>101.13</v>
      </c>
      <c r="P15" s="6" t="n">
        <v>87.9</v>
      </c>
      <c r="Q15" s="4" t="s">
        <v>164</v>
      </c>
      <c r="R15" s="8" t="n">
        <v>14</v>
      </c>
      <c r="S15" s="6" t="n">
        <v>285.68</v>
      </c>
      <c r="T15" s="7" t="n">
        <f aca="false">IFERROR(S15/R15,"")</f>
        <v>20.4057142857143</v>
      </c>
      <c r="U15" s="6" t="n">
        <v>285.18</v>
      </c>
      <c r="V15" s="6" t="n">
        <v>284.68</v>
      </c>
      <c r="W15" s="8" t="n">
        <v>11</v>
      </c>
      <c r="X15" s="7" t="n">
        <v>4.395</v>
      </c>
      <c r="Y15" s="9" t="n">
        <v>0.306</v>
      </c>
      <c r="Z15" s="6" t="n">
        <v>13.2</v>
      </c>
      <c r="AA15" s="6" t="n">
        <v>22.52</v>
      </c>
      <c r="AB15" s="6" t="n">
        <v>27.41</v>
      </c>
      <c r="AC15" s="10" t="n">
        <v>0.643</v>
      </c>
      <c r="AD15" s="10" t="n">
        <v>0</v>
      </c>
      <c r="AE15" s="7" t="n">
        <v>0.355</v>
      </c>
      <c r="AF15" s="8" t="n">
        <v>502</v>
      </c>
      <c r="AG15" s="8" t="n">
        <v>315</v>
      </c>
      <c r="AH15" s="8" t="n">
        <v>3587</v>
      </c>
      <c r="AI15" s="8" t="n">
        <v>22</v>
      </c>
      <c r="AJ15" s="8" t="n">
        <v>11</v>
      </c>
      <c r="AK15" s="8" t="n">
        <v>34</v>
      </c>
      <c r="AL15" s="6" t="n">
        <v>68.2469407761718</v>
      </c>
      <c r="AM15" s="8" t="n">
        <v>64</v>
      </c>
      <c r="AN15" s="6" t="n">
        <f aca="false">IFERROR(AM15/R15,"")</f>
        <v>4.57142857142857</v>
      </c>
      <c r="AO15" s="8" t="n">
        <v>422</v>
      </c>
      <c r="AP15" s="7" t="n">
        <f aca="false">IFERROR(AO15/AM15,"")</f>
        <v>6.59375</v>
      </c>
      <c r="AQ15" s="7"/>
      <c r="AR15" s="8" t="n">
        <v>15</v>
      </c>
      <c r="AS15" s="8" t="n">
        <v>5</v>
      </c>
      <c r="AT15" s="8" t="n">
        <v>2</v>
      </c>
      <c r="AU15" s="8" t="n">
        <v>5</v>
      </c>
      <c r="AV15" s="7" t="n">
        <v>1.91</v>
      </c>
      <c r="AW15" s="7" t="n">
        <f aca="false">IFERROR(AU15-AV15,"")</f>
        <v>3.09</v>
      </c>
      <c r="AX15" s="9" t="n">
        <v>0.077</v>
      </c>
      <c r="AY15" s="6" t="n">
        <v>50.1</v>
      </c>
      <c r="AZ15" s="6" t="n">
        <v>66.2</v>
      </c>
      <c r="BA15" s="6" t="n">
        <v>34</v>
      </c>
      <c r="BB15" s="7" t="n">
        <v>3.062</v>
      </c>
      <c r="BC15" s="10" t="n">
        <v>0.1258</v>
      </c>
      <c r="BD15" s="10" t="n">
        <v>0.8125</v>
      </c>
      <c r="BE15" s="7" t="n">
        <v>2.623</v>
      </c>
      <c r="BF15" s="10" t="n">
        <v>0.2877</v>
      </c>
      <c r="BG15" s="10" t="n">
        <v>0.0659</v>
      </c>
      <c r="BH15" s="7" t="n">
        <v>2.212</v>
      </c>
      <c r="BI15" s="10" t="n">
        <v>0.864</v>
      </c>
      <c r="BJ15" s="8" t="n">
        <v>5</v>
      </c>
      <c r="BK15" s="10" t="n">
        <v>0.0395</v>
      </c>
      <c r="BL15" s="10" t="n">
        <v>0.5721</v>
      </c>
      <c r="BM15" s="6" t="n">
        <v>61.65</v>
      </c>
      <c r="BN15" s="6" t="n">
        <v>38</v>
      </c>
      <c r="BO15" s="7" t="n">
        <v>3.71</v>
      </c>
      <c r="BP15" s="6" t="n">
        <v>21.3</v>
      </c>
      <c r="BQ15" s="9" t="n">
        <v>0.0273</v>
      </c>
      <c r="BR15" s="9" t="n">
        <v>0.0399</v>
      </c>
      <c r="BS15" s="7" t="n">
        <v>0.014</v>
      </c>
      <c r="BT15" s="7" t="n">
        <v>0.32</v>
      </c>
      <c r="BU15" s="4" t="s">
        <v>102</v>
      </c>
      <c r="BV15" s="4"/>
    </row>
    <row r="16" customFormat="false" ht="15" hidden="false" customHeight="false" outlineLevel="0" collapsed="false">
      <c r="A16" s="3" t="n">
        <v>14</v>
      </c>
      <c r="B16" s="4" t="s">
        <v>334</v>
      </c>
      <c r="C16" s="13" t="s">
        <v>172</v>
      </c>
      <c r="D16" s="4" t="s">
        <v>335</v>
      </c>
      <c r="E16" s="4" t="s">
        <v>209</v>
      </c>
      <c r="F16" s="4" t="s">
        <v>172</v>
      </c>
      <c r="G16" s="3" t="n">
        <v>1</v>
      </c>
      <c r="H16" s="6" t="n">
        <v>26.5</v>
      </c>
      <c r="I16" s="3" t="n">
        <v>3</v>
      </c>
      <c r="J16" s="3" t="n">
        <v>10</v>
      </c>
      <c r="K16" s="7" t="n">
        <v>101.34</v>
      </c>
      <c r="L16" s="7" t="n">
        <v>9.64</v>
      </c>
      <c r="M16" s="8" t="n">
        <v>70</v>
      </c>
      <c r="N16" s="8" t="n">
        <v>125</v>
      </c>
      <c r="O16" s="7" t="n">
        <v>101.34</v>
      </c>
      <c r="P16" s="6" t="n">
        <v>87.2</v>
      </c>
      <c r="Q16" s="4" t="s">
        <v>209</v>
      </c>
      <c r="R16" s="8" t="n">
        <v>17</v>
      </c>
      <c r="S16" s="6" t="n">
        <v>304.84</v>
      </c>
      <c r="T16" s="7" t="n">
        <f aca="false">IFERROR(S16/R16,"")</f>
        <v>17.9317647058824</v>
      </c>
      <c r="U16" s="6" t="n">
        <v>304.84</v>
      </c>
      <c r="V16" s="6" t="n">
        <v>304.84</v>
      </c>
      <c r="W16" s="8" t="n">
        <v>7</v>
      </c>
      <c r="X16" s="7" t="n">
        <v>3.629</v>
      </c>
      <c r="Y16" s="9" t="n">
        <v>0.268</v>
      </c>
      <c r="Z16" s="6" t="n">
        <v>13.36</v>
      </c>
      <c r="AA16" s="6" t="n">
        <v>16.44</v>
      </c>
      <c r="AB16" s="6" t="n">
        <v>24.96</v>
      </c>
      <c r="AC16" s="10" t="n">
        <v>0.353</v>
      </c>
      <c r="AD16" s="10" t="n">
        <v>0.118</v>
      </c>
      <c r="AE16" s="7" t="n">
        <v>0.509</v>
      </c>
      <c r="AF16" s="8" t="n">
        <v>612</v>
      </c>
      <c r="AG16" s="8" t="n">
        <v>388</v>
      </c>
      <c r="AH16" s="8" t="n">
        <v>3931</v>
      </c>
      <c r="AI16" s="8" t="n">
        <v>25</v>
      </c>
      <c r="AJ16" s="8" t="n">
        <v>11</v>
      </c>
      <c r="AK16" s="8" t="n">
        <v>22</v>
      </c>
      <c r="AL16" s="6" t="n">
        <v>63.3227576069413</v>
      </c>
      <c r="AM16" s="8" t="n">
        <v>83</v>
      </c>
      <c r="AN16" s="6" t="n">
        <f aca="false">IFERROR(AM16/R16,"")</f>
        <v>4.88235294117647</v>
      </c>
      <c r="AO16" s="8" t="n">
        <v>356</v>
      </c>
      <c r="AP16" s="7" t="n">
        <f aca="false">IFERROR(AO16/AM16,"")</f>
        <v>4.28915662650602</v>
      </c>
      <c r="AQ16" s="7"/>
      <c r="AR16" s="8" t="n">
        <v>15</v>
      </c>
      <c r="AS16" s="8" t="n">
        <v>6</v>
      </c>
      <c r="AT16" s="8" t="n">
        <v>1</v>
      </c>
      <c r="AU16" s="8" t="n">
        <v>5</v>
      </c>
      <c r="AV16" s="7" t="n">
        <v>1.73</v>
      </c>
      <c r="AW16" s="7" t="n">
        <f aca="false">IFERROR(AU16-AV16,"")</f>
        <v>3.27</v>
      </c>
      <c r="AX16" s="9" t="n">
        <v>0.06</v>
      </c>
      <c r="AY16" s="6" t="n">
        <v>63.2</v>
      </c>
      <c r="AZ16" s="6" t="n">
        <v>50</v>
      </c>
      <c r="BA16" s="6" t="n">
        <v>70.8</v>
      </c>
      <c r="BB16" s="7" t="n">
        <v>2.952</v>
      </c>
      <c r="BC16" s="10" t="n">
        <v>0.1682</v>
      </c>
      <c r="BD16" s="10" t="n">
        <v>0.551724137931035</v>
      </c>
      <c r="BE16" s="7" t="n">
        <v>2.592</v>
      </c>
      <c r="BF16" s="10" t="n">
        <v>0.2088</v>
      </c>
      <c r="BG16" s="10" t="n">
        <v>0.037</v>
      </c>
      <c r="BH16" s="7" t="n">
        <v>2.401</v>
      </c>
      <c r="BI16" s="10" t="n">
        <v>0.999</v>
      </c>
      <c r="BJ16" s="8" t="n">
        <v>5</v>
      </c>
      <c r="BK16" s="10" t="n">
        <v>0.0157</v>
      </c>
      <c r="BL16" s="10" t="n">
        <v>0.59</v>
      </c>
      <c r="BM16" s="6" t="n">
        <v>63.47</v>
      </c>
      <c r="BN16" s="6" t="n">
        <v>38</v>
      </c>
      <c r="BO16" s="7" t="n">
        <v>3.47</v>
      </c>
      <c r="BP16" s="6" t="n">
        <v>23.6</v>
      </c>
      <c r="BQ16" s="9" t="n">
        <v>0.0004</v>
      </c>
      <c r="BR16" s="9" t="n">
        <v>0.0835</v>
      </c>
      <c r="BS16" s="7" t="n">
        <v>0.224</v>
      </c>
      <c r="BT16" s="7" t="n">
        <v>0.092</v>
      </c>
      <c r="BU16" s="4" t="s">
        <v>102</v>
      </c>
      <c r="BV16" s="4"/>
    </row>
    <row r="17" customFormat="false" ht="15" hidden="false" customHeight="false" outlineLevel="0" collapsed="false">
      <c r="A17" s="3" t="n">
        <v>15</v>
      </c>
      <c r="B17" s="4" t="s">
        <v>346</v>
      </c>
      <c r="C17" s="13" t="s">
        <v>172</v>
      </c>
      <c r="D17" s="4" t="s">
        <v>347</v>
      </c>
      <c r="E17" s="4" t="s">
        <v>109</v>
      </c>
      <c r="F17" s="4" t="s">
        <v>172</v>
      </c>
      <c r="G17" s="3" t="n">
        <v>1</v>
      </c>
      <c r="H17" s="6" t="n">
        <v>38.5</v>
      </c>
      <c r="I17" s="3" t="n">
        <v>18</v>
      </c>
      <c r="J17" s="3" t="n">
        <v>11</v>
      </c>
      <c r="K17" s="7" t="n">
        <v>104.67</v>
      </c>
      <c r="L17" s="7" t="n">
        <v>14</v>
      </c>
      <c r="M17" s="8" t="n">
        <v>63</v>
      </c>
      <c r="N17" s="8" t="n">
        <v>148</v>
      </c>
      <c r="O17" s="7" t="n">
        <v>104.67</v>
      </c>
      <c r="P17" s="6" t="n">
        <v>91</v>
      </c>
      <c r="Q17" s="4" t="s">
        <v>109</v>
      </c>
      <c r="R17" s="8" t="n">
        <v>17</v>
      </c>
      <c r="S17" s="6" t="n">
        <v>350.38</v>
      </c>
      <c r="T17" s="7" t="n">
        <f aca="false">IFERROR(S17/R17,"")</f>
        <v>20.6105882352941</v>
      </c>
      <c r="U17" s="6" t="n">
        <v>350.38</v>
      </c>
      <c r="V17" s="6" t="n">
        <v>350.38</v>
      </c>
      <c r="W17" s="8" t="n">
        <v>3</v>
      </c>
      <c r="X17" s="7" t="n">
        <v>12.082</v>
      </c>
      <c r="Y17" s="9" t="n">
        <v>0.314</v>
      </c>
      <c r="Z17" s="6" t="n">
        <v>13.6</v>
      </c>
      <c r="AA17" s="6" t="n">
        <v>22.92</v>
      </c>
      <c r="AB17" s="6" t="n">
        <v>27.19</v>
      </c>
      <c r="AC17" s="10" t="n">
        <v>0.588</v>
      </c>
      <c r="AD17" s="10" t="n">
        <v>0</v>
      </c>
      <c r="AE17" s="7" t="n">
        <v>0.305</v>
      </c>
      <c r="AF17" s="8" t="n">
        <v>597</v>
      </c>
      <c r="AG17" s="8" t="n">
        <v>388</v>
      </c>
      <c r="AH17" s="8" t="n">
        <v>4707</v>
      </c>
      <c r="AI17" s="8" t="n">
        <v>46</v>
      </c>
      <c r="AJ17" s="8" t="n">
        <v>8</v>
      </c>
      <c r="AK17" s="8" t="n">
        <v>23</v>
      </c>
      <c r="AL17" s="6" t="n">
        <v>150.454307482114</v>
      </c>
      <c r="AM17" s="8" t="n">
        <v>29</v>
      </c>
      <c r="AN17" s="6" t="n">
        <f aca="false">IFERROR(AM17/R17,"")</f>
        <v>1.70588235294118</v>
      </c>
      <c r="AO17" s="8" t="n">
        <v>1</v>
      </c>
      <c r="AP17" s="7" t="n">
        <f aca="false">IFERROR(AO17/AM17,"")</f>
        <v>0.0344827586206897</v>
      </c>
      <c r="AQ17" s="7"/>
      <c r="AR17" s="8" t="n">
        <v>3</v>
      </c>
      <c r="AS17" s="8" t="n">
        <v>2</v>
      </c>
      <c r="AT17" s="8" t="n">
        <v>1</v>
      </c>
      <c r="AU17" s="8" t="n">
        <v>0</v>
      </c>
      <c r="AV17" s="7" t="n">
        <v>0.77</v>
      </c>
      <c r="AW17" s="7" t="n">
        <f aca="false">IFERROR(AU17-AV17,"")</f>
        <v>-0.77</v>
      </c>
      <c r="AX17" s="9" t="n">
        <v>0</v>
      </c>
      <c r="AY17" s="6" t="n">
        <v>80.4</v>
      </c>
      <c r="AZ17" s="6" t="n">
        <v>76.4</v>
      </c>
      <c r="BA17" s="6" t="n">
        <v>71.5</v>
      </c>
      <c r="BB17" s="7" t="n">
        <v>3.462</v>
      </c>
      <c r="BC17" s="10" t="n">
        <v>0.1266</v>
      </c>
      <c r="BD17" s="10" t="n">
        <v>0.638297872340426</v>
      </c>
      <c r="BE17" s="7" t="n">
        <v>2.811</v>
      </c>
      <c r="BF17" s="10" t="n">
        <v>0.194</v>
      </c>
      <c r="BG17" s="10" t="n">
        <v>0.0424</v>
      </c>
      <c r="BH17" s="7" t="n">
        <v>2.396</v>
      </c>
      <c r="BI17" s="10" t="n">
        <v>0.904</v>
      </c>
      <c r="BJ17" s="8" t="n">
        <v>5</v>
      </c>
      <c r="BK17" s="10" t="n">
        <v>0.0296</v>
      </c>
      <c r="BL17" s="10" t="n">
        <v>0.6185</v>
      </c>
      <c r="BM17" s="6" t="n">
        <v>62.12</v>
      </c>
      <c r="BN17" s="6" t="n">
        <v>37</v>
      </c>
      <c r="BO17" s="7" t="n">
        <v>4.47</v>
      </c>
      <c r="BP17" s="6" t="n">
        <v>30.5</v>
      </c>
      <c r="BQ17" s="9" t="n">
        <v>0.0262</v>
      </c>
      <c r="BR17" s="9" t="n">
        <v>0.2292</v>
      </c>
      <c r="BS17" s="7" t="n">
        <v>0.435</v>
      </c>
      <c r="BT17" s="7" t="n">
        <v>0.435</v>
      </c>
      <c r="BU17" s="4" t="s">
        <v>232</v>
      </c>
      <c r="BV17" s="4"/>
    </row>
    <row r="18" customFormat="false" ht="15" hidden="false" customHeight="false" outlineLevel="0" collapsed="false">
      <c r="A18" s="3" t="n">
        <v>16</v>
      </c>
      <c r="B18" s="4" t="s">
        <v>355</v>
      </c>
      <c r="C18" s="13" t="s">
        <v>172</v>
      </c>
      <c r="D18" s="4" t="s">
        <v>356</v>
      </c>
      <c r="E18" s="4" t="s">
        <v>106</v>
      </c>
      <c r="F18" s="4" t="s">
        <v>172</v>
      </c>
      <c r="G18" s="3" t="n">
        <v>1</v>
      </c>
      <c r="H18" s="6" t="n">
        <v>31.8</v>
      </c>
      <c r="I18" s="3" t="n">
        <v>11</v>
      </c>
      <c r="J18" s="3" t="n">
        <v>6</v>
      </c>
      <c r="K18" s="7" t="n">
        <v>106.71</v>
      </c>
      <c r="L18" s="7" t="n">
        <v>11.25</v>
      </c>
      <c r="M18" s="8" t="n">
        <v>59</v>
      </c>
      <c r="N18" s="8" t="n">
        <v>124</v>
      </c>
      <c r="O18" s="7" t="n">
        <v>106.71</v>
      </c>
      <c r="P18" s="6" t="n">
        <v>74.7</v>
      </c>
      <c r="Q18" s="4" t="s">
        <v>106</v>
      </c>
      <c r="R18" s="8" t="n">
        <v>17</v>
      </c>
      <c r="S18" s="6" t="n">
        <v>297.06</v>
      </c>
      <c r="T18" s="7" t="n">
        <f aca="false">IFERROR(S18/R18,"")</f>
        <v>17.4741176470588</v>
      </c>
      <c r="U18" s="6" t="n">
        <v>297.06</v>
      </c>
      <c r="V18" s="6" t="n">
        <v>297.06</v>
      </c>
      <c r="W18" s="8" t="n">
        <v>9</v>
      </c>
      <c r="X18" s="7" t="n">
        <v>15.635</v>
      </c>
      <c r="Y18" s="9" t="n">
        <v>0.274</v>
      </c>
      <c r="Z18" s="6" t="n">
        <v>12.68</v>
      </c>
      <c r="AA18" s="6" t="n">
        <v>16.82</v>
      </c>
      <c r="AB18" s="6" t="n">
        <v>25.23</v>
      </c>
      <c r="AC18" s="10" t="n">
        <v>0.412</v>
      </c>
      <c r="AD18" s="10" t="n">
        <v>0.059</v>
      </c>
      <c r="AE18" s="7" t="n">
        <v>0.447</v>
      </c>
      <c r="AF18" s="8" t="n">
        <v>578</v>
      </c>
      <c r="AG18" s="8" t="n">
        <v>393</v>
      </c>
      <c r="AH18" s="8" t="n">
        <v>4564</v>
      </c>
      <c r="AI18" s="8" t="n">
        <v>34</v>
      </c>
      <c r="AJ18" s="8" t="n">
        <v>8</v>
      </c>
      <c r="AK18" s="8" t="n">
        <v>38</v>
      </c>
      <c r="AL18" s="6" t="n">
        <v>106.460151239643</v>
      </c>
      <c r="AM18" s="8" t="n">
        <v>19</v>
      </c>
      <c r="AN18" s="6" t="n">
        <f aca="false">IFERROR(AM18/R18,"")</f>
        <v>1.11764705882353</v>
      </c>
      <c r="AO18" s="8" t="n">
        <v>45</v>
      </c>
      <c r="AP18" s="7"/>
      <c r="AQ18" s="7"/>
      <c r="AR18" s="8" t="n">
        <v>1</v>
      </c>
      <c r="AS18" s="8" t="n">
        <v>1</v>
      </c>
      <c r="AT18" s="8" t="n">
        <v>0</v>
      </c>
      <c r="AU18" s="8" t="n">
        <v>0</v>
      </c>
      <c r="AV18" s="7" t="n">
        <v>0.19</v>
      </c>
      <c r="AW18" s="7" t="n">
        <f aca="false">IFERROR(AU18-AV18,"")</f>
        <v>-0.19</v>
      </c>
      <c r="AX18" s="9" t="n">
        <v>0</v>
      </c>
      <c r="AY18" s="6" t="n">
        <v>46.7</v>
      </c>
      <c r="AZ18" s="6" t="n">
        <v>50</v>
      </c>
      <c r="BA18" s="6" t="n">
        <v>44.8</v>
      </c>
      <c r="BB18" s="7" t="n">
        <v>2.796</v>
      </c>
      <c r="BC18" s="10" t="n">
        <v>0.1795</v>
      </c>
      <c r="BD18" s="10" t="n">
        <v>0.645161290322581</v>
      </c>
      <c r="BE18" s="7" t="n">
        <v>2.844</v>
      </c>
      <c r="BF18" s="10" t="n">
        <v>0.2646</v>
      </c>
      <c r="BG18" s="10" t="n">
        <v>0.0608</v>
      </c>
      <c r="BH18" s="7" t="n">
        <v>2.297</v>
      </c>
      <c r="BI18" s="10" t="n">
        <v>0.521</v>
      </c>
      <c r="BJ18" s="8" t="n">
        <v>3</v>
      </c>
      <c r="BK18" s="10" t="n">
        <v>-0.0456</v>
      </c>
      <c r="BL18" s="10" t="n">
        <v>0.5469</v>
      </c>
      <c r="BM18" s="6" t="n">
        <v>61.82</v>
      </c>
      <c r="BN18" s="6" t="n">
        <v>38</v>
      </c>
      <c r="BO18" s="7" t="n">
        <v>3.82</v>
      </c>
      <c r="BP18" s="6" t="n">
        <v>28.3</v>
      </c>
      <c r="BQ18" s="9" t="n">
        <v>-0.0408</v>
      </c>
      <c r="BR18" s="9" t="n">
        <v>0.1681</v>
      </c>
      <c r="BS18" s="7" t="n">
        <v>0.207</v>
      </c>
      <c r="BT18" s="7" t="n">
        <v>0.076</v>
      </c>
      <c r="BU18" s="4" t="s">
        <v>102</v>
      </c>
      <c r="BV18" s="4"/>
    </row>
    <row r="19" customFormat="false" ht="15" hidden="false" customHeight="false" outlineLevel="0" collapsed="false">
      <c r="A19" s="3" t="n">
        <v>17</v>
      </c>
      <c r="B19" s="4" t="s">
        <v>367</v>
      </c>
      <c r="C19" s="13" t="s">
        <v>172</v>
      </c>
      <c r="D19" s="4" t="s">
        <v>368</v>
      </c>
      <c r="E19" s="4" t="s">
        <v>127</v>
      </c>
      <c r="F19" s="4" t="s">
        <v>172</v>
      </c>
      <c r="G19" s="3" t="n">
        <v>1</v>
      </c>
      <c r="H19" s="6" t="n">
        <v>29</v>
      </c>
      <c r="I19" s="3" t="n">
        <v>8</v>
      </c>
      <c r="J19" s="3" t="n">
        <v>6</v>
      </c>
      <c r="K19" s="7" t="n">
        <v>113.28</v>
      </c>
      <c r="L19" s="7" t="n">
        <v>9.12</v>
      </c>
      <c r="M19" s="8" t="n">
        <v>92</v>
      </c>
      <c r="N19" s="8" t="n">
        <v>134</v>
      </c>
      <c r="O19" s="7" t="n">
        <v>113.28</v>
      </c>
      <c r="P19" s="6" t="n">
        <v>66</v>
      </c>
      <c r="Q19" s="4" t="s">
        <v>151</v>
      </c>
      <c r="R19" s="8" t="n">
        <v>5</v>
      </c>
      <c r="S19" s="6" t="n">
        <v>77.78</v>
      </c>
      <c r="T19" s="7" t="n">
        <f aca="false">IFERROR(S19/R19,"")</f>
        <v>15.556</v>
      </c>
      <c r="U19" s="6" t="n">
        <v>77.78</v>
      </c>
      <c r="V19" s="6" t="n">
        <v>77.78</v>
      </c>
      <c r="W19" s="8" t="n">
        <v>29</v>
      </c>
      <c r="X19" s="7" t="n">
        <v>2.682</v>
      </c>
      <c r="Y19" s="9" t="n">
        <v>0.245</v>
      </c>
      <c r="Z19" s="6" t="n">
        <v>14.06</v>
      </c>
      <c r="AA19" s="6" t="n">
        <v>15.3</v>
      </c>
      <c r="AB19" s="6" t="n">
        <v>16.99</v>
      </c>
      <c r="AC19" s="10" t="n">
        <v>0</v>
      </c>
      <c r="AD19" s="10" t="n">
        <v>0</v>
      </c>
      <c r="AE19" s="7" t="n">
        <v>0.116</v>
      </c>
      <c r="AF19" s="8" t="n">
        <v>161</v>
      </c>
      <c r="AG19" s="8" t="n">
        <v>110</v>
      </c>
      <c r="AH19" s="8" t="n">
        <v>962</v>
      </c>
      <c r="AI19" s="8" t="n">
        <v>6</v>
      </c>
      <c r="AJ19" s="8" t="n">
        <v>3</v>
      </c>
      <c r="AK19" s="8" t="n">
        <v>16</v>
      </c>
      <c r="AL19" s="6" t="n">
        <v>5.72059112573841</v>
      </c>
      <c r="AM19" s="8" t="n">
        <v>29</v>
      </c>
      <c r="AN19" s="6" t="n">
        <f aca="false">IFERROR(AM19/R19,"")</f>
        <v>5.8</v>
      </c>
      <c r="AO19" s="8" t="n">
        <v>173</v>
      </c>
      <c r="AP19" s="7" t="n">
        <f aca="false">IFERROR(AO19/AM19,"")</f>
        <v>5.96551724137931</v>
      </c>
      <c r="AQ19" s="7"/>
      <c r="AR19" s="8" t="n">
        <v>4</v>
      </c>
      <c r="AS19" s="8" t="n">
        <v>2</v>
      </c>
      <c r="AT19" s="8" t="n">
        <v>1</v>
      </c>
      <c r="AU19" s="8" t="n">
        <v>1</v>
      </c>
      <c r="AV19" s="7" t="n">
        <v>0.64</v>
      </c>
      <c r="AW19" s="7" t="n">
        <f aca="false">IFERROR(AU19-AV19,"")</f>
        <v>0.36</v>
      </c>
      <c r="AX19" s="9" t="n">
        <v>0.034</v>
      </c>
      <c r="AY19" s="6" t="n">
        <v>36</v>
      </c>
      <c r="AZ19" s="6" t="n">
        <v>51.8</v>
      </c>
      <c r="BA19" s="6" t="n">
        <v>26.2</v>
      </c>
      <c r="BB19" s="7" t="n">
        <v>2.961</v>
      </c>
      <c r="BC19" s="10" t="n">
        <v>0.1751</v>
      </c>
      <c r="BD19" s="10" t="n">
        <v>0.7</v>
      </c>
      <c r="BE19" s="7" t="n">
        <v>2.441</v>
      </c>
      <c r="BF19" s="10" t="n">
        <v>0.3037</v>
      </c>
      <c r="BG19" s="10" t="n">
        <v>0.1028</v>
      </c>
      <c r="BH19" s="7" t="n">
        <v>2.429</v>
      </c>
      <c r="BI19" s="10" t="n">
        <v>0.819</v>
      </c>
      <c r="BJ19" s="8" t="n">
        <v>5</v>
      </c>
      <c r="BK19" s="10" t="n">
        <v>-0.012</v>
      </c>
      <c r="BL19" s="10" t="n">
        <v>0.5369</v>
      </c>
      <c r="BM19" s="6" t="n">
        <v>55.47</v>
      </c>
      <c r="BN19" s="6" t="n">
        <v>39</v>
      </c>
      <c r="BO19" s="7" t="n">
        <v>3.12</v>
      </c>
      <c r="BP19" s="6" t="n">
        <v>20.2</v>
      </c>
      <c r="BQ19" s="9" t="n">
        <v>-0.0149</v>
      </c>
      <c r="BR19" s="9" t="n">
        <v>-0.1883</v>
      </c>
      <c r="BS19" s="7" t="n">
        <v>-0.634</v>
      </c>
      <c r="BT19" s="7" t="n">
        <v>-0.283</v>
      </c>
      <c r="BU19" s="4" t="s">
        <v>121</v>
      </c>
      <c r="BV19" s="4"/>
    </row>
    <row r="20" customFormat="false" ht="15" hidden="false" customHeight="false" outlineLevel="0" collapsed="false">
      <c r="A20" s="3" t="n">
        <v>18</v>
      </c>
      <c r="B20" s="4" t="s">
        <v>377</v>
      </c>
      <c r="C20" s="13" t="s">
        <v>172</v>
      </c>
      <c r="D20" s="4" t="s">
        <v>378</v>
      </c>
      <c r="E20" s="4" t="s">
        <v>198</v>
      </c>
      <c r="F20" s="4" t="s">
        <v>172</v>
      </c>
      <c r="G20" s="3" t="n">
        <v>1</v>
      </c>
      <c r="H20" s="6" t="n">
        <v>31.3</v>
      </c>
      <c r="I20" s="3" t="n">
        <v>9</v>
      </c>
      <c r="J20" s="3" t="n">
        <v>10</v>
      </c>
      <c r="K20" s="7" t="n">
        <v>117.48</v>
      </c>
      <c r="L20" s="7" t="n">
        <v>9.55</v>
      </c>
      <c r="M20" s="8" t="n">
        <v>74</v>
      </c>
      <c r="N20" s="8" t="n">
        <v>136</v>
      </c>
      <c r="O20" s="7" t="n">
        <v>117.48</v>
      </c>
      <c r="P20" s="6" t="n">
        <v>58.1</v>
      </c>
      <c r="Q20" s="4" t="s">
        <v>198</v>
      </c>
      <c r="R20" s="8" t="n">
        <v>17</v>
      </c>
      <c r="S20" s="6" t="n">
        <v>271.92</v>
      </c>
      <c r="T20" s="7" t="n">
        <f aca="false">IFERROR(S20/R20,"")</f>
        <v>15.9952941176471</v>
      </c>
      <c r="U20" s="6" t="n">
        <v>271.92</v>
      </c>
      <c r="V20" s="6" t="n">
        <v>271.92</v>
      </c>
      <c r="W20" s="8" t="n">
        <v>12</v>
      </c>
      <c r="X20" s="7" t="n">
        <v>4.944</v>
      </c>
      <c r="Y20" s="9" t="n">
        <v>0.247</v>
      </c>
      <c r="Z20" s="6" t="n">
        <v>12.7</v>
      </c>
      <c r="AA20" s="6" t="n">
        <v>17.44</v>
      </c>
      <c r="AB20" s="6" t="n">
        <v>21.51</v>
      </c>
      <c r="AC20" s="10" t="n">
        <v>0.471</v>
      </c>
      <c r="AD20" s="10" t="n">
        <v>0.118</v>
      </c>
      <c r="AE20" s="7" t="n">
        <v>0.358</v>
      </c>
      <c r="AF20" s="8" t="n">
        <v>543</v>
      </c>
      <c r="AG20" s="8" t="n">
        <v>343</v>
      </c>
      <c r="AH20" s="8" t="n">
        <v>3693</v>
      </c>
      <c r="AI20" s="8" t="n">
        <v>26</v>
      </c>
      <c r="AJ20" s="8" t="n">
        <v>11</v>
      </c>
      <c r="AK20" s="8" t="n">
        <v>36</v>
      </c>
      <c r="AL20" s="6" t="n">
        <v>0.677550827275322</v>
      </c>
      <c r="AM20" s="8" t="n">
        <v>55</v>
      </c>
      <c r="AN20" s="6" t="n">
        <f aca="false">IFERROR(AM20/R20,"")</f>
        <v>3.23529411764706</v>
      </c>
      <c r="AO20" s="8" t="n">
        <v>382</v>
      </c>
      <c r="AP20" s="7" t="n">
        <f aca="false">IFERROR(AO20/AM20,"")</f>
        <v>6.94545454545455</v>
      </c>
      <c r="AQ20" s="7"/>
      <c r="AR20" s="8" t="n">
        <v>4</v>
      </c>
      <c r="AS20" s="8" t="n">
        <v>1</v>
      </c>
      <c r="AT20" s="8" t="n">
        <v>1</v>
      </c>
      <c r="AU20" s="8" t="n">
        <v>1</v>
      </c>
      <c r="AV20" s="7" t="n">
        <v>0.73</v>
      </c>
      <c r="AW20" s="7" t="n">
        <f aca="false">IFERROR(AU20-AV20,"")</f>
        <v>0.27</v>
      </c>
      <c r="AX20" s="9" t="n">
        <v>0.018</v>
      </c>
      <c r="AY20" s="6" t="n">
        <v>57.4</v>
      </c>
      <c r="AZ20" s="6" t="n">
        <v>46.3</v>
      </c>
      <c r="BA20" s="6" t="n">
        <v>65.4</v>
      </c>
      <c r="BB20" s="7" t="n">
        <v>2.736</v>
      </c>
      <c r="BC20" s="10" t="n">
        <v>0.1938</v>
      </c>
      <c r="BD20" s="10" t="n">
        <v>0.708333333333333</v>
      </c>
      <c r="BE20" s="7" t="n">
        <v>2.699</v>
      </c>
      <c r="BF20" s="10" t="n">
        <v>0.172</v>
      </c>
      <c r="BG20" s="10" t="n">
        <v>0.0571</v>
      </c>
      <c r="BH20" s="7" t="n">
        <v>2.292</v>
      </c>
      <c r="BI20" s="10" t="n">
        <v>0.791</v>
      </c>
      <c r="BJ20" s="8" t="n">
        <v>4</v>
      </c>
      <c r="BK20" s="10" t="n">
        <v>-0.0347</v>
      </c>
      <c r="BL20" s="10" t="n">
        <v>0.5148</v>
      </c>
      <c r="BM20" s="6" t="n">
        <v>62.65</v>
      </c>
      <c r="BN20" s="6" t="n">
        <v>41</v>
      </c>
      <c r="BO20" s="7" t="n">
        <v>3.12</v>
      </c>
      <c r="BP20" s="6" t="n">
        <v>22.4</v>
      </c>
      <c r="BQ20" s="9" t="n">
        <v>0.0138</v>
      </c>
      <c r="BR20" s="9" t="n">
        <v>-0.0264</v>
      </c>
      <c r="BS20" s="7" t="n">
        <v>0.147</v>
      </c>
      <c r="BT20" s="7" t="n">
        <v>-0.16</v>
      </c>
      <c r="BU20" s="4" t="s">
        <v>102</v>
      </c>
      <c r="BV20" s="4"/>
    </row>
    <row r="21" customFormat="false" ht="15" hidden="false" customHeight="false" outlineLevel="0" collapsed="false">
      <c r="A21" s="3" t="n">
        <v>19</v>
      </c>
      <c r="B21" s="4" t="s">
        <v>379</v>
      </c>
      <c r="C21" s="13" t="s">
        <v>172</v>
      </c>
      <c r="D21" s="4" t="s">
        <v>380</v>
      </c>
      <c r="E21" s="4" t="s">
        <v>218</v>
      </c>
      <c r="F21" s="4" t="s">
        <v>172</v>
      </c>
      <c r="G21" s="3" t="n">
        <v>1</v>
      </c>
      <c r="H21" s="6" t="n">
        <v>27.8</v>
      </c>
      <c r="I21" s="3" t="n">
        <v>7</v>
      </c>
      <c r="J21" s="3" t="n">
        <v>11</v>
      </c>
      <c r="K21" s="7" t="n">
        <v>119.28</v>
      </c>
      <c r="L21" s="7" t="n">
        <v>9.6</v>
      </c>
      <c r="M21" s="8" t="n">
        <v>92</v>
      </c>
      <c r="N21" s="8" t="n">
        <v>145</v>
      </c>
      <c r="O21" s="7" t="n">
        <v>119.28</v>
      </c>
      <c r="P21" s="6" t="n">
        <v>54.1</v>
      </c>
      <c r="Q21" s="4" t="s">
        <v>218</v>
      </c>
      <c r="R21" s="8" t="n">
        <v>15</v>
      </c>
      <c r="S21" s="6" t="n">
        <v>235.14</v>
      </c>
      <c r="T21" s="7" t="n">
        <f aca="false">IFERROR(S21/R21,"")</f>
        <v>15.676</v>
      </c>
      <c r="U21" s="6" t="n">
        <v>235.14</v>
      </c>
      <c r="V21" s="6" t="n">
        <v>235.14</v>
      </c>
      <c r="W21" s="8" t="n">
        <v>15</v>
      </c>
      <c r="X21" s="7" t="n">
        <v>5.003</v>
      </c>
      <c r="Y21" s="9" t="n">
        <v>0.263</v>
      </c>
      <c r="Z21" s="6" t="n">
        <v>10.07</v>
      </c>
      <c r="AA21" s="6" t="n">
        <v>14.96</v>
      </c>
      <c r="AB21" s="6" t="n">
        <v>25.27</v>
      </c>
      <c r="AC21" s="10" t="n">
        <v>0.4</v>
      </c>
      <c r="AD21" s="10" t="n">
        <v>0.067</v>
      </c>
      <c r="AE21" s="7" t="n">
        <v>0.495</v>
      </c>
      <c r="AF21" s="8" t="n">
        <v>439</v>
      </c>
      <c r="AG21" s="8" t="n">
        <v>291</v>
      </c>
      <c r="AH21" s="8" t="n">
        <v>3381</v>
      </c>
      <c r="AI21" s="8" t="n">
        <v>23</v>
      </c>
      <c r="AJ21" s="8" t="n">
        <v>6</v>
      </c>
      <c r="AK21" s="8" t="n">
        <v>21</v>
      </c>
      <c r="AL21" s="6" t="n">
        <v>110.611287832903</v>
      </c>
      <c r="AM21" s="8" t="n">
        <v>47</v>
      </c>
      <c r="AN21" s="6" t="n">
        <f aca="false">IFERROR(AM21/R21,"")</f>
        <v>3.13333333333333</v>
      </c>
      <c r="AO21" s="8" t="n">
        <v>199</v>
      </c>
      <c r="AP21" s="7" t="n">
        <f aca="false">IFERROR(AO21/AM21,"")</f>
        <v>4.23404255319149</v>
      </c>
      <c r="AQ21" s="7"/>
      <c r="AR21" s="8" t="n">
        <v>6</v>
      </c>
      <c r="AS21" s="8" t="n">
        <v>3</v>
      </c>
      <c r="AT21" s="8" t="n">
        <v>2</v>
      </c>
      <c r="AU21" s="8" t="n">
        <v>0</v>
      </c>
      <c r="AV21" s="7" t="n">
        <v>1.01</v>
      </c>
      <c r="AW21" s="7" t="n">
        <f aca="false">IFERROR(AU21-AV21,"")</f>
        <v>-1.01</v>
      </c>
      <c r="AX21" s="9" t="n">
        <v>0</v>
      </c>
      <c r="AY21" s="6" t="n">
        <v>52.5</v>
      </c>
      <c r="AZ21" s="6" t="n">
        <v>45.3</v>
      </c>
      <c r="BA21" s="6" t="n">
        <v>58.7</v>
      </c>
      <c r="BB21" s="7" t="n">
        <v>2.905</v>
      </c>
      <c r="BC21" s="10" t="n">
        <v>0.1629</v>
      </c>
      <c r="BD21" s="10" t="n">
        <v>0.604651162790698</v>
      </c>
      <c r="BE21" s="7" t="n">
        <v>2.199</v>
      </c>
      <c r="BF21" s="10" t="n">
        <v>0.2454</v>
      </c>
      <c r="BG21" s="10" t="n">
        <v>0.0493</v>
      </c>
      <c r="BH21" s="7" t="n">
        <v>2.41</v>
      </c>
      <c r="BI21" s="10" t="n">
        <v>0.704</v>
      </c>
      <c r="BJ21" s="8" t="n">
        <v>4</v>
      </c>
      <c r="BK21" s="10" t="n">
        <v>-0.0441</v>
      </c>
      <c r="BL21" s="10" t="n">
        <v>0.5063</v>
      </c>
      <c r="BM21" s="6" t="n">
        <v>58.41</v>
      </c>
      <c r="BN21" s="6" t="n">
        <v>39</v>
      </c>
      <c r="BO21" s="7" t="n">
        <v>3.47</v>
      </c>
      <c r="BP21" s="6" t="n">
        <v>23</v>
      </c>
      <c r="BQ21" s="9" t="n">
        <v>-0.0102</v>
      </c>
      <c r="BR21" s="9" t="n">
        <v>0.229</v>
      </c>
      <c r="BS21" s="7" t="n">
        <v>0.051</v>
      </c>
      <c r="BT21" s="7" t="n">
        <v>-0.169</v>
      </c>
      <c r="BU21" s="4" t="s">
        <v>102</v>
      </c>
      <c r="BV21" s="4"/>
    </row>
    <row r="22" customFormat="false" ht="15" hidden="false" customHeight="false" outlineLevel="0" collapsed="false">
      <c r="A22" s="3" t="n">
        <v>20</v>
      </c>
      <c r="B22" s="4" t="s">
        <v>387</v>
      </c>
      <c r="C22" s="13" t="s">
        <v>172</v>
      </c>
      <c r="D22" s="4" t="s">
        <v>388</v>
      </c>
      <c r="E22" s="4" t="s">
        <v>158</v>
      </c>
      <c r="F22" s="4" t="s">
        <v>172</v>
      </c>
      <c r="G22" s="3" t="n">
        <v>1</v>
      </c>
      <c r="H22" s="6" t="n">
        <v>26.9</v>
      </c>
      <c r="I22" s="3" t="n">
        <v>2</v>
      </c>
      <c r="J22" s="3" t="n">
        <v>8</v>
      </c>
      <c r="K22" s="7" t="n">
        <v>122.47</v>
      </c>
      <c r="L22" s="7" t="n">
        <v>14.13</v>
      </c>
      <c r="M22" s="8" t="n">
        <v>104</v>
      </c>
      <c r="N22" s="8" t="n">
        <v>195</v>
      </c>
      <c r="O22" s="7" t="n">
        <v>122.47</v>
      </c>
      <c r="P22" s="6" t="n">
        <v>47.8</v>
      </c>
      <c r="Q22" s="4" t="s">
        <v>158</v>
      </c>
      <c r="R22" s="8" t="n">
        <v>11</v>
      </c>
      <c r="S22" s="6" t="n">
        <v>157.96</v>
      </c>
      <c r="T22" s="7" t="n">
        <f aca="false">IFERROR(S22/R22,"")</f>
        <v>14.36</v>
      </c>
      <c r="U22" s="6" t="n">
        <v>157.96</v>
      </c>
      <c r="V22" s="6" t="n">
        <v>157.96</v>
      </c>
      <c r="W22" s="8" t="n">
        <v>26</v>
      </c>
      <c r="X22" s="7" t="n">
        <v>3.51</v>
      </c>
      <c r="Y22" s="9" t="n">
        <v>0.261</v>
      </c>
      <c r="Z22" s="6" t="n">
        <v>8.58</v>
      </c>
      <c r="AA22" s="6" t="n">
        <v>17.36</v>
      </c>
      <c r="AB22" s="6" t="n">
        <v>21.51</v>
      </c>
      <c r="AC22" s="10" t="n">
        <v>0.455</v>
      </c>
      <c r="AD22" s="10" t="n">
        <v>0.182</v>
      </c>
      <c r="AE22" s="7" t="n">
        <v>0.441</v>
      </c>
      <c r="AF22" s="8" t="n">
        <v>327</v>
      </c>
      <c r="AG22" s="8" t="n">
        <v>221</v>
      </c>
      <c r="AH22" s="8" t="n">
        <v>2384</v>
      </c>
      <c r="AI22" s="8" t="n">
        <v>10</v>
      </c>
      <c r="AJ22" s="8" t="n">
        <v>6</v>
      </c>
      <c r="AK22" s="8" t="n">
        <v>31</v>
      </c>
      <c r="AL22" s="6" t="n">
        <v>2.05993894432119</v>
      </c>
      <c r="AM22" s="8" t="n">
        <v>45</v>
      </c>
      <c r="AN22" s="6" t="n">
        <f aca="false">IFERROR(AM22/R22,"")</f>
        <v>4.09090909090909</v>
      </c>
      <c r="AO22" s="8" t="n">
        <v>186</v>
      </c>
      <c r="AP22" s="7" t="n">
        <f aca="false">IFERROR(AO22/AM22,"")</f>
        <v>4.13333333333333</v>
      </c>
      <c r="AQ22" s="7"/>
      <c r="AR22" s="8" t="n">
        <v>10</v>
      </c>
      <c r="AS22" s="8" t="n">
        <v>7</v>
      </c>
      <c r="AT22" s="8" t="n">
        <v>4</v>
      </c>
      <c r="AU22" s="8" t="n">
        <v>3</v>
      </c>
      <c r="AV22" s="7" t="n">
        <v>2.55</v>
      </c>
      <c r="AW22" s="7" t="n">
        <f aca="false">IFERROR(AU22-AV22,"")</f>
        <v>0.45</v>
      </c>
      <c r="AX22" s="9" t="n">
        <v>0.067</v>
      </c>
      <c r="AY22" s="6" t="n">
        <v>41.9</v>
      </c>
      <c r="AZ22" s="6" t="n">
        <v>42.4</v>
      </c>
      <c r="BA22" s="6" t="n">
        <v>44.9</v>
      </c>
      <c r="BB22" s="7" t="n">
        <v>2.883</v>
      </c>
      <c r="BC22" s="10" t="n">
        <v>0.1505</v>
      </c>
      <c r="BD22" s="10" t="n">
        <v>0.55</v>
      </c>
      <c r="BE22" s="7" t="n">
        <v>2.057</v>
      </c>
      <c r="BF22" s="10" t="n">
        <v>0.2132</v>
      </c>
      <c r="BG22" s="10" t="n">
        <v>0.0763</v>
      </c>
      <c r="BH22" s="7" t="n">
        <v>2.2</v>
      </c>
      <c r="BI22" s="10" t="n">
        <v>0.784</v>
      </c>
      <c r="BJ22" s="8" t="n">
        <v>4</v>
      </c>
      <c r="BK22" s="10" t="n">
        <v>-0.0301</v>
      </c>
      <c r="BL22" s="10" t="n">
        <v>0.5383</v>
      </c>
      <c r="BM22" s="6" t="n">
        <v>62.59</v>
      </c>
      <c r="BN22" s="6" t="n">
        <v>35</v>
      </c>
      <c r="BO22" s="7" t="n">
        <v>2.82</v>
      </c>
      <c r="BP22" s="6" t="n">
        <v>18</v>
      </c>
      <c r="BQ22" s="9" t="n">
        <v>-0.1008</v>
      </c>
      <c r="BR22" s="9" t="n">
        <v>-0.0795</v>
      </c>
      <c r="BS22" s="7" t="n">
        <v>-0.396</v>
      </c>
      <c r="BT22" s="7" t="n">
        <v>-0.265</v>
      </c>
      <c r="BU22" s="4" t="s">
        <v>121</v>
      </c>
      <c r="BV22" s="4"/>
    </row>
    <row r="23" customFormat="false" ht="15" hidden="false" customHeight="false" outlineLevel="0" collapsed="false">
      <c r="A23" s="3" t="n">
        <v>21</v>
      </c>
      <c r="B23" s="4" t="s">
        <v>401</v>
      </c>
      <c r="C23" s="13" t="s">
        <v>172</v>
      </c>
      <c r="D23" s="4" t="s">
        <v>402</v>
      </c>
      <c r="E23" s="4" t="s">
        <v>161</v>
      </c>
      <c r="F23" s="4" t="s">
        <v>172</v>
      </c>
      <c r="G23" s="3" t="n">
        <v>1</v>
      </c>
      <c r="H23" s="6" t="n">
        <v>27.2</v>
      </c>
      <c r="I23" s="3" t="n">
        <v>5</v>
      </c>
      <c r="J23" s="3" t="n">
        <v>6</v>
      </c>
      <c r="K23" s="7" t="n">
        <v>130.22</v>
      </c>
      <c r="L23" s="7" t="n">
        <v>23.63</v>
      </c>
      <c r="M23" s="8" t="n">
        <v>101</v>
      </c>
      <c r="N23" s="8" t="n">
        <v>300</v>
      </c>
      <c r="O23" s="7" t="n">
        <v>130.22</v>
      </c>
      <c r="P23" s="6" t="n">
        <v>37.4</v>
      </c>
      <c r="Q23" s="4" t="s">
        <v>218</v>
      </c>
      <c r="R23" s="8" t="n">
        <v>4</v>
      </c>
      <c r="S23" s="6" t="n">
        <v>51.18</v>
      </c>
      <c r="T23" s="7" t="n">
        <f aca="false">IFERROR(S23/R23,"")</f>
        <v>12.795</v>
      </c>
      <c r="U23" s="6" t="n">
        <v>51.18</v>
      </c>
      <c r="V23" s="6" t="n">
        <v>51.18</v>
      </c>
      <c r="W23" s="8" t="n">
        <v>30</v>
      </c>
      <c r="X23" s="7" t="n">
        <v>2.326</v>
      </c>
      <c r="Y23" s="9" t="n">
        <v>0.522</v>
      </c>
      <c r="Z23" s="6" t="n">
        <v>4.53</v>
      </c>
      <c r="AA23" s="6" t="n">
        <v>9.54</v>
      </c>
      <c r="AB23" s="6" t="n">
        <v>23.29</v>
      </c>
      <c r="AC23" s="10" t="n">
        <v>0.25</v>
      </c>
      <c r="AD23" s="10" t="n">
        <v>0.5</v>
      </c>
      <c r="AE23" s="7" t="n">
        <v>1.417</v>
      </c>
      <c r="AF23" s="8" t="n">
        <v>35</v>
      </c>
      <c r="AG23" s="8" t="n">
        <v>30</v>
      </c>
      <c r="AH23" s="8" t="n">
        <v>422</v>
      </c>
      <c r="AI23" s="8" t="n">
        <v>3</v>
      </c>
      <c r="AJ23" s="8" t="n">
        <v>0</v>
      </c>
      <c r="AK23" s="8" t="n">
        <v>3</v>
      </c>
      <c r="AL23" s="6" t="n">
        <v>28.0844250857353</v>
      </c>
      <c r="AM23" s="8" t="n">
        <v>22</v>
      </c>
      <c r="AN23" s="6" t="n">
        <f aca="false">IFERROR(AM23/R23,"")</f>
        <v>5.5</v>
      </c>
      <c r="AO23" s="8" t="n">
        <v>123</v>
      </c>
      <c r="AP23" s="7" t="n">
        <f aca="false">IFERROR(AO23/AM23,"")</f>
        <v>5.59090909090909</v>
      </c>
      <c r="AQ23" s="7"/>
      <c r="AR23" s="8" t="n">
        <v>5</v>
      </c>
      <c r="AS23" s="8" t="n">
        <v>3</v>
      </c>
      <c r="AT23" s="8" t="n">
        <v>1</v>
      </c>
      <c r="AU23" s="8" t="n">
        <v>2</v>
      </c>
      <c r="AV23" s="7" t="n">
        <v>0.73</v>
      </c>
      <c r="AW23" s="7" t="n">
        <f aca="false">IFERROR(AU23-AV23,"")</f>
        <v>1.27</v>
      </c>
      <c r="AX23" s="9" t="n">
        <v>0.091</v>
      </c>
      <c r="AY23" s="6" t="n">
        <v>38.6</v>
      </c>
      <c r="AZ23" s="6" t="n">
        <v>37.5</v>
      </c>
      <c r="BA23" s="6" t="n">
        <v>44.5</v>
      </c>
      <c r="BB23" s="7" t="n">
        <v>2.839</v>
      </c>
      <c r="BC23" s="10" t="n">
        <v>0.2101</v>
      </c>
      <c r="BD23" s="10" t="n">
        <v>0.586206896551724</v>
      </c>
      <c r="BE23" s="7" t="n">
        <v>2.199</v>
      </c>
      <c r="BF23" s="10" t="n">
        <v>0.2422</v>
      </c>
      <c r="BG23" s="10" t="n">
        <v>0.0727</v>
      </c>
      <c r="BH23" s="7" t="n">
        <v>2.29</v>
      </c>
      <c r="BI23" s="10" t="n">
        <v>0.672</v>
      </c>
      <c r="BJ23" s="8" t="n">
        <v>4</v>
      </c>
      <c r="BK23" s="10" t="n">
        <v>-0.0584</v>
      </c>
      <c r="BL23" s="10" t="n">
        <v>0.5279</v>
      </c>
      <c r="BM23" s="6" t="n">
        <v>55.41</v>
      </c>
      <c r="BN23" s="6" t="n">
        <v>41</v>
      </c>
      <c r="BO23" s="7" t="n">
        <v>2.82</v>
      </c>
      <c r="BP23" s="6" t="n">
        <v>20.4</v>
      </c>
      <c r="BQ23" s="9" t="n">
        <v>-0.026</v>
      </c>
      <c r="BR23" s="9" t="n">
        <v>-0.0093</v>
      </c>
      <c r="BS23" s="7" t="n">
        <v>-0.536</v>
      </c>
      <c r="BT23" s="7" t="n">
        <v>-0.405</v>
      </c>
      <c r="BU23" s="4" t="s">
        <v>121</v>
      </c>
      <c r="BV23" s="4"/>
    </row>
    <row r="24" customFormat="false" ht="15" hidden="false" customHeight="false" outlineLevel="0" collapsed="false">
      <c r="A24" s="3" t="n">
        <v>22</v>
      </c>
      <c r="B24" s="4" t="s">
        <v>413</v>
      </c>
      <c r="C24" s="13" t="s">
        <v>172</v>
      </c>
      <c r="D24" s="4" t="s">
        <v>414</v>
      </c>
      <c r="E24" s="4" t="s">
        <v>139</v>
      </c>
      <c r="F24" s="4" t="s">
        <v>172</v>
      </c>
      <c r="G24" s="3" t="n">
        <v>1</v>
      </c>
      <c r="H24" s="6" t="n">
        <v>24.9</v>
      </c>
      <c r="I24" s="3" t="n">
        <v>4</v>
      </c>
      <c r="J24" s="3" t="n">
        <v>8</v>
      </c>
      <c r="K24" s="7" t="n">
        <v>140.95</v>
      </c>
      <c r="L24" s="7" t="n">
        <v>17.22</v>
      </c>
      <c r="M24" s="8" t="n">
        <v>104</v>
      </c>
      <c r="N24" s="8" t="n">
        <v>214</v>
      </c>
      <c r="O24" s="7" t="n">
        <v>140.95</v>
      </c>
      <c r="P24" s="6" t="n">
        <v>31.8</v>
      </c>
      <c r="Q24" s="4" t="s">
        <v>139</v>
      </c>
      <c r="R24" s="8" t="n">
        <v>14</v>
      </c>
      <c r="S24" s="6" t="n">
        <v>208.54</v>
      </c>
      <c r="T24" s="7" t="n">
        <f aca="false">IFERROR(S24/R24,"")</f>
        <v>14.8957142857143</v>
      </c>
      <c r="U24" s="6" t="n">
        <v>208.54</v>
      </c>
      <c r="V24" s="6" t="n">
        <v>208.54</v>
      </c>
      <c r="W24" s="8" t="n">
        <v>21</v>
      </c>
      <c r="X24" s="7" t="n">
        <v>4.345</v>
      </c>
      <c r="Y24" s="9" t="n">
        <v>0.24</v>
      </c>
      <c r="Z24" s="6" t="n">
        <v>10.64</v>
      </c>
      <c r="AA24" s="6" t="n">
        <v>13.71</v>
      </c>
      <c r="AB24" s="6" t="n">
        <v>21.8</v>
      </c>
      <c r="AC24" s="10" t="n">
        <v>0.286</v>
      </c>
      <c r="AD24" s="10" t="n">
        <v>0.071</v>
      </c>
      <c r="AE24" s="7" t="n">
        <v>0.476</v>
      </c>
      <c r="AF24" s="8" t="n">
        <v>423</v>
      </c>
      <c r="AG24" s="8" t="n">
        <v>273</v>
      </c>
      <c r="AH24" s="8" t="n">
        <v>3041</v>
      </c>
      <c r="AI24" s="8" t="n">
        <v>19</v>
      </c>
      <c r="AJ24" s="8" t="n">
        <v>8</v>
      </c>
      <c r="AK24" s="8" t="n">
        <v>23</v>
      </c>
      <c r="AL24" s="6" t="n">
        <v>47.6611981935781</v>
      </c>
      <c r="AM24" s="8" t="n">
        <v>48</v>
      </c>
      <c r="AN24" s="6" t="n">
        <f aca="false">IFERROR(AM24/R24,"")</f>
        <v>3.42857142857143</v>
      </c>
      <c r="AO24" s="8" t="n">
        <v>209</v>
      </c>
      <c r="AP24" s="7" t="n">
        <f aca="false">IFERROR(AO24/AM24,"")</f>
        <v>4.35416666666667</v>
      </c>
      <c r="AQ24" s="7"/>
      <c r="AR24" s="8" t="n">
        <v>6</v>
      </c>
      <c r="AS24" s="8" t="n">
        <v>3</v>
      </c>
      <c r="AT24" s="8" t="n">
        <v>2</v>
      </c>
      <c r="AU24" s="8" t="n">
        <v>1</v>
      </c>
      <c r="AV24" s="7" t="n">
        <v>1.55</v>
      </c>
      <c r="AW24" s="7" t="n">
        <f aca="false">IFERROR(AU24-AV24,"")</f>
        <v>-0.55</v>
      </c>
      <c r="AX24" s="9" t="n">
        <v>0.021</v>
      </c>
      <c r="AY24" s="6" t="n">
        <v>45.8</v>
      </c>
      <c r="AZ24" s="6" t="n">
        <v>34.1</v>
      </c>
      <c r="BA24" s="6" t="n">
        <v>59.3</v>
      </c>
      <c r="BB24" s="7" t="n">
        <v>2.812</v>
      </c>
      <c r="BC24" s="10" t="n">
        <v>0.1937</v>
      </c>
      <c r="BD24" s="10" t="n">
        <v>0.485714285714286</v>
      </c>
      <c r="BE24" s="7" t="n">
        <v>2.099</v>
      </c>
      <c r="BF24" s="10" t="n">
        <v>0.2216</v>
      </c>
      <c r="BG24" s="10" t="n">
        <v>0.0526</v>
      </c>
      <c r="BH24" s="7" t="n">
        <v>2.345</v>
      </c>
      <c r="BI24" s="10" t="n">
        <v>0.713</v>
      </c>
      <c r="BJ24" s="8" t="n">
        <v>2</v>
      </c>
      <c r="BK24" s="10" t="n">
        <v>-0.0098</v>
      </c>
      <c r="BL24" s="10" t="n">
        <v>0.5638</v>
      </c>
      <c r="BM24" s="6" t="n">
        <v>63.41</v>
      </c>
      <c r="BN24" s="6" t="n">
        <v>38</v>
      </c>
      <c r="BO24" s="7" t="n">
        <v>3.41</v>
      </c>
      <c r="BP24" s="6" t="n">
        <v>23.8</v>
      </c>
      <c r="BQ24" s="9" t="n">
        <v>-0.0779</v>
      </c>
      <c r="BR24" s="9" t="n">
        <v>0.036</v>
      </c>
      <c r="BS24" s="7" t="n">
        <v>-0.106</v>
      </c>
      <c r="BT24" s="7" t="n">
        <v>-0.15</v>
      </c>
      <c r="BU24" s="4" t="s">
        <v>102</v>
      </c>
      <c r="BV24" s="4"/>
    </row>
    <row r="25" customFormat="false" ht="15" hidden="false" customHeight="false" outlineLevel="0" collapsed="false">
      <c r="A25" s="3" t="n">
        <v>23</v>
      </c>
      <c r="B25" s="4" t="s">
        <v>415</v>
      </c>
      <c r="C25" s="13" t="s">
        <v>172</v>
      </c>
      <c r="D25" s="4" t="s">
        <v>416</v>
      </c>
      <c r="E25" s="4" t="s">
        <v>115</v>
      </c>
      <c r="F25" s="4" t="s">
        <v>172</v>
      </c>
      <c r="G25" s="3" t="n">
        <v>1</v>
      </c>
      <c r="H25" s="6" t="n">
        <v>29.2</v>
      </c>
      <c r="I25" s="3" t="n">
        <v>9</v>
      </c>
      <c r="J25" s="3" t="n">
        <v>11</v>
      </c>
      <c r="K25" s="7" t="n">
        <v>141.92</v>
      </c>
      <c r="L25" s="7" t="n">
        <v>13.57</v>
      </c>
      <c r="M25" s="8" t="n">
        <v>119</v>
      </c>
      <c r="N25" s="8" t="n">
        <v>203</v>
      </c>
      <c r="O25" s="7" t="n">
        <v>141.92</v>
      </c>
      <c r="P25" s="6" t="n">
        <v>36.3</v>
      </c>
      <c r="Q25" s="4" t="s">
        <v>115</v>
      </c>
      <c r="R25" s="8" t="n">
        <v>17</v>
      </c>
      <c r="S25" s="6" t="n">
        <v>235.42</v>
      </c>
      <c r="T25" s="7" t="n">
        <f aca="false">IFERROR(S25/R25,"")</f>
        <v>13.8482352941176</v>
      </c>
      <c r="U25" s="6" t="n">
        <v>235.42</v>
      </c>
      <c r="V25" s="6" t="n">
        <v>235.42</v>
      </c>
      <c r="W25" s="8" t="n">
        <v>14</v>
      </c>
      <c r="X25" s="7" t="n">
        <v>6.726</v>
      </c>
      <c r="Y25" s="9" t="n">
        <v>0.229</v>
      </c>
      <c r="Z25" s="6" t="n">
        <v>6.08</v>
      </c>
      <c r="AA25" s="6" t="n">
        <v>15.8</v>
      </c>
      <c r="AB25" s="6" t="n">
        <v>21.36</v>
      </c>
      <c r="AC25" s="10" t="n">
        <v>0.412</v>
      </c>
      <c r="AD25" s="10" t="n">
        <v>0.294</v>
      </c>
      <c r="AE25" s="7" t="n">
        <v>0.505</v>
      </c>
      <c r="AF25" s="8" t="n">
        <v>477</v>
      </c>
      <c r="AG25" s="8" t="n">
        <v>323</v>
      </c>
      <c r="AH25" s="8" t="n">
        <v>4048</v>
      </c>
      <c r="AI25" s="8" t="n">
        <v>25</v>
      </c>
      <c r="AJ25" s="8" t="n">
        <v>14</v>
      </c>
      <c r="AK25" s="8" t="n">
        <v>27</v>
      </c>
      <c r="AL25" s="6" t="n">
        <v>74.5774671271899</v>
      </c>
      <c r="AM25" s="8" t="n">
        <v>35</v>
      </c>
      <c r="AN25" s="6" t="n">
        <f aca="false">IFERROR(AM25/R25,"")</f>
        <v>2.05882352941176</v>
      </c>
      <c r="AO25" s="8" t="n">
        <v>95</v>
      </c>
      <c r="AP25" s="7" t="n">
        <f aca="false">IFERROR(AO25/AM25,"")</f>
        <v>2.71428571428571</v>
      </c>
      <c r="AQ25" s="7"/>
      <c r="AR25" s="8" t="n">
        <v>2</v>
      </c>
      <c r="AS25" s="8" t="n">
        <v>1</v>
      </c>
      <c r="AT25" s="8" t="n">
        <v>0</v>
      </c>
      <c r="AU25" s="8" t="n">
        <v>0</v>
      </c>
      <c r="AV25" s="7" t="n">
        <v>0.34</v>
      </c>
      <c r="AW25" s="7" t="n">
        <f aca="false">IFERROR(AU25-AV25,"")</f>
        <v>-0.34</v>
      </c>
      <c r="AX25" s="9" t="n">
        <v>0</v>
      </c>
      <c r="AY25" s="6" t="n">
        <v>49.9</v>
      </c>
      <c r="AZ25" s="6" t="n">
        <v>39.3</v>
      </c>
      <c r="BA25" s="6" t="n">
        <v>60.5</v>
      </c>
      <c r="BB25" s="7" t="n">
        <v>2.758</v>
      </c>
      <c r="BC25" s="10" t="n">
        <v>0.2121</v>
      </c>
      <c r="BD25" s="10" t="n">
        <v>0.612903225806452</v>
      </c>
      <c r="BE25" s="7" t="n">
        <v>2.477</v>
      </c>
      <c r="BF25" s="10" t="n">
        <v>0.2266</v>
      </c>
      <c r="BG25" s="10" t="n">
        <v>0.0535</v>
      </c>
      <c r="BH25" s="7" t="n">
        <v>2.4</v>
      </c>
      <c r="BI25" s="10" t="n">
        <v>0.942</v>
      </c>
      <c r="BJ25" s="8" t="n">
        <v>5</v>
      </c>
      <c r="BK25" s="10" t="n">
        <v>-0.0677</v>
      </c>
      <c r="BL25" s="10" t="n">
        <v>0.5204</v>
      </c>
      <c r="BM25" s="6" t="n">
        <v>58.65</v>
      </c>
      <c r="BN25" s="6" t="n">
        <v>39</v>
      </c>
      <c r="BO25" s="7" t="n">
        <v>3.53</v>
      </c>
      <c r="BP25" s="6" t="n">
        <v>28.4</v>
      </c>
      <c r="BQ25" s="9" t="n">
        <v>-0.0491</v>
      </c>
      <c r="BR25" s="9" t="n">
        <v>0.1122</v>
      </c>
      <c r="BS25" s="7" t="n">
        <v>0.236</v>
      </c>
      <c r="BT25" s="7" t="n">
        <v>-0.246</v>
      </c>
      <c r="BU25" s="4" t="s">
        <v>102</v>
      </c>
      <c r="BV25" s="4"/>
    </row>
    <row r="26" customFormat="false" ht="15" hidden="false" customHeight="false" outlineLevel="0" collapsed="false">
      <c r="A26" s="3" t="n">
        <v>24</v>
      </c>
      <c r="B26" s="4" t="s">
        <v>435</v>
      </c>
      <c r="C26" s="13" t="s">
        <v>172</v>
      </c>
      <c r="D26" s="4" t="s">
        <v>436</v>
      </c>
      <c r="E26" s="4" t="s">
        <v>265</v>
      </c>
      <c r="F26" s="4" t="s">
        <v>172</v>
      </c>
      <c r="G26" s="3" t="n">
        <v>1</v>
      </c>
      <c r="H26" s="6" t="n">
        <v>24.2</v>
      </c>
      <c r="I26" s="3" t="n">
        <v>2</v>
      </c>
      <c r="J26" s="3" t="n">
        <v>9</v>
      </c>
      <c r="K26" s="7" t="n">
        <v>152.29</v>
      </c>
      <c r="L26" s="7" t="n">
        <v>21.15</v>
      </c>
      <c r="M26" s="8" t="n">
        <v>125</v>
      </c>
      <c r="N26" s="8" t="n">
        <v>246</v>
      </c>
      <c r="O26" s="7" t="n">
        <v>152.29</v>
      </c>
      <c r="P26" s="6" t="n">
        <v>25.5</v>
      </c>
      <c r="Q26" s="4" t="s">
        <v>265</v>
      </c>
      <c r="R26" s="8" t="n">
        <v>17</v>
      </c>
      <c r="S26" s="6" t="n">
        <v>186.66</v>
      </c>
      <c r="T26" s="7" t="n">
        <f aca="false">IFERROR(S26/R26,"")</f>
        <v>10.98</v>
      </c>
      <c r="U26" s="6" t="n">
        <v>186.66</v>
      </c>
      <c r="V26" s="6" t="n">
        <v>186.66</v>
      </c>
      <c r="W26" s="8" t="n">
        <v>22</v>
      </c>
      <c r="X26" s="7" t="n">
        <v>4.786</v>
      </c>
      <c r="Y26" s="9" t="n">
        <v>0.185</v>
      </c>
      <c r="Z26" s="6" t="n">
        <v>6.88</v>
      </c>
      <c r="AA26" s="6" t="n">
        <v>10.2</v>
      </c>
      <c r="AB26" s="6" t="n">
        <v>16.22</v>
      </c>
      <c r="AC26" s="10" t="n">
        <v>0.118</v>
      </c>
      <c r="AD26" s="10" t="n">
        <v>0.353</v>
      </c>
      <c r="AE26" s="7" t="n">
        <v>0.529</v>
      </c>
      <c r="AF26" s="8" t="n">
        <v>540</v>
      </c>
      <c r="AG26" s="8" t="n">
        <v>323</v>
      </c>
      <c r="AH26" s="8" t="n">
        <v>3169</v>
      </c>
      <c r="AI26" s="8" t="n">
        <v>15</v>
      </c>
      <c r="AJ26" s="8" t="n">
        <v>7</v>
      </c>
      <c r="AK26" s="8" t="n">
        <v>55</v>
      </c>
      <c r="AL26" s="6" t="n">
        <v>-109.093751088605</v>
      </c>
      <c r="AM26" s="8" t="n">
        <v>39</v>
      </c>
      <c r="AN26" s="6" t="n">
        <f aca="false">IFERROR(AM26/R26,"")</f>
        <v>2.29411764705882</v>
      </c>
      <c r="AO26" s="8" t="n">
        <v>159</v>
      </c>
      <c r="AP26" s="7" t="n">
        <f aca="false">IFERROR(AO26/AM26,"")</f>
        <v>4.07692307692308</v>
      </c>
      <c r="AQ26" s="7"/>
      <c r="AR26" s="8" t="n">
        <v>7</v>
      </c>
      <c r="AS26" s="8" t="n">
        <v>5</v>
      </c>
      <c r="AT26" s="8" t="n">
        <v>1</v>
      </c>
      <c r="AU26" s="8" t="n">
        <v>2</v>
      </c>
      <c r="AV26" s="7" t="n">
        <v>1.03</v>
      </c>
      <c r="AW26" s="7" t="n">
        <f aca="false">IFERROR(AU26-AV26,"")</f>
        <v>0.97</v>
      </c>
      <c r="AX26" s="9" t="n">
        <v>0.051</v>
      </c>
      <c r="AY26" s="6" t="n">
        <v>41.1</v>
      </c>
      <c r="AZ26" s="6" t="n">
        <v>58.4</v>
      </c>
      <c r="BA26" s="6" t="n">
        <v>27.6</v>
      </c>
      <c r="BB26" s="7" t="n">
        <v>3.085</v>
      </c>
      <c r="BC26" s="10" t="n">
        <v>0.1549</v>
      </c>
      <c r="BD26" s="10" t="n">
        <v>0.666666666666667</v>
      </c>
      <c r="BE26" s="7" t="n">
        <v>2.54</v>
      </c>
      <c r="BF26" s="10" t="n">
        <v>0.3175</v>
      </c>
      <c r="BG26" s="10" t="n">
        <v>0.0872</v>
      </c>
      <c r="BH26" s="7" t="n">
        <v>2.389</v>
      </c>
      <c r="BI26" s="10" t="n">
        <v>0.527</v>
      </c>
      <c r="BJ26" s="8" t="n">
        <v>3</v>
      </c>
      <c r="BK26" s="10" t="n">
        <v>-0.0385</v>
      </c>
      <c r="BL26" s="10" t="n">
        <v>0.5401</v>
      </c>
      <c r="BM26" s="6" t="n">
        <v>58.53</v>
      </c>
      <c r="BN26" s="6" t="n">
        <v>40</v>
      </c>
      <c r="BO26" s="7" t="n">
        <v>2.06</v>
      </c>
      <c r="BP26" s="6" t="n">
        <v>16.7</v>
      </c>
      <c r="BQ26" s="9" t="n">
        <v>-0.0573</v>
      </c>
      <c r="BR26" s="9" t="n">
        <v>-0.2208</v>
      </c>
      <c r="BS26" s="7" t="n">
        <v>-0.079</v>
      </c>
      <c r="BT26" s="7" t="n">
        <v>-0.43</v>
      </c>
      <c r="BU26" s="4" t="s">
        <v>102</v>
      </c>
      <c r="BV26" s="4"/>
    </row>
    <row r="27" customFormat="false" ht="15" hidden="false" customHeight="false" outlineLevel="0" collapsed="false">
      <c r="A27" s="3" t="n">
        <v>25</v>
      </c>
      <c r="B27" s="4" t="s">
        <v>447</v>
      </c>
      <c r="C27" s="13" t="s">
        <v>172</v>
      </c>
      <c r="D27" s="4" t="s">
        <v>448</v>
      </c>
      <c r="E27" s="4" t="s">
        <v>130</v>
      </c>
      <c r="F27" s="4" t="s">
        <v>172</v>
      </c>
      <c r="G27" s="3" t="n">
        <v>1</v>
      </c>
      <c r="H27" s="6" t="n">
        <v>29.2</v>
      </c>
      <c r="I27" s="3" t="n">
        <v>8</v>
      </c>
      <c r="J27" s="3" t="n">
        <v>13</v>
      </c>
      <c r="K27" s="7" t="n">
        <v>159.26</v>
      </c>
      <c r="L27" s="7" t="n">
        <v>33.56</v>
      </c>
      <c r="M27" s="8" t="n">
        <v>113</v>
      </c>
      <c r="N27" s="8" t="n">
        <v>295</v>
      </c>
      <c r="O27" s="7" t="n">
        <v>159.26</v>
      </c>
      <c r="P27" s="6" t="n">
        <v>32.9</v>
      </c>
      <c r="Q27" s="4" t="s">
        <v>130</v>
      </c>
      <c r="R27" s="8" t="n">
        <v>13</v>
      </c>
      <c r="S27" s="6" t="n">
        <v>226.44</v>
      </c>
      <c r="T27" s="7" t="n">
        <f aca="false">IFERROR(S27/R27,"")</f>
        <v>17.4184615384615</v>
      </c>
      <c r="U27" s="6" t="n">
        <v>226.44</v>
      </c>
      <c r="V27" s="6" t="n">
        <v>226.44</v>
      </c>
      <c r="W27" s="8" t="n">
        <v>18</v>
      </c>
      <c r="X27" s="7" t="n">
        <v>5.032</v>
      </c>
      <c r="Y27" s="9" t="n">
        <v>0.3</v>
      </c>
      <c r="Z27" s="6" t="n">
        <v>15.5</v>
      </c>
      <c r="AA27" s="6" t="n">
        <v>16.68</v>
      </c>
      <c r="AB27" s="6" t="n">
        <v>22.91</v>
      </c>
      <c r="AC27" s="10" t="n">
        <v>0.538</v>
      </c>
      <c r="AD27" s="10" t="n">
        <v>0.077</v>
      </c>
      <c r="AE27" s="7" t="n">
        <v>0.425</v>
      </c>
      <c r="AF27" s="8" t="n">
        <v>384</v>
      </c>
      <c r="AG27" s="8" t="n">
        <v>261</v>
      </c>
      <c r="AH27" s="8" t="n">
        <v>3101</v>
      </c>
      <c r="AI27" s="8" t="n">
        <v>19</v>
      </c>
      <c r="AJ27" s="8" t="n">
        <v>8</v>
      </c>
      <c r="AK27" s="8" t="n">
        <v>22</v>
      </c>
      <c r="AL27" s="6" t="n">
        <v>65.2555149975866</v>
      </c>
      <c r="AM27" s="8" t="n">
        <v>45</v>
      </c>
      <c r="AN27" s="6" t="n">
        <f aca="false">IFERROR(AM27/R27,"")</f>
        <v>3.46153846153846</v>
      </c>
      <c r="AO27" s="8" t="n">
        <v>164</v>
      </c>
      <c r="AP27" s="7" t="n">
        <f aca="false">IFERROR(AO27/AM27,"")</f>
        <v>3.64444444444444</v>
      </c>
      <c r="AQ27" s="7"/>
      <c r="AR27" s="8" t="n">
        <v>16</v>
      </c>
      <c r="AS27" s="8" t="n">
        <v>10</v>
      </c>
      <c r="AT27" s="8" t="n">
        <v>6</v>
      </c>
      <c r="AU27" s="8" t="n">
        <v>5</v>
      </c>
      <c r="AV27" s="7" t="n">
        <v>3.79</v>
      </c>
      <c r="AW27" s="7" t="n">
        <f aca="false">IFERROR(AU27-AV27,"")</f>
        <v>1.21</v>
      </c>
      <c r="AX27" s="9" t="n">
        <v>0.111</v>
      </c>
      <c r="AY27" s="6" t="n">
        <v>60.3</v>
      </c>
      <c r="AZ27" s="6" t="n">
        <v>57.7</v>
      </c>
      <c r="BA27" s="6" t="n">
        <v>58.5</v>
      </c>
      <c r="BB27" s="7" t="n">
        <v>3.072</v>
      </c>
      <c r="BC27" s="10" t="n">
        <v>0.1487</v>
      </c>
      <c r="BD27" s="10" t="n">
        <v>0.6875</v>
      </c>
      <c r="BE27" s="7" t="n">
        <v>2.428</v>
      </c>
      <c r="BF27" s="10" t="n">
        <v>0.2121</v>
      </c>
      <c r="BG27" s="10" t="n">
        <v>0.047</v>
      </c>
      <c r="BH27" s="7" t="n">
        <v>2.237</v>
      </c>
      <c r="BI27" s="10" t="n">
        <v>0.832</v>
      </c>
      <c r="BJ27" s="8" t="n">
        <v>5</v>
      </c>
      <c r="BK27" s="10" t="n">
        <v>-0.0091</v>
      </c>
      <c r="BL27" s="10" t="n">
        <v>0.5637</v>
      </c>
      <c r="BM27" s="6" t="n">
        <v>59.47</v>
      </c>
      <c r="BN27" s="6" t="n">
        <v>39</v>
      </c>
      <c r="BO27" s="7" t="n">
        <v>4.12</v>
      </c>
      <c r="BP27" s="6" t="n">
        <v>27.4</v>
      </c>
      <c r="BQ27" s="9" t="n">
        <v>0.094</v>
      </c>
      <c r="BR27" s="9" t="n">
        <v>0.0558</v>
      </c>
      <c r="BS27" s="7" t="n">
        <v>0.132</v>
      </c>
      <c r="BT27" s="7" t="n">
        <v>0.35</v>
      </c>
      <c r="BU27" s="4" t="s">
        <v>102</v>
      </c>
      <c r="BV27" s="4"/>
    </row>
    <row r="28" customFormat="false" ht="15" hidden="false" customHeight="false" outlineLevel="0" collapsed="false">
      <c r="A28" s="3" t="n">
        <v>26</v>
      </c>
      <c r="B28" s="4" t="s">
        <v>453</v>
      </c>
      <c r="C28" s="13" t="s">
        <v>172</v>
      </c>
      <c r="D28" s="4" t="s">
        <v>454</v>
      </c>
      <c r="E28" s="4" t="s">
        <v>191</v>
      </c>
      <c r="F28" s="4" t="s">
        <v>172</v>
      </c>
      <c r="G28" s="3" t="n">
        <v>1</v>
      </c>
      <c r="H28" s="6" t="n">
        <v>25.1</v>
      </c>
      <c r="I28" s="3" t="n">
        <v>4</v>
      </c>
      <c r="J28" s="3" t="n">
        <v>5</v>
      </c>
      <c r="K28" s="7" t="n">
        <v>165.87</v>
      </c>
      <c r="L28" s="7" t="n">
        <v>21.76</v>
      </c>
      <c r="M28" s="8" t="n">
        <v>134</v>
      </c>
      <c r="N28" s="8" t="n">
        <v>276</v>
      </c>
      <c r="O28" s="7" t="n">
        <v>165.87</v>
      </c>
      <c r="P28" s="6" t="n">
        <v>23.8</v>
      </c>
      <c r="Q28" s="4" t="s">
        <v>191</v>
      </c>
      <c r="R28" s="8" t="n">
        <v>16</v>
      </c>
      <c r="S28" s="6" t="n">
        <v>218.04</v>
      </c>
      <c r="T28" s="7" t="n">
        <f aca="false">IFERROR(S28/R28,"")</f>
        <v>13.6275</v>
      </c>
      <c r="U28" s="6" t="n">
        <v>218.04</v>
      </c>
      <c r="V28" s="6" t="n">
        <v>218.04</v>
      </c>
      <c r="W28" s="8" t="n">
        <v>19</v>
      </c>
      <c r="X28" s="7" t="n">
        <v>4.038</v>
      </c>
      <c r="Y28" s="9" t="n">
        <v>0.226</v>
      </c>
      <c r="Z28" s="6" t="n">
        <v>8.71</v>
      </c>
      <c r="AA28" s="6" t="n">
        <v>11.83</v>
      </c>
      <c r="AB28" s="6" t="n">
        <v>20.6</v>
      </c>
      <c r="AC28" s="10" t="n">
        <v>0.25</v>
      </c>
      <c r="AD28" s="10" t="n">
        <v>0.125</v>
      </c>
      <c r="AE28" s="7" t="n">
        <v>0.651</v>
      </c>
      <c r="AF28" s="8" t="n">
        <v>478</v>
      </c>
      <c r="AG28" s="8" t="n">
        <v>304</v>
      </c>
      <c r="AH28" s="8" t="n">
        <v>3011</v>
      </c>
      <c r="AI28" s="8" t="n">
        <v>23</v>
      </c>
      <c r="AJ28" s="8" t="n">
        <v>11</v>
      </c>
      <c r="AK28" s="8" t="n">
        <v>27</v>
      </c>
      <c r="AL28" s="6" t="n">
        <v>-21.9729164071974</v>
      </c>
      <c r="AM28" s="8" t="n">
        <v>54</v>
      </c>
      <c r="AN28" s="6" t="n">
        <f aca="false">IFERROR(AM28/R28,"")</f>
        <v>3.375</v>
      </c>
      <c r="AO28" s="8" t="n">
        <v>216</v>
      </c>
      <c r="AP28" s="7" t="n">
        <f aca="false">IFERROR(AO28/AM28,"")</f>
        <v>4</v>
      </c>
      <c r="AQ28" s="7"/>
      <c r="AR28" s="8" t="n">
        <v>9</v>
      </c>
      <c r="AS28" s="8" t="n">
        <v>5</v>
      </c>
      <c r="AT28" s="8" t="n">
        <v>2</v>
      </c>
      <c r="AU28" s="8" t="n">
        <v>2</v>
      </c>
      <c r="AV28" s="7" t="n">
        <v>1.3</v>
      </c>
      <c r="AW28" s="7" t="n">
        <f aca="false">IFERROR(AU28-AV28,"")</f>
        <v>0.7</v>
      </c>
      <c r="AX28" s="9" t="n">
        <v>0.037</v>
      </c>
      <c r="AY28" s="6" t="n">
        <v>56.6</v>
      </c>
      <c r="AZ28" s="6" t="n">
        <v>63.1</v>
      </c>
      <c r="BA28" s="6" t="n">
        <v>47.3</v>
      </c>
      <c r="BB28" s="7" t="n">
        <v>3.179</v>
      </c>
      <c r="BC28" s="10" t="n">
        <v>0.1391</v>
      </c>
      <c r="BD28" s="10" t="n">
        <v>0.689655172413793</v>
      </c>
      <c r="BE28" s="7" t="n">
        <v>2.49</v>
      </c>
      <c r="BF28" s="10" t="n">
        <v>0.2718</v>
      </c>
      <c r="BG28" s="10" t="n">
        <v>0.0629</v>
      </c>
      <c r="BH28" s="7" t="n">
        <v>2.4</v>
      </c>
      <c r="BI28" s="10" t="n">
        <v>0.596</v>
      </c>
      <c r="BJ28" s="8" t="n">
        <v>3</v>
      </c>
      <c r="BK28" s="10" t="n">
        <v>-0.061</v>
      </c>
      <c r="BL28" s="10" t="n">
        <v>0.5106</v>
      </c>
      <c r="BM28" s="6" t="n">
        <v>58.59</v>
      </c>
      <c r="BN28" s="6" t="n">
        <v>39</v>
      </c>
      <c r="BO28" s="7" t="n">
        <v>2.82</v>
      </c>
      <c r="BP28" s="6" t="n">
        <v>18.3</v>
      </c>
      <c r="BQ28" s="9" t="n">
        <v>-0.0262</v>
      </c>
      <c r="BR28" s="9" t="n">
        <v>-0.0498</v>
      </c>
      <c r="BS28" s="7" t="n">
        <v>0.123</v>
      </c>
      <c r="BT28" s="7" t="n">
        <v>-0.184</v>
      </c>
      <c r="BU28" s="4" t="s">
        <v>102</v>
      </c>
      <c r="BV28" s="4"/>
    </row>
    <row r="29" customFormat="false" ht="15" hidden="false" customHeight="false" outlineLevel="0" collapsed="false">
      <c r="A29" s="3" t="n">
        <v>27</v>
      </c>
      <c r="B29" s="4" t="s">
        <v>496</v>
      </c>
      <c r="C29" s="13" t="s">
        <v>172</v>
      </c>
      <c r="D29" s="4" t="s">
        <v>497</v>
      </c>
      <c r="E29" s="4" t="s">
        <v>151</v>
      </c>
      <c r="F29" s="4" t="s">
        <v>172</v>
      </c>
      <c r="G29" s="3" t="n">
        <v>1</v>
      </c>
      <c r="H29" s="6" t="n">
        <v>33.7</v>
      </c>
      <c r="I29" s="3" t="n">
        <v>11</v>
      </c>
      <c r="J29" s="3" t="n">
        <v>14</v>
      </c>
      <c r="K29" s="7" t="n">
        <v>195.56</v>
      </c>
      <c r="L29" s="7" t="n">
        <v>39.11</v>
      </c>
      <c r="M29" s="8" t="n">
        <v>134</v>
      </c>
      <c r="N29" s="8" t="n">
        <v>340</v>
      </c>
      <c r="O29" s="7" t="n">
        <v>195.56</v>
      </c>
      <c r="P29" s="6" t="n">
        <v>16.6</v>
      </c>
      <c r="Q29" s="4" t="s">
        <v>151</v>
      </c>
      <c r="R29" s="8" t="n">
        <v>14</v>
      </c>
      <c r="S29" s="6" t="n">
        <v>227.44</v>
      </c>
      <c r="T29" s="7" t="n">
        <f aca="false">IFERROR(S29/R29,"")</f>
        <v>16.2457142857143</v>
      </c>
      <c r="U29" s="6" t="n">
        <v>227.44</v>
      </c>
      <c r="V29" s="6" t="n">
        <v>227.44</v>
      </c>
      <c r="W29" s="8" t="n">
        <v>16</v>
      </c>
      <c r="X29" s="7" t="n">
        <v>5.985</v>
      </c>
      <c r="Y29" s="9" t="n">
        <v>0.28</v>
      </c>
      <c r="Z29" s="6" t="n">
        <v>15.83</v>
      </c>
      <c r="AA29" s="6" t="n">
        <v>19.23</v>
      </c>
      <c r="AB29" s="6" t="n">
        <v>20.76</v>
      </c>
      <c r="AC29" s="10" t="n">
        <v>0.643</v>
      </c>
      <c r="AD29" s="10" t="n">
        <v>0.143</v>
      </c>
      <c r="AE29" s="7" t="n">
        <v>0.394</v>
      </c>
      <c r="AF29" s="8" t="n">
        <v>485</v>
      </c>
      <c r="AG29" s="8" t="n">
        <v>315</v>
      </c>
      <c r="AH29" s="8" t="n">
        <v>3366</v>
      </c>
      <c r="AI29" s="8" t="n">
        <v>23</v>
      </c>
      <c r="AJ29" s="8" t="n">
        <v>8</v>
      </c>
      <c r="AK29" s="8" t="n">
        <v>43</v>
      </c>
      <c r="AL29" s="6" t="n">
        <v>-3.21543134285545</v>
      </c>
      <c r="AM29" s="8" t="n">
        <v>38</v>
      </c>
      <c r="AN29" s="6" t="n">
        <f aca="false">IFERROR(AM29/R29,"")</f>
        <v>2.71428571428571</v>
      </c>
      <c r="AO29" s="8" t="n">
        <v>168</v>
      </c>
      <c r="AP29" s="7" t="n">
        <f aca="false">IFERROR(AO29/AM29,"")</f>
        <v>4.42105263157895</v>
      </c>
      <c r="AQ29" s="7"/>
      <c r="AR29" s="8" t="n">
        <v>5</v>
      </c>
      <c r="AS29" s="8" t="n">
        <v>5</v>
      </c>
      <c r="AT29" s="8" t="n">
        <v>3</v>
      </c>
      <c r="AU29" s="8" t="n">
        <v>1</v>
      </c>
      <c r="AV29" s="7" t="n">
        <v>1.53</v>
      </c>
      <c r="AW29" s="7" t="n">
        <f aca="false">IFERROR(AU29-AV29,"")</f>
        <v>-0.53</v>
      </c>
      <c r="AX29" s="9" t="n">
        <v>0.026</v>
      </c>
      <c r="AY29" s="6" t="n">
        <v>36.9</v>
      </c>
      <c r="AZ29" s="6" t="n">
        <v>43.8</v>
      </c>
      <c r="BA29" s="6" t="n">
        <v>35.6</v>
      </c>
      <c r="BB29" s="7" t="n">
        <v>2.771</v>
      </c>
      <c r="BC29" s="10" t="n">
        <v>0.2005</v>
      </c>
      <c r="BD29" s="10" t="n">
        <v>0.65625</v>
      </c>
      <c r="BE29" s="7" t="n">
        <v>2.593</v>
      </c>
      <c r="BF29" s="10" t="n">
        <v>0.282</v>
      </c>
      <c r="BG29" s="10" t="n">
        <v>0.0839</v>
      </c>
      <c r="BH29" s="7" t="n">
        <v>2.373</v>
      </c>
      <c r="BI29" s="10" t="n">
        <v>0.686</v>
      </c>
      <c r="BJ29" s="8" t="n">
        <v>3</v>
      </c>
      <c r="BK29" s="10" t="n">
        <v>0.0399</v>
      </c>
      <c r="BL29" s="10" t="n">
        <v>0.6204</v>
      </c>
      <c r="BM29" s="6" t="n">
        <v>63.18</v>
      </c>
      <c r="BN29" s="6" t="n">
        <v>39</v>
      </c>
      <c r="BO29" s="7" t="n">
        <v>3.59</v>
      </c>
      <c r="BP29" s="6" t="n">
        <v>20.9</v>
      </c>
      <c r="BQ29" s="9" t="n">
        <v>-0.0591</v>
      </c>
      <c r="BR29" s="9" t="n">
        <v>0.0023</v>
      </c>
      <c r="BS29" s="7" t="n">
        <v>0.29</v>
      </c>
      <c r="BT29" s="7" t="n">
        <v>0.202</v>
      </c>
      <c r="BU29" s="4" t="s">
        <v>102</v>
      </c>
      <c r="BV29" s="4"/>
    </row>
    <row r="30" customFormat="false" ht="15" hidden="false" customHeight="false" outlineLevel="0" collapsed="false">
      <c r="A30" s="3" t="n">
        <v>28</v>
      </c>
      <c r="B30" s="4" t="s">
        <v>538</v>
      </c>
      <c r="C30" s="13" t="s">
        <v>172</v>
      </c>
      <c r="D30" s="4" t="s">
        <v>539</v>
      </c>
      <c r="E30" s="4" t="s">
        <v>284</v>
      </c>
      <c r="F30" s="4" t="s">
        <v>172</v>
      </c>
      <c r="G30" s="3" t="n">
        <v>1</v>
      </c>
      <c r="H30" s="6" t="n">
        <v>42.7</v>
      </c>
      <c r="I30" s="3" t="n">
        <v>22</v>
      </c>
      <c r="J30" s="3" t="n">
        <v>9</v>
      </c>
      <c r="K30" s="7" t="n">
        <v>221.65</v>
      </c>
      <c r="L30" s="7" t="n">
        <v>43.52</v>
      </c>
      <c r="M30" s="8" t="n">
        <v>147</v>
      </c>
      <c r="N30" s="8" t="n">
        <v>343</v>
      </c>
      <c r="O30" s="7" t="n">
        <v>221.65</v>
      </c>
      <c r="P30" s="6" t="n">
        <v>15.3</v>
      </c>
      <c r="Q30" s="4" t="s">
        <v>284</v>
      </c>
      <c r="R30" s="8" t="n">
        <v>16</v>
      </c>
      <c r="S30" s="6" t="n">
        <v>227.08</v>
      </c>
      <c r="T30" s="7" t="n">
        <f aca="false">IFERROR(S30/R30,"")</f>
        <v>14.1925</v>
      </c>
      <c r="U30" s="6" t="n">
        <v>226.58</v>
      </c>
      <c r="V30" s="6" t="n">
        <v>226.08</v>
      </c>
      <c r="W30" s="8" t="n">
        <v>17</v>
      </c>
      <c r="X30" s="7" t="n">
        <v>10.322</v>
      </c>
      <c r="Y30" s="9" t="n">
        <v>0.247</v>
      </c>
      <c r="Z30" s="6" t="n">
        <v>10.18</v>
      </c>
      <c r="AA30" s="6" t="n">
        <v>14.17</v>
      </c>
      <c r="AB30" s="6" t="n">
        <v>20.54</v>
      </c>
      <c r="AC30" s="10" t="n">
        <v>0.25</v>
      </c>
      <c r="AD30" s="10" t="n">
        <v>0.125</v>
      </c>
      <c r="AE30" s="7" t="n">
        <v>0.44</v>
      </c>
      <c r="AF30" s="8" t="n">
        <v>498</v>
      </c>
      <c r="AG30" s="8" t="n">
        <v>327</v>
      </c>
      <c r="AH30" s="8" t="n">
        <v>3322</v>
      </c>
      <c r="AI30" s="8" t="n">
        <v>24</v>
      </c>
      <c r="AJ30" s="8" t="n">
        <v>7</v>
      </c>
      <c r="AK30" s="8" t="n">
        <v>29</v>
      </c>
      <c r="AL30" s="6" t="n">
        <v>28.3245858144168</v>
      </c>
      <c r="AM30" s="8" t="n">
        <v>21</v>
      </c>
      <c r="AN30" s="6" t="n">
        <f aca="false">IFERROR(AM30/R30,"")</f>
        <v>1.3125</v>
      </c>
      <c r="AO30" s="8" t="n">
        <v>61</v>
      </c>
      <c r="AP30" s="7" t="n">
        <f aca="false">IFERROR(AO30/AM30,"")</f>
        <v>2.9047619047619</v>
      </c>
      <c r="AQ30" s="7"/>
      <c r="AR30" s="8" t="n">
        <v>3</v>
      </c>
      <c r="AS30" s="8" t="n">
        <v>2</v>
      </c>
      <c r="AT30" s="8" t="n">
        <v>2</v>
      </c>
      <c r="AU30" s="8" t="n">
        <v>1</v>
      </c>
      <c r="AV30" s="7" t="n">
        <v>1.19</v>
      </c>
      <c r="AW30" s="7" t="n">
        <f aca="false">IFERROR(AU30-AV30,"")</f>
        <v>-0.19</v>
      </c>
      <c r="AX30" s="9" t="n">
        <v>0.045</v>
      </c>
      <c r="AY30" s="6" t="n">
        <v>57.4</v>
      </c>
      <c r="AZ30" s="6" t="n">
        <v>46.5</v>
      </c>
      <c r="BA30" s="6" t="n">
        <v>65.1</v>
      </c>
      <c r="BB30" s="7" t="n">
        <v>2.87</v>
      </c>
      <c r="BC30" s="10" t="n">
        <v>0.172</v>
      </c>
      <c r="BD30" s="10" t="n">
        <v>0.68</v>
      </c>
      <c r="BE30" s="7" t="n">
        <v>2.285</v>
      </c>
      <c r="BF30" s="10" t="n">
        <v>0.1636</v>
      </c>
      <c r="BG30" s="10" t="n">
        <v>0.0526</v>
      </c>
      <c r="BH30" s="7" t="n">
        <v>2.209</v>
      </c>
      <c r="BI30" s="10" t="n">
        <v>0.824</v>
      </c>
      <c r="BJ30" s="8" t="n">
        <v>5</v>
      </c>
      <c r="BK30" s="10" t="n">
        <v>-0.007</v>
      </c>
      <c r="BL30" s="10" t="n">
        <v>0.5795</v>
      </c>
      <c r="BM30" s="6" t="n">
        <v>57.35</v>
      </c>
      <c r="BN30" s="6" t="n">
        <v>40</v>
      </c>
      <c r="BO30" s="7" t="n">
        <v>3</v>
      </c>
      <c r="BP30" s="6" t="n">
        <v>23.4</v>
      </c>
      <c r="BQ30" s="9" t="n">
        <v>0.0188</v>
      </c>
      <c r="BR30" s="9" t="n">
        <v>0.0312</v>
      </c>
      <c r="BS30" s="7" t="n">
        <v>0.282</v>
      </c>
      <c r="BT30" s="7" t="n">
        <v>-0.025</v>
      </c>
      <c r="BU30" s="4" t="s">
        <v>102</v>
      </c>
      <c r="BV30" s="4"/>
    </row>
    <row r="31" customFormat="false" ht="15" hidden="false" customHeight="false" outlineLevel="0" collapsed="false">
      <c r="A31" s="3" t="n">
        <v>29</v>
      </c>
      <c r="B31" s="4" t="s">
        <v>546</v>
      </c>
      <c r="C31" s="13" t="s">
        <v>172</v>
      </c>
      <c r="D31" s="4" t="s">
        <v>547</v>
      </c>
      <c r="E31" s="4" t="s">
        <v>186</v>
      </c>
      <c r="F31" s="4" t="s">
        <v>172</v>
      </c>
      <c r="G31" s="3" t="n">
        <v>1</v>
      </c>
      <c r="H31" s="6" t="n">
        <v>35.9</v>
      </c>
      <c r="I31" s="3" t="n">
        <v>14</v>
      </c>
      <c r="J31" s="3" t="n">
        <v>13</v>
      </c>
      <c r="K31" s="7" t="n">
        <v>227.81</v>
      </c>
      <c r="L31" s="7" t="n">
        <v>32.44</v>
      </c>
      <c r="M31" s="8" t="n">
        <v>147</v>
      </c>
      <c r="N31" s="8" t="n">
        <v>285</v>
      </c>
      <c r="O31" s="7" t="n">
        <v>227.81</v>
      </c>
      <c r="P31" s="6" t="n">
        <v>12.4</v>
      </c>
      <c r="Q31" s="4" t="s">
        <v>142</v>
      </c>
      <c r="R31" s="8" t="n">
        <v>15</v>
      </c>
      <c r="S31" s="6" t="n">
        <v>173.9</v>
      </c>
      <c r="T31" s="7" t="n">
        <f aca="false">IFERROR(S31/R31,"")</f>
        <v>11.5933333333333</v>
      </c>
      <c r="U31" s="6" t="n">
        <v>173.9</v>
      </c>
      <c r="V31" s="6" t="n">
        <v>173.9</v>
      </c>
      <c r="W31" s="8" t="n">
        <v>24</v>
      </c>
      <c r="X31" s="7" t="n">
        <v>4.241</v>
      </c>
      <c r="Y31" s="9" t="n">
        <v>0.202</v>
      </c>
      <c r="Z31" s="6" t="n">
        <v>6.53</v>
      </c>
      <c r="AA31" s="6" t="n">
        <v>9.78</v>
      </c>
      <c r="AB31" s="6" t="n">
        <v>17.15</v>
      </c>
      <c r="AC31" s="10" t="n">
        <v>0.133</v>
      </c>
      <c r="AD31" s="10" t="n">
        <v>0.267</v>
      </c>
      <c r="AE31" s="7" t="n">
        <v>0.745</v>
      </c>
      <c r="AF31" s="8" t="n">
        <v>448</v>
      </c>
      <c r="AG31" s="8" t="n">
        <v>302</v>
      </c>
      <c r="AH31" s="8" t="n">
        <v>3025</v>
      </c>
      <c r="AI31" s="8" t="n">
        <v>19</v>
      </c>
      <c r="AJ31" s="8" t="n">
        <v>17</v>
      </c>
      <c r="AK31" s="8" t="n">
        <v>55</v>
      </c>
      <c r="AL31" s="6" t="n">
        <v>-72.9214060488586</v>
      </c>
      <c r="AM31" s="8" t="n">
        <v>41</v>
      </c>
      <c r="AN31" s="6" t="n">
        <f aca="false">IFERROR(AM31/R31,"")</f>
        <v>2.73333333333333</v>
      </c>
      <c r="AO31" s="8" t="n">
        <v>109</v>
      </c>
      <c r="AP31" s="7" t="n">
        <f aca="false">IFERROR(AO31/AM31,"")</f>
        <v>2.65853658536585</v>
      </c>
      <c r="AQ31" s="7"/>
      <c r="AR31" s="8" t="n">
        <v>7</v>
      </c>
      <c r="AS31" s="8" t="n">
        <v>2</v>
      </c>
      <c r="AT31" s="8" t="n">
        <v>2</v>
      </c>
      <c r="AU31" s="8" t="n">
        <v>0</v>
      </c>
      <c r="AV31" s="7" t="n">
        <v>1.21</v>
      </c>
      <c r="AW31" s="7" t="n">
        <f aca="false">IFERROR(AU31-AV31,"")</f>
        <v>-1.21</v>
      </c>
      <c r="AX31" s="9" t="n">
        <v>0</v>
      </c>
      <c r="AY31" s="6" t="n">
        <v>38.6</v>
      </c>
      <c r="AZ31" s="6" t="n">
        <v>56.3</v>
      </c>
      <c r="BA31" s="6" t="n">
        <v>25.8</v>
      </c>
      <c r="BB31" s="7" t="n">
        <v>2.892</v>
      </c>
      <c r="BC31" s="10" t="n">
        <v>0.1813</v>
      </c>
      <c r="BD31" s="10" t="n">
        <v>0.739130434782609</v>
      </c>
      <c r="BE31" s="7" t="n">
        <v>2.899</v>
      </c>
      <c r="BF31" s="10" t="n">
        <v>0.3117</v>
      </c>
      <c r="BG31" s="10" t="n">
        <v>0.0989</v>
      </c>
      <c r="BH31" s="7" t="n">
        <v>2.423</v>
      </c>
      <c r="BI31" s="10" t="n">
        <v>0.808</v>
      </c>
      <c r="BJ31" s="8" t="n">
        <v>3</v>
      </c>
      <c r="BK31" s="10" t="n">
        <v>-0.0877</v>
      </c>
      <c r="BL31" s="10" t="n">
        <v>0.4319</v>
      </c>
      <c r="BM31" s="6" t="n">
        <v>59.35</v>
      </c>
      <c r="BN31" s="6" t="n">
        <v>38</v>
      </c>
      <c r="BO31" s="7" t="n">
        <v>2.47</v>
      </c>
      <c r="BP31" s="6" t="n">
        <v>17.6</v>
      </c>
      <c r="BQ31" s="9" t="n">
        <v>-0.061</v>
      </c>
      <c r="BR31" s="9" t="n">
        <v>-0.1799</v>
      </c>
      <c r="BS31" s="7" t="n">
        <v>0.01</v>
      </c>
      <c r="BT31" s="7" t="n">
        <v>-0.165</v>
      </c>
      <c r="BU31" s="4" t="s">
        <v>102</v>
      </c>
      <c r="BV31" s="4"/>
    </row>
    <row r="32" customFormat="false" ht="15" hidden="false" customHeight="false" outlineLevel="0" collapsed="false">
      <c r="A32" s="3" t="n">
        <v>30</v>
      </c>
      <c r="B32" s="4" t="s">
        <v>602</v>
      </c>
      <c r="C32" s="13" t="s">
        <v>172</v>
      </c>
      <c r="D32" s="4" t="s">
        <v>603</v>
      </c>
      <c r="E32" s="4" t="s">
        <v>142</v>
      </c>
      <c r="F32" s="4" t="s">
        <v>172</v>
      </c>
      <c r="G32" s="3" t="n">
        <v>2</v>
      </c>
      <c r="H32" s="6" t="n">
        <v>22.9</v>
      </c>
      <c r="I32" s="3" t="n">
        <v>0</v>
      </c>
      <c r="J32" s="3" t="n">
        <v>13</v>
      </c>
      <c r="K32" s="7" t="n">
        <v>255.58</v>
      </c>
      <c r="L32" s="7" t="n">
        <v>37.52</v>
      </c>
      <c r="M32" s="8" t="n">
        <v>172</v>
      </c>
      <c r="N32" s="8" t="n">
        <v>345</v>
      </c>
      <c r="O32" s="7" t="n">
        <v>255.58</v>
      </c>
      <c r="P32" s="6" t="n">
        <v>25.6</v>
      </c>
      <c r="Q32" s="4"/>
      <c r="R32" s="8"/>
      <c r="S32" s="6"/>
      <c r="T32" s="7"/>
      <c r="U32" s="6"/>
      <c r="V32" s="6"/>
      <c r="W32" s="8"/>
      <c r="X32" s="7"/>
      <c r="Y32" s="9"/>
      <c r="Z32" s="6"/>
      <c r="AA32" s="6"/>
      <c r="AB32" s="6"/>
      <c r="AC32" s="10"/>
      <c r="AD32" s="10"/>
      <c r="AE32" s="7"/>
      <c r="AF32" s="8"/>
      <c r="AG32" s="8"/>
      <c r="AH32" s="8"/>
      <c r="AI32" s="8"/>
      <c r="AJ32" s="8"/>
      <c r="AK32" s="8"/>
      <c r="AL32" s="6"/>
      <c r="AM32" s="8"/>
      <c r="AN32" s="6"/>
      <c r="AO32" s="8"/>
      <c r="AP32" s="7"/>
      <c r="AQ32" s="7"/>
      <c r="AR32" s="8"/>
      <c r="AS32" s="8"/>
      <c r="AT32" s="8"/>
      <c r="AU32" s="8"/>
      <c r="AV32" s="7"/>
      <c r="AW32" s="7"/>
      <c r="AX32" s="9"/>
      <c r="AY32" s="6" t="n">
        <v>15.2</v>
      </c>
      <c r="AZ32" s="6" t="n">
        <v>7.8</v>
      </c>
      <c r="BA32" s="6" t="n">
        <v>37.5</v>
      </c>
      <c r="BB32" s="7" t="n">
        <v>2.49</v>
      </c>
      <c r="BC32" s="10" t="n">
        <v>0.2502</v>
      </c>
      <c r="BD32" s="10" t="n">
        <v>0.366666666666667</v>
      </c>
      <c r="BE32" s="7" t="n">
        <v>1.629</v>
      </c>
      <c r="BF32" s="10" t="n">
        <v>0.2641</v>
      </c>
      <c r="BG32" s="10" t="n">
        <v>0.1019</v>
      </c>
      <c r="BH32" s="7" t="n">
        <v>2.487</v>
      </c>
      <c r="BI32" s="10" t="n">
        <v>0.384</v>
      </c>
      <c r="BJ32" s="8" t="n">
        <v>2</v>
      </c>
      <c r="BK32" s="10" t="n">
        <v>-0.0175</v>
      </c>
      <c r="BL32" s="10" t="n">
        <v>0.5679</v>
      </c>
      <c r="BM32" s="6" t="n">
        <v>55.41</v>
      </c>
      <c r="BN32" s="6" t="n">
        <v>38</v>
      </c>
      <c r="BO32" s="7" t="n">
        <v>2.24</v>
      </c>
      <c r="BP32" s="6" t="n">
        <v>14.2</v>
      </c>
      <c r="BQ32" s="9" t="n">
        <v>-0.2605</v>
      </c>
      <c r="BR32" s="9" t="n">
        <v>-0.187</v>
      </c>
      <c r="BS32" s="7"/>
      <c r="BT32" s="7"/>
      <c r="BU32" s="4"/>
      <c r="BV32" s="4" t="s">
        <v>206</v>
      </c>
    </row>
    <row r="33" customFormat="false" ht="15" hidden="false" customHeight="false" outlineLevel="0" collapsed="false">
      <c r="A33" s="3" t="n">
        <v>31</v>
      </c>
      <c r="B33" s="4" t="s">
        <v>619</v>
      </c>
      <c r="C33" s="13" t="s">
        <v>172</v>
      </c>
      <c r="D33" s="4" t="s">
        <v>620</v>
      </c>
      <c r="E33" s="4" t="s">
        <v>112</v>
      </c>
      <c r="F33" s="4" t="s">
        <v>172</v>
      </c>
      <c r="G33" s="3" t="n">
        <v>1</v>
      </c>
      <c r="H33" s="6" t="n">
        <v>28.5</v>
      </c>
      <c r="I33" s="3" t="n">
        <v>7</v>
      </c>
      <c r="J33" s="3" t="n">
        <v>11</v>
      </c>
      <c r="K33" s="7" t="n">
        <v>264.28</v>
      </c>
      <c r="L33" s="7" t="n">
        <v>37.9</v>
      </c>
      <c r="M33" s="8" t="n">
        <v>134</v>
      </c>
      <c r="N33" s="8" t="n">
        <v>346</v>
      </c>
      <c r="O33" s="7" t="n">
        <v>264.28</v>
      </c>
      <c r="P33" s="6" t="n">
        <v>13.1</v>
      </c>
      <c r="Q33" s="4" t="s">
        <v>161</v>
      </c>
      <c r="R33" s="8" t="n">
        <v>14</v>
      </c>
      <c r="S33" s="6" t="n">
        <v>160.7</v>
      </c>
      <c r="T33" s="7" t="n">
        <f aca="false">IFERROR(S33/R33,"")</f>
        <v>11.4785714285714</v>
      </c>
      <c r="U33" s="6" t="n">
        <v>160.7</v>
      </c>
      <c r="V33" s="6" t="n">
        <v>160.7</v>
      </c>
      <c r="W33" s="8" t="n">
        <v>25</v>
      </c>
      <c r="X33" s="7" t="n">
        <v>8.035</v>
      </c>
      <c r="Y33" s="9" t="n">
        <v>0.207</v>
      </c>
      <c r="Z33" s="6" t="n">
        <v>6.66</v>
      </c>
      <c r="AA33" s="6" t="n">
        <v>9.95</v>
      </c>
      <c r="AB33" s="6" t="n">
        <v>18.81</v>
      </c>
      <c r="AC33" s="10" t="n">
        <v>0.143</v>
      </c>
      <c r="AD33" s="10" t="n">
        <v>0.286</v>
      </c>
      <c r="AE33" s="7" t="n">
        <v>0.733</v>
      </c>
      <c r="AF33" s="8" t="n">
        <v>384</v>
      </c>
      <c r="AG33" s="8" t="n">
        <v>260</v>
      </c>
      <c r="AH33" s="8" t="n">
        <v>2660</v>
      </c>
      <c r="AI33" s="8" t="n">
        <v>20</v>
      </c>
      <c r="AJ33" s="8" t="n">
        <v>15</v>
      </c>
      <c r="AK33" s="8" t="n">
        <v>30</v>
      </c>
      <c r="AL33" s="6" t="n">
        <v>14.3950634196548</v>
      </c>
      <c r="AM33" s="8" t="n">
        <v>20</v>
      </c>
      <c r="AN33" s="6" t="n">
        <f aca="false">IFERROR(AM33/R33,"")</f>
        <v>1.42857142857143</v>
      </c>
      <c r="AO33" s="8" t="n">
        <v>43</v>
      </c>
      <c r="AP33" s="7" t="n">
        <f aca="false">IFERROR(AO33/AM33,"")</f>
        <v>2.15</v>
      </c>
      <c r="AQ33" s="7"/>
      <c r="AR33" s="8" t="n">
        <v>2</v>
      </c>
      <c r="AS33" s="8" t="n">
        <v>0</v>
      </c>
      <c r="AT33" s="8" t="n">
        <v>0</v>
      </c>
      <c r="AU33" s="8" t="n">
        <v>0</v>
      </c>
      <c r="AV33" s="7" t="n">
        <v>0.18</v>
      </c>
      <c r="AW33" s="7" t="n">
        <f aca="false">IFERROR(AU33-AV33,"")</f>
        <v>-0.18</v>
      </c>
      <c r="AX33" s="9" t="n">
        <v>0</v>
      </c>
      <c r="AY33" s="6" t="n">
        <v>62.4</v>
      </c>
      <c r="AZ33" s="6" t="n">
        <v>52.7</v>
      </c>
      <c r="BA33" s="6" t="n">
        <v>66.9</v>
      </c>
      <c r="BB33" s="7" t="n">
        <v>3.071</v>
      </c>
      <c r="BC33" s="10" t="n">
        <v>0.1627</v>
      </c>
      <c r="BD33" s="10" t="n">
        <v>0.523809523809524</v>
      </c>
      <c r="BE33" s="7" t="n">
        <v>2.522</v>
      </c>
      <c r="BF33" s="10" t="n">
        <v>0.2037</v>
      </c>
      <c r="BG33" s="10" t="n">
        <v>0.0494</v>
      </c>
      <c r="BH33" s="7" t="n">
        <v>2.4</v>
      </c>
      <c r="BI33" s="10" t="n">
        <v>0.798</v>
      </c>
      <c r="BJ33" s="8" t="n">
        <v>4</v>
      </c>
      <c r="BK33" s="10" t="n">
        <v>-0.0621</v>
      </c>
      <c r="BL33" s="10" t="n">
        <v>0.549</v>
      </c>
      <c r="BM33" s="6" t="n">
        <v>60.94</v>
      </c>
      <c r="BN33" s="6" t="n">
        <v>38</v>
      </c>
      <c r="BO33" s="7" t="n">
        <v>3.12</v>
      </c>
      <c r="BP33" s="6" t="n">
        <v>20.8</v>
      </c>
      <c r="BQ33" s="9" t="n">
        <v>-0.0314</v>
      </c>
      <c r="BR33" s="9" t="n">
        <v>-0.0132</v>
      </c>
      <c r="BS33" s="7" t="n">
        <v>0.038</v>
      </c>
      <c r="BT33" s="7" t="n">
        <v>-0.138</v>
      </c>
      <c r="BU33" s="4" t="s">
        <v>102</v>
      </c>
      <c r="BV33" s="4"/>
    </row>
  </sheetData>
  <autoFilter ref="A2:BV33"/>
  <conditionalFormatting sqref="G3:G33">
    <cfRule type="colorScale" priority="2">
      <colorScale>
        <cfvo type="percentile" val="5"/>
        <cfvo type="percentile" val="50"/>
        <cfvo type="percentile" val="95"/>
        <color rgb="FF63BE7B"/>
        <color rgb="FFFFEB84"/>
        <color rgb="FFF8696B"/>
      </colorScale>
    </cfRule>
  </conditionalFormatting>
  <conditionalFormatting sqref="K3:K33">
    <cfRule type="colorScale" priority="3">
      <colorScale>
        <cfvo type="percentile" val="5"/>
        <cfvo type="percentile" val="50"/>
        <cfvo type="percentile" val="95"/>
        <color rgb="FF63BE7B"/>
        <color rgb="FFFFEB84"/>
        <color rgb="FFF8696B"/>
      </colorScale>
    </cfRule>
  </conditionalFormatting>
  <conditionalFormatting sqref="O3:O33">
    <cfRule type="colorScale" priority="4">
      <colorScale>
        <cfvo type="percentile" val="5"/>
        <cfvo type="percentile" val="50"/>
        <cfvo type="percentile" val="95"/>
        <color rgb="FF63BE7B"/>
        <color rgb="FFFFEB84"/>
        <color rgb="FFF8696B"/>
      </colorScale>
    </cfRule>
  </conditionalFormatting>
  <conditionalFormatting sqref="W3:W33">
    <cfRule type="colorScale" priority="5">
      <colorScale>
        <cfvo type="percentile" val="5"/>
        <cfvo type="percentile" val="50"/>
        <cfvo type="percentile" val="95"/>
        <color rgb="FF63BE7B"/>
        <color rgb="FFFFEB84"/>
        <color rgb="FFF8696B"/>
      </colorScale>
    </cfRule>
  </conditionalFormatting>
  <conditionalFormatting sqref="AD3:AD33">
    <cfRule type="colorScale" priority="6">
      <colorScale>
        <cfvo type="percentile" val="5"/>
        <cfvo type="percentile" val="50"/>
        <cfvo type="percentile" val="95"/>
        <color rgb="FF63BE7B"/>
        <color rgb="FFFFEB84"/>
        <color rgb="FFF8696B"/>
      </colorScale>
    </cfRule>
  </conditionalFormatting>
  <conditionalFormatting sqref="AE3:AE33">
    <cfRule type="colorScale" priority="7">
      <colorScale>
        <cfvo type="percentile" val="5"/>
        <cfvo type="percentile" val="50"/>
        <cfvo type="percentile" val="95"/>
        <color rgb="FF63BE7B"/>
        <color rgb="FFFFEB84"/>
        <color rgb="FFF8696B"/>
      </colorScale>
    </cfRule>
  </conditionalFormatting>
  <conditionalFormatting sqref="AJ3:AJ33">
    <cfRule type="colorScale" priority="8">
      <colorScale>
        <cfvo type="percentile" val="5"/>
        <cfvo type="percentile" val="50"/>
        <cfvo type="percentile" val="95"/>
        <color rgb="FF63BE7B"/>
        <color rgb="FFFFEB84"/>
        <color rgb="FFF8696B"/>
      </colorScale>
    </cfRule>
  </conditionalFormatting>
  <conditionalFormatting sqref="AK3:AK33">
    <cfRule type="colorScale" priority="9">
      <colorScale>
        <cfvo type="percentile" val="5"/>
        <cfvo type="percentile" val="50"/>
        <cfvo type="percentile" val="95"/>
        <color rgb="FF63BE7B"/>
        <color rgb="FFFFEB84"/>
        <color rgb="FFF8696B"/>
      </colorScale>
    </cfRule>
  </conditionalFormatting>
  <conditionalFormatting sqref="BC3:BC33">
    <cfRule type="colorScale" priority="10">
      <colorScale>
        <cfvo type="percentile" val="5"/>
        <cfvo type="percentile" val="50"/>
        <cfvo type="percentile" val="95"/>
        <color rgb="FF63BE7B"/>
        <color rgb="FFFFEB84"/>
        <color rgb="FFF8696B"/>
      </colorScale>
    </cfRule>
  </conditionalFormatting>
  <conditionalFormatting sqref="BF3:BF33">
    <cfRule type="colorScale" priority="11">
      <colorScale>
        <cfvo type="percentile" val="5"/>
        <cfvo type="percentile" val="50"/>
        <cfvo type="percentile" val="95"/>
        <color rgb="FF63BE7B"/>
        <color rgb="FFFFEB84"/>
        <color rgb="FFF8696B"/>
      </colorScale>
    </cfRule>
  </conditionalFormatting>
  <conditionalFormatting sqref="BG3:BG33">
    <cfRule type="colorScale" priority="12">
      <colorScale>
        <cfvo type="percentile" val="5"/>
        <cfvo type="percentile" val="50"/>
        <cfvo type="percentile" val="95"/>
        <color rgb="FF63BE7B"/>
        <color rgb="FFFFEB84"/>
        <color rgb="FFF8696B"/>
      </colorScale>
    </cfRule>
  </conditionalFormatting>
  <conditionalFormatting sqref="BN3:BN33">
    <cfRule type="colorScale" priority="13">
      <colorScale>
        <cfvo type="percentile" val="5"/>
        <cfvo type="percentile" val="50"/>
        <cfvo type="percentile" val="95"/>
        <color rgb="FF63BE7B"/>
        <color rgb="FFFFEB84"/>
        <color rgb="FFF8696B"/>
      </colorScale>
    </cfRule>
  </conditionalFormatting>
  <conditionalFormatting sqref="Z3:Z33">
    <cfRule type="colorScale" priority="14">
      <colorScale>
        <cfvo type="percentile" val="5"/>
        <cfvo type="percentile" val="50"/>
        <cfvo type="percentile" val="95"/>
        <color rgb="FFF8696B"/>
        <color rgb="FFFFEB84"/>
        <color rgb="FF63BE7B"/>
      </colorScale>
    </cfRule>
  </conditionalFormatting>
  <conditionalFormatting sqref="AA3:AA33">
    <cfRule type="colorScale" priority="15">
      <colorScale>
        <cfvo type="percentile" val="5"/>
        <cfvo type="percentile" val="50"/>
        <cfvo type="percentile" val="95"/>
        <color rgb="FFF8696B"/>
        <color rgb="FFFFEB84"/>
        <color rgb="FF63BE7B"/>
      </colorScale>
    </cfRule>
  </conditionalFormatting>
  <conditionalFormatting sqref="AB3:AB33">
    <cfRule type="colorScale" priority="16">
      <colorScale>
        <cfvo type="percentile" val="5"/>
        <cfvo type="percentile" val="50"/>
        <cfvo type="percentile" val="95"/>
        <color rgb="FFF8696B"/>
        <color rgb="FFFFEB84"/>
        <color rgb="FF63BE7B"/>
      </colorScale>
    </cfRule>
  </conditionalFormatting>
  <conditionalFormatting sqref="AC3:AC33">
    <cfRule type="colorScale" priority="17">
      <colorScale>
        <cfvo type="percentile" val="5"/>
        <cfvo type="percentile" val="50"/>
        <cfvo type="percentile" val="95"/>
        <color rgb="FFF8696B"/>
        <color rgb="FFFFEB84"/>
        <color rgb="FF63BE7B"/>
      </colorScale>
    </cfRule>
  </conditionalFormatting>
  <conditionalFormatting sqref="R3:R33">
    <cfRule type="colorScale" priority="18">
      <colorScale>
        <cfvo type="percentile" val="5"/>
        <cfvo type="percentile" val="50"/>
        <cfvo type="percentile" val="95"/>
        <color rgb="FFF8696B"/>
        <color rgb="FFFFEB84"/>
        <color rgb="FF63BE7B"/>
      </colorScale>
    </cfRule>
  </conditionalFormatting>
  <conditionalFormatting sqref="S3:S33">
    <cfRule type="colorScale" priority="19">
      <colorScale>
        <cfvo type="percentile" val="5"/>
        <cfvo type="percentile" val="50"/>
        <cfvo type="percentile" val="95"/>
        <color rgb="FFF8696B"/>
        <color rgb="FFFFEB84"/>
        <color rgb="FF63BE7B"/>
      </colorScale>
    </cfRule>
  </conditionalFormatting>
  <conditionalFormatting sqref="AF3:AF33">
    <cfRule type="colorScale" priority="20">
      <colorScale>
        <cfvo type="percentile" val="5"/>
        <cfvo type="percentile" val="50"/>
        <cfvo type="percentile" val="95"/>
        <color rgb="FFF8696B"/>
        <color rgb="FFFFEB84"/>
        <color rgb="FF63BE7B"/>
      </colorScale>
    </cfRule>
  </conditionalFormatting>
  <conditionalFormatting sqref="AG3:AG33">
    <cfRule type="colorScale" priority="21">
      <colorScale>
        <cfvo type="percentile" val="5"/>
        <cfvo type="percentile" val="50"/>
        <cfvo type="percentile" val="95"/>
        <color rgb="FFF8696B"/>
        <color rgb="FFFFEB84"/>
        <color rgb="FF63BE7B"/>
      </colorScale>
    </cfRule>
  </conditionalFormatting>
  <conditionalFormatting sqref="AH3:AH33">
    <cfRule type="colorScale" priority="22">
      <colorScale>
        <cfvo type="percentile" val="5"/>
        <cfvo type="percentile" val="50"/>
        <cfvo type="percentile" val="95"/>
        <color rgb="FFF8696B"/>
        <color rgb="FFFFEB84"/>
        <color rgb="FF63BE7B"/>
      </colorScale>
    </cfRule>
  </conditionalFormatting>
  <conditionalFormatting sqref="AI3:AI33">
    <cfRule type="colorScale" priority="23">
      <colorScale>
        <cfvo type="percentile" val="5"/>
        <cfvo type="percentile" val="50"/>
        <cfvo type="percentile" val="95"/>
        <color rgb="FFF8696B"/>
        <color rgb="FFFFEB84"/>
        <color rgb="FF63BE7B"/>
      </colorScale>
    </cfRule>
  </conditionalFormatting>
  <conditionalFormatting sqref="T3:T33">
    <cfRule type="colorScale" priority="24">
      <colorScale>
        <cfvo type="percentile" val="5"/>
        <cfvo type="percentile" val="50"/>
        <cfvo type="percentile" val="95"/>
        <color rgb="FFF8696B"/>
        <color rgb="FFFFEB84"/>
        <color rgb="FF63BE7B"/>
      </colorScale>
    </cfRule>
  </conditionalFormatting>
  <conditionalFormatting sqref="U3:U33">
    <cfRule type="colorScale" priority="25">
      <colorScale>
        <cfvo type="percentile" val="5"/>
        <cfvo type="percentile" val="50"/>
        <cfvo type="percentile" val="95"/>
        <color rgb="FFF8696B"/>
        <color rgb="FFFFEB84"/>
        <color rgb="FF63BE7B"/>
      </colorScale>
    </cfRule>
  </conditionalFormatting>
  <conditionalFormatting sqref="AL3:AL33">
    <cfRule type="colorScale" priority="26">
      <colorScale>
        <cfvo type="percentile" val="5"/>
        <cfvo type="percentile" val="50"/>
        <cfvo type="percentile" val="95"/>
        <color rgb="FFF8696B"/>
        <color rgb="FFFFEB84"/>
        <color rgb="FF63BE7B"/>
      </colorScale>
    </cfRule>
  </conditionalFormatting>
  <conditionalFormatting sqref="AM3:AM33">
    <cfRule type="colorScale" priority="27">
      <colorScale>
        <cfvo type="percentile" val="5"/>
        <cfvo type="percentile" val="50"/>
        <cfvo type="percentile" val="95"/>
        <color rgb="FFF8696B"/>
        <color rgb="FFFFEB84"/>
        <color rgb="FF63BE7B"/>
      </colorScale>
    </cfRule>
  </conditionalFormatting>
  <conditionalFormatting sqref="AN3:AN33">
    <cfRule type="colorScale" priority="28">
      <colorScale>
        <cfvo type="percentile" val="5"/>
        <cfvo type="percentile" val="50"/>
        <cfvo type="percentile" val="95"/>
        <color rgb="FFF8696B"/>
        <color rgb="FFFFEB84"/>
        <color rgb="FF63BE7B"/>
      </colorScale>
    </cfRule>
  </conditionalFormatting>
  <conditionalFormatting sqref="AO3:AO33">
    <cfRule type="colorScale" priority="29">
      <colorScale>
        <cfvo type="percentile" val="5"/>
        <cfvo type="percentile" val="50"/>
        <cfvo type="percentile" val="95"/>
        <color rgb="FFF8696B"/>
        <color rgb="FFFFEB84"/>
        <color rgb="FF63BE7B"/>
      </colorScale>
    </cfRule>
  </conditionalFormatting>
  <conditionalFormatting sqref="AP3:AP33">
    <cfRule type="colorScale" priority="30">
      <colorScale>
        <cfvo type="percentile" val="5"/>
        <cfvo type="percentile" val="50"/>
        <cfvo type="percentile" val="95"/>
        <color rgb="FFF8696B"/>
        <color rgb="FFFFEB84"/>
        <color rgb="FF63BE7B"/>
      </colorScale>
    </cfRule>
  </conditionalFormatting>
  <conditionalFormatting sqref="AQ3:AQ33">
    <cfRule type="colorScale" priority="31">
      <colorScale>
        <cfvo type="percentile" val="5"/>
        <cfvo type="percentile" val="50"/>
        <cfvo type="percentile" val="95"/>
        <color rgb="FFF8696B"/>
        <color rgb="FFFFEB84"/>
        <color rgb="FF63BE7B"/>
      </colorScale>
    </cfRule>
  </conditionalFormatting>
  <conditionalFormatting sqref="AR3:AR33">
    <cfRule type="colorScale" priority="32">
      <colorScale>
        <cfvo type="percentile" val="5"/>
        <cfvo type="percentile" val="50"/>
        <cfvo type="percentile" val="95"/>
        <color rgb="FFF8696B"/>
        <color rgb="FFFFEB84"/>
        <color rgb="FF63BE7B"/>
      </colorScale>
    </cfRule>
  </conditionalFormatting>
  <conditionalFormatting sqref="AS3:AS33">
    <cfRule type="colorScale" priority="33">
      <colorScale>
        <cfvo type="percentile" val="5"/>
        <cfvo type="percentile" val="50"/>
        <cfvo type="percentile" val="95"/>
        <color rgb="FFF8696B"/>
        <color rgb="FFFFEB84"/>
        <color rgb="FF63BE7B"/>
      </colorScale>
    </cfRule>
  </conditionalFormatting>
  <conditionalFormatting sqref="AT3:AT33">
    <cfRule type="colorScale" priority="34">
      <colorScale>
        <cfvo type="percentile" val="5"/>
        <cfvo type="percentile" val="50"/>
        <cfvo type="percentile" val="95"/>
        <color rgb="FFF8696B"/>
        <color rgb="FFFFEB84"/>
        <color rgb="FF63BE7B"/>
      </colorScale>
    </cfRule>
  </conditionalFormatting>
  <conditionalFormatting sqref="AU3:AU33">
    <cfRule type="colorScale" priority="35">
      <colorScale>
        <cfvo type="percentile" val="5"/>
        <cfvo type="percentile" val="50"/>
        <cfvo type="percentile" val="95"/>
        <color rgb="FFF8696B"/>
        <color rgb="FFFFEB84"/>
        <color rgb="FF63BE7B"/>
      </colorScale>
    </cfRule>
  </conditionalFormatting>
  <conditionalFormatting sqref="AV3:AV33">
    <cfRule type="colorScale" priority="36">
      <colorScale>
        <cfvo type="percentile" val="5"/>
        <cfvo type="percentile" val="50"/>
        <cfvo type="percentile" val="95"/>
        <color rgb="FFF8696B"/>
        <color rgb="FFFFEB84"/>
        <color rgb="FF63BE7B"/>
      </colorScale>
    </cfRule>
  </conditionalFormatting>
  <conditionalFormatting sqref="AX3:AX33">
    <cfRule type="colorScale" priority="37">
      <colorScale>
        <cfvo type="percentile" val="5"/>
        <cfvo type="percentile" val="50"/>
        <cfvo type="percentile" val="95"/>
        <color rgb="FFF8696B"/>
        <color rgb="FFFFEB84"/>
        <color rgb="FF63BE7B"/>
      </colorScale>
    </cfRule>
  </conditionalFormatting>
  <conditionalFormatting sqref="AY3:AY33">
    <cfRule type="colorScale" priority="38">
      <colorScale>
        <cfvo type="percentile" val="5"/>
        <cfvo type="percentile" val="50"/>
        <cfvo type="percentile" val="95"/>
        <color rgb="FFF8696B"/>
        <color rgb="FFFFEB84"/>
        <color rgb="FF63BE7B"/>
      </colorScale>
    </cfRule>
  </conditionalFormatting>
  <conditionalFormatting sqref="AZ3:AZ33">
    <cfRule type="colorScale" priority="39">
      <colorScale>
        <cfvo type="percentile" val="5"/>
        <cfvo type="percentile" val="50"/>
        <cfvo type="percentile" val="95"/>
        <color rgb="FFF8696B"/>
        <color rgb="FFFFEB84"/>
        <color rgb="FF63BE7B"/>
      </colorScale>
    </cfRule>
  </conditionalFormatting>
  <conditionalFormatting sqref="BA3:BA33">
    <cfRule type="colorScale" priority="40">
      <colorScale>
        <cfvo type="percentile" val="5"/>
        <cfvo type="percentile" val="50"/>
        <cfvo type="percentile" val="95"/>
        <color rgb="FFF8696B"/>
        <color rgb="FFFFEB84"/>
        <color rgb="FF63BE7B"/>
      </colorScale>
    </cfRule>
  </conditionalFormatting>
  <conditionalFormatting sqref="BB3:BB33">
    <cfRule type="colorScale" priority="41">
      <colorScale>
        <cfvo type="percentile" val="5"/>
        <cfvo type="percentile" val="50"/>
        <cfvo type="percentile" val="95"/>
        <color rgb="FFF8696B"/>
        <color rgb="FFFFEB84"/>
        <color rgb="FF63BE7B"/>
      </colorScale>
    </cfRule>
  </conditionalFormatting>
  <conditionalFormatting sqref="V3:V33">
    <cfRule type="colorScale" priority="42">
      <colorScale>
        <cfvo type="percentile" val="5"/>
        <cfvo type="percentile" val="50"/>
        <cfvo type="percentile" val="95"/>
        <color rgb="FFF8696B"/>
        <color rgb="FFFFEB84"/>
        <color rgb="FF63BE7B"/>
      </colorScale>
    </cfRule>
  </conditionalFormatting>
  <conditionalFormatting sqref="BD3:BD33">
    <cfRule type="colorScale" priority="43">
      <colorScale>
        <cfvo type="percentile" val="5"/>
        <cfvo type="percentile" val="50"/>
        <cfvo type="percentile" val="95"/>
        <color rgb="FFF8696B"/>
        <color rgb="FFFFEB84"/>
        <color rgb="FF63BE7B"/>
      </colorScale>
    </cfRule>
  </conditionalFormatting>
  <conditionalFormatting sqref="BE3:BE33">
    <cfRule type="colorScale" priority="44">
      <colorScale>
        <cfvo type="percentile" val="5"/>
        <cfvo type="percentile" val="50"/>
        <cfvo type="percentile" val="95"/>
        <color rgb="FFF8696B"/>
        <color rgb="FFFFEB84"/>
        <color rgb="FF63BE7B"/>
      </colorScale>
    </cfRule>
  </conditionalFormatting>
  <conditionalFormatting sqref="P3:P33">
    <cfRule type="colorScale" priority="45">
      <colorScale>
        <cfvo type="percentile" val="5"/>
        <cfvo type="percentile" val="50"/>
        <cfvo type="percentile" val="95"/>
        <color rgb="FFF8696B"/>
        <color rgb="FFFFEB84"/>
        <color rgb="FF63BE7B"/>
      </colorScale>
    </cfRule>
  </conditionalFormatting>
  <conditionalFormatting sqref="X3:X33">
    <cfRule type="colorScale" priority="46">
      <colorScale>
        <cfvo type="percentile" val="5"/>
        <cfvo type="percentile" val="50"/>
        <cfvo type="percentile" val="95"/>
        <color rgb="FFF8696B"/>
        <color rgb="FFFFEB84"/>
        <color rgb="FF63BE7B"/>
      </colorScale>
    </cfRule>
  </conditionalFormatting>
  <conditionalFormatting sqref="BH3:BH33">
    <cfRule type="colorScale" priority="47">
      <colorScale>
        <cfvo type="percentile" val="5"/>
        <cfvo type="percentile" val="50"/>
        <cfvo type="percentile" val="95"/>
        <color rgb="FFF8696B"/>
        <color rgb="FFFFEB84"/>
        <color rgb="FF63BE7B"/>
      </colorScale>
    </cfRule>
  </conditionalFormatting>
  <conditionalFormatting sqref="BI3:BI33">
    <cfRule type="colorScale" priority="48">
      <colorScale>
        <cfvo type="percentile" val="5"/>
        <cfvo type="percentile" val="50"/>
        <cfvo type="percentile" val="95"/>
        <color rgb="FFF8696B"/>
        <color rgb="FFFFEB84"/>
        <color rgb="FF63BE7B"/>
      </colorScale>
    </cfRule>
  </conditionalFormatting>
  <conditionalFormatting sqref="BJ3:BJ33">
    <cfRule type="colorScale" priority="49">
      <colorScale>
        <cfvo type="percentile" val="5"/>
        <cfvo type="percentile" val="50"/>
        <cfvo type="percentile" val="95"/>
        <color rgb="FFF8696B"/>
        <color rgb="FFFFEB84"/>
        <color rgb="FF63BE7B"/>
      </colorScale>
    </cfRule>
  </conditionalFormatting>
  <conditionalFormatting sqref="BM3:BM33">
    <cfRule type="colorScale" priority="50">
      <colorScale>
        <cfvo type="percentile" val="5"/>
        <cfvo type="percentile" val="50"/>
        <cfvo type="percentile" val="95"/>
        <color rgb="FFF8696B"/>
        <color rgb="FFFFEB84"/>
        <color rgb="FF63BE7B"/>
      </colorScale>
    </cfRule>
  </conditionalFormatting>
  <conditionalFormatting sqref="Y3:Y33">
    <cfRule type="colorScale" priority="51">
      <colorScale>
        <cfvo type="percentile" val="5"/>
        <cfvo type="percentile" val="50"/>
        <cfvo type="percentile" val="95"/>
        <color rgb="FFF8696B"/>
        <color rgb="FFFFEB84"/>
        <color rgb="FF63BE7B"/>
      </colorScale>
    </cfRule>
  </conditionalFormatting>
  <conditionalFormatting sqref="BO3:BO33">
    <cfRule type="colorScale" priority="52">
      <colorScale>
        <cfvo type="percentile" val="5"/>
        <cfvo type="percentile" val="50"/>
        <cfvo type="percentile" val="95"/>
        <color rgb="FFF8696B"/>
        <color rgb="FFFFEB84"/>
        <color rgb="FF63BE7B"/>
      </colorScale>
    </cfRule>
  </conditionalFormatting>
  <conditionalFormatting sqref="BP3:BP33">
    <cfRule type="colorScale" priority="53">
      <colorScale>
        <cfvo type="percentile" val="5"/>
        <cfvo type="percentile" val="50"/>
        <cfvo type="percentile" val="95"/>
        <color rgb="FFF8696B"/>
        <color rgb="FFFFEB84"/>
        <color rgb="FF63BE7B"/>
      </colorScale>
    </cfRule>
  </conditionalFormatting>
  <conditionalFormatting sqref="BQ3:BQ33">
    <cfRule type="colorScale" priority="54">
      <colorScale>
        <cfvo type="percentile" val="5"/>
        <cfvo type="percentile" val="50"/>
        <cfvo type="percentile" val="95"/>
        <color rgb="FFF8696B"/>
        <color rgb="FFFFEB84"/>
        <color rgb="FF63BE7B"/>
      </colorScale>
    </cfRule>
  </conditionalFormatting>
  <conditionalFormatting sqref="BR3:BR33">
    <cfRule type="colorScale" priority="55">
      <colorScale>
        <cfvo type="percentile" val="5"/>
        <cfvo type="percentile" val="50"/>
        <cfvo type="percentile" val="95"/>
        <color rgb="FFF8696B"/>
        <color rgb="FFFFEB84"/>
        <color rgb="FF63BE7B"/>
      </colorScale>
    </cfRule>
  </conditionalFormatting>
  <conditionalFormatting sqref="BS3:BS33">
    <cfRule type="colorScale" priority="56">
      <colorScale>
        <cfvo type="percentile" val="5"/>
        <cfvo type="percentile" val="50"/>
        <cfvo type="percentile" val="95"/>
        <color rgb="FFF8696B"/>
        <color rgb="FFFFEB84"/>
        <color rgb="FF63BE7B"/>
      </colorScale>
    </cfRule>
  </conditionalFormatting>
  <conditionalFormatting sqref="BT3:BT33">
    <cfRule type="colorScale" priority="57">
      <colorScale>
        <cfvo type="percentile" val="5"/>
        <cfvo type="percentile" val="50"/>
        <cfvo type="percentile" val="95"/>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J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5" min="3" style="0" width="9"/>
    <col collapsed="false" customWidth="true" hidden="false" outlineLevel="0" max="6" min="6" style="0" width="12"/>
    <col collapsed="false" customWidth="true" hidden="false" outlineLevel="0" max="15" min="7" style="0" width="9"/>
    <col collapsed="false" customWidth="true" hidden="false" outlineLevel="0" max="16" min="16" style="0" width="12"/>
    <col collapsed="false" customWidth="true" hidden="false" outlineLevel="0" max="20" min="17" style="0" width="9"/>
    <col collapsed="false" customWidth="true" hidden="false" outlineLevel="0" max="21" min="21" style="0" width="12"/>
    <col collapsed="false" customWidth="true" hidden="false" outlineLevel="0" max="22" min="22" style="0" width="9"/>
    <col collapsed="false" customWidth="true" hidden="false" outlineLevel="0" max="26" min="23" style="0" width="12"/>
    <col collapsed="false" customWidth="true" hidden="false" outlineLevel="0" max="27" min="27" style="0" width="9"/>
    <col collapsed="false" customWidth="true" hidden="false" outlineLevel="0" max="28" min="28" style="0" width="12"/>
    <col collapsed="false" customWidth="true" hidden="false" outlineLevel="0" max="30" min="29" style="0" width="9"/>
    <col collapsed="false" customWidth="true" hidden="false" outlineLevel="0" max="31" min="31" style="0" width="12"/>
    <col collapsed="false" customWidth="true" hidden="false" outlineLevel="0" max="33" min="32" style="0" width="9"/>
    <col collapsed="false" customWidth="true" hidden="false" outlineLevel="0" max="34" min="34" style="0" width="12"/>
    <col collapsed="false" customWidth="true" hidden="false" outlineLevel="0" max="36" min="35" style="0" width="9"/>
    <col collapsed="false" customWidth="true" hidden="false" outlineLevel="0" max="37" min="37" style="0" width="12"/>
    <col collapsed="false" customWidth="true" hidden="false" outlineLevel="0" max="39" min="38" style="0" width="9"/>
    <col collapsed="false" customWidth="true" hidden="false" outlineLevel="0" max="42" min="40" style="0" width="12"/>
    <col collapsed="false" customWidth="true" hidden="false" outlineLevel="0" max="44" min="43" style="0" width="9"/>
    <col collapsed="false" customWidth="true" hidden="false" outlineLevel="0" max="45" min="45" style="0" width="12"/>
    <col collapsed="false" customWidth="true" hidden="false" outlineLevel="0" max="47" min="46" style="0" width="9"/>
    <col collapsed="false" customWidth="true" hidden="false" outlineLevel="0" max="48" min="48" style="0" width="12"/>
    <col collapsed="false" customWidth="true" hidden="false" outlineLevel="0" max="56" min="49" style="0" width="9"/>
    <col collapsed="false" customWidth="true" hidden="false" outlineLevel="0" max="58" min="57" style="0" width="12"/>
    <col collapsed="false" customWidth="true" hidden="false" outlineLevel="0" max="59" min="59" style="0" width="9"/>
    <col collapsed="false" customWidth="true" hidden="false" outlineLevel="0" max="71" min="60" style="0" width="12"/>
    <col collapsed="false" customWidth="true" hidden="false" outlineLevel="0" max="72" min="72" style="0" width="9"/>
    <col collapsed="false" customWidth="true" hidden="false" outlineLevel="0" max="73" min="73" style="0" width="12"/>
    <col collapsed="false" customWidth="true" hidden="false" outlineLevel="0" max="75" min="74" style="0" width="9"/>
    <col collapsed="false" customWidth="true" hidden="false" outlineLevel="0" max="76" min="76" style="0" width="12"/>
    <col collapsed="false" customWidth="true" hidden="false" outlineLevel="0" max="77" min="77" style="0" width="9"/>
    <col collapsed="false" customWidth="true" hidden="false" outlineLevel="0" max="86" min="78" style="0" width="12"/>
    <col collapsed="false" customWidth="true" hidden="false" outlineLevel="0" max="87" min="87" style="0" width="22"/>
    <col collapsed="false" customWidth="true" hidden="false" outlineLevel="0" max="88" min="88" style="0" width="44"/>
  </cols>
  <sheetData>
    <row r="1" customFormat="false" ht="15" hidden="false" customHeight="false" outlineLevel="0" collapsed="false">
      <c r="A1" s="1" t="s">
        <v>653</v>
      </c>
    </row>
    <row r="2" customFormat="false" ht="33.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51</v>
      </c>
      <c r="AJ2" s="2" t="s">
        <v>52</v>
      </c>
      <c r="AK2" s="2" t="s">
        <v>53</v>
      </c>
      <c r="AL2" s="2" t="s">
        <v>54</v>
      </c>
      <c r="AM2" s="2" t="s">
        <v>55</v>
      </c>
      <c r="AN2" s="2" t="s">
        <v>56</v>
      </c>
      <c r="AO2" s="2" t="s">
        <v>57</v>
      </c>
      <c r="AP2" s="2" t="s">
        <v>58</v>
      </c>
      <c r="AQ2" s="2" t="s">
        <v>59</v>
      </c>
      <c r="AR2" s="2" t="s">
        <v>60</v>
      </c>
      <c r="AS2" s="2" t="s">
        <v>61</v>
      </c>
      <c r="AT2" s="2" t="s">
        <v>35</v>
      </c>
      <c r="AU2" s="2" t="s">
        <v>36</v>
      </c>
      <c r="AV2" s="2" t="s">
        <v>37</v>
      </c>
      <c r="AW2" s="2" t="s">
        <v>40</v>
      </c>
      <c r="AX2" s="2" t="s">
        <v>41</v>
      </c>
      <c r="AY2" s="2" t="s">
        <v>42</v>
      </c>
      <c r="AZ2" s="2" t="s">
        <v>43</v>
      </c>
      <c r="BA2" s="2" t="s">
        <v>62</v>
      </c>
      <c r="BB2" s="2" t="s">
        <v>63</v>
      </c>
      <c r="BC2" s="2" t="s">
        <v>64</v>
      </c>
      <c r="BD2" s="2" t="s">
        <v>65</v>
      </c>
      <c r="BE2" s="2" t="s">
        <v>66</v>
      </c>
      <c r="BF2" s="2" t="s">
        <v>67</v>
      </c>
      <c r="BG2" s="2" t="s">
        <v>68</v>
      </c>
      <c r="BH2" s="2" t="s">
        <v>69</v>
      </c>
      <c r="BI2" s="2" t="s">
        <v>70</v>
      </c>
      <c r="BJ2" s="2" t="s">
        <v>71</v>
      </c>
      <c r="BK2" s="2" t="s">
        <v>72</v>
      </c>
      <c r="BL2" s="2" t="s">
        <v>73</v>
      </c>
      <c r="BM2" s="2" t="s">
        <v>74</v>
      </c>
      <c r="BN2" s="2" t="s">
        <v>75</v>
      </c>
      <c r="BO2" s="2" t="s">
        <v>76</v>
      </c>
      <c r="BP2" s="2" t="s">
        <v>77</v>
      </c>
      <c r="BQ2" s="2" t="s">
        <v>78</v>
      </c>
      <c r="BR2" s="2" t="s">
        <v>79</v>
      </c>
      <c r="BS2" s="2" t="s">
        <v>80</v>
      </c>
      <c r="BT2" s="2" t="s">
        <v>81</v>
      </c>
      <c r="BU2" s="2" t="s">
        <v>82</v>
      </c>
      <c r="BV2" s="2" t="s">
        <v>83</v>
      </c>
      <c r="BW2" s="2" t="s">
        <v>84</v>
      </c>
      <c r="BX2" s="2" t="s">
        <v>85</v>
      </c>
      <c r="BY2" s="2" t="s">
        <v>86</v>
      </c>
      <c r="BZ2" s="2" t="s">
        <v>87</v>
      </c>
      <c r="CA2" s="2" t="s">
        <v>88</v>
      </c>
      <c r="CB2" s="2" t="s">
        <v>89</v>
      </c>
      <c r="CC2" s="2" t="s">
        <v>90</v>
      </c>
      <c r="CD2" s="2" t="s">
        <v>91</v>
      </c>
      <c r="CE2" s="2" t="s">
        <v>92</v>
      </c>
      <c r="CF2" s="2" t="s">
        <v>93</v>
      </c>
      <c r="CG2" s="2" t="s">
        <v>94</v>
      </c>
      <c r="CH2" s="2" t="s">
        <v>95</v>
      </c>
      <c r="CI2" s="2" t="s">
        <v>96</v>
      </c>
      <c r="CJ2" s="2" t="s">
        <v>97</v>
      </c>
    </row>
    <row r="3" customFormat="false" ht="15" hidden="false" customHeight="false" outlineLevel="0" collapsed="false">
      <c r="A3" s="3" t="n">
        <v>1</v>
      </c>
      <c r="B3" s="4" t="s">
        <v>103</v>
      </c>
      <c r="C3" s="11" t="s">
        <v>104</v>
      </c>
      <c r="D3" s="4" t="s">
        <v>105</v>
      </c>
      <c r="E3" s="4" t="s">
        <v>106</v>
      </c>
      <c r="F3" s="4" t="s">
        <v>104</v>
      </c>
      <c r="G3" s="3" t="n">
        <v>1</v>
      </c>
      <c r="H3" s="6" t="n">
        <v>24.4</v>
      </c>
      <c r="I3" s="3" t="n">
        <v>4</v>
      </c>
      <c r="J3" s="3" t="n">
        <v>6</v>
      </c>
      <c r="K3" s="7" t="n">
        <v>3.01</v>
      </c>
      <c r="L3" s="7" t="n">
        <v>1.65</v>
      </c>
      <c r="M3" s="8" t="n">
        <v>1</v>
      </c>
      <c r="N3" s="8" t="n">
        <v>7</v>
      </c>
      <c r="O3" s="7" t="n">
        <v>3.01</v>
      </c>
      <c r="P3" s="6" t="n">
        <v>99.5</v>
      </c>
      <c r="Q3" s="4" t="s">
        <v>106</v>
      </c>
      <c r="R3" s="8" t="n">
        <v>17</v>
      </c>
      <c r="S3" s="6" t="n">
        <v>366.9</v>
      </c>
      <c r="T3" s="7" t="n">
        <f aca="false">IFERROR(S3/R3,"")</f>
        <v>21.5823529411765</v>
      </c>
      <c r="U3" s="6" t="n">
        <v>328.4</v>
      </c>
      <c r="V3" s="6" t="n">
        <v>289.9</v>
      </c>
      <c r="W3" s="8" t="n">
        <v>3</v>
      </c>
      <c r="X3" s="7" t="n">
        <f aca="false">IFERROR(S3/AH3,"")</f>
        <v>1.08872403560831</v>
      </c>
      <c r="Y3" s="9" t="n">
        <f aca="false">IFERROR(S3/AF3,"")</f>
        <v>0.497829036635007</v>
      </c>
      <c r="Z3" s="6" t="n">
        <v>11.6</v>
      </c>
      <c r="AA3" s="6" t="n">
        <v>19.4</v>
      </c>
      <c r="AB3" s="6" t="n">
        <v>36.92</v>
      </c>
      <c r="AC3" s="10" t="n">
        <v>0.529</v>
      </c>
      <c r="AD3" s="10" t="n">
        <v>0</v>
      </c>
      <c r="AE3" s="7" t="n">
        <v>0.697</v>
      </c>
      <c r="AF3" s="8" t="n">
        <v>737</v>
      </c>
      <c r="AG3" s="10" t="n">
        <v>0.67</v>
      </c>
      <c r="AH3" s="8" t="n">
        <v>337</v>
      </c>
      <c r="AI3" s="8" t="n">
        <v>243</v>
      </c>
      <c r="AJ3" s="6" t="n">
        <f aca="false">IFERROR(AI3/R3,"")</f>
        <v>14.2941176470588</v>
      </c>
      <c r="AK3" s="10" t="n">
        <v>0.5498</v>
      </c>
      <c r="AL3" s="8" t="n">
        <v>1223</v>
      </c>
      <c r="AM3" s="7" t="n">
        <f aca="false">IFERROR(AL3/AI3,"")</f>
        <v>5.03292181069959</v>
      </c>
      <c r="AN3" s="7" t="n">
        <v>3.37</v>
      </c>
      <c r="AO3" s="7" t="n">
        <v>1.663</v>
      </c>
      <c r="AP3" s="8" t="n">
        <v>18</v>
      </c>
      <c r="AQ3" s="7" t="n">
        <v>0.695454210425838</v>
      </c>
      <c r="AR3" s="6" t="n">
        <v>21.8106995884774</v>
      </c>
      <c r="AS3" s="7" t="n">
        <v>3.84242845461979</v>
      </c>
      <c r="AT3" s="8" t="n">
        <v>94</v>
      </c>
      <c r="AU3" s="6" t="n">
        <f aca="false">IFERROR(AT3/R3,"")</f>
        <v>5.52941176470588</v>
      </c>
      <c r="AV3" s="10" t="n">
        <v>0.1709</v>
      </c>
      <c r="AW3" s="8" t="n">
        <v>77</v>
      </c>
      <c r="AX3" s="10" t="n">
        <f aca="false">IFERROR(AW3/AT3,"")</f>
        <v>0.819148936170213</v>
      </c>
      <c r="AY3" s="8" t="n">
        <v>616</v>
      </c>
      <c r="AZ3" s="7" t="n">
        <f aca="false">IFERROR(AY3/AT3,"")</f>
        <v>6.5531914893617</v>
      </c>
      <c r="BA3" s="8" t="n">
        <v>67</v>
      </c>
      <c r="BB3" s="8" t="n">
        <v>26</v>
      </c>
      <c r="BC3" s="8" t="n">
        <v>12</v>
      </c>
      <c r="BD3" s="8" t="n">
        <v>18</v>
      </c>
      <c r="BE3" s="7" t="n">
        <v>12.01</v>
      </c>
      <c r="BF3" s="7" t="n">
        <f aca="false">IFERROR(BD3-BE3,"")</f>
        <v>5.99</v>
      </c>
      <c r="BG3" s="9" t="n">
        <f aca="false">IFERROR(BD3/AH3,"")</f>
        <v>0.0534124629080119</v>
      </c>
      <c r="BH3" s="6" t="n">
        <v>46.7</v>
      </c>
      <c r="BI3" s="6" t="n">
        <v>50</v>
      </c>
      <c r="BJ3" s="6" t="n">
        <v>44.8</v>
      </c>
      <c r="BK3" s="7" t="n">
        <v>2.796</v>
      </c>
      <c r="BL3" s="10" t="n">
        <v>0.1795</v>
      </c>
      <c r="BM3" s="10" t="n">
        <v>0.645161290322581</v>
      </c>
      <c r="BN3" s="7" t="n">
        <v>2.844</v>
      </c>
      <c r="BO3" s="10" t="n">
        <v>0.2646</v>
      </c>
      <c r="BP3" s="10" t="n">
        <v>0.0608</v>
      </c>
      <c r="BQ3" s="7" t="n">
        <v>2.297</v>
      </c>
      <c r="BR3" s="10" t="n">
        <v>0.521</v>
      </c>
      <c r="BS3" s="8" t="n">
        <v>3</v>
      </c>
      <c r="BT3" s="10" t="n">
        <v>-0.0456</v>
      </c>
      <c r="BU3" s="10" t="n">
        <v>0.5469</v>
      </c>
      <c r="BV3" s="6" t="n">
        <v>61.82</v>
      </c>
      <c r="BW3" s="6" t="n">
        <v>38</v>
      </c>
      <c r="BX3" s="7" t="n">
        <v>3.82</v>
      </c>
      <c r="BY3" s="6" t="n">
        <v>28.3</v>
      </c>
      <c r="BZ3" s="9" t="n">
        <v>-0.0408</v>
      </c>
      <c r="CA3" s="9" t="n">
        <v>0.1681</v>
      </c>
      <c r="CB3" s="8" t="n">
        <v>79</v>
      </c>
      <c r="CC3" s="10" t="n">
        <v>0.144</v>
      </c>
      <c r="CD3" s="8" t="n">
        <v>167</v>
      </c>
      <c r="CE3" s="10" t="n">
        <v>0.378</v>
      </c>
      <c r="CF3" s="8" t="n">
        <v>45</v>
      </c>
      <c r="CG3" s="7" t="n">
        <v>-0.061</v>
      </c>
      <c r="CH3" s="7" t="n">
        <v>-0.061</v>
      </c>
      <c r="CI3" s="4" t="s">
        <v>102</v>
      </c>
      <c r="CJ3" s="4"/>
    </row>
    <row r="4" customFormat="false" ht="15" hidden="false" customHeight="false" outlineLevel="0" collapsed="false">
      <c r="A4" s="3" t="n">
        <v>2</v>
      </c>
      <c r="B4" s="4" t="s">
        <v>110</v>
      </c>
      <c r="C4" s="11" t="s">
        <v>104</v>
      </c>
      <c r="D4" s="4" t="s">
        <v>111</v>
      </c>
      <c r="E4" s="4" t="s">
        <v>112</v>
      </c>
      <c r="F4" s="4" t="s">
        <v>104</v>
      </c>
      <c r="G4" s="3" t="n">
        <v>1</v>
      </c>
      <c r="H4" s="6" t="n">
        <v>24.5</v>
      </c>
      <c r="I4" s="3" t="n">
        <v>4</v>
      </c>
      <c r="J4" s="3" t="n">
        <v>11</v>
      </c>
      <c r="K4" s="7" t="n">
        <v>3.5</v>
      </c>
      <c r="L4" s="7" t="n">
        <v>1.6</v>
      </c>
      <c r="M4" s="8" t="n">
        <v>1</v>
      </c>
      <c r="N4" s="8" t="n">
        <v>7</v>
      </c>
      <c r="O4" s="7" t="n">
        <v>3.5</v>
      </c>
      <c r="P4" s="6" t="n">
        <v>99.4</v>
      </c>
      <c r="Q4" s="4" t="s">
        <v>112</v>
      </c>
      <c r="R4" s="8" t="n">
        <v>17</v>
      </c>
      <c r="S4" s="6" t="n">
        <v>370.8</v>
      </c>
      <c r="T4" s="7" t="n">
        <f aca="false">IFERROR(S4/R4,"")</f>
        <v>21.8117647058824</v>
      </c>
      <c r="U4" s="6" t="n">
        <v>331.3</v>
      </c>
      <c r="V4" s="6" t="n">
        <v>291.8</v>
      </c>
      <c r="W4" s="8" t="n">
        <v>2</v>
      </c>
      <c r="X4" s="7" t="n">
        <f aca="false">IFERROR(S4/AH4,"")</f>
        <v>0.950769230769231</v>
      </c>
      <c r="Y4" s="9" t="n">
        <f aca="false">IFERROR(S4/AF4,"")</f>
        <v>0.431162790697674</v>
      </c>
      <c r="Z4" s="6" t="n">
        <v>14.7</v>
      </c>
      <c r="AA4" s="6" t="n">
        <v>21.2</v>
      </c>
      <c r="AB4" s="6" t="n">
        <v>30.3</v>
      </c>
      <c r="AC4" s="10" t="n">
        <v>0.706</v>
      </c>
      <c r="AD4" s="10" t="n">
        <v>0</v>
      </c>
      <c r="AE4" s="7" t="n">
        <v>0.484</v>
      </c>
      <c r="AF4" s="8" t="n">
        <v>860</v>
      </c>
      <c r="AG4" s="10" t="n">
        <v>0.782</v>
      </c>
      <c r="AH4" s="8" t="n">
        <v>390</v>
      </c>
      <c r="AI4" s="8" t="n">
        <v>287</v>
      </c>
      <c r="AJ4" s="6" t="n">
        <f aca="false">IFERROR(AI4/R4,"")</f>
        <v>16.8823529411765</v>
      </c>
      <c r="AK4" s="10" t="n">
        <v>0.6017</v>
      </c>
      <c r="AL4" s="8" t="n">
        <v>1478</v>
      </c>
      <c r="AM4" s="7" t="n">
        <f aca="false">IFERROR(AL4/AI4,"")</f>
        <v>5.14982578397213</v>
      </c>
      <c r="AN4" s="7" t="n">
        <v>2.829</v>
      </c>
      <c r="AO4" s="7" t="n">
        <v>2.321</v>
      </c>
      <c r="AP4" s="8" t="n">
        <v>22</v>
      </c>
      <c r="AQ4" s="7" t="n">
        <v>0.908504823439901</v>
      </c>
      <c r="AR4" s="6" t="n">
        <v>14.6341463414634</v>
      </c>
      <c r="AS4" s="7" t="n">
        <v>3.90630581867388</v>
      </c>
      <c r="AT4" s="8" t="n">
        <v>103</v>
      </c>
      <c r="AU4" s="6" t="n">
        <f aca="false">IFERROR(AT4/R4,"")</f>
        <v>6.05882352941176</v>
      </c>
      <c r="AV4" s="10" t="n">
        <v>0.1985</v>
      </c>
      <c r="AW4" s="8" t="n">
        <v>79</v>
      </c>
      <c r="AX4" s="10" t="n">
        <f aca="false">IFERROR(AW4/AT4,"")</f>
        <v>0.766990291262136</v>
      </c>
      <c r="AY4" s="8" t="n">
        <v>820</v>
      </c>
      <c r="AZ4" s="7" t="n">
        <f aca="false">IFERROR(AY4/AT4,"")</f>
        <v>7.96116504854369</v>
      </c>
      <c r="BA4" s="8" t="n">
        <v>48</v>
      </c>
      <c r="BB4" s="8" t="n">
        <v>21</v>
      </c>
      <c r="BC4" s="8" t="n">
        <v>11</v>
      </c>
      <c r="BD4" s="8" t="n">
        <v>11</v>
      </c>
      <c r="BE4" s="7" t="n">
        <v>11.31</v>
      </c>
      <c r="BF4" s="7" t="n">
        <f aca="false">IFERROR(BD4-BE4,"")</f>
        <v>-0.310000000000001</v>
      </c>
      <c r="BG4" s="9" t="n">
        <f aca="false">IFERROR(BD4/AH4,"")</f>
        <v>0.0282051282051282</v>
      </c>
      <c r="BH4" s="6" t="n">
        <v>62.4</v>
      </c>
      <c r="BI4" s="6" t="n">
        <v>52.7</v>
      </c>
      <c r="BJ4" s="6" t="n">
        <v>66.9</v>
      </c>
      <c r="BK4" s="7" t="n">
        <v>3.071</v>
      </c>
      <c r="BL4" s="10" t="n">
        <v>0.1627</v>
      </c>
      <c r="BM4" s="10" t="n">
        <v>0.523809523809524</v>
      </c>
      <c r="BN4" s="7" t="n">
        <v>2.522</v>
      </c>
      <c r="BO4" s="10" t="n">
        <v>0.2037</v>
      </c>
      <c r="BP4" s="10" t="n">
        <v>0.0494</v>
      </c>
      <c r="BQ4" s="7" t="n">
        <v>2.4</v>
      </c>
      <c r="BR4" s="10" t="n">
        <v>0.798</v>
      </c>
      <c r="BS4" s="8" t="n">
        <v>4</v>
      </c>
      <c r="BT4" s="10" t="n">
        <v>-0.0621</v>
      </c>
      <c r="BU4" s="10" t="n">
        <v>0.549</v>
      </c>
      <c r="BV4" s="6" t="n">
        <v>60.94</v>
      </c>
      <c r="BW4" s="6" t="n">
        <v>38</v>
      </c>
      <c r="BX4" s="7" t="n">
        <v>3.12</v>
      </c>
      <c r="BY4" s="6" t="n">
        <v>20.8</v>
      </c>
      <c r="BZ4" s="9" t="n">
        <v>-0.0314</v>
      </c>
      <c r="CA4" s="9" t="n">
        <v>-0.0132</v>
      </c>
      <c r="CB4" s="8" t="n">
        <v>151</v>
      </c>
      <c r="CC4" s="10" t="n">
        <v>0.291</v>
      </c>
      <c r="CD4" s="8" t="n">
        <v>160</v>
      </c>
      <c r="CE4" s="10" t="n">
        <v>0.335</v>
      </c>
      <c r="CF4" s="8" t="n">
        <v>49</v>
      </c>
      <c r="CG4" s="7" t="n">
        <v>0.018</v>
      </c>
      <c r="CH4" s="7" t="n">
        <v>0.018</v>
      </c>
      <c r="CI4" s="4" t="s">
        <v>102</v>
      </c>
      <c r="CJ4" s="4"/>
    </row>
    <row r="5" customFormat="false" ht="15" hidden="false" customHeight="false" outlineLevel="0" collapsed="false">
      <c r="A5" s="3" t="n">
        <v>3</v>
      </c>
      <c r="B5" s="4" t="s">
        <v>122</v>
      </c>
      <c r="C5" s="11" t="s">
        <v>104</v>
      </c>
      <c r="D5" s="4" t="s">
        <v>123</v>
      </c>
      <c r="E5" s="4" t="s">
        <v>124</v>
      </c>
      <c r="F5" s="4" t="s">
        <v>104</v>
      </c>
      <c r="G5" s="3" t="n">
        <v>1</v>
      </c>
      <c r="H5" s="6" t="n">
        <v>30.2</v>
      </c>
      <c r="I5" s="3" t="n">
        <v>10</v>
      </c>
      <c r="J5" s="3" t="n">
        <v>8</v>
      </c>
      <c r="K5" s="7" t="n">
        <v>9.29</v>
      </c>
      <c r="L5" s="7" t="n">
        <v>5.12</v>
      </c>
      <c r="M5" s="8" t="n">
        <v>2</v>
      </c>
      <c r="N5" s="8" t="n">
        <v>31</v>
      </c>
      <c r="O5" s="7" t="n">
        <v>9.29</v>
      </c>
      <c r="P5" s="6" t="n">
        <v>99.5</v>
      </c>
      <c r="Q5" s="4" t="s">
        <v>124</v>
      </c>
      <c r="R5" s="8" t="n">
        <v>17</v>
      </c>
      <c r="S5" s="6" t="n">
        <v>416.6</v>
      </c>
      <c r="T5" s="7" t="n">
        <f aca="false">IFERROR(S5/R5,"")</f>
        <v>24.5058823529412</v>
      </c>
      <c r="U5" s="6" t="n">
        <v>365.6</v>
      </c>
      <c r="V5" s="6" t="n">
        <v>314.6</v>
      </c>
      <c r="W5" s="8" t="n">
        <v>1</v>
      </c>
      <c r="X5" s="7" t="n">
        <f aca="false">IFERROR(S5/AH5,"")</f>
        <v>0.946818181818182</v>
      </c>
      <c r="Y5" s="9" t="n">
        <f aca="false">IFERROR(S5/AF5,"")</f>
        <v>0.446995708154506</v>
      </c>
      <c r="Z5" s="6" t="n">
        <v>17.6</v>
      </c>
      <c r="AA5" s="6" t="n">
        <v>24.1</v>
      </c>
      <c r="AB5" s="6" t="n">
        <v>33.62</v>
      </c>
      <c r="AC5" s="10" t="n">
        <v>0.824</v>
      </c>
      <c r="AD5" s="10" t="n">
        <v>0</v>
      </c>
      <c r="AE5" s="7" t="n">
        <v>0.341</v>
      </c>
      <c r="AF5" s="8" t="n">
        <v>932</v>
      </c>
      <c r="AG5" s="10" t="n">
        <v>0.831</v>
      </c>
      <c r="AH5" s="8" t="n">
        <v>440</v>
      </c>
      <c r="AI5" s="8" t="n">
        <v>311</v>
      </c>
      <c r="AJ5" s="6" t="n">
        <f aca="false">IFERROR(AI5/R5,"")</f>
        <v>18.2941176470588</v>
      </c>
      <c r="AK5" s="10" t="n">
        <v>0.6466</v>
      </c>
      <c r="AL5" s="8" t="n">
        <v>1202</v>
      </c>
      <c r="AM5" s="7" t="n">
        <f aca="false">IFERROR(AL5/AI5,"")</f>
        <v>3.86495176848875</v>
      </c>
      <c r="AN5" s="7" t="n">
        <v>2.341</v>
      </c>
      <c r="AO5" s="7" t="n">
        <v>1.524</v>
      </c>
      <c r="AP5" s="8" t="n">
        <v>10</v>
      </c>
      <c r="AQ5" s="7" t="n">
        <v>-0.544367599275668</v>
      </c>
      <c r="AR5" s="6" t="n">
        <v>29.2604501607717</v>
      </c>
      <c r="AS5" s="7" t="n">
        <v>4.40319467554077</v>
      </c>
      <c r="AT5" s="8" t="n">
        <v>129</v>
      </c>
      <c r="AU5" s="6" t="n">
        <f aca="false">IFERROR(AT5/R5,"")</f>
        <v>7.58823529411765</v>
      </c>
      <c r="AV5" s="10" t="n">
        <v>0.2345</v>
      </c>
      <c r="AW5" s="8" t="n">
        <v>102</v>
      </c>
      <c r="AX5" s="10" t="n">
        <f aca="false">IFERROR(AW5/AT5,"")</f>
        <v>0.790697674418605</v>
      </c>
      <c r="AY5" s="8" t="n">
        <v>924</v>
      </c>
      <c r="AZ5" s="7" t="n">
        <f aca="false">IFERROR(AY5/AT5,"")</f>
        <v>7.16279069767442</v>
      </c>
      <c r="BA5" s="8" t="n">
        <v>100</v>
      </c>
      <c r="BB5" s="8" t="n">
        <v>50</v>
      </c>
      <c r="BC5" s="8" t="n">
        <v>24</v>
      </c>
      <c r="BD5" s="8" t="n">
        <v>17</v>
      </c>
      <c r="BE5" s="7" t="n">
        <v>20.98</v>
      </c>
      <c r="BF5" s="7" t="n">
        <f aca="false">IFERROR(BD5-BE5,"")</f>
        <v>-3.98</v>
      </c>
      <c r="BG5" s="9" t="n">
        <f aca="false">IFERROR(BD5/AH5,"")</f>
        <v>0.0386363636363636</v>
      </c>
      <c r="BH5" s="6" t="n">
        <v>63.3</v>
      </c>
      <c r="BI5" s="6" t="n">
        <v>46.4</v>
      </c>
      <c r="BJ5" s="6" t="n">
        <v>74.5</v>
      </c>
      <c r="BK5" s="7" t="n">
        <v>2.906</v>
      </c>
      <c r="BL5" s="10" t="n">
        <v>0.1848</v>
      </c>
      <c r="BM5" s="10" t="n">
        <v>0.655172413793103</v>
      </c>
      <c r="BN5" s="7" t="n">
        <v>2.349</v>
      </c>
      <c r="BO5" s="10" t="n">
        <v>0.2125</v>
      </c>
      <c r="BP5" s="10" t="n">
        <v>0.0428</v>
      </c>
      <c r="BQ5" s="7" t="n">
        <v>2.547</v>
      </c>
      <c r="BR5" s="10" t="n">
        <v>0.852</v>
      </c>
      <c r="BS5" s="8" t="n">
        <v>4</v>
      </c>
      <c r="BT5" s="10" t="n">
        <v>-0.0088</v>
      </c>
      <c r="BU5" s="10" t="n">
        <v>0.5521</v>
      </c>
      <c r="BV5" s="6" t="n">
        <v>62.65</v>
      </c>
      <c r="BW5" s="6" t="n">
        <v>38</v>
      </c>
      <c r="BX5" s="7" t="n">
        <v>3.88</v>
      </c>
      <c r="BY5" s="6" t="n">
        <v>25.7</v>
      </c>
      <c r="BZ5" s="9" t="n">
        <v>-0.0044</v>
      </c>
      <c r="CA5" s="9" t="n">
        <v>0.1587</v>
      </c>
      <c r="CB5" s="8" t="n">
        <v>170</v>
      </c>
      <c r="CC5" s="10" t="n">
        <v>0.309</v>
      </c>
      <c r="CD5" s="8" t="n">
        <v>94</v>
      </c>
      <c r="CE5" s="10" t="n">
        <v>0.195</v>
      </c>
      <c r="CF5" s="8" t="n">
        <v>38</v>
      </c>
      <c r="CG5" s="7" t="n">
        <v>0.098</v>
      </c>
      <c r="CH5" s="7" t="n">
        <v>0.097</v>
      </c>
      <c r="CI5" s="4" t="s">
        <v>102</v>
      </c>
      <c r="CJ5" s="4"/>
    </row>
    <row r="6" customFormat="false" ht="15" hidden="false" customHeight="false" outlineLevel="0" collapsed="false">
      <c r="A6" s="3" t="n">
        <v>4</v>
      </c>
      <c r="B6" s="4" t="s">
        <v>128</v>
      </c>
      <c r="C6" s="11" t="s">
        <v>104</v>
      </c>
      <c r="D6" s="4" t="s">
        <v>129</v>
      </c>
      <c r="E6" s="4" t="s">
        <v>130</v>
      </c>
      <c r="F6" s="4" t="s">
        <v>104</v>
      </c>
      <c r="G6" s="3" t="n">
        <v>1</v>
      </c>
      <c r="H6" s="6" t="n">
        <v>27.6</v>
      </c>
      <c r="I6" s="3" t="n">
        <v>7</v>
      </c>
      <c r="J6" s="3" t="n">
        <v>13</v>
      </c>
      <c r="K6" s="7" t="n">
        <v>11.77</v>
      </c>
      <c r="L6" s="7" t="n">
        <v>5.03</v>
      </c>
      <c r="M6" s="8" t="n">
        <v>6</v>
      </c>
      <c r="N6" s="8" t="n">
        <v>33</v>
      </c>
      <c r="O6" s="7" t="n">
        <v>11.77</v>
      </c>
      <c r="P6" s="6" t="n">
        <v>99.4</v>
      </c>
      <c r="Q6" s="4" t="s">
        <v>130</v>
      </c>
      <c r="R6" s="8" t="n">
        <v>17</v>
      </c>
      <c r="S6" s="6" t="n">
        <v>362.3</v>
      </c>
      <c r="T6" s="7" t="n">
        <f aca="false">IFERROR(S6/R6,"")</f>
        <v>21.3117647058824</v>
      </c>
      <c r="U6" s="6" t="n">
        <v>339.3</v>
      </c>
      <c r="V6" s="6" t="n">
        <v>316.3</v>
      </c>
      <c r="W6" s="8" t="n">
        <v>4</v>
      </c>
      <c r="X6" s="7" t="n">
        <f aca="false">IFERROR(S6/AH6,"")</f>
        <v>0.958465608465609</v>
      </c>
      <c r="Y6" s="9" t="n">
        <f aca="false">IFERROR(S6/AF6,"")</f>
        <v>0.410305775764439</v>
      </c>
      <c r="Z6" s="6" t="n">
        <v>12.8</v>
      </c>
      <c r="AA6" s="6" t="n">
        <v>16.9</v>
      </c>
      <c r="AB6" s="6" t="n">
        <v>33.64</v>
      </c>
      <c r="AC6" s="10" t="n">
        <v>0.471</v>
      </c>
      <c r="AD6" s="10" t="n">
        <v>0</v>
      </c>
      <c r="AE6" s="7" t="n">
        <v>0.736</v>
      </c>
      <c r="AF6" s="8" t="n">
        <v>883</v>
      </c>
      <c r="AG6" s="10" t="n">
        <v>0.826</v>
      </c>
      <c r="AH6" s="8" t="n">
        <v>378</v>
      </c>
      <c r="AI6" s="8" t="n">
        <v>323</v>
      </c>
      <c r="AJ6" s="6" t="n">
        <f aca="false">IFERROR(AI6/R6,"")</f>
        <v>19</v>
      </c>
      <c r="AK6" s="10" t="n">
        <v>0.7308</v>
      </c>
      <c r="AL6" s="8" t="n">
        <v>1585</v>
      </c>
      <c r="AM6" s="7" t="n">
        <f aca="false">IFERROR(AL6/AI6,"")</f>
        <v>4.90712074303406</v>
      </c>
      <c r="AN6" s="7" t="n">
        <v>2.471</v>
      </c>
      <c r="AO6" s="7" t="n">
        <v>2.437</v>
      </c>
      <c r="AP6" s="8" t="n">
        <v>27</v>
      </c>
      <c r="AQ6" s="7" t="n">
        <v>0.613373471242784</v>
      </c>
      <c r="AR6" s="6" t="n">
        <v>17.9566563467492</v>
      </c>
      <c r="AS6" s="7" t="n">
        <v>3.46654258675079</v>
      </c>
      <c r="AT6" s="8" t="n">
        <v>55</v>
      </c>
      <c r="AU6" s="6" t="n">
        <f aca="false">IFERROR(AT6/R6,"")</f>
        <v>3.23529411764706</v>
      </c>
      <c r="AV6" s="10" t="n">
        <v>0.1038</v>
      </c>
      <c r="AW6" s="8" t="n">
        <v>46</v>
      </c>
      <c r="AX6" s="10" t="n">
        <f aca="false">IFERROR(AW6/AT6,"")</f>
        <v>0.836363636363636</v>
      </c>
      <c r="AY6" s="8" t="n">
        <v>378</v>
      </c>
      <c r="AZ6" s="7" t="n">
        <f aca="false">IFERROR(AY6/AT6,"")</f>
        <v>6.87272727272727</v>
      </c>
      <c r="BA6" s="8" t="n">
        <v>74</v>
      </c>
      <c r="BB6" s="8" t="n">
        <v>40</v>
      </c>
      <c r="BC6" s="8" t="n">
        <v>23</v>
      </c>
      <c r="BD6" s="8" t="n">
        <v>20</v>
      </c>
      <c r="BE6" s="7" t="n">
        <v>15.33</v>
      </c>
      <c r="BF6" s="7" t="n">
        <f aca="false">IFERROR(BD6-BE6,"")</f>
        <v>4.67</v>
      </c>
      <c r="BG6" s="9" t="n">
        <f aca="false">IFERROR(BD6/AH6,"")</f>
        <v>0.0529100529100529</v>
      </c>
      <c r="BH6" s="6" t="n">
        <v>60.3</v>
      </c>
      <c r="BI6" s="6" t="n">
        <v>57.7</v>
      </c>
      <c r="BJ6" s="6" t="n">
        <v>58.5</v>
      </c>
      <c r="BK6" s="7" t="n">
        <v>3.072</v>
      </c>
      <c r="BL6" s="10" t="n">
        <v>0.1487</v>
      </c>
      <c r="BM6" s="10" t="n">
        <v>0.6875</v>
      </c>
      <c r="BN6" s="7" t="n">
        <v>2.428</v>
      </c>
      <c r="BO6" s="10" t="n">
        <v>0.2121</v>
      </c>
      <c r="BP6" s="10" t="n">
        <v>0.047</v>
      </c>
      <c r="BQ6" s="7" t="n">
        <v>2.237</v>
      </c>
      <c r="BR6" s="10" t="n">
        <v>0.832</v>
      </c>
      <c r="BS6" s="8" t="n">
        <v>5</v>
      </c>
      <c r="BT6" s="10" t="n">
        <v>-0.0091</v>
      </c>
      <c r="BU6" s="10" t="n">
        <v>0.5637</v>
      </c>
      <c r="BV6" s="6" t="n">
        <v>59.47</v>
      </c>
      <c r="BW6" s="6" t="n">
        <v>39</v>
      </c>
      <c r="BX6" s="7" t="n">
        <v>4.12</v>
      </c>
      <c r="BY6" s="6" t="n">
        <v>27.4</v>
      </c>
      <c r="BZ6" s="9" t="n">
        <v>0.094</v>
      </c>
      <c r="CA6" s="9" t="n">
        <v>0.0558</v>
      </c>
      <c r="CB6" s="8" t="n">
        <v>147</v>
      </c>
      <c r="CC6" s="10" t="n">
        <v>0.277</v>
      </c>
      <c r="CD6" s="8" t="n">
        <v>24</v>
      </c>
      <c r="CE6" s="10" t="n">
        <v>0.054</v>
      </c>
      <c r="CF6" s="8" t="n">
        <v>20</v>
      </c>
      <c r="CG6" s="7" t="n">
        <v>0.002</v>
      </c>
      <c r="CH6" s="7" t="n">
        <v>0.001</v>
      </c>
      <c r="CI6" s="4" t="s">
        <v>102</v>
      </c>
      <c r="CJ6" s="4"/>
    </row>
    <row r="7" customFormat="false" ht="15" hidden="false" customHeight="false" outlineLevel="0" collapsed="false">
      <c r="A7" s="3" t="n">
        <v>5</v>
      </c>
      <c r="B7" s="4" t="s">
        <v>140</v>
      </c>
      <c r="C7" s="11" t="s">
        <v>104</v>
      </c>
      <c r="D7" s="4" t="s">
        <v>141</v>
      </c>
      <c r="E7" s="4" t="s">
        <v>142</v>
      </c>
      <c r="F7" s="4" t="s">
        <v>104</v>
      </c>
      <c r="G7" s="3" t="n">
        <v>1</v>
      </c>
      <c r="H7" s="6" t="n">
        <v>22.7</v>
      </c>
      <c r="I7" s="3" t="n">
        <v>2</v>
      </c>
      <c r="J7" s="3" t="n">
        <v>13</v>
      </c>
      <c r="K7" s="7" t="n">
        <v>17.07</v>
      </c>
      <c r="L7" s="7" t="n">
        <v>5.84</v>
      </c>
      <c r="M7" s="8" t="n">
        <v>7</v>
      </c>
      <c r="N7" s="8" t="n">
        <v>39</v>
      </c>
      <c r="O7" s="7" t="n">
        <v>17.07</v>
      </c>
      <c r="P7" s="6" t="n">
        <v>99.3</v>
      </c>
      <c r="Q7" s="4" t="s">
        <v>142</v>
      </c>
      <c r="R7" s="8" t="n">
        <v>17</v>
      </c>
      <c r="S7" s="6" t="n">
        <v>245.1</v>
      </c>
      <c r="T7" s="7" t="n">
        <f aca="false">IFERROR(S7/R7,"")</f>
        <v>14.4176470588235</v>
      </c>
      <c r="U7" s="6" t="n">
        <v>217.6</v>
      </c>
      <c r="V7" s="6" t="n">
        <v>190.1</v>
      </c>
      <c r="W7" s="8" t="n">
        <v>11</v>
      </c>
      <c r="X7" s="7" t="n">
        <f aca="false">IFERROR(S7/AH7,"")</f>
        <v>0.723008849557522</v>
      </c>
      <c r="Y7" s="9" t="n">
        <f aca="false">IFERROR(S7/AF7,"")</f>
        <v>0.317898832684825</v>
      </c>
      <c r="Z7" s="6" t="n">
        <v>8.2</v>
      </c>
      <c r="AA7" s="6" t="n">
        <v>12.1</v>
      </c>
      <c r="AB7" s="6" t="n">
        <v>22.84</v>
      </c>
      <c r="AC7" s="10" t="n">
        <v>0.294</v>
      </c>
      <c r="AD7" s="10" t="n">
        <v>0</v>
      </c>
      <c r="AE7" s="7" t="n">
        <v>0.718</v>
      </c>
      <c r="AF7" s="8" t="n">
        <v>771</v>
      </c>
      <c r="AG7" s="10" t="n">
        <v>0.779</v>
      </c>
      <c r="AH7" s="8" t="n">
        <v>339</v>
      </c>
      <c r="AI7" s="8" t="n">
        <v>266</v>
      </c>
      <c r="AJ7" s="6" t="n">
        <f aca="false">IFERROR(AI7/R7,"")</f>
        <v>15.6470588235294</v>
      </c>
      <c r="AK7" s="10" t="n">
        <v>0.7209</v>
      </c>
      <c r="AL7" s="8" t="n">
        <v>975</v>
      </c>
      <c r="AM7" s="7" t="n">
        <f aca="false">IFERROR(AL7/AI7,"")</f>
        <v>3.66541353383459</v>
      </c>
      <c r="AN7" s="7" t="n">
        <v>1.575</v>
      </c>
      <c r="AO7" s="7" t="n">
        <v>2.09</v>
      </c>
      <c r="AP7" s="8" t="n">
        <v>24</v>
      </c>
      <c r="AQ7" s="7" t="n">
        <v>-0.194656812310075</v>
      </c>
      <c r="AR7" s="6" t="n">
        <v>16.1654135338346</v>
      </c>
      <c r="AS7" s="7" t="n">
        <v>4.11495384615385</v>
      </c>
      <c r="AT7" s="8" t="n">
        <v>73</v>
      </c>
      <c r="AU7" s="6" t="n">
        <f aca="false">IFERROR(AT7/R7,"")</f>
        <v>4.29411764705882</v>
      </c>
      <c r="AV7" s="10" t="n">
        <v>0.1478</v>
      </c>
      <c r="AW7" s="8" t="n">
        <v>55</v>
      </c>
      <c r="AX7" s="10" t="n">
        <f aca="false">IFERROR(AW7/AT7,"")</f>
        <v>0.753424657534247</v>
      </c>
      <c r="AY7" s="8" t="n">
        <v>346</v>
      </c>
      <c r="AZ7" s="7" t="n">
        <f aca="false">IFERROR(AY7/AT7,"")</f>
        <v>4.73972602739726</v>
      </c>
      <c r="BA7" s="8" t="n">
        <v>44</v>
      </c>
      <c r="BB7" s="8" t="n">
        <v>19</v>
      </c>
      <c r="BC7" s="8" t="n">
        <v>11</v>
      </c>
      <c r="BD7" s="8" t="n">
        <v>10</v>
      </c>
      <c r="BE7" s="7" t="n">
        <v>9.11</v>
      </c>
      <c r="BF7" s="7" t="n">
        <f aca="false">IFERROR(BD7-BE7,"")</f>
        <v>0.890000000000001</v>
      </c>
      <c r="BG7" s="9" t="n">
        <f aca="false">IFERROR(BD7/AH7,"")</f>
        <v>0.0294985250737463</v>
      </c>
      <c r="BH7" s="6" t="n">
        <v>15.2</v>
      </c>
      <c r="BI7" s="6" t="n">
        <v>7.8</v>
      </c>
      <c r="BJ7" s="6" t="n">
        <v>37.5</v>
      </c>
      <c r="BK7" s="7" t="n">
        <v>2.49</v>
      </c>
      <c r="BL7" s="10" t="n">
        <v>0.2502</v>
      </c>
      <c r="BM7" s="10" t="n">
        <v>0.366666666666667</v>
      </c>
      <c r="BN7" s="7" t="n">
        <v>1.629</v>
      </c>
      <c r="BO7" s="10" t="n">
        <v>0.2641</v>
      </c>
      <c r="BP7" s="10" t="n">
        <v>0.1019</v>
      </c>
      <c r="BQ7" s="7" t="n">
        <v>2.487</v>
      </c>
      <c r="BR7" s="10" t="n">
        <v>0.384</v>
      </c>
      <c r="BS7" s="8" t="n">
        <v>2</v>
      </c>
      <c r="BT7" s="10" t="n">
        <v>-0.0175</v>
      </c>
      <c r="BU7" s="10" t="n">
        <v>0.5679</v>
      </c>
      <c r="BV7" s="6" t="n">
        <v>55.41</v>
      </c>
      <c r="BW7" s="6" t="n">
        <v>38</v>
      </c>
      <c r="BX7" s="7" t="n">
        <v>2.24</v>
      </c>
      <c r="BY7" s="6" t="n">
        <v>14.2</v>
      </c>
      <c r="BZ7" s="9" t="n">
        <v>-0.2605</v>
      </c>
      <c r="CA7" s="9" t="n">
        <v>-0.187</v>
      </c>
      <c r="CB7" s="8" t="n">
        <v>55</v>
      </c>
      <c r="CC7" s="10" t="n">
        <v>0.111</v>
      </c>
      <c r="CD7" s="8" t="n">
        <v>58</v>
      </c>
      <c r="CE7" s="10" t="n">
        <v>0.157</v>
      </c>
      <c r="CF7" s="8" t="n">
        <v>13</v>
      </c>
      <c r="CG7" s="7" t="n">
        <v>-0.27</v>
      </c>
      <c r="CH7" s="7" t="n">
        <v>-0.489</v>
      </c>
      <c r="CI7" s="4" t="s">
        <v>102</v>
      </c>
      <c r="CJ7" s="4"/>
    </row>
    <row r="8" customFormat="false" ht="15" hidden="false" customHeight="false" outlineLevel="0" collapsed="false">
      <c r="A8" s="3" t="n">
        <v>6</v>
      </c>
      <c r="B8" s="4" t="s">
        <v>143</v>
      </c>
      <c r="C8" s="11" t="s">
        <v>104</v>
      </c>
      <c r="D8" s="4" t="s">
        <v>144</v>
      </c>
      <c r="E8" s="4" t="s">
        <v>101</v>
      </c>
      <c r="F8" s="4" t="s">
        <v>104</v>
      </c>
      <c r="G8" s="3" t="n">
        <v>1</v>
      </c>
      <c r="H8" s="6" t="n">
        <v>26.4</v>
      </c>
      <c r="I8" s="3" t="n">
        <v>4</v>
      </c>
      <c r="J8" s="3" t="n">
        <v>6</v>
      </c>
      <c r="K8" s="7" t="n">
        <v>17.85</v>
      </c>
      <c r="L8" s="7" t="n">
        <v>6.26</v>
      </c>
      <c r="M8" s="8" t="n">
        <v>7</v>
      </c>
      <c r="N8" s="8" t="n">
        <v>34</v>
      </c>
      <c r="O8" s="7" t="n">
        <v>17.85</v>
      </c>
      <c r="P8" s="6" t="n">
        <v>98.6</v>
      </c>
      <c r="Q8" s="4" t="s">
        <v>101</v>
      </c>
      <c r="R8" s="8" t="n">
        <v>17</v>
      </c>
      <c r="S8" s="6" t="n">
        <v>282.6</v>
      </c>
      <c r="T8" s="7" t="n">
        <f aca="false">IFERROR(S8/R8,"")</f>
        <v>16.6235294117647</v>
      </c>
      <c r="U8" s="6" t="n">
        <v>248.1</v>
      </c>
      <c r="V8" s="6" t="n">
        <v>213.6</v>
      </c>
      <c r="W8" s="8" t="n">
        <v>7</v>
      </c>
      <c r="X8" s="7" t="n">
        <f aca="false">IFERROR(S8/AH8,"")</f>
        <v>0.883125</v>
      </c>
      <c r="Y8" s="9" t="n">
        <f aca="false">IFERROR(S8/AF8,"")</f>
        <v>0.382926829268293</v>
      </c>
      <c r="Z8" s="6" t="n">
        <v>11.8</v>
      </c>
      <c r="AA8" s="6" t="n">
        <v>16</v>
      </c>
      <c r="AB8" s="6" t="n">
        <v>22.98</v>
      </c>
      <c r="AC8" s="10" t="n">
        <v>0.471</v>
      </c>
      <c r="AD8" s="10" t="n">
        <v>0</v>
      </c>
      <c r="AE8" s="7" t="n">
        <v>0.459</v>
      </c>
      <c r="AF8" s="8" t="n">
        <v>738</v>
      </c>
      <c r="AG8" s="10" t="n">
        <v>0.666</v>
      </c>
      <c r="AH8" s="8" t="n">
        <v>320</v>
      </c>
      <c r="AI8" s="8" t="n">
        <v>232</v>
      </c>
      <c r="AJ8" s="6" t="n">
        <f aca="false">IFERROR(AI8/R8,"")</f>
        <v>13.6470588235294</v>
      </c>
      <c r="AK8" s="10" t="n">
        <v>0.6089</v>
      </c>
      <c r="AL8" s="8" t="n">
        <v>1019</v>
      </c>
      <c r="AM8" s="7" t="n">
        <f aca="false">IFERROR(AL8/AI8,"")</f>
        <v>4.39224137931035</v>
      </c>
      <c r="AN8" s="7" t="n">
        <v>2.263</v>
      </c>
      <c r="AO8" s="7" t="n">
        <v>2.129</v>
      </c>
      <c r="AP8" s="8" t="n">
        <v>16</v>
      </c>
      <c r="AQ8" s="7" t="n">
        <v>0.337435548111542</v>
      </c>
      <c r="AR8" s="6" t="n">
        <v>15.948275862069</v>
      </c>
      <c r="AS8" s="7" t="n">
        <v>3.55215897939156</v>
      </c>
      <c r="AT8" s="8" t="n">
        <v>88</v>
      </c>
      <c r="AU8" s="6" t="n">
        <f aca="false">IFERROR(AT8/R8,"")</f>
        <v>5.17647058823529</v>
      </c>
      <c r="AV8" s="10" t="n">
        <v>0.1447</v>
      </c>
      <c r="AW8" s="8" t="n">
        <v>69</v>
      </c>
      <c r="AX8" s="10" t="n">
        <f aca="false">IFERROR(AW8/AT8,"")</f>
        <v>0.784090909090909</v>
      </c>
      <c r="AY8" s="8" t="n">
        <v>437</v>
      </c>
      <c r="AZ8" s="7" t="n">
        <f aca="false">IFERROR(AY8/AT8,"")</f>
        <v>4.96590909090909</v>
      </c>
      <c r="BA8" s="8" t="n">
        <v>47</v>
      </c>
      <c r="BB8" s="8" t="n">
        <v>24</v>
      </c>
      <c r="BC8" s="8" t="n">
        <v>15</v>
      </c>
      <c r="BD8" s="8" t="n">
        <v>11</v>
      </c>
      <c r="BE8" s="7" t="n">
        <v>11.78</v>
      </c>
      <c r="BF8" s="7" t="n">
        <f aca="false">IFERROR(BD8-BE8,"")</f>
        <v>-0.779999999999999</v>
      </c>
      <c r="BG8" s="9" t="n">
        <f aca="false">IFERROR(BD8/AH8,"")</f>
        <v>0.034375</v>
      </c>
      <c r="BH8" s="6" t="n">
        <v>60.4</v>
      </c>
      <c r="BI8" s="6" t="n">
        <v>63.4</v>
      </c>
      <c r="BJ8" s="6" t="n">
        <v>53</v>
      </c>
      <c r="BK8" s="7" t="n">
        <v>3.212</v>
      </c>
      <c r="BL8" s="10" t="n">
        <v>0.1072</v>
      </c>
      <c r="BM8" s="10" t="n">
        <v>0.657142857142857</v>
      </c>
      <c r="BN8" s="7" t="n">
        <v>2.249</v>
      </c>
      <c r="BO8" s="10" t="n">
        <v>0.2234</v>
      </c>
      <c r="BP8" s="10" t="n">
        <v>0.0527</v>
      </c>
      <c r="BQ8" s="7" t="n">
        <v>2.22</v>
      </c>
      <c r="BR8" s="10" t="n">
        <v>0.996</v>
      </c>
      <c r="BS8" s="8" t="n">
        <v>5</v>
      </c>
      <c r="BT8" s="10" t="n">
        <v>0.0172</v>
      </c>
      <c r="BU8" s="10" t="n">
        <v>0.6322</v>
      </c>
      <c r="BV8" s="6" t="n">
        <v>61.71</v>
      </c>
      <c r="BW8" s="6" t="n">
        <v>38</v>
      </c>
      <c r="BX8" s="7" t="n">
        <v>3.29</v>
      </c>
      <c r="BY8" s="6" t="n">
        <v>24.4</v>
      </c>
      <c r="BZ8" s="9" t="n">
        <v>0.0246</v>
      </c>
      <c r="CA8" s="9" t="n">
        <v>-0.0266</v>
      </c>
      <c r="CB8" s="8" t="n">
        <v>41</v>
      </c>
      <c r="CC8" s="10" t="n">
        <v>0.067</v>
      </c>
      <c r="CD8" s="8" t="n">
        <v>9</v>
      </c>
      <c r="CE8" s="10" t="n">
        <v>0.024</v>
      </c>
      <c r="CF8" s="8" t="n">
        <v>6</v>
      </c>
      <c r="CG8" s="7" t="n">
        <v>-0.059</v>
      </c>
      <c r="CH8" s="7" t="n">
        <v>-0.059</v>
      </c>
      <c r="CI8" s="4" t="s">
        <v>102</v>
      </c>
      <c r="CJ8" s="4"/>
    </row>
    <row r="9" customFormat="false" ht="15" hidden="false" customHeight="false" outlineLevel="0" collapsed="false">
      <c r="A9" s="3" t="n">
        <v>7</v>
      </c>
      <c r="B9" s="4" t="s">
        <v>145</v>
      </c>
      <c r="C9" s="11" t="s">
        <v>104</v>
      </c>
      <c r="D9" s="4" t="s">
        <v>146</v>
      </c>
      <c r="E9" s="4" t="s">
        <v>147</v>
      </c>
      <c r="F9" s="4" t="s">
        <v>104</v>
      </c>
      <c r="G9" s="3" t="n">
        <v>1</v>
      </c>
      <c r="H9" s="6" t="n">
        <v>26.9</v>
      </c>
      <c r="I9" s="3" t="n">
        <v>5</v>
      </c>
      <c r="J9" s="3" t="n">
        <v>7</v>
      </c>
      <c r="K9" s="7" t="n">
        <v>18.3</v>
      </c>
      <c r="L9" s="7" t="n">
        <v>7.01</v>
      </c>
      <c r="M9" s="8" t="n">
        <v>7</v>
      </c>
      <c r="N9" s="8" t="n">
        <v>33</v>
      </c>
      <c r="O9" s="7" t="n">
        <v>18.3</v>
      </c>
      <c r="P9" s="6" t="n">
        <v>99.5</v>
      </c>
      <c r="Q9" s="4" t="s">
        <v>147</v>
      </c>
      <c r="R9" s="8" t="n">
        <v>17</v>
      </c>
      <c r="S9" s="6" t="n">
        <v>302.2</v>
      </c>
      <c r="T9" s="7" t="n">
        <f aca="false">IFERROR(S9/R9,"")</f>
        <v>17.7764705882353</v>
      </c>
      <c r="U9" s="6" t="n">
        <v>285.7</v>
      </c>
      <c r="V9" s="6" t="n">
        <v>269.2</v>
      </c>
      <c r="W9" s="8" t="n">
        <v>6</v>
      </c>
      <c r="X9" s="7" t="n">
        <f aca="false">IFERROR(S9/AH9,"")</f>
        <v>0.865902578796562</v>
      </c>
      <c r="Y9" s="9" t="n">
        <f aca="false">IFERROR(S9/AF9,"")</f>
        <v>0.472926447574335</v>
      </c>
      <c r="Z9" s="6" t="n">
        <v>10.7</v>
      </c>
      <c r="AA9" s="6" t="n">
        <v>20.4</v>
      </c>
      <c r="AB9" s="6" t="n">
        <v>26.46</v>
      </c>
      <c r="AC9" s="10" t="n">
        <v>0.588</v>
      </c>
      <c r="AD9" s="10" t="n">
        <v>0.059</v>
      </c>
      <c r="AE9" s="7" t="n">
        <v>0.451</v>
      </c>
      <c r="AF9" s="8" t="n">
        <v>639</v>
      </c>
      <c r="AG9" s="10" t="n">
        <v>0.572</v>
      </c>
      <c r="AH9" s="8" t="n">
        <v>349</v>
      </c>
      <c r="AI9" s="8" t="n">
        <v>309</v>
      </c>
      <c r="AJ9" s="6" t="n">
        <f aca="false">IFERROR(AI9/R9,"")</f>
        <v>18.1764705882353</v>
      </c>
      <c r="AK9" s="10" t="n">
        <v>0.5649</v>
      </c>
      <c r="AL9" s="8" t="n">
        <v>1621</v>
      </c>
      <c r="AM9" s="7" t="n">
        <f aca="false">IFERROR(AL9/AI9,"")</f>
        <v>5.24595469255663</v>
      </c>
      <c r="AN9" s="7" t="n">
        <v>3.026</v>
      </c>
      <c r="AO9" s="7" t="n">
        <v>2.22</v>
      </c>
      <c r="AP9" s="8" t="n">
        <v>21</v>
      </c>
      <c r="AQ9" s="7" t="n">
        <v>1.17430416561874</v>
      </c>
      <c r="AR9" s="6" t="n">
        <v>30.42071197411</v>
      </c>
      <c r="AS9" s="7" t="n">
        <v>3.24320172732881</v>
      </c>
      <c r="AT9" s="8" t="n">
        <v>40</v>
      </c>
      <c r="AU9" s="6" t="n">
        <f aca="false">IFERROR(AT9/R9,"")</f>
        <v>2.35294117647059</v>
      </c>
      <c r="AV9" s="10" t="n">
        <v>0.0835</v>
      </c>
      <c r="AW9" s="8" t="n">
        <v>33</v>
      </c>
      <c r="AX9" s="10" t="n">
        <f aca="false">IFERROR(AW9/AT9,"")</f>
        <v>0.825</v>
      </c>
      <c r="AY9" s="8" t="n">
        <v>291</v>
      </c>
      <c r="AZ9" s="7" t="n">
        <f aca="false">IFERROR(AY9/AT9,"")</f>
        <v>7.275</v>
      </c>
      <c r="BA9" s="8" t="n">
        <v>59</v>
      </c>
      <c r="BB9" s="8" t="n">
        <v>27</v>
      </c>
      <c r="BC9" s="8" t="n">
        <v>17</v>
      </c>
      <c r="BD9" s="8" t="n">
        <v>14</v>
      </c>
      <c r="BE9" s="7" t="n">
        <v>12.14</v>
      </c>
      <c r="BF9" s="7" t="n">
        <f aca="false">IFERROR(BD9-BE9,"")</f>
        <v>1.86</v>
      </c>
      <c r="BG9" s="9" t="n">
        <f aca="false">IFERROR(BD9/AH9,"")</f>
        <v>0.0401146131805158</v>
      </c>
      <c r="BH9" s="6" t="n">
        <v>73.6</v>
      </c>
      <c r="BI9" s="6" t="n">
        <v>72.8</v>
      </c>
      <c r="BJ9" s="6" t="n">
        <v>64.4</v>
      </c>
      <c r="BK9" s="7" t="n">
        <v>3.397</v>
      </c>
      <c r="BL9" s="10" t="n">
        <v>0.1265</v>
      </c>
      <c r="BM9" s="10" t="n">
        <v>0.540540540540541</v>
      </c>
      <c r="BN9" s="7" t="n">
        <v>2.905</v>
      </c>
      <c r="BO9" s="10" t="n">
        <v>0.2</v>
      </c>
      <c r="BP9" s="10" t="n">
        <v>0.0702</v>
      </c>
      <c r="BQ9" s="7" t="n">
        <v>2.507</v>
      </c>
      <c r="BR9" s="10" t="n">
        <v>0.763</v>
      </c>
      <c r="BS9" s="8" t="n">
        <v>4</v>
      </c>
      <c r="BT9" s="10" t="n">
        <v>-0.0352</v>
      </c>
      <c r="BU9" s="10" t="n">
        <v>0.5028</v>
      </c>
      <c r="BV9" s="6" t="n">
        <v>62.65</v>
      </c>
      <c r="BW9" s="6" t="n">
        <v>40</v>
      </c>
      <c r="BX9" s="7" t="n">
        <v>4</v>
      </c>
      <c r="BY9" s="6" t="n">
        <v>28.3</v>
      </c>
      <c r="BZ9" s="9" t="n">
        <v>0.1102</v>
      </c>
      <c r="CA9" s="9" t="n">
        <v>0.1599</v>
      </c>
      <c r="CB9" s="8" t="n">
        <v>19</v>
      </c>
      <c r="CC9" s="10" t="n">
        <v>0.04</v>
      </c>
      <c r="CD9" s="8" t="n">
        <v>17</v>
      </c>
      <c r="CE9" s="10" t="n">
        <v>0.031</v>
      </c>
      <c r="CF9" s="8" t="n">
        <v>2</v>
      </c>
      <c r="CG9" s="7" t="n">
        <v>0.02</v>
      </c>
      <c r="CH9" s="7" t="n">
        <v>0.02</v>
      </c>
      <c r="CI9" s="4" t="s">
        <v>102</v>
      </c>
      <c r="CJ9" s="4"/>
    </row>
    <row r="10" customFormat="false" ht="15" hidden="false" customHeight="false" outlineLevel="0" collapsed="false">
      <c r="A10" s="3" t="n">
        <v>8</v>
      </c>
      <c r="B10" s="4" t="s">
        <v>159</v>
      </c>
      <c r="C10" s="11" t="s">
        <v>104</v>
      </c>
      <c r="D10" s="4" t="s">
        <v>160</v>
      </c>
      <c r="E10" s="4" t="s">
        <v>161</v>
      </c>
      <c r="F10" s="4" t="s">
        <v>104</v>
      </c>
      <c r="G10" s="3" t="n">
        <v>1</v>
      </c>
      <c r="H10" s="6" t="n">
        <v>24.8</v>
      </c>
      <c r="I10" s="3" t="n">
        <v>4</v>
      </c>
      <c r="J10" s="3" t="n">
        <v>6</v>
      </c>
      <c r="K10" s="7" t="n">
        <v>20.88</v>
      </c>
      <c r="L10" s="7" t="n">
        <v>6.26</v>
      </c>
      <c r="M10" s="8" t="n">
        <v>10</v>
      </c>
      <c r="N10" s="8" t="n">
        <v>33</v>
      </c>
      <c r="O10" s="7" t="n">
        <v>20.88</v>
      </c>
      <c r="P10" s="6" t="n">
        <v>99.2</v>
      </c>
      <c r="Q10" s="4" t="s">
        <v>161</v>
      </c>
      <c r="R10" s="8" t="n">
        <v>16</v>
      </c>
      <c r="S10" s="6" t="n">
        <v>322.8</v>
      </c>
      <c r="T10" s="7" t="n">
        <f aca="false">IFERROR(S10/R10,"")</f>
        <v>20.175</v>
      </c>
      <c r="U10" s="6" t="n">
        <v>289.3</v>
      </c>
      <c r="V10" s="6" t="n">
        <v>255.8</v>
      </c>
      <c r="W10" s="8" t="n">
        <v>5</v>
      </c>
      <c r="X10" s="7" t="n">
        <f aca="false">IFERROR(S10/AH10,"")</f>
        <v>0.99938080495356</v>
      </c>
      <c r="Y10" s="9" t="n">
        <f aca="false">IFERROR(S10/AF10,"")</f>
        <v>0.465129682997118</v>
      </c>
      <c r="Z10" s="6" t="n">
        <v>16.58</v>
      </c>
      <c r="AA10" s="6" t="n">
        <v>17.75</v>
      </c>
      <c r="AB10" s="6" t="n">
        <v>25.02</v>
      </c>
      <c r="AC10" s="10" t="n">
        <v>0.688</v>
      </c>
      <c r="AD10" s="10" t="n">
        <v>0</v>
      </c>
      <c r="AE10" s="7" t="n">
        <v>0.395</v>
      </c>
      <c r="AF10" s="8" t="n">
        <v>694</v>
      </c>
      <c r="AG10" s="10" t="n">
        <v>0.754</v>
      </c>
      <c r="AH10" s="8" t="n">
        <v>323</v>
      </c>
      <c r="AI10" s="8" t="n">
        <v>238</v>
      </c>
      <c r="AJ10" s="6" t="n">
        <f aca="false">IFERROR(AI10/R10,"")</f>
        <v>14.875</v>
      </c>
      <c r="AK10" s="10" t="n">
        <v>0.5848</v>
      </c>
      <c r="AL10" s="8" t="n">
        <v>1350</v>
      </c>
      <c r="AM10" s="7" t="n">
        <f aca="false">IFERROR(AL10/AI10,"")</f>
        <v>5.67226890756303</v>
      </c>
      <c r="AN10" s="7" t="n">
        <v>2.651</v>
      </c>
      <c r="AO10" s="7" t="n">
        <v>3.021</v>
      </c>
      <c r="AP10" s="8" t="n">
        <v>22</v>
      </c>
      <c r="AQ10" s="7" t="n">
        <v>1.02972881630466</v>
      </c>
      <c r="AR10" s="6" t="n">
        <v>23.109243697479</v>
      </c>
      <c r="AS10" s="7" t="n">
        <v>3.5574962962963</v>
      </c>
      <c r="AT10" s="8" t="n">
        <v>85</v>
      </c>
      <c r="AU10" s="6" t="n">
        <f aca="false">IFERROR(AT10/R10,"")</f>
        <v>5.3125</v>
      </c>
      <c r="AV10" s="10" t="n">
        <v>0.1941</v>
      </c>
      <c r="AW10" s="8" t="n">
        <v>67</v>
      </c>
      <c r="AX10" s="10" t="n">
        <f aca="false">IFERROR(AW10/AT10,"")</f>
        <v>0.788235294117647</v>
      </c>
      <c r="AY10" s="8" t="n">
        <v>488</v>
      </c>
      <c r="AZ10" s="7" t="n">
        <f aca="false">IFERROR(AY10/AT10,"")</f>
        <v>5.74117647058824</v>
      </c>
      <c r="BA10" s="8" t="n">
        <v>43</v>
      </c>
      <c r="BB10" s="8" t="n">
        <v>16</v>
      </c>
      <c r="BC10" s="8" t="n">
        <v>6</v>
      </c>
      <c r="BD10" s="8" t="n">
        <v>12</v>
      </c>
      <c r="BE10" s="7" t="n">
        <v>8.35</v>
      </c>
      <c r="BF10" s="7" t="n">
        <f aca="false">IFERROR(BD10-BE10,"")</f>
        <v>3.65</v>
      </c>
      <c r="BG10" s="9" t="n">
        <f aca="false">IFERROR(BD10/AH10,"")</f>
        <v>0.0371517027863777</v>
      </c>
      <c r="BH10" s="6" t="n">
        <v>38.6</v>
      </c>
      <c r="BI10" s="6" t="n">
        <v>37.5</v>
      </c>
      <c r="BJ10" s="6" t="n">
        <v>44.5</v>
      </c>
      <c r="BK10" s="7" t="n">
        <v>2.839</v>
      </c>
      <c r="BL10" s="10" t="n">
        <v>0.2101</v>
      </c>
      <c r="BM10" s="10" t="n">
        <v>0.586206896551724</v>
      </c>
      <c r="BN10" s="7" t="n">
        <v>2.199</v>
      </c>
      <c r="BO10" s="10" t="n">
        <v>0.2422</v>
      </c>
      <c r="BP10" s="10" t="n">
        <v>0.0727</v>
      </c>
      <c r="BQ10" s="7" t="n">
        <v>2.29</v>
      </c>
      <c r="BR10" s="10" t="n">
        <v>0.672</v>
      </c>
      <c r="BS10" s="8" t="n">
        <v>4</v>
      </c>
      <c r="BT10" s="10" t="n">
        <v>-0.0584</v>
      </c>
      <c r="BU10" s="10" t="n">
        <v>0.5279</v>
      </c>
      <c r="BV10" s="6" t="n">
        <v>55.41</v>
      </c>
      <c r="BW10" s="6" t="n">
        <v>41</v>
      </c>
      <c r="BX10" s="7" t="n">
        <v>2.82</v>
      </c>
      <c r="BY10" s="6" t="n">
        <v>20.4</v>
      </c>
      <c r="BZ10" s="9" t="n">
        <v>-0.026</v>
      </c>
      <c r="CA10" s="9" t="n">
        <v>-0.0093</v>
      </c>
      <c r="CB10" s="8" t="n">
        <v>209</v>
      </c>
      <c r="CC10" s="10" t="n">
        <v>0.452</v>
      </c>
      <c r="CD10" s="8" t="n">
        <v>28</v>
      </c>
      <c r="CE10" s="10" t="n">
        <v>0.065</v>
      </c>
      <c r="CF10" s="8" t="n">
        <v>32</v>
      </c>
      <c r="CG10" s="7" t="n">
        <v>0.099</v>
      </c>
      <c r="CH10" s="7" t="n">
        <v>0.099</v>
      </c>
      <c r="CI10" s="4" t="s">
        <v>102</v>
      </c>
      <c r="CJ10" s="4"/>
    </row>
    <row r="11" customFormat="false" ht="15" hidden="false" customHeight="false" outlineLevel="0" collapsed="false">
      <c r="A11" s="3" t="n">
        <v>9</v>
      </c>
      <c r="B11" s="4" t="s">
        <v>168</v>
      </c>
      <c r="C11" s="11" t="s">
        <v>104</v>
      </c>
      <c r="D11" s="4" t="s">
        <v>169</v>
      </c>
      <c r="E11" s="4" t="s">
        <v>170</v>
      </c>
      <c r="F11" s="4" t="s">
        <v>104</v>
      </c>
      <c r="G11" s="3" t="n">
        <v>1</v>
      </c>
      <c r="H11" s="6" t="n">
        <v>23.4</v>
      </c>
      <c r="I11" s="3" t="n">
        <v>2</v>
      </c>
      <c r="J11" s="3" t="n">
        <v>7</v>
      </c>
      <c r="K11" s="7" t="n">
        <v>25.64</v>
      </c>
      <c r="L11" s="7" t="n">
        <v>7.39</v>
      </c>
      <c r="M11" s="8" t="n">
        <v>11</v>
      </c>
      <c r="N11" s="8" t="n">
        <v>46</v>
      </c>
      <c r="O11" s="7" t="n">
        <v>25.64</v>
      </c>
      <c r="P11" s="6" t="n">
        <v>99</v>
      </c>
      <c r="Q11" s="4" t="s">
        <v>170</v>
      </c>
      <c r="R11" s="8" t="n">
        <v>9</v>
      </c>
      <c r="S11" s="6" t="n">
        <v>135.7</v>
      </c>
      <c r="T11" s="7" t="n">
        <f aca="false">IFERROR(S11/R11,"")</f>
        <v>15.0777777777778</v>
      </c>
      <c r="U11" s="6" t="n">
        <v>119.7</v>
      </c>
      <c r="V11" s="6" t="n">
        <v>103.7</v>
      </c>
      <c r="W11" s="8" t="n">
        <v>34</v>
      </c>
      <c r="X11" s="7" t="n">
        <f aca="false">IFERROR(S11/AH11,"")</f>
        <v>0.853459119496855</v>
      </c>
      <c r="Y11" s="9" t="n">
        <f aca="false">IFERROR(S11/AF11,"")</f>
        <v>0.353385416666667</v>
      </c>
      <c r="Z11" s="6" t="n">
        <v>8.1</v>
      </c>
      <c r="AA11" s="6" t="n">
        <v>14.7</v>
      </c>
      <c r="AB11" s="6" t="n">
        <v>23.92</v>
      </c>
      <c r="AC11" s="10" t="n">
        <v>0.333</v>
      </c>
      <c r="AD11" s="10" t="n">
        <v>0</v>
      </c>
      <c r="AE11" s="7" t="n">
        <v>0.549</v>
      </c>
      <c r="AF11" s="8" t="n">
        <v>384</v>
      </c>
      <c r="AG11" s="10" t="n">
        <v>0.634</v>
      </c>
      <c r="AH11" s="8" t="n">
        <v>159</v>
      </c>
      <c r="AI11" s="8" t="n">
        <v>124</v>
      </c>
      <c r="AJ11" s="6" t="n">
        <f aca="false">IFERROR(AI11/R11,"")</f>
        <v>13.7777777777778</v>
      </c>
      <c r="AK11" s="10" t="n">
        <v>0.5145</v>
      </c>
      <c r="AL11" s="8" t="n">
        <v>545</v>
      </c>
      <c r="AM11" s="7" t="n">
        <f aca="false">IFERROR(AL11/AI11,"")</f>
        <v>4.39516129032258</v>
      </c>
      <c r="AN11" s="7" t="n">
        <v>2.71</v>
      </c>
      <c r="AO11" s="7" t="n">
        <v>1.685</v>
      </c>
      <c r="AP11" s="8" t="n">
        <v>15</v>
      </c>
      <c r="AQ11" s="7" t="n">
        <v>0.658077752894987</v>
      </c>
      <c r="AR11" s="6" t="n">
        <v>25.8064516129032</v>
      </c>
      <c r="AS11" s="7" t="n">
        <v>3.94088073394496</v>
      </c>
      <c r="AT11" s="8" t="n">
        <v>35</v>
      </c>
      <c r="AU11" s="6" t="n">
        <f aca="false">IFERROR(AT11/R11,"")</f>
        <v>3.88888888888889</v>
      </c>
      <c r="AV11" s="10" t="n">
        <v>0.1232</v>
      </c>
      <c r="AW11" s="8" t="n">
        <v>32</v>
      </c>
      <c r="AX11" s="10" t="n">
        <f aca="false">IFERROR(AW11/AT11,"")</f>
        <v>0.914285714285714</v>
      </c>
      <c r="AY11" s="8" t="n">
        <v>192</v>
      </c>
      <c r="AZ11" s="7" t="n">
        <f aca="false">IFERROR(AY11/AT11,"")</f>
        <v>5.48571428571429</v>
      </c>
      <c r="BA11" s="8" t="n">
        <v>28</v>
      </c>
      <c r="BB11" s="8" t="n">
        <v>16</v>
      </c>
      <c r="BC11" s="8" t="n">
        <v>9</v>
      </c>
      <c r="BD11" s="8" t="n">
        <v>5</v>
      </c>
      <c r="BE11" s="7" t="n">
        <v>5.8</v>
      </c>
      <c r="BF11" s="7" t="n">
        <f aca="false">IFERROR(BD11-BE11,"")</f>
        <v>-0.8</v>
      </c>
      <c r="BG11" s="9" t="n">
        <f aca="false">IFERROR(BD11/AH11,"")</f>
        <v>0.0314465408805031</v>
      </c>
      <c r="BH11" s="6" t="n">
        <v>26.9</v>
      </c>
      <c r="BI11" s="6" t="n">
        <v>40.7</v>
      </c>
      <c r="BJ11" s="6" t="n">
        <v>23</v>
      </c>
      <c r="BK11" s="7" t="n">
        <v>2.77</v>
      </c>
      <c r="BL11" s="10" t="n">
        <v>0.2195</v>
      </c>
      <c r="BM11" s="10" t="n">
        <v>0.611111111111111</v>
      </c>
      <c r="BN11" s="7" t="n">
        <v>2.614</v>
      </c>
      <c r="BO11" s="10" t="n">
        <v>0.3427</v>
      </c>
      <c r="BP11" s="10" t="n">
        <v>0.0832</v>
      </c>
      <c r="BQ11" s="7" t="n">
        <v>2.37</v>
      </c>
      <c r="BR11" s="10" t="n">
        <v>0.205</v>
      </c>
      <c r="BS11" s="8" t="n">
        <v>1</v>
      </c>
      <c r="BT11" s="10" t="n">
        <v>0.0064</v>
      </c>
      <c r="BU11" s="10" t="n">
        <v>0.579</v>
      </c>
      <c r="BV11" s="6" t="n">
        <v>63.53</v>
      </c>
      <c r="BW11" s="6" t="n">
        <v>39</v>
      </c>
      <c r="BX11" s="7" t="n">
        <v>3.47</v>
      </c>
      <c r="BY11" s="6" t="n">
        <v>21.6</v>
      </c>
      <c r="BZ11" s="9" t="n">
        <v>0.0187</v>
      </c>
      <c r="CA11" s="9" t="n">
        <v>-0.0542</v>
      </c>
      <c r="CB11" s="8" t="n">
        <v>15</v>
      </c>
      <c r="CC11" s="10" t="n">
        <v>0.028</v>
      </c>
      <c r="CD11" s="8" t="n">
        <v>23</v>
      </c>
      <c r="CE11" s="10" t="n">
        <v>0.049</v>
      </c>
      <c r="CF11" s="8" t="n">
        <v>2</v>
      </c>
      <c r="CG11" s="7" t="n">
        <v>-1.136</v>
      </c>
      <c r="CH11" s="7" t="n">
        <v>-0.216</v>
      </c>
      <c r="CI11" s="4" t="s">
        <v>165</v>
      </c>
      <c r="CJ11" s="4"/>
    </row>
    <row r="12" customFormat="false" ht="15" hidden="false" customHeight="false" outlineLevel="0" collapsed="false">
      <c r="A12" s="3" t="n">
        <v>10</v>
      </c>
      <c r="B12" s="4" t="s">
        <v>174</v>
      </c>
      <c r="C12" s="11" t="s">
        <v>104</v>
      </c>
      <c r="D12" s="4" t="s">
        <v>175</v>
      </c>
      <c r="E12" s="4" t="s">
        <v>136</v>
      </c>
      <c r="F12" s="4" t="s">
        <v>104</v>
      </c>
      <c r="G12" s="3" t="n">
        <v>1</v>
      </c>
      <c r="H12" s="6" t="n">
        <v>29.5</v>
      </c>
      <c r="I12" s="3" t="n">
        <v>9</v>
      </c>
      <c r="J12" s="3" t="n">
        <v>10</v>
      </c>
      <c r="K12" s="7" t="n">
        <v>25.94</v>
      </c>
      <c r="L12" s="7" t="n">
        <v>7.1</v>
      </c>
      <c r="M12" s="8" t="n">
        <v>10</v>
      </c>
      <c r="N12" s="8" t="n">
        <v>41</v>
      </c>
      <c r="O12" s="7" t="n">
        <v>25.94</v>
      </c>
      <c r="P12" s="6" t="n">
        <v>99.4</v>
      </c>
      <c r="Q12" s="4" t="s">
        <v>136</v>
      </c>
      <c r="R12" s="8" t="n">
        <v>16</v>
      </c>
      <c r="S12" s="6" t="n">
        <v>232.3</v>
      </c>
      <c r="T12" s="7" t="n">
        <f aca="false">IFERROR(S12/R12,"")</f>
        <v>14.51875</v>
      </c>
      <c r="U12" s="6" t="n">
        <v>213.8</v>
      </c>
      <c r="V12" s="6" t="n">
        <v>195.3</v>
      </c>
      <c r="W12" s="8" t="n">
        <v>14</v>
      </c>
      <c r="X12" s="7" t="n">
        <f aca="false">IFERROR(S12/AH12,"")</f>
        <v>0.703939393939394</v>
      </c>
      <c r="Y12" s="9" t="n">
        <f aca="false">IFERROR(S12/AF12,"")</f>
        <v>0.300517464424321</v>
      </c>
      <c r="Z12" s="6" t="n">
        <v>9.3</v>
      </c>
      <c r="AA12" s="6" t="n">
        <v>15.15</v>
      </c>
      <c r="AB12" s="6" t="n">
        <v>18.35</v>
      </c>
      <c r="AC12" s="10" t="n">
        <v>0.375</v>
      </c>
      <c r="AD12" s="10" t="n">
        <v>0</v>
      </c>
      <c r="AE12" s="7" t="n">
        <v>0.475</v>
      </c>
      <c r="AF12" s="8" t="n">
        <v>773</v>
      </c>
      <c r="AG12" s="10" t="n">
        <v>0.783</v>
      </c>
      <c r="AH12" s="8" t="n">
        <v>330</v>
      </c>
      <c r="AI12" s="8" t="n">
        <v>280</v>
      </c>
      <c r="AJ12" s="6" t="n">
        <f aca="false">IFERROR(AI12/R12,"")</f>
        <v>17.5</v>
      </c>
      <c r="AK12" s="10" t="n">
        <v>0.61</v>
      </c>
      <c r="AL12" s="8" t="n">
        <v>1140</v>
      </c>
      <c r="AM12" s="7" t="n">
        <f aca="false">IFERROR(AL12/AI12,"")</f>
        <v>4.07142857142857</v>
      </c>
      <c r="AN12" s="7" t="n">
        <v>2.461</v>
      </c>
      <c r="AO12" s="7" t="n">
        <v>1.611</v>
      </c>
      <c r="AP12" s="8" t="n">
        <v>18</v>
      </c>
      <c r="AQ12" s="7" t="n">
        <v>0.276122068301088</v>
      </c>
      <c r="AR12" s="6" t="n">
        <v>31.0714285714286</v>
      </c>
      <c r="AS12" s="7" t="n">
        <v>4.08211403508772</v>
      </c>
      <c r="AT12" s="8" t="n">
        <v>50</v>
      </c>
      <c r="AU12" s="6" t="n">
        <f aca="false">IFERROR(AT12/R12,"")</f>
        <v>3.125</v>
      </c>
      <c r="AV12" s="10" t="n">
        <v>0.1163</v>
      </c>
      <c r="AW12" s="8" t="n">
        <v>37</v>
      </c>
      <c r="AX12" s="10" t="n">
        <f aca="false">IFERROR(AW12/AT12,"")</f>
        <v>0.74</v>
      </c>
      <c r="AY12" s="8" t="n">
        <v>273</v>
      </c>
      <c r="AZ12" s="7" t="n">
        <f aca="false">IFERROR(AY12/AT12,"")</f>
        <v>5.46</v>
      </c>
      <c r="BA12" s="8" t="n">
        <v>50</v>
      </c>
      <c r="BB12" s="8" t="n">
        <v>27</v>
      </c>
      <c r="BC12" s="8" t="n">
        <v>15</v>
      </c>
      <c r="BD12" s="8" t="n">
        <v>9</v>
      </c>
      <c r="BE12" s="7" t="n">
        <v>10.52</v>
      </c>
      <c r="BF12" s="7" t="n">
        <f aca="false">IFERROR(BD12-BE12,"")</f>
        <v>-1.52</v>
      </c>
      <c r="BG12" s="9" t="n">
        <f aca="false">IFERROR(BD12/AH12,"")</f>
        <v>0.0272727272727273</v>
      </c>
      <c r="BH12" s="6" t="n">
        <v>48.2</v>
      </c>
      <c r="BI12" s="6" t="n">
        <v>35.6</v>
      </c>
      <c r="BJ12" s="6" t="n">
        <v>61.6</v>
      </c>
      <c r="BK12" s="7" t="n">
        <v>2.749</v>
      </c>
      <c r="BL12" s="10" t="n">
        <v>0.2192</v>
      </c>
      <c r="BM12" s="10" t="n">
        <v>0.466666666666667</v>
      </c>
      <c r="BN12" s="7" t="n">
        <v>2.6</v>
      </c>
      <c r="BO12" s="10" t="n">
        <v>0.2334</v>
      </c>
      <c r="BP12" s="10" t="n">
        <v>0.0577</v>
      </c>
      <c r="BQ12" s="7" t="n">
        <v>2.491</v>
      </c>
      <c r="BR12" s="10" t="n">
        <v>0.909</v>
      </c>
      <c r="BS12" s="8" t="n">
        <v>5</v>
      </c>
      <c r="BT12" s="10" t="n">
        <v>-0.0248</v>
      </c>
      <c r="BU12" s="10" t="n">
        <v>0.5347</v>
      </c>
      <c r="BV12" s="6" t="n">
        <v>58.53</v>
      </c>
      <c r="BW12" s="6" t="n">
        <v>39</v>
      </c>
      <c r="BX12" s="7" t="n">
        <v>2.76</v>
      </c>
      <c r="BY12" s="6" t="n">
        <v>22.3</v>
      </c>
      <c r="BZ12" s="9" t="n">
        <v>0.0054</v>
      </c>
      <c r="CA12" s="9" t="n">
        <v>0.0436</v>
      </c>
      <c r="CB12" s="8" t="n">
        <v>175</v>
      </c>
      <c r="CC12" s="10" t="n">
        <v>0.377</v>
      </c>
      <c r="CD12" s="8" t="n">
        <v>12</v>
      </c>
      <c r="CE12" s="10" t="n">
        <v>0.025</v>
      </c>
      <c r="CF12" s="8" t="n">
        <v>23</v>
      </c>
      <c r="CG12" s="7" t="n">
        <v>-0.224</v>
      </c>
      <c r="CH12" s="7" t="n">
        <v>-0.268</v>
      </c>
      <c r="CI12" s="4" t="s">
        <v>102</v>
      </c>
      <c r="CJ12" s="4"/>
    </row>
    <row r="13" customFormat="false" ht="15" hidden="false" customHeight="false" outlineLevel="0" collapsed="false">
      <c r="A13" s="3" t="n">
        <v>11</v>
      </c>
      <c r="B13" s="4" t="s">
        <v>179</v>
      </c>
      <c r="C13" s="11" t="s">
        <v>104</v>
      </c>
      <c r="D13" s="4" t="s">
        <v>180</v>
      </c>
      <c r="E13" s="4" t="s">
        <v>164</v>
      </c>
      <c r="F13" s="4" t="s">
        <v>104</v>
      </c>
      <c r="G13" s="3" t="n">
        <v>1</v>
      </c>
      <c r="H13" s="6" t="n">
        <v>25.8</v>
      </c>
      <c r="I13" s="3" t="n">
        <v>5</v>
      </c>
      <c r="J13" s="3" t="n">
        <v>5</v>
      </c>
      <c r="K13" s="7" t="n">
        <v>29.29</v>
      </c>
      <c r="L13" s="7" t="n">
        <v>9.13</v>
      </c>
      <c r="M13" s="8" t="n">
        <v>14</v>
      </c>
      <c r="N13" s="8" t="n">
        <v>56</v>
      </c>
      <c r="O13" s="7" t="n">
        <v>29.29</v>
      </c>
      <c r="P13" s="6" t="n">
        <v>99.2</v>
      </c>
      <c r="Q13" s="4" t="s">
        <v>115</v>
      </c>
      <c r="R13" s="8" t="n">
        <v>17</v>
      </c>
      <c r="S13" s="6" t="n">
        <v>191.9</v>
      </c>
      <c r="T13" s="7" t="n">
        <f aca="false">IFERROR(S13/R13,"")</f>
        <v>11.2882352941176</v>
      </c>
      <c r="U13" s="6" t="n">
        <v>176.4</v>
      </c>
      <c r="V13" s="6" t="n">
        <v>160.9</v>
      </c>
      <c r="W13" s="8" t="n">
        <v>22</v>
      </c>
      <c r="X13" s="7" t="n">
        <f aca="false">IFERROR(S13/AH13,"")</f>
        <v>0.746692607003891</v>
      </c>
      <c r="Y13" s="9" t="n">
        <f aca="false">IFERROR(S13/AF13,"")</f>
        <v>0.385341365461847</v>
      </c>
      <c r="Z13" s="6" t="n">
        <v>6.6</v>
      </c>
      <c r="AA13" s="6" t="n">
        <v>9.6</v>
      </c>
      <c r="AB13" s="6" t="n">
        <v>18.48</v>
      </c>
      <c r="AC13" s="10" t="n">
        <v>0.294</v>
      </c>
      <c r="AD13" s="10" t="n">
        <v>0</v>
      </c>
      <c r="AE13" s="7" t="n">
        <v>0.68</v>
      </c>
      <c r="AF13" s="8" t="n">
        <v>498</v>
      </c>
      <c r="AG13" s="10" t="n">
        <v>0.469</v>
      </c>
      <c r="AH13" s="8" t="n">
        <v>257</v>
      </c>
      <c r="AI13" s="8" t="n">
        <v>221</v>
      </c>
      <c r="AJ13" s="6" t="n">
        <f aca="false">IFERROR(AI13/R13,"")</f>
        <v>13</v>
      </c>
      <c r="AK13" s="10" t="n">
        <v>0.4359</v>
      </c>
      <c r="AL13" s="8" t="n">
        <v>1027</v>
      </c>
      <c r="AM13" s="7" t="n">
        <f aca="false">IFERROR(AL13/AI13,"")</f>
        <v>4.64705882352941</v>
      </c>
      <c r="AN13" s="7" t="n">
        <v>2.81</v>
      </c>
      <c r="AO13" s="7" t="n">
        <v>1.837</v>
      </c>
      <c r="AP13" s="8" t="n">
        <v>23</v>
      </c>
      <c r="AQ13" s="7" t="n">
        <v>0.181894948389508</v>
      </c>
      <c r="AR13" s="6" t="n">
        <v>27.6018099547511</v>
      </c>
      <c r="AS13" s="7" t="n">
        <v>4.50178188899708</v>
      </c>
      <c r="AT13" s="8" t="n">
        <v>36</v>
      </c>
      <c r="AU13" s="6" t="n">
        <f aca="false">IFERROR(AT13/R13,"")</f>
        <v>2.11764705882353</v>
      </c>
      <c r="AV13" s="10" t="n">
        <v>0.0791</v>
      </c>
      <c r="AW13" s="8" t="n">
        <v>31</v>
      </c>
      <c r="AX13" s="10" t="n">
        <f aca="false">IFERROR(AW13/AT13,"")</f>
        <v>0.861111111111111</v>
      </c>
      <c r="AY13" s="8" t="n">
        <v>282</v>
      </c>
      <c r="AZ13" s="7" t="n">
        <f aca="false">IFERROR(AY13/AT13,"")</f>
        <v>7.83333333333333</v>
      </c>
      <c r="BA13" s="8" t="n">
        <v>37</v>
      </c>
      <c r="BB13" s="8" t="n">
        <v>11</v>
      </c>
      <c r="BC13" s="8" t="n">
        <v>8</v>
      </c>
      <c r="BD13" s="8" t="n">
        <v>5</v>
      </c>
      <c r="BE13" s="7" t="n">
        <v>6.71</v>
      </c>
      <c r="BF13" s="7" t="n">
        <f aca="false">IFERROR(BD13-BE13,"")</f>
        <v>-1.71</v>
      </c>
      <c r="BG13" s="9" t="n">
        <f aca="false">IFERROR(BD13/AH13,"")</f>
        <v>0.0194552529182879</v>
      </c>
      <c r="BH13" s="6" t="n">
        <v>50.1</v>
      </c>
      <c r="BI13" s="6" t="n">
        <v>66.2</v>
      </c>
      <c r="BJ13" s="6" t="n">
        <v>34</v>
      </c>
      <c r="BK13" s="7" t="n">
        <v>3.062</v>
      </c>
      <c r="BL13" s="10" t="n">
        <v>0.1258</v>
      </c>
      <c r="BM13" s="10" t="n">
        <v>0.8125</v>
      </c>
      <c r="BN13" s="7" t="n">
        <v>2.623</v>
      </c>
      <c r="BO13" s="10" t="n">
        <v>0.2877</v>
      </c>
      <c r="BP13" s="10" t="n">
        <v>0.0659</v>
      </c>
      <c r="BQ13" s="7" t="n">
        <v>2.212</v>
      </c>
      <c r="BR13" s="10" t="n">
        <v>0.864</v>
      </c>
      <c r="BS13" s="8" t="n">
        <v>5</v>
      </c>
      <c r="BT13" s="10" t="n">
        <v>0.0395</v>
      </c>
      <c r="BU13" s="10" t="n">
        <v>0.5721</v>
      </c>
      <c r="BV13" s="6" t="n">
        <v>61.65</v>
      </c>
      <c r="BW13" s="6" t="n">
        <v>38</v>
      </c>
      <c r="BX13" s="7" t="n">
        <v>3.71</v>
      </c>
      <c r="BY13" s="6" t="n">
        <v>21.3</v>
      </c>
      <c r="BZ13" s="9" t="n">
        <v>0.0273</v>
      </c>
      <c r="CA13" s="9" t="n">
        <v>0.0399</v>
      </c>
      <c r="CB13" s="8" t="n">
        <v>147</v>
      </c>
      <c r="CC13" s="10" t="n">
        <v>0.268</v>
      </c>
      <c r="CD13" s="8" t="n">
        <v>129</v>
      </c>
      <c r="CE13" s="10" t="n">
        <v>0.3</v>
      </c>
      <c r="CF13" s="8" t="n">
        <v>43</v>
      </c>
      <c r="CG13" s="7" t="n">
        <v>-0.539</v>
      </c>
      <c r="CH13" s="7" t="n">
        <v>-0.846</v>
      </c>
      <c r="CI13" s="4" t="s">
        <v>121</v>
      </c>
      <c r="CJ13" s="4"/>
    </row>
    <row r="14" customFormat="false" ht="15" hidden="false" customHeight="false" outlineLevel="0" collapsed="false">
      <c r="A14" s="3" t="n">
        <v>12</v>
      </c>
      <c r="B14" s="4" t="s">
        <v>199</v>
      </c>
      <c r="C14" s="11" t="s">
        <v>104</v>
      </c>
      <c r="D14" s="4" t="s">
        <v>200</v>
      </c>
      <c r="E14" s="4" t="s">
        <v>183</v>
      </c>
      <c r="F14" s="4" t="s">
        <v>104</v>
      </c>
      <c r="G14" s="3" t="n">
        <v>1</v>
      </c>
      <c r="H14" s="6" t="n">
        <v>32.6</v>
      </c>
      <c r="I14" s="3" t="n">
        <v>11</v>
      </c>
      <c r="J14" s="3" t="n">
        <v>13</v>
      </c>
      <c r="K14" s="7" t="n">
        <v>37.78</v>
      </c>
      <c r="L14" s="7" t="n">
        <v>8.23</v>
      </c>
      <c r="M14" s="8" t="n">
        <v>17</v>
      </c>
      <c r="N14" s="8" t="n">
        <v>56</v>
      </c>
      <c r="O14" s="7" t="n">
        <v>37.78</v>
      </c>
      <c r="P14" s="6" t="n">
        <v>99.2</v>
      </c>
      <c r="Q14" s="4" t="s">
        <v>183</v>
      </c>
      <c r="R14" s="8" t="n">
        <v>17</v>
      </c>
      <c r="S14" s="6" t="n">
        <v>279.5</v>
      </c>
      <c r="T14" s="7" t="n">
        <f aca="false">IFERROR(S14/R14,"")</f>
        <v>16.4411764705882</v>
      </c>
      <c r="U14" s="6" t="n">
        <v>272</v>
      </c>
      <c r="V14" s="6" t="n">
        <v>264.5</v>
      </c>
      <c r="W14" s="8" t="n">
        <v>8</v>
      </c>
      <c r="X14" s="7" t="n">
        <f aca="false">IFERROR(S14/AH14,"")</f>
        <v>0.852134146341463</v>
      </c>
      <c r="Y14" s="9" t="n">
        <f aca="false">IFERROR(S14/AF14,"")</f>
        <v>0.503603603603604</v>
      </c>
      <c r="Z14" s="6" t="n">
        <v>10.7</v>
      </c>
      <c r="AA14" s="6" t="n">
        <v>13.1</v>
      </c>
      <c r="AB14" s="6" t="n">
        <v>22.8</v>
      </c>
      <c r="AC14" s="10" t="n">
        <v>0.412</v>
      </c>
      <c r="AD14" s="10" t="n">
        <v>0.059</v>
      </c>
      <c r="AE14" s="7" t="n">
        <v>0.764</v>
      </c>
      <c r="AF14" s="8" t="n">
        <v>555</v>
      </c>
      <c r="AG14" s="10" t="n">
        <v>0.545</v>
      </c>
      <c r="AH14" s="8" t="n">
        <v>328</v>
      </c>
      <c r="AI14" s="8" t="n">
        <v>307</v>
      </c>
      <c r="AJ14" s="6" t="n">
        <f aca="false">IFERROR(AI14/R14,"")</f>
        <v>18.0588235294118</v>
      </c>
      <c r="AK14" s="10" t="n">
        <v>0.6055</v>
      </c>
      <c r="AL14" s="8" t="n">
        <v>1595</v>
      </c>
      <c r="AM14" s="7" t="n">
        <f aca="false">IFERROR(AL14/AI14,"")</f>
        <v>5.19543973941368</v>
      </c>
      <c r="AN14" s="7" t="n">
        <v>2.821</v>
      </c>
      <c r="AO14" s="7" t="n">
        <v>2.375</v>
      </c>
      <c r="AP14" s="8" t="n">
        <v>13</v>
      </c>
      <c r="AQ14" s="7" t="n">
        <v>1.11873502444215</v>
      </c>
      <c r="AR14" s="6" t="n">
        <v>39.0879478827362</v>
      </c>
      <c r="AS14" s="7" t="n">
        <v>3.28435736677116</v>
      </c>
      <c r="AT14" s="8" t="n">
        <v>21</v>
      </c>
      <c r="AU14" s="6" t="n">
        <f aca="false">IFERROR(AT14/R14,"")</f>
        <v>1.23529411764706</v>
      </c>
      <c r="AV14" s="10" t="n">
        <v>0.0516</v>
      </c>
      <c r="AW14" s="8" t="n">
        <v>15</v>
      </c>
      <c r="AX14" s="10" t="n">
        <f aca="false">IFERROR(AW14/AT14,"")</f>
        <v>0.714285714285714</v>
      </c>
      <c r="AY14" s="8" t="n">
        <v>150</v>
      </c>
      <c r="AZ14" s="7" t="n">
        <f aca="false">IFERROR(AY14/AT14,"")</f>
        <v>7.14285714285714</v>
      </c>
      <c r="BA14" s="8" t="n">
        <v>65</v>
      </c>
      <c r="BB14" s="8" t="n">
        <v>40</v>
      </c>
      <c r="BC14" s="8" t="n">
        <v>27</v>
      </c>
      <c r="BD14" s="8" t="n">
        <v>16</v>
      </c>
      <c r="BE14" s="7" t="n">
        <v>15.46</v>
      </c>
      <c r="BF14" s="7" t="n">
        <f aca="false">IFERROR(BD14-BE14,"")</f>
        <v>0.539999999999999</v>
      </c>
      <c r="BG14" s="9" t="n">
        <f aca="false">IFERROR(BD14/AH14,"")</f>
        <v>0.0487804878048781</v>
      </c>
      <c r="BH14" s="6" t="n">
        <v>53.2</v>
      </c>
      <c r="BI14" s="6" t="n">
        <v>64.1</v>
      </c>
      <c r="BJ14" s="6" t="n">
        <v>41</v>
      </c>
      <c r="BK14" s="7" t="n">
        <v>3.032</v>
      </c>
      <c r="BL14" s="10" t="n">
        <v>0.1574</v>
      </c>
      <c r="BM14" s="10" t="n">
        <v>0.648648648648649</v>
      </c>
      <c r="BN14" s="7" t="n">
        <v>3.144</v>
      </c>
      <c r="BO14" s="10" t="n">
        <v>0.2725</v>
      </c>
      <c r="BP14" s="10" t="n">
        <v>0.0849</v>
      </c>
      <c r="BQ14" s="7" t="n">
        <v>2.454</v>
      </c>
      <c r="BR14" s="10" t="n">
        <v>0.572</v>
      </c>
      <c r="BS14" s="8" t="n">
        <v>2</v>
      </c>
      <c r="BT14" s="10" t="n">
        <v>-0.0884</v>
      </c>
      <c r="BU14" s="10" t="n">
        <v>0.4667</v>
      </c>
      <c r="BV14" s="6" t="n">
        <v>56.24</v>
      </c>
      <c r="BW14" s="6" t="n">
        <v>39</v>
      </c>
      <c r="BX14" s="7" t="n">
        <v>3.59</v>
      </c>
      <c r="BY14" s="6" t="n">
        <v>24.9</v>
      </c>
      <c r="BZ14" s="9" t="n">
        <v>0.0996</v>
      </c>
      <c r="CA14" s="9" t="n">
        <v>-0.035</v>
      </c>
      <c r="CB14" s="8" t="n">
        <v>75</v>
      </c>
      <c r="CC14" s="10" t="n">
        <v>0.184</v>
      </c>
      <c r="CD14" s="8" t="n">
        <v>64</v>
      </c>
      <c r="CE14" s="10" t="n">
        <v>0.126</v>
      </c>
      <c r="CF14" s="8" t="n">
        <v>26</v>
      </c>
      <c r="CG14" s="7" t="n">
        <v>0.11</v>
      </c>
      <c r="CH14" s="7" t="n">
        <v>0.109</v>
      </c>
      <c r="CI14" s="4" t="s">
        <v>102</v>
      </c>
      <c r="CJ14" s="4"/>
    </row>
    <row r="15" customFormat="false" ht="15" hidden="false" customHeight="false" outlineLevel="0" collapsed="false">
      <c r="A15" s="3" t="n">
        <v>13</v>
      </c>
      <c r="B15" s="4" t="s">
        <v>204</v>
      </c>
      <c r="C15" s="11" t="s">
        <v>104</v>
      </c>
      <c r="D15" s="4" t="s">
        <v>205</v>
      </c>
      <c r="E15" s="4" t="s">
        <v>151</v>
      </c>
      <c r="F15" s="4" t="s">
        <v>104</v>
      </c>
      <c r="G15" s="3" t="n">
        <v>1</v>
      </c>
      <c r="H15" s="6" t="n">
        <v>21.2</v>
      </c>
      <c r="I15" s="3" t="n">
        <v>0</v>
      </c>
      <c r="J15" s="3" t="n">
        <v>14</v>
      </c>
      <c r="K15" s="7" t="n">
        <v>38.13</v>
      </c>
      <c r="L15" s="7" t="n">
        <v>7.09</v>
      </c>
      <c r="M15" s="8" t="n">
        <v>22</v>
      </c>
      <c r="N15" s="8" t="n">
        <v>65</v>
      </c>
      <c r="O15" s="7" t="n">
        <v>38.13</v>
      </c>
      <c r="P15" s="6" t="n">
        <v>98.3</v>
      </c>
      <c r="Q15" s="4"/>
      <c r="R15" s="8"/>
      <c r="S15" s="6"/>
      <c r="T15" s="7"/>
      <c r="U15" s="6"/>
      <c r="V15" s="6"/>
      <c r="W15" s="8"/>
      <c r="X15" s="7"/>
      <c r="Y15" s="9"/>
      <c r="Z15" s="6"/>
      <c r="AA15" s="6"/>
      <c r="AB15" s="6"/>
      <c r="AC15" s="10"/>
      <c r="AD15" s="10"/>
      <c r="AE15" s="7"/>
      <c r="AF15" s="8"/>
      <c r="AG15" s="10"/>
      <c r="AH15" s="8"/>
      <c r="AI15" s="8"/>
      <c r="AJ15" s="6"/>
      <c r="AK15" s="10"/>
      <c r="AL15" s="8"/>
      <c r="AM15" s="7"/>
      <c r="AN15" s="7"/>
      <c r="AO15" s="7"/>
      <c r="AP15" s="8"/>
      <c r="AQ15" s="7"/>
      <c r="AR15" s="6"/>
      <c r="AS15" s="7"/>
      <c r="AT15" s="8"/>
      <c r="AU15" s="6"/>
      <c r="AV15" s="10"/>
      <c r="AW15" s="8"/>
      <c r="AX15" s="10"/>
      <c r="AY15" s="8"/>
      <c r="AZ15" s="7"/>
      <c r="BA15" s="8"/>
      <c r="BB15" s="8"/>
      <c r="BC15" s="8"/>
      <c r="BD15" s="8"/>
      <c r="BE15" s="7"/>
      <c r="BF15" s="7"/>
      <c r="BG15" s="9"/>
      <c r="BH15" s="6" t="n">
        <v>36.9</v>
      </c>
      <c r="BI15" s="6" t="n">
        <v>43.8</v>
      </c>
      <c r="BJ15" s="6" t="n">
        <v>35.6</v>
      </c>
      <c r="BK15" s="7" t="n">
        <v>2.771</v>
      </c>
      <c r="BL15" s="10" t="n">
        <v>0.2005</v>
      </c>
      <c r="BM15" s="10" t="n">
        <v>0.65625</v>
      </c>
      <c r="BN15" s="7" t="n">
        <v>2.593</v>
      </c>
      <c r="BO15" s="10" t="n">
        <v>0.282</v>
      </c>
      <c r="BP15" s="10" t="n">
        <v>0.0839</v>
      </c>
      <c r="BQ15" s="7" t="n">
        <v>2.373</v>
      </c>
      <c r="BR15" s="10" t="n">
        <v>0.686</v>
      </c>
      <c r="BS15" s="8" t="n">
        <v>3</v>
      </c>
      <c r="BT15" s="10" t="n">
        <v>0.0399</v>
      </c>
      <c r="BU15" s="10" t="n">
        <v>0.6204</v>
      </c>
      <c r="BV15" s="6" t="n">
        <v>63.18</v>
      </c>
      <c r="BW15" s="6" t="n">
        <v>39</v>
      </c>
      <c r="BX15" s="7" t="n">
        <v>3.59</v>
      </c>
      <c r="BY15" s="6" t="n">
        <v>20.9</v>
      </c>
      <c r="BZ15" s="9" t="n">
        <v>-0.0591</v>
      </c>
      <c r="CA15" s="9" t="n">
        <v>0.0023</v>
      </c>
      <c r="CB15" s="8" t="n">
        <v>106</v>
      </c>
      <c r="CC15" s="10" t="n">
        <v>0.172</v>
      </c>
      <c r="CD15" s="8" t="n">
        <v>173</v>
      </c>
      <c r="CE15" s="10" t="n">
        <v>0.473</v>
      </c>
      <c r="CF15" s="8" t="n">
        <v>41</v>
      </c>
      <c r="CG15" s="7"/>
      <c r="CH15" s="7"/>
      <c r="CI15" s="4"/>
      <c r="CJ15" s="4" t="s">
        <v>206</v>
      </c>
    </row>
    <row r="16" customFormat="false" ht="15" hidden="false" customHeight="false" outlineLevel="0" collapsed="false">
      <c r="A16" s="3" t="n">
        <v>14</v>
      </c>
      <c r="B16" s="4" t="s">
        <v>212</v>
      </c>
      <c r="C16" s="11" t="s">
        <v>104</v>
      </c>
      <c r="D16" s="4" t="s">
        <v>213</v>
      </c>
      <c r="E16" s="4" t="s">
        <v>186</v>
      </c>
      <c r="F16" s="4" t="s">
        <v>104</v>
      </c>
      <c r="G16" s="3" t="n">
        <v>1</v>
      </c>
      <c r="H16" s="6" t="n">
        <v>25.2</v>
      </c>
      <c r="I16" s="3" t="n">
        <v>5</v>
      </c>
      <c r="J16" s="3" t="n">
        <v>13</v>
      </c>
      <c r="K16" s="7" t="n">
        <v>40.83</v>
      </c>
      <c r="L16" s="7" t="n">
        <v>6.55</v>
      </c>
      <c r="M16" s="8" t="n">
        <v>26</v>
      </c>
      <c r="N16" s="8" t="n">
        <v>67</v>
      </c>
      <c r="O16" s="7" t="n">
        <v>40.83</v>
      </c>
      <c r="P16" s="6" t="n">
        <v>97</v>
      </c>
      <c r="Q16" s="4" t="s">
        <v>186</v>
      </c>
      <c r="R16" s="8" t="n">
        <v>16</v>
      </c>
      <c r="S16" s="6" t="n">
        <v>207.66</v>
      </c>
      <c r="T16" s="7" t="n">
        <f aca="false">IFERROR(S16/R16,"")</f>
        <v>12.97875</v>
      </c>
      <c r="U16" s="6" t="n">
        <v>189.66</v>
      </c>
      <c r="V16" s="6" t="n">
        <v>171.66</v>
      </c>
      <c r="W16" s="8" t="n">
        <v>19</v>
      </c>
      <c r="X16" s="7" t="n">
        <f aca="false">IFERROR(S16/AH16,"")</f>
        <v>0.71360824742268</v>
      </c>
      <c r="Y16" s="9" t="n">
        <f aca="false">IFERROR(S16/AF16,"")</f>
        <v>0.32446875</v>
      </c>
      <c r="Z16" s="6" t="n">
        <v>6.88</v>
      </c>
      <c r="AA16" s="6" t="n">
        <v>11.55</v>
      </c>
      <c r="AB16" s="6" t="n">
        <v>19</v>
      </c>
      <c r="AC16" s="10" t="n">
        <v>0.312</v>
      </c>
      <c r="AD16" s="10" t="n">
        <v>0</v>
      </c>
      <c r="AE16" s="7" t="n">
        <v>0.66</v>
      </c>
      <c r="AF16" s="8" t="n">
        <v>640</v>
      </c>
      <c r="AG16" s="10" t="n">
        <v>0.644</v>
      </c>
      <c r="AH16" s="8" t="n">
        <v>291</v>
      </c>
      <c r="AI16" s="8" t="n">
        <v>243</v>
      </c>
      <c r="AJ16" s="6" t="n">
        <f aca="false">IFERROR(AI16/R16,"")</f>
        <v>15.1875</v>
      </c>
      <c r="AK16" s="10" t="n">
        <v>0.5612</v>
      </c>
      <c r="AL16" s="8" t="n">
        <v>1065</v>
      </c>
      <c r="AM16" s="7" t="n">
        <f aca="false">IFERROR(AL16/AI16,"")</f>
        <v>4.38271604938272</v>
      </c>
      <c r="AN16" s="7" t="n">
        <v>2.543</v>
      </c>
      <c r="AO16" s="7" t="n">
        <v>1.84</v>
      </c>
      <c r="AP16" s="8" t="n">
        <v>12</v>
      </c>
      <c r="AQ16" s="7" t="n">
        <v>0.588526802832064</v>
      </c>
      <c r="AR16" s="6" t="n">
        <v>27.2727272727273</v>
      </c>
      <c r="AS16" s="7" t="n">
        <v>3.88369360902256</v>
      </c>
      <c r="AT16" s="8" t="n">
        <v>48</v>
      </c>
      <c r="AU16" s="6" t="n">
        <f aca="false">IFERROR(AT16/R16,"")</f>
        <v>3</v>
      </c>
      <c r="AV16" s="10" t="n">
        <v>0.1067</v>
      </c>
      <c r="AW16" s="8" t="n">
        <v>36</v>
      </c>
      <c r="AX16" s="10" t="n">
        <f aca="false">IFERROR(AW16/AT16,"")</f>
        <v>0.75</v>
      </c>
      <c r="AY16" s="8" t="n">
        <v>350</v>
      </c>
      <c r="AZ16" s="7" t="n">
        <f aca="false">IFERROR(AY16/AT16,"")</f>
        <v>7.29166666666667</v>
      </c>
      <c r="BA16" s="8" t="n">
        <v>33</v>
      </c>
      <c r="BB16" s="8" t="n">
        <v>13</v>
      </c>
      <c r="BC16" s="8" t="n">
        <v>5</v>
      </c>
      <c r="BD16" s="8" t="n">
        <v>5</v>
      </c>
      <c r="BE16" s="7" t="n">
        <v>6.47</v>
      </c>
      <c r="BF16" s="7" t="n">
        <f aca="false">IFERROR(BD16-BE16,"")</f>
        <v>-1.47</v>
      </c>
      <c r="BG16" s="9" t="n">
        <f aca="false">IFERROR(BD16/AH16,"")</f>
        <v>0.0171821305841924</v>
      </c>
      <c r="BH16" s="6" t="n">
        <v>38.6</v>
      </c>
      <c r="BI16" s="6" t="n">
        <v>56.3</v>
      </c>
      <c r="BJ16" s="6" t="n">
        <v>25.8</v>
      </c>
      <c r="BK16" s="7" t="n">
        <v>2.892</v>
      </c>
      <c r="BL16" s="10" t="n">
        <v>0.1813</v>
      </c>
      <c r="BM16" s="10" t="n">
        <v>0.739130434782609</v>
      </c>
      <c r="BN16" s="7" t="n">
        <v>2.899</v>
      </c>
      <c r="BO16" s="10" t="n">
        <v>0.3117</v>
      </c>
      <c r="BP16" s="10" t="n">
        <v>0.0989</v>
      </c>
      <c r="BQ16" s="7" t="n">
        <v>2.423</v>
      </c>
      <c r="BR16" s="10" t="n">
        <v>0.808</v>
      </c>
      <c r="BS16" s="8" t="n">
        <v>3</v>
      </c>
      <c r="BT16" s="10" t="n">
        <v>-0.0877</v>
      </c>
      <c r="BU16" s="10" t="n">
        <v>0.4319</v>
      </c>
      <c r="BV16" s="6" t="n">
        <v>59.35</v>
      </c>
      <c r="BW16" s="6" t="n">
        <v>38</v>
      </c>
      <c r="BX16" s="7" t="n">
        <v>2.47</v>
      </c>
      <c r="BY16" s="6" t="n">
        <v>17.6</v>
      </c>
      <c r="BZ16" s="9" t="n">
        <v>-0.061</v>
      </c>
      <c r="CA16" s="9" t="n">
        <v>-0.1799</v>
      </c>
      <c r="CB16" s="8" t="n">
        <v>76</v>
      </c>
      <c r="CC16" s="10" t="n">
        <v>0.161</v>
      </c>
      <c r="CD16" s="8" t="n">
        <v>117</v>
      </c>
      <c r="CE16" s="10" t="n">
        <v>0.257</v>
      </c>
      <c r="CF16" s="8" t="n">
        <v>27</v>
      </c>
      <c r="CG16" s="7" t="n">
        <v>-0.302</v>
      </c>
      <c r="CH16" s="7" t="n">
        <v>-0.39</v>
      </c>
      <c r="CI16" s="4" t="s">
        <v>102</v>
      </c>
      <c r="CJ16" s="4"/>
    </row>
    <row r="17" customFormat="false" ht="15" hidden="false" customHeight="false" outlineLevel="0" collapsed="false">
      <c r="A17" s="3" t="n">
        <v>15</v>
      </c>
      <c r="B17" s="4" t="s">
        <v>214</v>
      </c>
      <c r="C17" s="11" t="s">
        <v>104</v>
      </c>
      <c r="D17" s="4" t="s">
        <v>215</v>
      </c>
      <c r="E17" s="4" t="s">
        <v>109</v>
      </c>
      <c r="F17" s="4" t="s">
        <v>104</v>
      </c>
      <c r="G17" s="3" t="n">
        <v>1</v>
      </c>
      <c r="H17" s="6" t="n">
        <v>26</v>
      </c>
      <c r="I17" s="3" t="n">
        <v>5</v>
      </c>
      <c r="J17" s="3" t="n">
        <v>11</v>
      </c>
      <c r="K17" s="7" t="n">
        <v>41.87</v>
      </c>
      <c r="L17" s="7" t="n">
        <v>6.68</v>
      </c>
      <c r="M17" s="8" t="n">
        <v>23</v>
      </c>
      <c r="N17" s="8" t="n">
        <v>56</v>
      </c>
      <c r="O17" s="7" t="n">
        <v>41.87</v>
      </c>
      <c r="P17" s="6" t="n">
        <v>97.8</v>
      </c>
      <c r="Q17" s="4" t="s">
        <v>109</v>
      </c>
      <c r="R17" s="8" t="n">
        <v>17</v>
      </c>
      <c r="S17" s="6" t="n">
        <v>263.3</v>
      </c>
      <c r="T17" s="7" t="n">
        <f aca="false">IFERROR(S17/R17,"")</f>
        <v>15.4882352941176</v>
      </c>
      <c r="U17" s="6" t="n">
        <v>245.3</v>
      </c>
      <c r="V17" s="6" t="n">
        <v>227.3</v>
      </c>
      <c r="W17" s="8" t="n">
        <v>9</v>
      </c>
      <c r="X17" s="7" t="n">
        <f aca="false">IFERROR(S17/AH17,"")</f>
        <v>0.85210355987055</v>
      </c>
      <c r="Y17" s="9" t="n">
        <f aca="false">IFERROR(S17/AF17,"")</f>
        <v>0.341062176165803</v>
      </c>
      <c r="Z17" s="6" t="n">
        <v>11.1</v>
      </c>
      <c r="AA17" s="6" t="n">
        <v>16</v>
      </c>
      <c r="AB17" s="6" t="n">
        <v>20.76</v>
      </c>
      <c r="AC17" s="10" t="n">
        <v>0.412</v>
      </c>
      <c r="AD17" s="10" t="n">
        <v>0</v>
      </c>
      <c r="AE17" s="7" t="n">
        <v>0.382</v>
      </c>
      <c r="AF17" s="8" t="n">
        <v>772</v>
      </c>
      <c r="AG17" s="10" t="n">
        <v>0.683</v>
      </c>
      <c r="AH17" s="8" t="n">
        <v>309</v>
      </c>
      <c r="AI17" s="8" t="n">
        <v>259</v>
      </c>
      <c r="AJ17" s="6" t="n">
        <f aca="false">IFERROR(AI17/R17,"")</f>
        <v>15.2352941176471</v>
      </c>
      <c r="AK17" s="10" t="n">
        <v>0.557</v>
      </c>
      <c r="AL17" s="8" t="n">
        <v>1252</v>
      </c>
      <c r="AM17" s="7" t="n">
        <f aca="false">IFERROR(AL17/AI17,"")</f>
        <v>4.83397683397683</v>
      </c>
      <c r="AN17" s="7" t="n">
        <v>2.846</v>
      </c>
      <c r="AO17" s="7" t="n">
        <v>1.988</v>
      </c>
      <c r="AP17" s="8" t="n">
        <v>22</v>
      </c>
      <c r="AQ17" s="7" t="n">
        <v>0.569877192152412</v>
      </c>
      <c r="AR17" s="6" t="n">
        <v>22.3938223938224</v>
      </c>
      <c r="AS17" s="7" t="n">
        <v>3.3179552715655</v>
      </c>
      <c r="AT17" s="8" t="n">
        <v>50</v>
      </c>
      <c r="AU17" s="6" t="n">
        <f aca="false">IFERROR(AT17/R17,"")</f>
        <v>2.94117647058824</v>
      </c>
      <c r="AV17" s="10" t="n">
        <v>0.0861</v>
      </c>
      <c r="AW17" s="8" t="n">
        <v>36</v>
      </c>
      <c r="AX17" s="10" t="n">
        <f aca="false">IFERROR(AW17/AT17,"")</f>
        <v>0.72</v>
      </c>
      <c r="AY17" s="8" t="n">
        <v>281</v>
      </c>
      <c r="AZ17" s="7" t="n">
        <f aca="false">IFERROR(AY17/AT17,"")</f>
        <v>5.62</v>
      </c>
      <c r="BA17" s="8" t="n">
        <v>63</v>
      </c>
      <c r="BB17" s="8" t="n">
        <v>33</v>
      </c>
      <c r="BC17" s="8" t="n">
        <v>18</v>
      </c>
      <c r="BD17" s="8" t="n">
        <v>13</v>
      </c>
      <c r="BE17" s="7" t="n">
        <v>14.2</v>
      </c>
      <c r="BF17" s="7" t="n">
        <f aca="false">IFERROR(BD17-BE17,"")</f>
        <v>-1.2</v>
      </c>
      <c r="BG17" s="9" t="n">
        <f aca="false">IFERROR(BD17/AH17,"")</f>
        <v>0.0420711974110032</v>
      </c>
      <c r="BH17" s="6" t="n">
        <v>80.4</v>
      </c>
      <c r="BI17" s="6" t="n">
        <v>76.4</v>
      </c>
      <c r="BJ17" s="6" t="n">
        <v>71.5</v>
      </c>
      <c r="BK17" s="7" t="n">
        <v>3.462</v>
      </c>
      <c r="BL17" s="10" t="n">
        <v>0.1266</v>
      </c>
      <c r="BM17" s="10" t="n">
        <v>0.638297872340426</v>
      </c>
      <c r="BN17" s="7" t="n">
        <v>2.811</v>
      </c>
      <c r="BO17" s="10" t="n">
        <v>0.194</v>
      </c>
      <c r="BP17" s="10" t="n">
        <v>0.0424</v>
      </c>
      <c r="BQ17" s="7" t="n">
        <v>2.396</v>
      </c>
      <c r="BR17" s="10" t="n">
        <v>0.904</v>
      </c>
      <c r="BS17" s="8" t="n">
        <v>5</v>
      </c>
      <c r="BT17" s="10" t="n">
        <v>0.0296</v>
      </c>
      <c r="BU17" s="10" t="n">
        <v>0.6185</v>
      </c>
      <c r="BV17" s="6" t="n">
        <v>62.12</v>
      </c>
      <c r="BW17" s="6" t="n">
        <v>37</v>
      </c>
      <c r="BX17" s="7" t="n">
        <v>4.47</v>
      </c>
      <c r="BY17" s="6" t="n">
        <v>30.5</v>
      </c>
      <c r="BZ17" s="9" t="n">
        <v>0.0262</v>
      </c>
      <c r="CA17" s="9" t="n">
        <v>0.2292</v>
      </c>
      <c r="CB17" s="8" t="n">
        <v>15</v>
      </c>
      <c r="CC17" s="10" t="n">
        <v>0.026</v>
      </c>
      <c r="CD17" s="8" t="n">
        <v>0</v>
      </c>
      <c r="CE17" s="10" t="n">
        <v>0</v>
      </c>
      <c r="CF17" s="8" t="n">
        <v>1</v>
      </c>
      <c r="CG17" s="7" t="n">
        <v>0.172</v>
      </c>
      <c r="CH17" s="7" t="n">
        <v>0.084</v>
      </c>
      <c r="CI17" s="4" t="s">
        <v>102</v>
      </c>
      <c r="CJ17" s="4"/>
    </row>
    <row r="18" customFormat="false" ht="15" hidden="false" customHeight="false" outlineLevel="0" collapsed="false">
      <c r="A18" s="3" t="n">
        <v>16</v>
      </c>
      <c r="B18" s="4" t="s">
        <v>216</v>
      </c>
      <c r="C18" s="11" t="s">
        <v>104</v>
      </c>
      <c r="D18" s="4" t="s">
        <v>217</v>
      </c>
      <c r="E18" s="4" t="s">
        <v>218</v>
      </c>
      <c r="F18" s="4" t="s">
        <v>104</v>
      </c>
      <c r="G18" s="3" t="n">
        <v>1</v>
      </c>
      <c r="H18" s="6" t="n">
        <v>28.5</v>
      </c>
      <c r="I18" s="3" t="n">
        <v>8</v>
      </c>
      <c r="J18" s="3" t="n">
        <v>11</v>
      </c>
      <c r="K18" s="7" t="n">
        <v>44.17</v>
      </c>
      <c r="L18" s="7" t="n">
        <v>7.16</v>
      </c>
      <c r="M18" s="8" t="n">
        <v>29</v>
      </c>
      <c r="N18" s="8" t="n">
        <v>61</v>
      </c>
      <c r="O18" s="7" t="n">
        <v>44.17</v>
      </c>
      <c r="P18" s="6" t="n">
        <v>98.3</v>
      </c>
      <c r="Q18" s="4" t="s">
        <v>218</v>
      </c>
      <c r="R18" s="8" t="n">
        <v>15</v>
      </c>
      <c r="S18" s="6" t="n">
        <v>237.1</v>
      </c>
      <c r="T18" s="7" t="n">
        <f aca="false">IFERROR(S18/R18,"")</f>
        <v>15.8066666666667</v>
      </c>
      <c r="U18" s="6" t="n">
        <v>219.1</v>
      </c>
      <c r="V18" s="6" t="n">
        <v>201.1</v>
      </c>
      <c r="W18" s="8" t="n">
        <v>13</v>
      </c>
      <c r="X18" s="7" t="n">
        <f aca="false">IFERROR(S18/AH18,"")</f>
        <v>0.852877697841727</v>
      </c>
      <c r="Y18" s="9" t="n">
        <f aca="false">IFERROR(S18/AF18,"")</f>
        <v>0.427978339350181</v>
      </c>
      <c r="Z18" s="6" t="n">
        <v>11.25</v>
      </c>
      <c r="AA18" s="6" t="n">
        <v>14.4</v>
      </c>
      <c r="AB18" s="6" t="n">
        <v>22.88</v>
      </c>
      <c r="AC18" s="10" t="n">
        <v>0.467</v>
      </c>
      <c r="AD18" s="10" t="n">
        <v>0.067</v>
      </c>
      <c r="AE18" s="7" t="n">
        <v>0.626</v>
      </c>
      <c r="AF18" s="8" t="n">
        <v>554</v>
      </c>
      <c r="AG18" s="10" t="n">
        <v>0.591</v>
      </c>
      <c r="AH18" s="8" t="n">
        <v>278</v>
      </c>
      <c r="AI18" s="8" t="n">
        <v>234</v>
      </c>
      <c r="AJ18" s="6" t="n">
        <f aca="false">IFERROR(AI18/R18,"")</f>
        <v>15.6</v>
      </c>
      <c r="AK18" s="10" t="n">
        <v>0.5639</v>
      </c>
      <c r="AL18" s="8" t="n">
        <v>929</v>
      </c>
      <c r="AM18" s="7" t="n">
        <f aca="false">IFERROR(AL18/AI18,"")</f>
        <v>3.97008547008547</v>
      </c>
      <c r="AN18" s="7" t="n">
        <v>1.962</v>
      </c>
      <c r="AO18" s="7" t="n">
        <v>2.009</v>
      </c>
      <c r="AP18" s="8" t="n">
        <v>16</v>
      </c>
      <c r="AQ18" s="7" t="n">
        <v>-0.0314780227602759</v>
      </c>
      <c r="AR18" s="6" t="n">
        <v>17.5213675213675</v>
      </c>
      <c r="AS18" s="7" t="n">
        <v>3.74994617868676</v>
      </c>
      <c r="AT18" s="8" t="n">
        <v>44</v>
      </c>
      <c r="AU18" s="6" t="n">
        <f aca="false">IFERROR(AT18/R18,"")</f>
        <v>2.93333333333333</v>
      </c>
      <c r="AV18" s="10" t="n">
        <v>0.1026</v>
      </c>
      <c r="AW18" s="8" t="n">
        <v>36</v>
      </c>
      <c r="AX18" s="10" t="n">
        <f aca="false">IFERROR(AW18/AT18,"")</f>
        <v>0.818181818181818</v>
      </c>
      <c r="AY18" s="8" t="n">
        <v>282</v>
      </c>
      <c r="AZ18" s="7" t="n">
        <f aca="false">IFERROR(AY18/AT18,"")</f>
        <v>6.40909090909091</v>
      </c>
      <c r="BA18" s="8" t="n">
        <v>58</v>
      </c>
      <c r="BB18" s="8" t="n">
        <v>32</v>
      </c>
      <c r="BC18" s="8" t="n">
        <v>20</v>
      </c>
      <c r="BD18" s="8" t="n">
        <v>14</v>
      </c>
      <c r="BE18" s="7" t="n">
        <v>12.59</v>
      </c>
      <c r="BF18" s="7" t="n">
        <f aca="false">IFERROR(BD18-BE18,"")</f>
        <v>1.41</v>
      </c>
      <c r="BG18" s="9" t="n">
        <f aca="false">IFERROR(BD18/AH18,"")</f>
        <v>0.0503597122302158</v>
      </c>
      <c r="BH18" s="6" t="n">
        <v>52.5</v>
      </c>
      <c r="BI18" s="6" t="n">
        <v>45.3</v>
      </c>
      <c r="BJ18" s="6" t="n">
        <v>58.7</v>
      </c>
      <c r="BK18" s="7" t="n">
        <v>2.905</v>
      </c>
      <c r="BL18" s="10" t="n">
        <v>0.1629</v>
      </c>
      <c r="BM18" s="10" t="n">
        <v>0.604651162790698</v>
      </c>
      <c r="BN18" s="7" t="n">
        <v>2.199</v>
      </c>
      <c r="BO18" s="10" t="n">
        <v>0.2454</v>
      </c>
      <c r="BP18" s="10" t="n">
        <v>0.0493</v>
      </c>
      <c r="BQ18" s="7" t="n">
        <v>2.41</v>
      </c>
      <c r="BR18" s="10" t="n">
        <v>0.704</v>
      </c>
      <c r="BS18" s="8" t="n">
        <v>4</v>
      </c>
      <c r="BT18" s="10" t="n">
        <v>-0.0441</v>
      </c>
      <c r="BU18" s="10" t="n">
        <v>0.5063</v>
      </c>
      <c r="BV18" s="6" t="n">
        <v>58.41</v>
      </c>
      <c r="BW18" s="6" t="n">
        <v>39</v>
      </c>
      <c r="BX18" s="7" t="n">
        <v>3.47</v>
      </c>
      <c r="BY18" s="6" t="n">
        <v>23</v>
      </c>
      <c r="BZ18" s="9" t="n">
        <v>-0.0102</v>
      </c>
      <c r="CA18" s="9" t="n">
        <v>0.229</v>
      </c>
      <c r="CB18" s="8" t="n">
        <v>155</v>
      </c>
      <c r="CC18" s="10" t="n">
        <v>0.337</v>
      </c>
      <c r="CD18" s="8" t="n">
        <v>148</v>
      </c>
      <c r="CE18" s="10" t="n">
        <v>0.301</v>
      </c>
      <c r="CF18" s="8" t="n">
        <v>52</v>
      </c>
      <c r="CG18" s="7" t="n">
        <v>0.032</v>
      </c>
      <c r="CH18" s="7" t="n">
        <v>0.163</v>
      </c>
      <c r="CI18" s="4" t="s">
        <v>102</v>
      </c>
      <c r="CJ18" s="4"/>
    </row>
    <row r="19" customFormat="false" ht="15" hidden="false" customHeight="false" outlineLevel="0" collapsed="false">
      <c r="A19" s="3" t="n">
        <v>17</v>
      </c>
      <c r="B19" s="4" t="s">
        <v>222</v>
      </c>
      <c r="C19" s="11" t="s">
        <v>104</v>
      </c>
      <c r="D19" s="4" t="s">
        <v>223</v>
      </c>
      <c r="E19" s="4" t="s">
        <v>120</v>
      </c>
      <c r="F19" s="4" t="s">
        <v>104</v>
      </c>
      <c r="G19" s="3" t="n">
        <v>1</v>
      </c>
      <c r="H19" s="6" t="n">
        <v>26.3</v>
      </c>
      <c r="I19" s="3" t="n">
        <v>6</v>
      </c>
      <c r="J19" s="3" t="n">
        <v>14</v>
      </c>
      <c r="K19" s="7" t="n">
        <v>45.66</v>
      </c>
      <c r="L19" s="7" t="n">
        <v>6.3</v>
      </c>
      <c r="M19" s="8" t="n">
        <v>31</v>
      </c>
      <c r="N19" s="8" t="n">
        <v>61</v>
      </c>
      <c r="O19" s="7" t="n">
        <v>45.66</v>
      </c>
      <c r="P19" s="6" t="n">
        <v>96.9</v>
      </c>
      <c r="Q19" s="4" t="s">
        <v>120</v>
      </c>
      <c r="R19" s="8" t="n">
        <v>16</v>
      </c>
      <c r="S19" s="6" t="n">
        <v>242.8</v>
      </c>
      <c r="T19" s="7" t="n">
        <f aca="false">IFERROR(S19/R19,"")</f>
        <v>15.175</v>
      </c>
      <c r="U19" s="6" t="n">
        <v>225.3</v>
      </c>
      <c r="V19" s="6" t="n">
        <v>207.8</v>
      </c>
      <c r="W19" s="8" t="n">
        <v>12</v>
      </c>
      <c r="X19" s="7" t="n">
        <f aca="false">IFERROR(S19/AH19,"")</f>
        <v>0.801320132013201</v>
      </c>
      <c r="Y19" s="9" t="n">
        <f aca="false">IFERROR(S19/AF19,"")</f>
        <v>0.315734720416125</v>
      </c>
      <c r="Z19" s="6" t="n">
        <v>11.12</v>
      </c>
      <c r="AA19" s="6" t="n">
        <v>14.9</v>
      </c>
      <c r="AB19" s="6" t="n">
        <v>20.05</v>
      </c>
      <c r="AC19" s="10" t="n">
        <v>0.312</v>
      </c>
      <c r="AD19" s="10" t="n">
        <v>0</v>
      </c>
      <c r="AE19" s="7" t="n">
        <v>0.404</v>
      </c>
      <c r="AF19" s="8" t="n">
        <v>769</v>
      </c>
      <c r="AG19" s="10" t="n">
        <v>0.69</v>
      </c>
      <c r="AH19" s="8" t="n">
        <v>303</v>
      </c>
      <c r="AI19" s="8" t="n">
        <v>252</v>
      </c>
      <c r="AJ19" s="6" t="n">
        <f aca="false">IFERROR(AI19/R19,"")</f>
        <v>15.75</v>
      </c>
      <c r="AK19" s="10" t="n">
        <v>0.5793</v>
      </c>
      <c r="AL19" s="8" t="n">
        <v>1201</v>
      </c>
      <c r="AM19" s="7" t="n">
        <f aca="false">IFERROR(AL19/AI19,"")</f>
        <v>4.76587301587302</v>
      </c>
      <c r="AN19" s="7" t="n">
        <v>2.278</v>
      </c>
      <c r="AO19" s="7" t="n">
        <v>2.488</v>
      </c>
      <c r="AP19" s="8" t="n">
        <v>25</v>
      </c>
      <c r="AQ19" s="7" t="n">
        <v>0.623310307217925</v>
      </c>
      <c r="AR19" s="6" t="n">
        <v>22.6190476190476</v>
      </c>
      <c r="AS19" s="7" t="n">
        <v>3.18264779350541</v>
      </c>
      <c r="AT19" s="8" t="n">
        <v>51</v>
      </c>
      <c r="AU19" s="6" t="n">
        <f aca="false">IFERROR(AT19/R19,"")</f>
        <v>3.1875</v>
      </c>
      <c r="AV19" s="10" t="n">
        <v>0.0873</v>
      </c>
      <c r="AW19" s="8" t="n">
        <v>35</v>
      </c>
      <c r="AX19" s="10" t="n">
        <f aca="false">IFERROR(AW19/AT19,"")</f>
        <v>0.686274509803922</v>
      </c>
      <c r="AY19" s="8" t="n">
        <v>137</v>
      </c>
      <c r="AZ19" s="7" t="n">
        <f aca="false">IFERROR(AY19/AT19,"")</f>
        <v>2.68627450980392</v>
      </c>
      <c r="BA19" s="8" t="n">
        <v>66</v>
      </c>
      <c r="BB19" s="8" t="n">
        <v>33</v>
      </c>
      <c r="BC19" s="8" t="n">
        <v>24</v>
      </c>
      <c r="BD19" s="8" t="n">
        <v>13</v>
      </c>
      <c r="BE19" s="7" t="n">
        <v>15.74</v>
      </c>
      <c r="BF19" s="7" t="n">
        <f aca="false">IFERROR(BD19-BE19,"")</f>
        <v>-2.74</v>
      </c>
      <c r="BG19" s="9" t="n">
        <f aca="false">IFERROR(BD19/AH19,"")</f>
        <v>0.0429042904290429</v>
      </c>
      <c r="BH19" s="6" t="n">
        <v>65.1</v>
      </c>
      <c r="BI19" s="6" t="n">
        <v>61.6</v>
      </c>
      <c r="BJ19" s="6" t="n">
        <v>62.2</v>
      </c>
      <c r="BK19" s="7" t="n">
        <v>3.074</v>
      </c>
      <c r="BL19" s="10" t="n">
        <v>0.1352</v>
      </c>
      <c r="BM19" s="10" t="n">
        <v>0.705882352941177</v>
      </c>
      <c r="BN19" s="7" t="n">
        <v>2.563</v>
      </c>
      <c r="BO19" s="10" t="n">
        <v>0.2356</v>
      </c>
      <c r="BP19" s="10" t="n">
        <v>0.044</v>
      </c>
      <c r="BQ19" s="7" t="n">
        <v>2.396</v>
      </c>
      <c r="BR19" s="10" t="n">
        <v>0.848</v>
      </c>
      <c r="BS19" s="8" t="n">
        <v>5</v>
      </c>
      <c r="BT19" s="10" t="n">
        <v>-0.0098</v>
      </c>
      <c r="BU19" s="10" t="n">
        <v>0.5628</v>
      </c>
      <c r="BV19" s="6" t="n">
        <v>64.94</v>
      </c>
      <c r="BW19" s="6" t="n">
        <v>36</v>
      </c>
      <c r="BX19" s="7" t="n">
        <v>3.82</v>
      </c>
      <c r="BY19" s="6" t="n">
        <v>27.7</v>
      </c>
      <c r="BZ19" s="9" t="n">
        <v>0.005</v>
      </c>
      <c r="CA19" s="9" t="n">
        <v>0.1615</v>
      </c>
      <c r="CB19" s="8" t="n">
        <v>34</v>
      </c>
      <c r="CC19" s="10" t="n">
        <v>0.056</v>
      </c>
      <c r="CD19" s="8" t="n">
        <v>0</v>
      </c>
      <c r="CE19" s="10" t="n">
        <v>0</v>
      </c>
      <c r="CF19" s="8" t="n">
        <v>4</v>
      </c>
      <c r="CG19" s="7" t="n">
        <v>0.111</v>
      </c>
      <c r="CH19" s="7" t="n">
        <v>0.111</v>
      </c>
      <c r="CI19" s="4" t="s">
        <v>102</v>
      </c>
      <c r="CJ19" s="4"/>
    </row>
    <row r="20" customFormat="false" ht="15" hidden="false" customHeight="false" outlineLevel="0" collapsed="false">
      <c r="A20" s="3" t="n">
        <v>18</v>
      </c>
      <c r="B20" s="4" t="s">
        <v>233</v>
      </c>
      <c r="C20" s="11" t="s">
        <v>104</v>
      </c>
      <c r="D20" s="4" t="s">
        <v>234</v>
      </c>
      <c r="E20" s="4" t="s">
        <v>158</v>
      </c>
      <c r="F20" s="4" t="s">
        <v>104</v>
      </c>
      <c r="G20" s="3" t="n">
        <v>1</v>
      </c>
      <c r="H20" s="6" t="n">
        <v>27.6</v>
      </c>
      <c r="I20" s="3" t="n">
        <v>6</v>
      </c>
      <c r="J20" s="3" t="n">
        <v>8</v>
      </c>
      <c r="K20" s="7" t="n">
        <v>50.99</v>
      </c>
      <c r="L20" s="7" t="n">
        <v>7.98</v>
      </c>
      <c r="M20" s="8" t="n">
        <v>34</v>
      </c>
      <c r="N20" s="8" t="n">
        <v>72</v>
      </c>
      <c r="O20" s="7" t="n">
        <v>50.99</v>
      </c>
      <c r="P20" s="6" t="n">
        <v>95.9</v>
      </c>
      <c r="Q20" s="4" t="s">
        <v>235</v>
      </c>
      <c r="R20" s="8" t="n">
        <v>17</v>
      </c>
      <c r="S20" s="6" t="n">
        <v>253.9</v>
      </c>
      <c r="T20" s="7" t="n">
        <f aca="false">IFERROR(S20/R20,"")</f>
        <v>14.9352941176471</v>
      </c>
      <c r="U20" s="6" t="n">
        <v>235.9</v>
      </c>
      <c r="V20" s="6" t="n">
        <v>217.9</v>
      </c>
      <c r="W20" s="8" t="n">
        <v>10</v>
      </c>
      <c r="X20" s="7" t="n">
        <f aca="false">IFERROR(S20/AH20,"")</f>
        <v>0.813782051282051</v>
      </c>
      <c r="Y20" s="9" t="n">
        <f aca="false">IFERROR(S20/AF20,"")</f>
        <v>0.367438494934877</v>
      </c>
      <c r="Z20" s="6" t="n">
        <v>9.5</v>
      </c>
      <c r="AA20" s="6" t="n">
        <v>16.5</v>
      </c>
      <c r="AB20" s="6" t="n">
        <v>20.16</v>
      </c>
      <c r="AC20" s="10" t="n">
        <v>0.353</v>
      </c>
      <c r="AD20" s="10" t="n">
        <v>0</v>
      </c>
      <c r="AE20" s="7" t="n">
        <v>0.421</v>
      </c>
      <c r="AF20" s="8" t="n">
        <v>691</v>
      </c>
      <c r="AG20" s="10" t="n">
        <v>0.601</v>
      </c>
      <c r="AH20" s="8" t="n">
        <v>312</v>
      </c>
      <c r="AI20" s="8" t="n">
        <v>260</v>
      </c>
      <c r="AJ20" s="6" t="n">
        <f aca="false">IFERROR(AI20/R20,"")</f>
        <v>15.2941176470588</v>
      </c>
      <c r="AK20" s="10" t="n">
        <v>0.5317</v>
      </c>
      <c r="AL20" s="8" t="n">
        <v>1107</v>
      </c>
      <c r="AM20" s="7" t="n">
        <f aca="false">IFERROR(AL20/AI20,"")</f>
        <v>4.25769230769231</v>
      </c>
      <c r="AN20" s="7" t="n">
        <v>2.162</v>
      </c>
      <c r="AO20" s="7" t="n">
        <v>2.096</v>
      </c>
      <c r="AP20" s="8" t="n">
        <v>10</v>
      </c>
      <c r="AQ20" s="7" t="n">
        <v>0.172743719951274</v>
      </c>
      <c r="AR20" s="6" t="n">
        <v>22.6923076923077</v>
      </c>
      <c r="AS20" s="7" t="n">
        <v>3.91090334236676</v>
      </c>
      <c r="AT20" s="8" t="n">
        <v>52</v>
      </c>
      <c r="AU20" s="6" t="n">
        <f aca="false">IFERROR(AT20/R20,"")</f>
        <v>3.05882352941176</v>
      </c>
      <c r="AV20" s="10" t="n">
        <v>0.0951</v>
      </c>
      <c r="AW20" s="8" t="n">
        <v>36</v>
      </c>
      <c r="AX20" s="10" t="n">
        <f aca="false">IFERROR(AW20/AT20,"")</f>
        <v>0.692307692307692</v>
      </c>
      <c r="AY20" s="8" t="n">
        <v>292</v>
      </c>
      <c r="AZ20" s="7" t="n">
        <f aca="false">IFERROR(AY20/AT20,"")</f>
        <v>5.61538461538462</v>
      </c>
      <c r="BA20" s="8" t="n">
        <v>64</v>
      </c>
      <c r="BB20" s="8" t="n">
        <v>32</v>
      </c>
      <c r="BC20" s="8" t="n">
        <v>13</v>
      </c>
      <c r="BD20" s="8" t="n">
        <v>13</v>
      </c>
      <c r="BE20" s="7" t="n">
        <v>11.64</v>
      </c>
      <c r="BF20" s="7" t="n">
        <f aca="false">IFERROR(BD20-BE20,"")</f>
        <v>1.36</v>
      </c>
      <c r="BG20" s="9" t="n">
        <f aca="false">IFERROR(BD20/AH20,"")</f>
        <v>0.0416666666666667</v>
      </c>
      <c r="BH20" s="6" t="n">
        <v>41.9</v>
      </c>
      <c r="BI20" s="6" t="n">
        <v>42.4</v>
      </c>
      <c r="BJ20" s="6" t="n">
        <v>44.9</v>
      </c>
      <c r="BK20" s="7" t="n">
        <v>2.883</v>
      </c>
      <c r="BL20" s="10" t="n">
        <v>0.1505</v>
      </c>
      <c r="BM20" s="10" t="n">
        <v>0.55</v>
      </c>
      <c r="BN20" s="7" t="n">
        <v>2.057</v>
      </c>
      <c r="BO20" s="10" t="n">
        <v>0.2132</v>
      </c>
      <c r="BP20" s="10" t="n">
        <v>0.0763</v>
      </c>
      <c r="BQ20" s="7" t="n">
        <v>2.2</v>
      </c>
      <c r="BR20" s="10" t="n">
        <v>0.784</v>
      </c>
      <c r="BS20" s="8" t="n">
        <v>4</v>
      </c>
      <c r="BT20" s="10" t="n">
        <v>-0.0301</v>
      </c>
      <c r="BU20" s="10" t="n">
        <v>0.5383</v>
      </c>
      <c r="BV20" s="6" t="n">
        <v>62.59</v>
      </c>
      <c r="BW20" s="6" t="n">
        <v>35</v>
      </c>
      <c r="BX20" s="7" t="n">
        <v>2.82</v>
      </c>
      <c r="BY20" s="6" t="n">
        <v>18</v>
      </c>
      <c r="BZ20" s="9" t="n">
        <v>-0.1008</v>
      </c>
      <c r="CA20" s="9" t="n">
        <v>-0.0795</v>
      </c>
      <c r="CB20" s="8" t="n">
        <v>127</v>
      </c>
      <c r="CC20" s="10" t="n">
        <v>0.225</v>
      </c>
      <c r="CD20" s="8" t="n">
        <v>21</v>
      </c>
      <c r="CE20" s="10" t="n">
        <v>0.048</v>
      </c>
      <c r="CF20" s="8" t="n">
        <v>15</v>
      </c>
      <c r="CG20" s="7" t="n">
        <v>0.234</v>
      </c>
      <c r="CH20" s="7" t="n">
        <v>0.059</v>
      </c>
      <c r="CI20" s="4" t="s">
        <v>102</v>
      </c>
      <c r="CJ20" s="4"/>
    </row>
    <row r="21" customFormat="false" ht="15" hidden="false" customHeight="false" outlineLevel="0" collapsed="false">
      <c r="A21" s="3" t="n">
        <v>19</v>
      </c>
      <c r="B21" s="4" t="s">
        <v>242</v>
      </c>
      <c r="C21" s="11" t="s">
        <v>104</v>
      </c>
      <c r="D21" s="4" t="s">
        <v>243</v>
      </c>
      <c r="E21" s="4" t="s">
        <v>178</v>
      </c>
      <c r="F21" s="4" t="s">
        <v>104</v>
      </c>
      <c r="G21" s="3" t="n">
        <v>1</v>
      </c>
      <c r="H21" s="6" t="n">
        <v>24.5</v>
      </c>
      <c r="I21" s="3" t="n">
        <v>2</v>
      </c>
      <c r="J21" s="3" t="n">
        <v>8</v>
      </c>
      <c r="K21" s="7" t="n">
        <v>54.84</v>
      </c>
      <c r="L21" s="7" t="n">
        <v>8.9</v>
      </c>
      <c r="M21" s="8" t="n">
        <v>39</v>
      </c>
      <c r="N21" s="8" t="n">
        <v>86</v>
      </c>
      <c r="O21" s="7" t="n">
        <v>54.84</v>
      </c>
      <c r="P21" s="6" t="n">
        <v>96.8</v>
      </c>
      <c r="Q21" s="4" t="s">
        <v>178</v>
      </c>
      <c r="R21" s="8" t="n">
        <v>8</v>
      </c>
      <c r="S21" s="6" t="n">
        <v>127.7</v>
      </c>
      <c r="T21" s="7" t="n">
        <f aca="false">IFERROR(S21/R21,"")</f>
        <v>15.9625</v>
      </c>
      <c r="U21" s="6" t="n">
        <v>115.7</v>
      </c>
      <c r="V21" s="6" t="n">
        <v>103.7</v>
      </c>
      <c r="W21" s="8" t="n">
        <v>36</v>
      </c>
      <c r="X21" s="7" t="n">
        <f aca="false">IFERROR(S21/AH21,"")</f>
        <v>0.96015037593985</v>
      </c>
      <c r="Y21" s="9" t="n">
        <f aca="false">IFERROR(S21/AF21,"")</f>
        <v>0.432881355932203</v>
      </c>
      <c r="Z21" s="6" t="n">
        <v>12.25</v>
      </c>
      <c r="AA21" s="6" t="n">
        <v>14.15</v>
      </c>
      <c r="AB21" s="6" t="n">
        <v>23.82</v>
      </c>
      <c r="AC21" s="10" t="n">
        <v>0.375</v>
      </c>
      <c r="AD21" s="10" t="n">
        <v>0</v>
      </c>
      <c r="AE21" s="7" t="n">
        <v>0.609</v>
      </c>
      <c r="AF21" s="8" t="n">
        <v>295</v>
      </c>
      <c r="AG21" s="10" t="n">
        <v>0.522</v>
      </c>
      <c r="AH21" s="8" t="n">
        <v>133</v>
      </c>
      <c r="AI21" s="8" t="n">
        <v>101</v>
      </c>
      <c r="AJ21" s="6" t="n">
        <f aca="false">IFERROR(AI21/R21,"")</f>
        <v>12.625</v>
      </c>
      <c r="AK21" s="10" t="n">
        <v>0.4316</v>
      </c>
      <c r="AL21" s="8" t="n">
        <v>410</v>
      </c>
      <c r="AM21" s="7" t="n">
        <f aca="false">IFERROR(AL21/AI21,"")</f>
        <v>4.05940594059406</v>
      </c>
      <c r="AN21" s="7" t="n">
        <v>2.158</v>
      </c>
      <c r="AO21" s="7" t="n">
        <v>1.901</v>
      </c>
      <c r="AP21" s="8" t="n">
        <v>7</v>
      </c>
      <c r="AQ21" s="7" t="n">
        <v>0.430127827917362</v>
      </c>
      <c r="AR21" s="6" t="n">
        <v>23.7623762376238</v>
      </c>
      <c r="AS21" s="7" t="n">
        <v>3.73960975609756</v>
      </c>
      <c r="AT21" s="8" t="n">
        <v>32</v>
      </c>
      <c r="AU21" s="6" t="n">
        <f aca="false">IFERROR(AT21/R21,"")</f>
        <v>4</v>
      </c>
      <c r="AV21" s="10" t="n">
        <v>0.1322</v>
      </c>
      <c r="AW21" s="8" t="n">
        <v>24</v>
      </c>
      <c r="AX21" s="10" t="n">
        <f aca="false">IFERROR(AW21/AT21,"")</f>
        <v>0.75</v>
      </c>
      <c r="AY21" s="8" t="n">
        <v>207</v>
      </c>
      <c r="AZ21" s="7" t="n">
        <f aca="false">IFERROR(AY21/AT21,"")</f>
        <v>6.46875</v>
      </c>
      <c r="BA21" s="8" t="n">
        <v>27</v>
      </c>
      <c r="BB21" s="8" t="n">
        <v>13</v>
      </c>
      <c r="BC21" s="8" t="n">
        <v>9</v>
      </c>
      <c r="BD21" s="8" t="n">
        <v>7</v>
      </c>
      <c r="BE21" s="7" t="n">
        <v>6.17</v>
      </c>
      <c r="BF21" s="7" t="n">
        <f aca="false">IFERROR(BD21-BE21,"")</f>
        <v>0.83</v>
      </c>
      <c r="BG21" s="9" t="n">
        <f aca="false">IFERROR(BD21/AH21,"")</f>
        <v>0.0526315789473684</v>
      </c>
      <c r="BH21" s="6" t="n">
        <v>45.9</v>
      </c>
      <c r="BI21" s="6" t="n">
        <v>56.8</v>
      </c>
      <c r="BJ21" s="6" t="n">
        <v>36.8</v>
      </c>
      <c r="BK21" s="7" t="n">
        <v>2.974</v>
      </c>
      <c r="BL21" s="10" t="n">
        <v>0.1475</v>
      </c>
      <c r="BM21" s="10" t="n">
        <v>0.625</v>
      </c>
      <c r="BN21" s="7" t="n">
        <v>2.714</v>
      </c>
      <c r="BO21" s="10" t="n">
        <v>0.2947</v>
      </c>
      <c r="BP21" s="10" t="n">
        <v>0.076</v>
      </c>
      <c r="BQ21" s="7" t="n">
        <v>2.388</v>
      </c>
      <c r="BR21" s="10" t="n">
        <v>0.723</v>
      </c>
      <c r="BS21" s="8" t="n">
        <v>4</v>
      </c>
      <c r="BT21" s="10" t="n">
        <v>-0.0466</v>
      </c>
      <c r="BU21" s="10" t="n">
        <v>0.494</v>
      </c>
      <c r="BV21" s="6" t="n">
        <v>63.47</v>
      </c>
      <c r="BW21" s="6" t="n">
        <v>36</v>
      </c>
      <c r="BX21" s="7" t="n">
        <v>3.59</v>
      </c>
      <c r="BY21" s="6" t="n">
        <v>22.4</v>
      </c>
      <c r="BZ21" s="9" t="n">
        <v>0.0356</v>
      </c>
      <c r="CA21" s="9" t="n">
        <v>-0.008</v>
      </c>
      <c r="CB21" s="8" t="n">
        <v>177</v>
      </c>
      <c r="CC21" s="10" t="n">
        <v>0.352</v>
      </c>
      <c r="CD21" s="8" t="n">
        <v>3</v>
      </c>
      <c r="CE21" s="10" t="n">
        <v>0.006</v>
      </c>
      <c r="CF21" s="8" t="n">
        <v>21</v>
      </c>
      <c r="CG21" s="7" t="n">
        <v>-0.87</v>
      </c>
      <c r="CH21" s="7" t="n">
        <v>0.313</v>
      </c>
      <c r="CI21" s="4" t="s">
        <v>121</v>
      </c>
      <c r="CJ21" s="4"/>
    </row>
    <row r="22" customFormat="false" ht="15" hidden="false" customHeight="false" outlineLevel="0" collapsed="false">
      <c r="A22" s="3" t="n">
        <v>20</v>
      </c>
      <c r="B22" s="4" t="s">
        <v>250</v>
      </c>
      <c r="C22" s="11" t="s">
        <v>104</v>
      </c>
      <c r="D22" s="4" t="s">
        <v>251</v>
      </c>
      <c r="E22" s="4" t="s">
        <v>198</v>
      </c>
      <c r="F22" s="4" t="s">
        <v>104</v>
      </c>
      <c r="G22" s="3" t="n">
        <v>1</v>
      </c>
      <c r="H22" s="6" t="n">
        <v>24</v>
      </c>
      <c r="I22" s="3" t="n">
        <v>3</v>
      </c>
      <c r="J22" s="3" t="n">
        <v>10</v>
      </c>
      <c r="K22" s="7" t="n">
        <v>57.86</v>
      </c>
      <c r="L22" s="7" t="n">
        <v>8.33</v>
      </c>
      <c r="M22" s="8" t="n">
        <v>33</v>
      </c>
      <c r="N22" s="8" t="n">
        <v>77</v>
      </c>
      <c r="O22" s="7" t="n">
        <v>57.86</v>
      </c>
      <c r="P22" s="6" t="n">
        <v>95.1</v>
      </c>
      <c r="Q22" s="4" t="s">
        <v>198</v>
      </c>
      <c r="R22" s="8" t="n">
        <v>10</v>
      </c>
      <c r="S22" s="6" t="n">
        <v>138.5</v>
      </c>
      <c r="T22" s="7" t="n">
        <f aca="false">IFERROR(S22/R22,"")</f>
        <v>13.85</v>
      </c>
      <c r="U22" s="6" t="n">
        <v>123.5</v>
      </c>
      <c r="V22" s="6" t="n">
        <v>108.5</v>
      </c>
      <c r="W22" s="8" t="n">
        <v>33</v>
      </c>
      <c r="X22" s="7" t="n">
        <f aca="false">IFERROR(S22/AH22,"")</f>
        <v>0.665865384615385</v>
      </c>
      <c r="Y22" s="9" t="n">
        <f aca="false">IFERROR(S22/AF22,"")</f>
        <v>0.328978622327791</v>
      </c>
      <c r="Z22" s="6" t="n">
        <v>8.93</v>
      </c>
      <c r="AA22" s="6" t="n">
        <v>14.2</v>
      </c>
      <c r="AB22" s="6" t="n">
        <v>17.4</v>
      </c>
      <c r="AC22" s="10" t="n">
        <v>0.2</v>
      </c>
      <c r="AD22" s="10" t="n">
        <v>0</v>
      </c>
      <c r="AE22" s="7" t="n">
        <v>0.395</v>
      </c>
      <c r="AF22" s="8" t="n">
        <v>421</v>
      </c>
      <c r="AG22" s="10" t="n">
        <v>0.616</v>
      </c>
      <c r="AH22" s="8" t="n">
        <v>208</v>
      </c>
      <c r="AI22" s="8" t="n">
        <v>173</v>
      </c>
      <c r="AJ22" s="6" t="n">
        <f aca="false">IFERROR(AI22/R22,"")</f>
        <v>17.3</v>
      </c>
      <c r="AK22" s="10" t="n">
        <v>0.5925</v>
      </c>
      <c r="AL22" s="8" t="n">
        <v>588</v>
      </c>
      <c r="AM22" s="7" t="n">
        <f aca="false">IFERROR(AL22/AI22,"")</f>
        <v>3.39884393063584</v>
      </c>
      <c r="AN22" s="7" t="n">
        <v>1.763</v>
      </c>
      <c r="AO22" s="7" t="n">
        <v>1.636</v>
      </c>
      <c r="AP22" s="8" t="n">
        <v>10</v>
      </c>
      <c r="AQ22" s="7" t="n">
        <v>-0.741448580010564</v>
      </c>
      <c r="AR22" s="6" t="n">
        <v>17.3410404624278</v>
      </c>
      <c r="AS22" s="7" t="n">
        <v>4.43295918367347</v>
      </c>
      <c r="AT22" s="8" t="n">
        <v>35</v>
      </c>
      <c r="AU22" s="6" t="n">
        <f aca="false">IFERROR(AT22/R22,"")</f>
        <v>3.5</v>
      </c>
      <c r="AV22" s="10" t="n">
        <v>0.1125</v>
      </c>
      <c r="AW22" s="8" t="n">
        <v>30</v>
      </c>
      <c r="AX22" s="10" t="n">
        <f aca="false">IFERROR(AW22/AT22,"")</f>
        <v>0.857142857142857</v>
      </c>
      <c r="AY22" s="8" t="n">
        <v>277</v>
      </c>
      <c r="AZ22" s="7" t="n">
        <f aca="false">IFERROR(AY22/AT22,"")</f>
        <v>7.91428571428572</v>
      </c>
      <c r="BA22" s="8" t="n">
        <v>22</v>
      </c>
      <c r="BB22" s="8" t="n">
        <v>7</v>
      </c>
      <c r="BC22" s="8" t="n">
        <v>0</v>
      </c>
      <c r="BD22" s="8" t="n">
        <v>4</v>
      </c>
      <c r="BE22" s="7" t="n">
        <v>3.51</v>
      </c>
      <c r="BF22" s="7" t="n">
        <f aca="false">IFERROR(BD22-BE22,"")</f>
        <v>0.49</v>
      </c>
      <c r="BG22" s="9" t="n">
        <f aca="false">IFERROR(BD22/AH22,"")</f>
        <v>0.0192307692307692</v>
      </c>
      <c r="BH22" s="6" t="n">
        <v>57.4</v>
      </c>
      <c r="BI22" s="6" t="n">
        <v>46.3</v>
      </c>
      <c r="BJ22" s="6" t="n">
        <v>65.4</v>
      </c>
      <c r="BK22" s="7" t="n">
        <v>2.736</v>
      </c>
      <c r="BL22" s="10" t="n">
        <v>0.1938</v>
      </c>
      <c r="BM22" s="10" t="n">
        <v>0.708333333333333</v>
      </c>
      <c r="BN22" s="7" t="n">
        <v>2.699</v>
      </c>
      <c r="BO22" s="10" t="n">
        <v>0.172</v>
      </c>
      <c r="BP22" s="10" t="n">
        <v>0.0571</v>
      </c>
      <c r="BQ22" s="7" t="n">
        <v>2.292</v>
      </c>
      <c r="BR22" s="10" t="n">
        <v>0.791</v>
      </c>
      <c r="BS22" s="8" t="n">
        <v>4</v>
      </c>
      <c r="BT22" s="10" t="n">
        <v>-0.0347</v>
      </c>
      <c r="BU22" s="10" t="n">
        <v>0.5148</v>
      </c>
      <c r="BV22" s="6" t="n">
        <v>62.65</v>
      </c>
      <c r="BW22" s="6" t="n">
        <v>41</v>
      </c>
      <c r="BX22" s="7" t="n">
        <v>3.12</v>
      </c>
      <c r="BY22" s="6" t="n">
        <v>22.4</v>
      </c>
      <c r="BZ22" s="9" t="n">
        <v>0.0138</v>
      </c>
      <c r="CA22" s="9" t="n">
        <v>-0.0264</v>
      </c>
      <c r="CB22" s="8" t="n">
        <v>111</v>
      </c>
      <c r="CC22" s="10" t="n">
        <v>0.205</v>
      </c>
      <c r="CD22" s="8" t="n">
        <v>138</v>
      </c>
      <c r="CE22" s="10" t="n">
        <v>0.292</v>
      </c>
      <c r="CF22" s="8" t="n">
        <v>38</v>
      </c>
      <c r="CG22" s="7" t="n">
        <v>-0.703</v>
      </c>
      <c r="CH22" s="7" t="n">
        <v>-0.046</v>
      </c>
      <c r="CI22" s="4" t="s">
        <v>121</v>
      </c>
      <c r="CJ22" s="4"/>
    </row>
    <row r="23" customFormat="false" ht="15" hidden="false" customHeight="false" outlineLevel="0" collapsed="false">
      <c r="A23" s="3" t="n">
        <v>21</v>
      </c>
      <c r="B23" s="4" t="s">
        <v>254</v>
      </c>
      <c r="C23" s="11" t="s">
        <v>104</v>
      </c>
      <c r="D23" s="4" t="s">
        <v>255</v>
      </c>
      <c r="E23" s="4" t="s">
        <v>203</v>
      </c>
      <c r="F23" s="4" t="s">
        <v>104</v>
      </c>
      <c r="G23" s="3" t="n">
        <v>1</v>
      </c>
      <c r="H23" s="6" t="n">
        <v>27.6</v>
      </c>
      <c r="I23" s="3" t="n">
        <v>7</v>
      </c>
      <c r="J23" s="3" t="n">
        <v>10</v>
      </c>
      <c r="K23" s="7" t="n">
        <v>59.55</v>
      </c>
      <c r="L23" s="7" t="n">
        <v>7.42</v>
      </c>
      <c r="M23" s="8" t="n">
        <v>43</v>
      </c>
      <c r="N23" s="8" t="n">
        <v>80</v>
      </c>
      <c r="O23" s="7" t="n">
        <v>59.55</v>
      </c>
      <c r="P23" s="6" t="n">
        <v>92.3</v>
      </c>
      <c r="Q23" s="4" t="s">
        <v>203</v>
      </c>
      <c r="R23" s="8" t="n">
        <v>16</v>
      </c>
      <c r="S23" s="6" t="n">
        <v>228.6</v>
      </c>
      <c r="T23" s="7" t="n">
        <f aca="false">IFERROR(S23/R23,"")</f>
        <v>14.2875</v>
      </c>
      <c r="U23" s="6" t="n">
        <v>211.6</v>
      </c>
      <c r="V23" s="6" t="n">
        <v>194.6</v>
      </c>
      <c r="W23" s="8" t="n">
        <v>15</v>
      </c>
      <c r="X23" s="7" t="n">
        <f aca="false">IFERROR(S23/AH23,"")</f>
        <v>0.843542435424354</v>
      </c>
      <c r="Y23" s="9" t="n">
        <f aca="false">IFERROR(S23/AF23,"")</f>
        <v>0.368115942028986</v>
      </c>
      <c r="Z23" s="6" t="n">
        <v>9.38</v>
      </c>
      <c r="AA23" s="6" t="n">
        <v>14.35</v>
      </c>
      <c r="AB23" s="6" t="n">
        <v>21.62</v>
      </c>
      <c r="AC23" s="10" t="n">
        <v>0.312</v>
      </c>
      <c r="AD23" s="10" t="n">
        <v>0.062</v>
      </c>
      <c r="AE23" s="7" t="n">
        <v>0.465</v>
      </c>
      <c r="AF23" s="8" t="n">
        <v>621</v>
      </c>
      <c r="AG23" s="10" t="n">
        <v>0.579</v>
      </c>
      <c r="AH23" s="8" t="n">
        <v>271</v>
      </c>
      <c r="AI23" s="8" t="n">
        <v>223</v>
      </c>
      <c r="AJ23" s="6" t="n">
        <f aca="false">IFERROR(AI23/R23,"")</f>
        <v>13.9375</v>
      </c>
      <c r="AK23" s="10" t="n">
        <v>0.4765</v>
      </c>
      <c r="AL23" s="8" t="n">
        <v>1087</v>
      </c>
      <c r="AM23" s="7" t="n">
        <f aca="false">IFERROR(AL23/AI23,"")</f>
        <v>4.87443946188341</v>
      </c>
      <c r="AN23" s="7" t="n">
        <v>2.987</v>
      </c>
      <c r="AO23" s="7" t="n">
        <v>1.888</v>
      </c>
      <c r="AP23" s="8" t="n">
        <v>11</v>
      </c>
      <c r="AQ23" s="7" t="n">
        <v>0.582798917816368</v>
      </c>
      <c r="AR23" s="6" t="n">
        <v>20.627802690583</v>
      </c>
      <c r="AS23" s="7" t="n">
        <v>3.64673413063478</v>
      </c>
      <c r="AT23" s="8" t="n">
        <v>48</v>
      </c>
      <c r="AU23" s="6" t="n">
        <f aca="false">IFERROR(AT23/R23,"")</f>
        <v>3</v>
      </c>
      <c r="AV23" s="10" t="n">
        <v>0.0964</v>
      </c>
      <c r="AW23" s="8" t="n">
        <v>34</v>
      </c>
      <c r="AX23" s="10" t="n">
        <f aca="false">IFERROR(AW23/AT23,"")</f>
        <v>0.708333333333333</v>
      </c>
      <c r="AY23" s="8" t="n">
        <v>299</v>
      </c>
      <c r="AZ23" s="7" t="n">
        <f aca="false">IFERROR(AY23/AT23,"")</f>
        <v>6.22916666666667</v>
      </c>
      <c r="BA23" s="8" t="n">
        <v>41</v>
      </c>
      <c r="BB23" s="8" t="n">
        <v>24</v>
      </c>
      <c r="BC23" s="8" t="n">
        <v>14</v>
      </c>
      <c r="BD23" s="8" t="n">
        <v>10</v>
      </c>
      <c r="BE23" s="7" t="n">
        <v>9.14</v>
      </c>
      <c r="BF23" s="7" t="n">
        <f aca="false">IFERROR(BD23-BE23,"")</f>
        <v>0.859999999999999</v>
      </c>
      <c r="BG23" s="9" t="n">
        <f aca="false">IFERROR(BD23/AH23,"")</f>
        <v>0.03690036900369</v>
      </c>
      <c r="BH23" s="6" t="n">
        <v>76.3</v>
      </c>
      <c r="BI23" s="6" t="n">
        <v>80.3</v>
      </c>
      <c r="BJ23" s="6" t="n">
        <v>61.1</v>
      </c>
      <c r="BK23" s="7" t="n">
        <v>3.337</v>
      </c>
      <c r="BL23" s="10" t="n">
        <v>0.1354</v>
      </c>
      <c r="BM23" s="10" t="n">
        <v>0.794117647058824</v>
      </c>
      <c r="BN23" s="7" t="n">
        <v>3.125</v>
      </c>
      <c r="BO23" s="10" t="n">
        <v>0.2787</v>
      </c>
      <c r="BP23" s="10" t="n">
        <v>0.0358</v>
      </c>
      <c r="BQ23" s="7" t="n">
        <v>2.496</v>
      </c>
      <c r="BR23" s="10" t="n">
        <v>0.802</v>
      </c>
      <c r="BS23" s="8" t="n">
        <v>4</v>
      </c>
      <c r="BT23" s="10" t="n">
        <v>-0.039</v>
      </c>
      <c r="BU23" s="10" t="n">
        <v>0.5233</v>
      </c>
      <c r="BV23" s="6" t="n">
        <v>64.47</v>
      </c>
      <c r="BW23" s="6" t="n">
        <v>37</v>
      </c>
      <c r="BX23" s="7" t="n">
        <v>3.41</v>
      </c>
      <c r="BY23" s="6" t="n">
        <v>25.9</v>
      </c>
      <c r="BZ23" s="9" t="n">
        <v>0.0786</v>
      </c>
      <c r="CA23" s="9" t="n">
        <v>0.0802</v>
      </c>
      <c r="CB23" s="8" t="n">
        <v>161</v>
      </c>
      <c r="CC23" s="10" t="n">
        <v>0.303</v>
      </c>
      <c r="CD23" s="8" t="n">
        <v>20</v>
      </c>
      <c r="CE23" s="10" t="n">
        <v>0.04</v>
      </c>
      <c r="CF23" s="8" t="n">
        <v>26</v>
      </c>
      <c r="CG23" s="7" t="n">
        <v>0.122</v>
      </c>
      <c r="CH23" s="7" t="n">
        <v>0.034</v>
      </c>
      <c r="CI23" s="4" t="s">
        <v>102</v>
      </c>
      <c r="CJ23" s="4"/>
    </row>
    <row r="24" customFormat="false" ht="15" hidden="false" customHeight="false" outlineLevel="0" collapsed="false">
      <c r="A24" s="3" t="n">
        <v>22</v>
      </c>
      <c r="B24" s="4" t="s">
        <v>256</v>
      </c>
      <c r="C24" s="11" t="s">
        <v>104</v>
      </c>
      <c r="D24" s="4" t="s">
        <v>257</v>
      </c>
      <c r="E24" s="4" t="s">
        <v>258</v>
      </c>
      <c r="F24" s="4" t="s">
        <v>104</v>
      </c>
      <c r="G24" s="3" t="n">
        <v>1</v>
      </c>
      <c r="H24" s="6" t="n">
        <v>22.8</v>
      </c>
      <c r="I24" s="3" t="n">
        <v>2</v>
      </c>
      <c r="J24" s="3" t="n">
        <v>11</v>
      </c>
      <c r="K24" s="7" t="n">
        <v>60.99</v>
      </c>
      <c r="L24" s="7" t="n">
        <v>8.96</v>
      </c>
      <c r="M24" s="8" t="n">
        <v>41</v>
      </c>
      <c r="N24" s="8" t="n">
        <v>78</v>
      </c>
      <c r="O24" s="7" t="n">
        <v>60.99</v>
      </c>
      <c r="P24" s="6" t="n">
        <v>93.8</v>
      </c>
      <c r="Q24" s="4" t="s">
        <v>258</v>
      </c>
      <c r="R24" s="8" t="n">
        <v>14</v>
      </c>
      <c r="S24" s="6" t="n">
        <v>169.8</v>
      </c>
      <c r="T24" s="7" t="n">
        <f aca="false">IFERROR(S24/R24,"")</f>
        <v>12.1285714285714</v>
      </c>
      <c r="U24" s="6" t="n">
        <v>156.8</v>
      </c>
      <c r="V24" s="6" t="n">
        <v>143.8</v>
      </c>
      <c r="W24" s="8" t="n">
        <v>26</v>
      </c>
      <c r="X24" s="7" t="n">
        <f aca="false">IFERROR(S24/AH24,"")</f>
        <v>0.638345864661654</v>
      </c>
      <c r="Y24" s="9" t="n">
        <f aca="false">IFERROR(S24/AF24,"")</f>
        <v>0.375663716814159</v>
      </c>
      <c r="Z24" s="6" t="n">
        <v>6.78</v>
      </c>
      <c r="AA24" s="6" t="n">
        <v>10.3</v>
      </c>
      <c r="AB24" s="6" t="n">
        <v>16.94</v>
      </c>
      <c r="AC24" s="10" t="n">
        <v>0.286</v>
      </c>
      <c r="AD24" s="10" t="n">
        <v>0</v>
      </c>
      <c r="AE24" s="7" t="n">
        <v>0.653</v>
      </c>
      <c r="AF24" s="8" t="n">
        <v>452</v>
      </c>
      <c r="AG24" s="10" t="n">
        <v>0.505</v>
      </c>
      <c r="AH24" s="8" t="n">
        <v>266</v>
      </c>
      <c r="AI24" s="8" t="n">
        <v>230</v>
      </c>
      <c r="AJ24" s="6" t="n">
        <f aca="false">IFERROR(AI24/R24,"")</f>
        <v>16.4285714285714</v>
      </c>
      <c r="AK24" s="10" t="n">
        <v>0.6609</v>
      </c>
      <c r="AL24" s="8" t="n">
        <v>827</v>
      </c>
      <c r="AM24" s="7" t="n">
        <f aca="false">IFERROR(AL24/AI24,"")</f>
        <v>3.59565217391304</v>
      </c>
      <c r="AN24" s="7" t="n">
        <v>1.4</v>
      </c>
      <c r="AO24" s="7" t="n">
        <v>2.196</v>
      </c>
      <c r="AP24" s="8" t="n">
        <v>11</v>
      </c>
      <c r="AQ24" s="7" t="n">
        <v>0.303903490965227</v>
      </c>
      <c r="AR24" s="6" t="n">
        <v>45.2173913043478</v>
      </c>
      <c r="AS24" s="7" t="n">
        <v>4.18108827085852</v>
      </c>
      <c r="AT24" s="8" t="n">
        <v>36</v>
      </c>
      <c r="AU24" s="6" t="n">
        <f aca="false">IFERROR(AT24/R24,"")</f>
        <v>2.57142857142857</v>
      </c>
      <c r="AV24" s="10" t="n">
        <v>0.0826</v>
      </c>
      <c r="AW24" s="8" t="n">
        <v>26</v>
      </c>
      <c r="AX24" s="10" t="n">
        <f aca="false">IFERROR(AW24/AT24,"")</f>
        <v>0.722222222222222</v>
      </c>
      <c r="AY24" s="8" t="n">
        <v>171</v>
      </c>
      <c r="AZ24" s="7" t="n">
        <f aca="false">IFERROR(AY24/AT24,"")</f>
        <v>4.75</v>
      </c>
      <c r="BA24" s="8" t="n">
        <v>33</v>
      </c>
      <c r="BB24" s="8" t="n">
        <v>18</v>
      </c>
      <c r="BC24" s="8" t="n">
        <v>11</v>
      </c>
      <c r="BD24" s="8" t="n">
        <v>7</v>
      </c>
      <c r="BE24" s="7" t="n">
        <v>7.47</v>
      </c>
      <c r="BF24" s="7" t="n">
        <f aca="false">IFERROR(BD24-BE24,"")</f>
        <v>-0.47</v>
      </c>
      <c r="BG24" s="9" t="n">
        <f aca="false">IFERROR(BD24/AH24,"")</f>
        <v>0.0263157894736842</v>
      </c>
      <c r="BH24" s="6" t="n">
        <v>15.1</v>
      </c>
      <c r="BI24" s="6" t="n">
        <v>18.5</v>
      </c>
      <c r="BJ24" s="6" t="n">
        <v>26.5</v>
      </c>
      <c r="BK24" s="7" t="n">
        <v>2.392</v>
      </c>
      <c r="BL24" s="10" t="n">
        <v>0.225</v>
      </c>
      <c r="BM24" s="10" t="n">
        <v>0.666666666666667</v>
      </c>
      <c r="BN24" s="7" t="n">
        <v>1.808</v>
      </c>
      <c r="BO24" s="10" t="n">
        <v>0.3405</v>
      </c>
      <c r="BP24" s="10" t="n">
        <v>0.0842</v>
      </c>
      <c r="BQ24" s="7" t="n">
        <v>2.444</v>
      </c>
      <c r="BR24" s="10" t="n">
        <v>0.261</v>
      </c>
      <c r="BS24" s="8" t="n">
        <v>1</v>
      </c>
      <c r="BT24" s="10" t="n">
        <v>-0.0372</v>
      </c>
      <c r="BU24" s="10" t="n">
        <v>0.5161</v>
      </c>
      <c r="BV24" s="6" t="n">
        <v>60.47</v>
      </c>
      <c r="BW24" s="6" t="n">
        <v>39</v>
      </c>
      <c r="BX24" s="7" t="n">
        <v>2.47</v>
      </c>
      <c r="BY24" s="6" t="n">
        <v>16.4</v>
      </c>
      <c r="BZ24" s="9" t="n">
        <v>-0.0478</v>
      </c>
      <c r="CA24" s="9" t="n">
        <v>-0.2882</v>
      </c>
      <c r="CB24" s="8" t="n">
        <v>88</v>
      </c>
      <c r="CC24" s="10" t="n">
        <v>0.169</v>
      </c>
      <c r="CD24" s="8" t="n">
        <v>37</v>
      </c>
      <c r="CE24" s="10" t="n">
        <v>0.088</v>
      </c>
      <c r="CF24" s="8" t="n">
        <v>23</v>
      </c>
      <c r="CG24" s="7" t="n">
        <v>-0.325</v>
      </c>
      <c r="CH24" s="7" t="n">
        <v>-0.282</v>
      </c>
      <c r="CI24" s="4" t="s">
        <v>102</v>
      </c>
      <c r="CJ24" s="4"/>
    </row>
    <row r="25" customFormat="false" ht="15" hidden="false" customHeight="false" outlineLevel="0" collapsed="false">
      <c r="A25" s="3" t="n">
        <v>23</v>
      </c>
      <c r="B25" s="4" t="s">
        <v>259</v>
      </c>
      <c r="C25" s="11" t="s">
        <v>104</v>
      </c>
      <c r="D25" s="4" t="s">
        <v>260</v>
      </c>
      <c r="E25" s="4" t="s">
        <v>139</v>
      </c>
      <c r="F25" s="4" t="s">
        <v>104</v>
      </c>
      <c r="G25" s="3" t="n">
        <v>1</v>
      </c>
      <c r="H25" s="6" t="n">
        <v>29.2</v>
      </c>
      <c r="I25" s="3" t="n">
        <v>8</v>
      </c>
      <c r="J25" s="3" t="n">
        <v>8</v>
      </c>
      <c r="K25" s="7" t="n">
        <v>61.73</v>
      </c>
      <c r="L25" s="7" t="n">
        <v>9.12</v>
      </c>
      <c r="M25" s="8" t="n">
        <v>42</v>
      </c>
      <c r="N25" s="8" t="n">
        <v>84</v>
      </c>
      <c r="O25" s="7" t="n">
        <v>61.73</v>
      </c>
      <c r="P25" s="6" t="n">
        <v>92.6</v>
      </c>
      <c r="Q25" s="4" t="s">
        <v>106</v>
      </c>
      <c r="R25" s="8" t="n">
        <v>17</v>
      </c>
      <c r="S25" s="6" t="n">
        <v>166.92</v>
      </c>
      <c r="T25" s="7" t="n">
        <f aca="false">IFERROR(S25/R25,"")</f>
        <v>9.81882352941176</v>
      </c>
      <c r="U25" s="6" t="n">
        <v>154.92</v>
      </c>
      <c r="V25" s="6" t="n">
        <v>142.92</v>
      </c>
      <c r="W25" s="8" t="n">
        <v>27</v>
      </c>
      <c r="X25" s="7" t="n">
        <f aca="false">IFERROR(S25/AH25,"")</f>
        <v>0.892620320855615</v>
      </c>
      <c r="Y25" s="9" t="n">
        <f aca="false">IFERROR(S25/AF25,"")</f>
        <v>0.409117647058824</v>
      </c>
      <c r="Z25" s="6" t="n">
        <v>6</v>
      </c>
      <c r="AA25" s="6" t="n">
        <v>8.3</v>
      </c>
      <c r="AB25" s="6" t="n">
        <v>13.82</v>
      </c>
      <c r="AC25" s="10" t="n">
        <v>0.118</v>
      </c>
      <c r="AD25" s="10" t="n">
        <v>0.118</v>
      </c>
      <c r="AE25" s="7" t="n">
        <v>0.81</v>
      </c>
      <c r="AF25" s="8" t="n">
        <v>408</v>
      </c>
      <c r="AG25" s="10" t="n">
        <v>0.371</v>
      </c>
      <c r="AH25" s="8" t="n">
        <v>187</v>
      </c>
      <c r="AI25" s="8" t="n">
        <v>158</v>
      </c>
      <c r="AJ25" s="6" t="n">
        <f aca="false">IFERROR(AI25/R25,"")</f>
        <v>9.29411764705882</v>
      </c>
      <c r="AK25" s="10" t="n">
        <v>0.3575</v>
      </c>
      <c r="AL25" s="8" t="n">
        <v>716</v>
      </c>
      <c r="AM25" s="7" t="n">
        <f aca="false">IFERROR(AL25/AI25,"")</f>
        <v>4.53164556962025</v>
      </c>
      <c r="AN25" s="7" t="n">
        <v>2.342</v>
      </c>
      <c r="AO25" s="7" t="n">
        <v>2.19</v>
      </c>
      <c r="AP25" s="8" t="n">
        <v>3</v>
      </c>
      <c r="AQ25" s="7" t="n">
        <v>0.799067464365751</v>
      </c>
      <c r="AR25" s="6" t="n">
        <v>34.1772151898734</v>
      </c>
      <c r="AS25" s="7" t="n">
        <v>3.53347765363129</v>
      </c>
      <c r="AT25" s="8" t="n">
        <v>29</v>
      </c>
      <c r="AU25" s="6" t="n">
        <f aca="false">IFERROR(AT25/R25,"")</f>
        <v>1.70588235294118</v>
      </c>
      <c r="AV25" s="10" t="n">
        <v>0.0527</v>
      </c>
      <c r="AW25" s="8" t="n">
        <v>24</v>
      </c>
      <c r="AX25" s="10" t="n">
        <f aca="false">IFERROR(AW25/AT25,"")</f>
        <v>0.827586206896552</v>
      </c>
      <c r="AY25" s="8" t="n">
        <v>192</v>
      </c>
      <c r="AZ25" s="7" t="n">
        <f aca="false">IFERROR(AY25/AT25,"")</f>
        <v>6.62068965517241</v>
      </c>
      <c r="BA25" s="8" t="n">
        <v>36</v>
      </c>
      <c r="BB25" s="8" t="n">
        <v>24</v>
      </c>
      <c r="BC25" s="8" t="n">
        <v>16</v>
      </c>
      <c r="BD25" s="8" t="n">
        <v>8</v>
      </c>
      <c r="BE25" s="7" t="n">
        <v>9.76</v>
      </c>
      <c r="BF25" s="7" t="n">
        <f aca="false">IFERROR(BD25-BE25,"")</f>
        <v>-1.76</v>
      </c>
      <c r="BG25" s="9" t="n">
        <f aca="false">IFERROR(BD25/AH25,"")</f>
        <v>0.0427807486631016</v>
      </c>
      <c r="BH25" s="6" t="n">
        <v>45.8</v>
      </c>
      <c r="BI25" s="6" t="n">
        <v>34.1</v>
      </c>
      <c r="BJ25" s="6" t="n">
        <v>59.3</v>
      </c>
      <c r="BK25" s="7" t="n">
        <v>2.812</v>
      </c>
      <c r="BL25" s="10" t="n">
        <v>0.1937</v>
      </c>
      <c r="BM25" s="10" t="n">
        <v>0.485714285714286</v>
      </c>
      <c r="BN25" s="7" t="n">
        <v>2.099</v>
      </c>
      <c r="BO25" s="10" t="n">
        <v>0.2216</v>
      </c>
      <c r="BP25" s="10" t="n">
        <v>0.0526</v>
      </c>
      <c r="BQ25" s="7" t="n">
        <v>2.345</v>
      </c>
      <c r="BR25" s="10" t="n">
        <v>0.713</v>
      </c>
      <c r="BS25" s="8" t="n">
        <v>2</v>
      </c>
      <c r="BT25" s="10" t="n">
        <v>-0.0098</v>
      </c>
      <c r="BU25" s="10" t="n">
        <v>0.5638</v>
      </c>
      <c r="BV25" s="6" t="n">
        <v>63.41</v>
      </c>
      <c r="BW25" s="6" t="n">
        <v>38</v>
      </c>
      <c r="BX25" s="7" t="n">
        <v>3.41</v>
      </c>
      <c r="BY25" s="6" t="n">
        <v>23.8</v>
      </c>
      <c r="BZ25" s="9" t="n">
        <v>-0.0779</v>
      </c>
      <c r="CA25" s="9" t="n">
        <v>0.036</v>
      </c>
      <c r="CB25" s="8" t="n">
        <v>82</v>
      </c>
      <c r="CC25" s="10" t="n">
        <v>0.148</v>
      </c>
      <c r="CD25" s="8" t="n">
        <v>21</v>
      </c>
      <c r="CE25" s="10" t="n">
        <v>0.044</v>
      </c>
      <c r="CF25" s="8" t="n">
        <v>18</v>
      </c>
      <c r="CG25" s="7" t="n">
        <v>-0.333</v>
      </c>
      <c r="CH25" s="7" t="n">
        <v>-0.641</v>
      </c>
      <c r="CI25" s="4" t="s">
        <v>102</v>
      </c>
      <c r="CJ25" s="4"/>
    </row>
    <row r="26" customFormat="false" ht="15" hidden="false" customHeight="false" outlineLevel="0" collapsed="false">
      <c r="A26" s="3" t="n">
        <v>24</v>
      </c>
      <c r="B26" s="4" t="s">
        <v>261</v>
      </c>
      <c r="C26" s="11" t="s">
        <v>104</v>
      </c>
      <c r="D26" s="4" t="s">
        <v>262</v>
      </c>
      <c r="E26" s="4" t="s">
        <v>135</v>
      </c>
      <c r="F26" s="4" t="s">
        <v>104</v>
      </c>
      <c r="G26" s="3" t="n">
        <v>2</v>
      </c>
      <c r="H26" s="6" t="n">
        <v>23.8</v>
      </c>
      <c r="I26" s="3" t="n">
        <v>2</v>
      </c>
      <c r="J26" s="3" t="n">
        <v>11</v>
      </c>
      <c r="K26" s="7" t="n">
        <v>64.21</v>
      </c>
      <c r="L26" s="7" t="n">
        <v>9.84</v>
      </c>
      <c r="M26" s="8" t="n">
        <v>41</v>
      </c>
      <c r="N26" s="8" t="n">
        <v>89</v>
      </c>
      <c r="O26" s="7" t="n">
        <v>64.21</v>
      </c>
      <c r="P26" s="6" t="n">
        <v>92.9</v>
      </c>
      <c r="Q26" s="4" t="s">
        <v>135</v>
      </c>
      <c r="R26" s="8" t="n">
        <v>17</v>
      </c>
      <c r="S26" s="6" t="n">
        <v>206.2</v>
      </c>
      <c r="T26" s="7" t="n">
        <f aca="false">IFERROR(S26/R26,"")</f>
        <v>12.1294117647059</v>
      </c>
      <c r="U26" s="6" t="n">
        <v>188.7</v>
      </c>
      <c r="V26" s="6" t="n">
        <v>171.2</v>
      </c>
      <c r="W26" s="8" t="n">
        <v>21</v>
      </c>
      <c r="X26" s="7" t="n">
        <f aca="false">IFERROR(S26/AH26,"")</f>
        <v>0.928828828828829</v>
      </c>
      <c r="Y26" s="9" t="n">
        <f aca="false">IFERROR(S26/AF26,"")</f>
        <v>0.411576846307385</v>
      </c>
      <c r="Z26" s="6" t="n">
        <v>5.5</v>
      </c>
      <c r="AA26" s="6" t="n">
        <v>11.1</v>
      </c>
      <c r="AB26" s="6" t="n">
        <v>23.72</v>
      </c>
      <c r="AC26" s="10" t="n">
        <v>0.235</v>
      </c>
      <c r="AD26" s="10" t="n">
        <v>0.118</v>
      </c>
      <c r="AE26" s="7" t="n">
        <v>0.865</v>
      </c>
      <c r="AF26" s="8" t="n">
        <v>501</v>
      </c>
      <c r="AG26" s="10" t="n">
        <v>0.459</v>
      </c>
      <c r="AH26" s="8" t="n">
        <v>222</v>
      </c>
      <c r="AI26" s="8" t="n">
        <v>180</v>
      </c>
      <c r="AJ26" s="6" t="n">
        <f aca="false">IFERROR(AI26/R26,"")</f>
        <v>10.5882352941176</v>
      </c>
      <c r="AK26" s="10" t="n">
        <v>0.3644</v>
      </c>
      <c r="AL26" s="8" t="n">
        <v>911</v>
      </c>
      <c r="AM26" s="7" t="n">
        <f aca="false">IFERROR(AL26/AI26,"")</f>
        <v>5.06111111111111</v>
      </c>
      <c r="AN26" s="7" t="n">
        <v>3.05</v>
      </c>
      <c r="AO26" s="7" t="n">
        <v>2.011</v>
      </c>
      <c r="AP26" s="8" t="n">
        <v>11</v>
      </c>
      <c r="AQ26" s="7" t="n">
        <v>0.846341262551697</v>
      </c>
      <c r="AR26" s="6" t="n">
        <v>30.5555555555556</v>
      </c>
      <c r="AS26" s="7" t="n">
        <v>3.48935236004391</v>
      </c>
      <c r="AT26" s="8" t="n">
        <v>42</v>
      </c>
      <c r="AU26" s="6" t="n">
        <f aca="false">IFERROR(AT26/R26,"")</f>
        <v>2.47058823529412</v>
      </c>
      <c r="AV26" s="10" t="n">
        <v>0.0871</v>
      </c>
      <c r="AW26" s="8" t="n">
        <v>35</v>
      </c>
      <c r="AX26" s="10" t="n">
        <f aca="false">IFERROR(AW26/AT26,"")</f>
        <v>0.833333333333333</v>
      </c>
      <c r="AY26" s="8" t="n">
        <v>221</v>
      </c>
      <c r="AZ26" s="7" t="n">
        <f aca="false">IFERROR(AY26/AT26,"")</f>
        <v>5.26190476190476</v>
      </c>
      <c r="BA26" s="8" t="n">
        <v>40</v>
      </c>
      <c r="BB26" s="8" t="n">
        <v>24</v>
      </c>
      <c r="BC26" s="8" t="n">
        <v>9</v>
      </c>
      <c r="BD26" s="8" t="n">
        <v>10</v>
      </c>
      <c r="BE26" s="7" t="n">
        <v>8.32</v>
      </c>
      <c r="BF26" s="7" t="n">
        <f aca="false">IFERROR(BD26-BE26,"")</f>
        <v>1.68</v>
      </c>
      <c r="BG26" s="9" t="n">
        <f aca="false">IFERROR(BD26/AH26,"")</f>
        <v>0.045045045045045</v>
      </c>
      <c r="BH26" s="6" t="n">
        <v>41.6</v>
      </c>
      <c r="BI26" s="6" t="n">
        <v>43.3</v>
      </c>
      <c r="BJ26" s="6" t="n">
        <v>43.5</v>
      </c>
      <c r="BK26" s="7" t="n">
        <v>2.802</v>
      </c>
      <c r="BL26" s="10" t="n">
        <v>0.1883</v>
      </c>
      <c r="BM26" s="10" t="n">
        <v>0.575757575757576</v>
      </c>
      <c r="BN26" s="7" t="n">
        <v>2.561</v>
      </c>
      <c r="BO26" s="10" t="n">
        <v>0.261</v>
      </c>
      <c r="BP26" s="10" t="n">
        <v>0.0789</v>
      </c>
      <c r="BQ26" s="7" t="n">
        <v>2.406</v>
      </c>
      <c r="BR26" s="10" t="n">
        <v>0.533</v>
      </c>
      <c r="BS26" s="8" t="n">
        <v>3</v>
      </c>
      <c r="BT26" s="10" t="n">
        <v>0.0242</v>
      </c>
      <c r="BU26" s="10" t="n">
        <v>0.5691</v>
      </c>
      <c r="BV26" s="6" t="n">
        <v>59.82</v>
      </c>
      <c r="BW26" s="6" t="n">
        <v>38</v>
      </c>
      <c r="BX26" s="7" t="n">
        <v>3.76</v>
      </c>
      <c r="BY26" s="6" t="n">
        <v>28.8</v>
      </c>
      <c r="BZ26" s="9" t="n">
        <v>0.0077</v>
      </c>
      <c r="CA26" s="9" t="n">
        <v>0.2873</v>
      </c>
      <c r="CB26" s="8" t="n">
        <v>128</v>
      </c>
      <c r="CC26" s="10" t="n">
        <v>0.266</v>
      </c>
      <c r="CD26" s="8" t="n">
        <v>10</v>
      </c>
      <c r="CE26" s="10" t="n">
        <v>0.02</v>
      </c>
      <c r="CF26" s="8" t="n">
        <v>17</v>
      </c>
      <c r="CG26" s="7" t="n">
        <v>-0.035</v>
      </c>
      <c r="CH26" s="7" t="n">
        <v>-0.211</v>
      </c>
      <c r="CI26" s="4" t="s">
        <v>102</v>
      </c>
      <c r="CJ26" s="4"/>
    </row>
    <row r="27" customFormat="false" ht="15" hidden="false" customHeight="false" outlineLevel="0" collapsed="false">
      <c r="A27" s="3" t="n">
        <v>25</v>
      </c>
      <c r="B27" s="4" t="s">
        <v>275</v>
      </c>
      <c r="C27" s="11" t="s">
        <v>104</v>
      </c>
      <c r="D27" s="4" t="s">
        <v>276</v>
      </c>
      <c r="E27" s="4" t="s">
        <v>235</v>
      </c>
      <c r="F27" s="4" t="s">
        <v>104</v>
      </c>
      <c r="G27" s="3" t="n">
        <v>1</v>
      </c>
      <c r="H27" s="6" t="n">
        <v>24.5</v>
      </c>
      <c r="I27" s="3" t="n">
        <v>2</v>
      </c>
      <c r="J27" s="3" t="n">
        <v>7</v>
      </c>
      <c r="K27" s="7" t="n">
        <v>70.03</v>
      </c>
      <c r="L27" s="7" t="n">
        <v>10.68</v>
      </c>
      <c r="M27" s="8" t="n">
        <v>47</v>
      </c>
      <c r="N27" s="8" t="n">
        <v>99</v>
      </c>
      <c r="O27" s="7" t="n">
        <v>70.03</v>
      </c>
      <c r="P27" s="6" t="n">
        <v>90.1</v>
      </c>
      <c r="Q27" s="4" t="s">
        <v>235</v>
      </c>
      <c r="R27" s="8" t="n">
        <v>15</v>
      </c>
      <c r="S27" s="6" t="n">
        <v>88.6</v>
      </c>
      <c r="T27" s="7" t="n">
        <f aca="false">IFERROR(S27/R27,"")</f>
        <v>5.90666666666667</v>
      </c>
      <c r="U27" s="6" t="n">
        <v>83.6</v>
      </c>
      <c r="V27" s="6" t="n">
        <v>78.6</v>
      </c>
      <c r="W27" s="8" t="n">
        <v>49</v>
      </c>
      <c r="X27" s="7" t="n">
        <f aca="false">IFERROR(S27/AH27,"")</f>
        <v>0.91340206185567</v>
      </c>
      <c r="Y27" s="9" t="n">
        <f aca="false">IFERROR(S27/AF27,"")</f>
        <v>0.412093023255814</v>
      </c>
      <c r="Z27" s="6" t="n">
        <v>2.05</v>
      </c>
      <c r="AA27" s="6" t="n">
        <v>4.8</v>
      </c>
      <c r="AB27" s="6" t="n">
        <v>9.57</v>
      </c>
      <c r="AC27" s="10" t="n">
        <v>0</v>
      </c>
      <c r="AD27" s="10" t="n">
        <v>0.333</v>
      </c>
      <c r="AE27" s="7" t="n">
        <v>1.025</v>
      </c>
      <c r="AF27" s="8" t="n">
        <v>215</v>
      </c>
      <c r="AG27" s="10" t="n">
        <v>0.211</v>
      </c>
      <c r="AH27" s="8" t="n">
        <v>97</v>
      </c>
      <c r="AI27" s="8" t="n">
        <v>83</v>
      </c>
      <c r="AJ27" s="6" t="n">
        <f aca="false">IFERROR(AI27/R27,"")</f>
        <v>5.53333333333333</v>
      </c>
      <c r="AK27" s="10" t="n">
        <v>0.1917</v>
      </c>
      <c r="AL27" s="8" t="n">
        <v>307</v>
      </c>
      <c r="AM27" s="7" t="n">
        <f aca="false">IFERROR(AL27/AI27,"")</f>
        <v>3.69879518072289</v>
      </c>
      <c r="AN27" s="7" t="n">
        <v>1.651</v>
      </c>
      <c r="AO27" s="7" t="n">
        <v>2.048</v>
      </c>
      <c r="AP27" s="8" t="n">
        <v>5</v>
      </c>
      <c r="AQ27" s="7"/>
      <c r="AR27" s="6"/>
      <c r="AS27" s="7"/>
      <c r="AT27" s="8" t="n">
        <v>14</v>
      </c>
      <c r="AU27" s="6" t="n">
        <f aca="false">IFERROR(AT27/R27,"")</f>
        <v>0.933333333333333</v>
      </c>
      <c r="AV27" s="10" t="n">
        <v>0.0295</v>
      </c>
      <c r="AW27" s="8" t="n">
        <v>10</v>
      </c>
      <c r="AX27" s="10" t="n">
        <f aca="false">IFERROR(AW27/AT27,"")</f>
        <v>0.714285714285714</v>
      </c>
      <c r="AY27" s="8" t="n">
        <v>79</v>
      </c>
      <c r="AZ27" s="7" t="n">
        <f aca="false">IFERROR(AY27/AT27,"")</f>
        <v>5.64285714285714</v>
      </c>
      <c r="BA27" s="8" t="n">
        <v>27</v>
      </c>
      <c r="BB27" s="8" t="n">
        <v>9</v>
      </c>
      <c r="BC27" s="8" t="n">
        <v>7</v>
      </c>
      <c r="BD27" s="8" t="n">
        <v>7</v>
      </c>
      <c r="BE27" s="7" t="n">
        <v>4.76</v>
      </c>
      <c r="BF27" s="7" t="n">
        <f aca="false">IFERROR(BD27-BE27,"")</f>
        <v>2.24</v>
      </c>
      <c r="BG27" s="9" t="n">
        <f aca="false">IFERROR(BD27/AH27,"")</f>
        <v>0.0721649484536082</v>
      </c>
      <c r="BH27" s="6" t="n">
        <v>44.3</v>
      </c>
      <c r="BI27" s="6" t="n">
        <v>40.2</v>
      </c>
      <c r="BJ27" s="6" t="n">
        <v>50.8</v>
      </c>
      <c r="BK27" s="7" t="n">
        <v>2.885</v>
      </c>
      <c r="BL27" s="10" t="n">
        <v>0.1784</v>
      </c>
      <c r="BM27" s="10" t="n">
        <v>0.5</v>
      </c>
      <c r="BN27" s="7" t="n">
        <v>2.219</v>
      </c>
      <c r="BO27" s="10" t="n">
        <v>0.2504</v>
      </c>
      <c r="BP27" s="10" t="n">
        <v>0.0647</v>
      </c>
      <c r="BQ27" s="7" t="n">
        <v>2.395</v>
      </c>
      <c r="BR27" s="10" t="n">
        <v>1</v>
      </c>
      <c r="BS27" s="8" t="n">
        <v>5</v>
      </c>
      <c r="BT27" s="10" t="n">
        <v>0.0164</v>
      </c>
      <c r="BU27" s="10" t="n">
        <v>0.5756</v>
      </c>
      <c r="BV27" s="6" t="n">
        <v>63.18</v>
      </c>
      <c r="BW27" s="6" t="n">
        <v>40</v>
      </c>
      <c r="BX27" s="7" t="n">
        <v>4.24</v>
      </c>
      <c r="BY27" s="6" t="n">
        <v>27.9</v>
      </c>
      <c r="BZ27" s="9" t="n">
        <v>-0.0041</v>
      </c>
      <c r="CA27" s="9" t="n">
        <v>0.0592</v>
      </c>
      <c r="CB27" s="8" t="n">
        <v>132</v>
      </c>
      <c r="CC27" s="10" t="n">
        <v>0.241</v>
      </c>
      <c r="CD27" s="8" t="n">
        <v>271</v>
      </c>
      <c r="CE27" s="10" t="n">
        <v>0.554</v>
      </c>
      <c r="CF27" s="8" t="n">
        <v>85</v>
      </c>
      <c r="CG27" s="7" t="n">
        <v>-1.227</v>
      </c>
      <c r="CH27" s="7" t="n">
        <v>-1.271</v>
      </c>
      <c r="CI27" s="4" t="s">
        <v>165</v>
      </c>
      <c r="CJ27" s="4"/>
    </row>
    <row r="28" customFormat="false" ht="15" hidden="false" customHeight="false" outlineLevel="0" collapsed="false">
      <c r="A28" s="3" t="n">
        <v>26</v>
      </c>
      <c r="B28" s="4" t="s">
        <v>279</v>
      </c>
      <c r="C28" s="11" t="s">
        <v>104</v>
      </c>
      <c r="D28" s="4" t="s">
        <v>280</v>
      </c>
      <c r="E28" s="4" t="s">
        <v>115</v>
      </c>
      <c r="F28" s="4" t="s">
        <v>281</v>
      </c>
      <c r="G28" s="3" t="n">
        <v>2</v>
      </c>
      <c r="H28" s="6" t="n">
        <v>22.9</v>
      </c>
      <c r="I28" s="3" t="n">
        <v>0</v>
      </c>
      <c r="J28" s="3" t="n">
        <v>11</v>
      </c>
      <c r="K28" s="7" t="n">
        <v>75.71</v>
      </c>
      <c r="L28" s="7" t="n">
        <v>8.56</v>
      </c>
      <c r="M28" s="8" t="n">
        <v>43</v>
      </c>
      <c r="N28" s="8" t="n">
        <v>89</v>
      </c>
      <c r="O28" s="7" t="n">
        <v>75.71</v>
      </c>
      <c r="P28" s="6" t="n">
        <v>89.2</v>
      </c>
      <c r="Q28" s="4"/>
      <c r="R28" s="8"/>
      <c r="S28" s="6"/>
      <c r="T28" s="7"/>
      <c r="U28" s="6"/>
      <c r="V28" s="6"/>
      <c r="W28" s="8"/>
      <c r="X28" s="7"/>
      <c r="Y28" s="9"/>
      <c r="Z28" s="6"/>
      <c r="AA28" s="6"/>
      <c r="AB28" s="6"/>
      <c r="AC28" s="10"/>
      <c r="AD28" s="10"/>
      <c r="AE28" s="7"/>
      <c r="AF28" s="8"/>
      <c r="AG28" s="10"/>
      <c r="AH28" s="8"/>
      <c r="AI28" s="8"/>
      <c r="AJ28" s="6"/>
      <c r="AK28" s="10"/>
      <c r="AL28" s="8"/>
      <c r="AM28" s="7"/>
      <c r="AN28" s="7"/>
      <c r="AO28" s="7"/>
      <c r="AP28" s="8"/>
      <c r="AQ28" s="7"/>
      <c r="AR28" s="6"/>
      <c r="AS28" s="7"/>
      <c r="AT28" s="8"/>
      <c r="AU28" s="6"/>
      <c r="AV28" s="10"/>
      <c r="AW28" s="8"/>
      <c r="AX28" s="10"/>
      <c r="AY28" s="8"/>
      <c r="AZ28" s="7"/>
      <c r="BA28" s="8"/>
      <c r="BB28" s="8"/>
      <c r="BC28" s="8"/>
      <c r="BD28" s="8"/>
      <c r="BE28" s="7"/>
      <c r="BF28" s="7"/>
      <c r="BG28" s="9"/>
      <c r="BH28" s="6" t="n">
        <v>49.9</v>
      </c>
      <c r="BI28" s="6" t="n">
        <v>39.3</v>
      </c>
      <c r="BJ28" s="6" t="n">
        <v>60.5</v>
      </c>
      <c r="BK28" s="7" t="n">
        <v>2.758</v>
      </c>
      <c r="BL28" s="10" t="n">
        <v>0.2121</v>
      </c>
      <c r="BM28" s="10" t="n">
        <v>0.612903225806452</v>
      </c>
      <c r="BN28" s="7" t="n">
        <v>2.477</v>
      </c>
      <c r="BO28" s="10" t="n">
        <v>0.2266</v>
      </c>
      <c r="BP28" s="10" t="n">
        <v>0.0535</v>
      </c>
      <c r="BQ28" s="7" t="n">
        <v>2.4</v>
      </c>
      <c r="BR28" s="10" t="n">
        <v>0.942</v>
      </c>
      <c r="BS28" s="8" t="n">
        <v>5</v>
      </c>
      <c r="BT28" s="10" t="n">
        <v>-0.0677</v>
      </c>
      <c r="BU28" s="10" t="n">
        <v>0.5204</v>
      </c>
      <c r="BV28" s="6" t="n">
        <v>58.65</v>
      </c>
      <c r="BW28" s="6" t="n">
        <v>39</v>
      </c>
      <c r="BX28" s="7" t="n">
        <v>3.53</v>
      </c>
      <c r="BY28" s="6" t="n">
        <v>28.4</v>
      </c>
      <c r="BZ28" s="9" t="n">
        <v>-0.0491</v>
      </c>
      <c r="CA28" s="9" t="n">
        <v>0.1122</v>
      </c>
      <c r="CB28" s="8" t="n">
        <v>39</v>
      </c>
      <c r="CC28" s="10" t="n">
        <v>0.086</v>
      </c>
      <c r="CD28" s="8" t="n">
        <v>221</v>
      </c>
      <c r="CE28" s="10" t="n">
        <v>0.436</v>
      </c>
      <c r="CF28" s="8" t="n">
        <v>37</v>
      </c>
      <c r="CG28" s="7"/>
      <c r="CH28" s="7"/>
      <c r="CI28" s="4"/>
      <c r="CJ28" s="4" t="s">
        <v>206</v>
      </c>
    </row>
    <row r="29" customFormat="false" ht="15" hidden="false" customHeight="false" outlineLevel="0" collapsed="false">
      <c r="A29" s="3" t="n">
        <v>27</v>
      </c>
      <c r="B29" s="4" t="s">
        <v>282</v>
      </c>
      <c r="C29" s="11" t="s">
        <v>104</v>
      </c>
      <c r="D29" s="4" t="s">
        <v>283</v>
      </c>
      <c r="E29" s="4" t="s">
        <v>284</v>
      </c>
      <c r="F29" s="4" t="s">
        <v>104</v>
      </c>
      <c r="G29" s="3" t="n">
        <v>1</v>
      </c>
      <c r="H29" s="6" t="n">
        <v>27.8</v>
      </c>
      <c r="I29" s="3" t="n">
        <v>5</v>
      </c>
      <c r="J29" s="3" t="n">
        <v>9</v>
      </c>
      <c r="K29" s="7" t="n">
        <v>75.93</v>
      </c>
      <c r="L29" s="7" t="n">
        <v>7.26</v>
      </c>
      <c r="M29" s="8" t="n">
        <v>63</v>
      </c>
      <c r="N29" s="8" t="n">
        <v>102</v>
      </c>
      <c r="O29" s="7" t="n">
        <v>75.93</v>
      </c>
      <c r="P29" s="6" t="n">
        <v>87.8</v>
      </c>
      <c r="Q29" s="4" t="s">
        <v>284</v>
      </c>
      <c r="R29" s="8" t="n">
        <v>16</v>
      </c>
      <c r="S29" s="6" t="n">
        <v>217.1</v>
      </c>
      <c r="T29" s="7" t="n">
        <f aca="false">IFERROR(S29/R29,"")</f>
        <v>13.56875</v>
      </c>
      <c r="U29" s="6" t="n">
        <v>197.1</v>
      </c>
      <c r="V29" s="6" t="n">
        <v>177.1</v>
      </c>
      <c r="W29" s="8" t="n">
        <v>17</v>
      </c>
      <c r="X29" s="7" t="n">
        <f aca="false">IFERROR(S29/AH29,"")</f>
        <v>0.848046875</v>
      </c>
      <c r="Y29" s="9" t="n">
        <f aca="false">IFERROR(S29/AF29,"")</f>
        <v>0.443967280163599</v>
      </c>
      <c r="Z29" s="6" t="n">
        <v>9.15</v>
      </c>
      <c r="AA29" s="6" t="n">
        <v>12.95</v>
      </c>
      <c r="AB29" s="6" t="n">
        <v>17.27</v>
      </c>
      <c r="AC29" s="10" t="n">
        <v>0.25</v>
      </c>
      <c r="AD29" s="10" t="n">
        <v>0</v>
      </c>
      <c r="AE29" s="7" t="n">
        <v>0.434</v>
      </c>
      <c r="AF29" s="8" t="n">
        <v>489</v>
      </c>
      <c r="AG29" s="10" t="n">
        <v>0.508</v>
      </c>
      <c r="AH29" s="8" t="n">
        <v>256</v>
      </c>
      <c r="AI29" s="8" t="n">
        <v>211</v>
      </c>
      <c r="AJ29" s="6" t="n">
        <f aca="false">IFERROR(AI29/R29,"")</f>
        <v>13.1875</v>
      </c>
      <c r="AK29" s="10" t="n">
        <v>0.5582</v>
      </c>
      <c r="AL29" s="8" t="n">
        <v>958</v>
      </c>
      <c r="AM29" s="7" t="n">
        <f aca="false">IFERROR(AL29/AI29,"")</f>
        <v>4.54028436018957</v>
      </c>
      <c r="AN29" s="7" t="n">
        <v>2.185</v>
      </c>
      <c r="AO29" s="7" t="n">
        <v>2.355</v>
      </c>
      <c r="AP29" s="8" t="n">
        <v>23</v>
      </c>
      <c r="AQ29" s="7" t="n">
        <v>0.864088576234603</v>
      </c>
      <c r="AR29" s="6" t="n">
        <v>32.2274881516588</v>
      </c>
      <c r="AS29" s="7" t="n">
        <v>3.71838204592902</v>
      </c>
      <c r="AT29" s="8" t="n">
        <v>45</v>
      </c>
      <c r="AU29" s="6" t="n">
        <f aca="false">IFERROR(AT29/R29,"")</f>
        <v>2.8125</v>
      </c>
      <c r="AV29" s="10" t="n">
        <v>0.09</v>
      </c>
      <c r="AW29" s="8" t="n">
        <v>40</v>
      </c>
      <c r="AX29" s="10" t="n">
        <f aca="false">IFERROR(AW29/AT29,"")</f>
        <v>0.888888888888889</v>
      </c>
      <c r="AY29" s="8" t="n">
        <v>333</v>
      </c>
      <c r="AZ29" s="7" t="n">
        <f aca="false">IFERROR(AY29/AT29,"")</f>
        <v>7.4</v>
      </c>
      <c r="BA29" s="8" t="n">
        <v>45</v>
      </c>
      <c r="BB29" s="8" t="n">
        <v>26</v>
      </c>
      <c r="BC29" s="8" t="n">
        <v>15</v>
      </c>
      <c r="BD29" s="8" t="n">
        <v>8</v>
      </c>
      <c r="BE29" s="7" t="n">
        <v>11.07</v>
      </c>
      <c r="BF29" s="7" t="n">
        <f aca="false">IFERROR(BD29-BE29,"")</f>
        <v>-3.07</v>
      </c>
      <c r="BG29" s="9" t="n">
        <f aca="false">IFERROR(BD29/AH29,"")</f>
        <v>0.03125</v>
      </c>
      <c r="BH29" s="6" t="n">
        <v>57.4</v>
      </c>
      <c r="BI29" s="6" t="n">
        <v>46.5</v>
      </c>
      <c r="BJ29" s="6" t="n">
        <v>65.1</v>
      </c>
      <c r="BK29" s="7" t="n">
        <v>2.87</v>
      </c>
      <c r="BL29" s="10" t="n">
        <v>0.172</v>
      </c>
      <c r="BM29" s="10" t="n">
        <v>0.68</v>
      </c>
      <c r="BN29" s="7" t="n">
        <v>2.285</v>
      </c>
      <c r="BO29" s="10" t="n">
        <v>0.1636</v>
      </c>
      <c r="BP29" s="10" t="n">
        <v>0.0526</v>
      </c>
      <c r="BQ29" s="7" t="n">
        <v>2.209</v>
      </c>
      <c r="BR29" s="10" t="n">
        <v>0.824</v>
      </c>
      <c r="BS29" s="8" t="n">
        <v>5</v>
      </c>
      <c r="BT29" s="10" t="n">
        <v>-0.007</v>
      </c>
      <c r="BU29" s="10" t="n">
        <v>0.5795</v>
      </c>
      <c r="BV29" s="6" t="n">
        <v>57.35</v>
      </c>
      <c r="BW29" s="6" t="n">
        <v>40</v>
      </c>
      <c r="BX29" s="7" t="n">
        <v>3</v>
      </c>
      <c r="BY29" s="6" t="n">
        <v>23.4</v>
      </c>
      <c r="BZ29" s="9" t="n">
        <v>0.0188</v>
      </c>
      <c r="CA29" s="9" t="n">
        <v>0.0312</v>
      </c>
      <c r="CB29" s="8" t="n">
        <v>179</v>
      </c>
      <c r="CC29" s="10" t="n">
        <v>0.343</v>
      </c>
      <c r="CD29" s="8" t="n">
        <v>129</v>
      </c>
      <c r="CE29" s="10" t="n">
        <v>0.317</v>
      </c>
      <c r="CF29" s="8" t="n">
        <v>59</v>
      </c>
      <c r="CG29" s="7" t="n">
        <v>0.246</v>
      </c>
      <c r="CH29" s="7" t="n">
        <v>0.158</v>
      </c>
      <c r="CI29" s="4" t="s">
        <v>102</v>
      </c>
      <c r="CJ29" s="4"/>
    </row>
    <row r="30" customFormat="false" ht="15" hidden="false" customHeight="false" outlineLevel="0" collapsed="false">
      <c r="A30" s="3" t="n">
        <v>28</v>
      </c>
      <c r="B30" s="4" t="s">
        <v>295</v>
      </c>
      <c r="C30" s="11" t="s">
        <v>104</v>
      </c>
      <c r="D30" s="4" t="s">
        <v>296</v>
      </c>
      <c r="E30" s="4" t="s">
        <v>265</v>
      </c>
      <c r="F30" s="4" t="s">
        <v>104</v>
      </c>
      <c r="G30" s="3" t="n">
        <v>1</v>
      </c>
      <c r="H30" s="6" t="n">
        <v>29.3</v>
      </c>
      <c r="I30" s="3" t="n">
        <v>8</v>
      </c>
      <c r="J30" s="3" t="n">
        <v>9</v>
      </c>
      <c r="K30" s="7" t="n">
        <v>81.52</v>
      </c>
      <c r="L30" s="7" t="n">
        <v>8.37</v>
      </c>
      <c r="M30" s="8" t="n">
        <v>58</v>
      </c>
      <c r="N30" s="8" t="n">
        <v>102</v>
      </c>
      <c r="O30" s="7" t="n">
        <v>81.52</v>
      </c>
      <c r="P30" s="6" t="n">
        <v>86.5</v>
      </c>
      <c r="Q30" s="4" t="s">
        <v>265</v>
      </c>
      <c r="R30" s="8" t="n">
        <v>17</v>
      </c>
      <c r="S30" s="6" t="n">
        <v>185.8</v>
      </c>
      <c r="T30" s="7" t="n">
        <f aca="false">IFERROR(S30/R30,"")</f>
        <v>10.9294117647059</v>
      </c>
      <c r="U30" s="6" t="n">
        <v>169.3</v>
      </c>
      <c r="V30" s="6" t="n">
        <v>152.8</v>
      </c>
      <c r="W30" s="8" t="n">
        <v>23</v>
      </c>
      <c r="X30" s="7" t="n">
        <f aca="false">IFERROR(S30/AH30,"")</f>
        <v>0.656537102473498</v>
      </c>
      <c r="Y30" s="9" t="n">
        <f aca="false">IFERROR(S30/AF30,"")</f>
        <v>0.282800608828006</v>
      </c>
      <c r="Z30" s="6" t="n">
        <v>7.8</v>
      </c>
      <c r="AA30" s="6" t="n">
        <v>9.5</v>
      </c>
      <c r="AB30" s="6" t="n">
        <v>14.44</v>
      </c>
      <c r="AC30" s="10" t="n">
        <v>0.118</v>
      </c>
      <c r="AD30" s="10" t="n">
        <v>0</v>
      </c>
      <c r="AE30" s="7" t="n">
        <v>0.592</v>
      </c>
      <c r="AF30" s="8" t="n">
        <v>657</v>
      </c>
      <c r="AG30" s="10" t="n">
        <v>0.625</v>
      </c>
      <c r="AH30" s="8" t="n">
        <v>283</v>
      </c>
      <c r="AI30" s="8" t="n">
        <v>242</v>
      </c>
      <c r="AJ30" s="6" t="n">
        <f aca="false">IFERROR(AI30/R30,"")</f>
        <v>14.2352941176471</v>
      </c>
      <c r="AK30" s="10" t="n">
        <v>0.6402</v>
      </c>
      <c r="AL30" s="8" t="n">
        <v>1082</v>
      </c>
      <c r="AM30" s="7" t="n">
        <f aca="false">IFERROR(AL30/AI30,"")</f>
        <v>4.47107438016529</v>
      </c>
      <c r="AN30" s="7" t="n">
        <v>2.645</v>
      </c>
      <c r="AO30" s="7" t="n">
        <v>1.826</v>
      </c>
      <c r="AP30" s="8" t="n">
        <v>16</v>
      </c>
      <c r="AQ30" s="7" t="n">
        <v>0.467723623597291</v>
      </c>
      <c r="AR30" s="6" t="n">
        <v>23.1404958677686</v>
      </c>
      <c r="AS30" s="7" t="n">
        <v>3.74306839186691</v>
      </c>
      <c r="AT30" s="8" t="n">
        <v>41</v>
      </c>
      <c r="AU30" s="6" t="n">
        <f aca="false">IFERROR(AT30/R30,"")</f>
        <v>2.41176470588235</v>
      </c>
      <c r="AV30" s="10" t="n">
        <v>0.0774</v>
      </c>
      <c r="AW30" s="8" t="n">
        <v>33</v>
      </c>
      <c r="AX30" s="10" t="n">
        <f aca="false">IFERROR(AW30/AT30,"")</f>
        <v>0.804878048780488</v>
      </c>
      <c r="AY30" s="8" t="n">
        <v>206</v>
      </c>
      <c r="AZ30" s="7" t="n">
        <f aca="false">IFERROR(AY30/AT30,"")</f>
        <v>5.02439024390244</v>
      </c>
      <c r="BA30" s="8" t="n">
        <v>20</v>
      </c>
      <c r="BB30" s="8" t="n">
        <v>12</v>
      </c>
      <c r="BC30" s="8" t="n">
        <v>4</v>
      </c>
      <c r="BD30" s="8" t="n">
        <v>5</v>
      </c>
      <c r="BE30" s="7" t="n">
        <v>5.57</v>
      </c>
      <c r="BF30" s="7" t="n">
        <f aca="false">IFERROR(BD30-BE30,"")</f>
        <v>-0.57</v>
      </c>
      <c r="BG30" s="9" t="n">
        <f aca="false">IFERROR(BD30/AH30,"")</f>
        <v>0.0176678445229682</v>
      </c>
      <c r="BH30" s="6" t="n">
        <v>41.1</v>
      </c>
      <c r="BI30" s="6" t="n">
        <v>58.4</v>
      </c>
      <c r="BJ30" s="6" t="n">
        <v>27.6</v>
      </c>
      <c r="BK30" s="7" t="n">
        <v>3.085</v>
      </c>
      <c r="BL30" s="10" t="n">
        <v>0.1549</v>
      </c>
      <c r="BM30" s="10" t="n">
        <v>0.666666666666667</v>
      </c>
      <c r="BN30" s="7" t="n">
        <v>2.54</v>
      </c>
      <c r="BO30" s="10" t="n">
        <v>0.3175</v>
      </c>
      <c r="BP30" s="10" t="n">
        <v>0.0872</v>
      </c>
      <c r="BQ30" s="7" t="n">
        <v>2.389</v>
      </c>
      <c r="BR30" s="10" t="n">
        <v>0.527</v>
      </c>
      <c r="BS30" s="8" t="n">
        <v>3</v>
      </c>
      <c r="BT30" s="10" t="n">
        <v>-0.0385</v>
      </c>
      <c r="BU30" s="10" t="n">
        <v>0.5401</v>
      </c>
      <c r="BV30" s="6" t="n">
        <v>58.53</v>
      </c>
      <c r="BW30" s="6" t="n">
        <v>40</v>
      </c>
      <c r="BX30" s="7" t="n">
        <v>2.06</v>
      </c>
      <c r="BY30" s="6" t="n">
        <v>16.7</v>
      </c>
      <c r="BZ30" s="9" t="n">
        <v>-0.0573</v>
      </c>
      <c r="CA30" s="9" t="n">
        <v>-0.2208</v>
      </c>
      <c r="CB30" s="8" t="n">
        <v>152</v>
      </c>
      <c r="CC30" s="10" t="n">
        <v>0.287</v>
      </c>
      <c r="CD30" s="8" t="n">
        <v>0</v>
      </c>
      <c r="CE30" s="10" t="n">
        <v>0</v>
      </c>
      <c r="CF30" s="8" t="n">
        <v>8</v>
      </c>
      <c r="CG30" s="7" t="n">
        <v>0.019</v>
      </c>
      <c r="CH30" s="7" t="n">
        <v>-0.332</v>
      </c>
      <c r="CI30" s="4" t="s">
        <v>102</v>
      </c>
      <c r="CJ30" s="4"/>
    </row>
    <row r="31" customFormat="false" ht="15" hidden="false" customHeight="false" outlineLevel="0" collapsed="false">
      <c r="A31" s="3" t="n">
        <v>29</v>
      </c>
      <c r="B31" s="4" t="s">
        <v>299</v>
      </c>
      <c r="C31" s="11" t="s">
        <v>104</v>
      </c>
      <c r="D31" s="4" t="s">
        <v>300</v>
      </c>
      <c r="E31" s="4" t="s">
        <v>135</v>
      </c>
      <c r="F31" s="4" t="s">
        <v>104</v>
      </c>
      <c r="G31" s="3" t="n">
        <v>1</v>
      </c>
      <c r="H31" s="6" t="n">
        <v>28.5</v>
      </c>
      <c r="I31" s="3" t="n">
        <v>6</v>
      </c>
      <c r="J31" s="3" t="n">
        <v>11</v>
      </c>
      <c r="K31" s="7" t="n">
        <v>81.99</v>
      </c>
      <c r="L31" s="7" t="n">
        <v>8.38</v>
      </c>
      <c r="M31" s="8" t="n">
        <v>65</v>
      </c>
      <c r="N31" s="8" t="n">
        <v>103</v>
      </c>
      <c r="O31" s="7" t="n">
        <v>81.99</v>
      </c>
      <c r="P31" s="6" t="n">
        <v>85.6</v>
      </c>
      <c r="Q31" s="4" t="s">
        <v>135</v>
      </c>
      <c r="R31" s="8" t="n">
        <v>14</v>
      </c>
      <c r="S31" s="6" t="n">
        <v>178.8</v>
      </c>
      <c r="T31" s="7" t="n">
        <f aca="false">IFERROR(S31/R31,"")</f>
        <v>12.7714285714286</v>
      </c>
      <c r="U31" s="6" t="n">
        <v>162.8</v>
      </c>
      <c r="V31" s="6" t="n">
        <v>146.8</v>
      </c>
      <c r="W31" s="8" t="n">
        <v>25</v>
      </c>
      <c r="X31" s="7" t="n">
        <f aca="false">IFERROR(S31/AH31,"")</f>
        <v>1.07065868263473</v>
      </c>
      <c r="Y31" s="9" t="n">
        <f aca="false">IFERROR(S31/AF31,"")</f>
        <v>0.335459662288931</v>
      </c>
      <c r="Z31" s="6" t="n">
        <v>4.8</v>
      </c>
      <c r="AA31" s="6" t="n">
        <v>10.85</v>
      </c>
      <c r="AB31" s="6" t="n">
        <v>21.5</v>
      </c>
      <c r="AC31" s="10" t="n">
        <v>0.214</v>
      </c>
      <c r="AD31" s="10" t="n">
        <v>0.143</v>
      </c>
      <c r="AE31" s="7" t="n">
        <v>0.927</v>
      </c>
      <c r="AF31" s="8" t="n">
        <v>533</v>
      </c>
      <c r="AG31" s="10" t="n">
        <v>0.594</v>
      </c>
      <c r="AH31" s="8" t="n">
        <v>167</v>
      </c>
      <c r="AI31" s="8" t="n">
        <v>130</v>
      </c>
      <c r="AJ31" s="6" t="n">
        <f aca="false">IFERROR(AI31/R31,"")</f>
        <v>9.28571428571429</v>
      </c>
      <c r="AK31" s="10" t="n">
        <v>0.3194</v>
      </c>
      <c r="AL31" s="8" t="n">
        <v>603</v>
      </c>
      <c r="AM31" s="7" t="n">
        <f aca="false">IFERROR(AL31/AI31,"")</f>
        <v>4.63846153846154</v>
      </c>
      <c r="AN31" s="7" t="n">
        <v>1.869</v>
      </c>
      <c r="AO31" s="7" t="n">
        <v>2.769</v>
      </c>
      <c r="AP31" s="8" t="n">
        <v>16</v>
      </c>
      <c r="AQ31" s="7" t="n">
        <v>1.36148598958441</v>
      </c>
      <c r="AR31" s="6" t="n">
        <v>31.5384615384615</v>
      </c>
      <c r="AS31" s="7" t="n">
        <v>3.5201824212272</v>
      </c>
      <c r="AT31" s="8" t="n">
        <v>37</v>
      </c>
      <c r="AU31" s="6" t="n">
        <f aca="false">IFERROR(AT31/R31,"")</f>
        <v>2.64285714285714</v>
      </c>
      <c r="AV31" s="10" t="n">
        <v>0.0944</v>
      </c>
      <c r="AW31" s="8" t="n">
        <v>32</v>
      </c>
      <c r="AX31" s="10" t="n">
        <f aca="false">IFERROR(AW31/AT31,"")</f>
        <v>0.864864864864865</v>
      </c>
      <c r="AY31" s="8" t="n">
        <v>345</v>
      </c>
      <c r="AZ31" s="7" t="n">
        <f aca="false">IFERROR(AY31/AT31,"")</f>
        <v>9.32432432432433</v>
      </c>
      <c r="BA31" s="8" t="n">
        <v>31</v>
      </c>
      <c r="BB31" s="8" t="n">
        <v>16</v>
      </c>
      <c r="BC31" s="8" t="n">
        <v>11</v>
      </c>
      <c r="BD31" s="8" t="n">
        <v>9</v>
      </c>
      <c r="BE31" s="7" t="n">
        <v>7.83</v>
      </c>
      <c r="BF31" s="7" t="n">
        <f aca="false">IFERROR(BD31-BE31,"")</f>
        <v>1.17</v>
      </c>
      <c r="BG31" s="9" t="n">
        <f aca="false">IFERROR(BD31/AH31,"")</f>
        <v>0.0538922155688623</v>
      </c>
      <c r="BH31" s="6" t="n">
        <v>41.6</v>
      </c>
      <c r="BI31" s="6" t="n">
        <v>43.3</v>
      </c>
      <c r="BJ31" s="6" t="n">
        <v>43.5</v>
      </c>
      <c r="BK31" s="7" t="n">
        <v>2.802</v>
      </c>
      <c r="BL31" s="10" t="n">
        <v>0.1883</v>
      </c>
      <c r="BM31" s="10" t="n">
        <v>0.575757575757576</v>
      </c>
      <c r="BN31" s="7" t="n">
        <v>2.561</v>
      </c>
      <c r="BO31" s="10" t="n">
        <v>0.261</v>
      </c>
      <c r="BP31" s="10" t="n">
        <v>0.0789</v>
      </c>
      <c r="BQ31" s="7" t="n">
        <v>2.406</v>
      </c>
      <c r="BR31" s="10" t="n">
        <v>0.533</v>
      </c>
      <c r="BS31" s="8" t="n">
        <v>3</v>
      </c>
      <c r="BT31" s="10" t="n">
        <v>0.0242</v>
      </c>
      <c r="BU31" s="10" t="n">
        <v>0.5691</v>
      </c>
      <c r="BV31" s="6" t="n">
        <v>59.82</v>
      </c>
      <c r="BW31" s="6" t="n">
        <v>38</v>
      </c>
      <c r="BX31" s="7" t="n">
        <v>3.76</v>
      </c>
      <c r="BY31" s="6" t="n">
        <v>28.8</v>
      </c>
      <c r="BZ31" s="9" t="n">
        <v>0.0077</v>
      </c>
      <c r="CA31" s="9" t="n">
        <v>0.2873</v>
      </c>
      <c r="CB31" s="8" t="n">
        <v>128</v>
      </c>
      <c r="CC31" s="10" t="n">
        <v>0.266</v>
      </c>
      <c r="CD31" s="8" t="n">
        <v>10</v>
      </c>
      <c r="CE31" s="10" t="n">
        <v>0.02</v>
      </c>
      <c r="CF31" s="8" t="n">
        <v>17</v>
      </c>
      <c r="CG31" s="7" t="n">
        <v>-0.033</v>
      </c>
      <c r="CH31" s="7" t="n">
        <v>0.098</v>
      </c>
      <c r="CI31" s="4" t="s">
        <v>102</v>
      </c>
      <c r="CJ31" s="4"/>
    </row>
    <row r="32" customFormat="false" ht="15" hidden="false" customHeight="false" outlineLevel="0" collapsed="false">
      <c r="A32" s="3" t="n">
        <v>30</v>
      </c>
      <c r="B32" s="4" t="s">
        <v>313</v>
      </c>
      <c r="C32" s="11" t="s">
        <v>104</v>
      </c>
      <c r="D32" s="4" t="s">
        <v>314</v>
      </c>
      <c r="E32" s="4" t="s">
        <v>191</v>
      </c>
      <c r="F32" s="4" t="s">
        <v>104</v>
      </c>
      <c r="G32" s="3" t="n">
        <v>1</v>
      </c>
      <c r="H32" s="6" t="n">
        <v>27.2</v>
      </c>
      <c r="I32" s="3" t="n">
        <v>6</v>
      </c>
      <c r="J32" s="3" t="n">
        <v>5</v>
      </c>
      <c r="K32" s="7" t="n">
        <v>86.83</v>
      </c>
      <c r="L32" s="7" t="n">
        <v>11.41</v>
      </c>
      <c r="M32" s="8" t="n">
        <v>61</v>
      </c>
      <c r="N32" s="8" t="n">
        <v>127</v>
      </c>
      <c r="O32" s="7" t="n">
        <v>86.83</v>
      </c>
      <c r="P32" s="6" t="n">
        <v>87.1</v>
      </c>
      <c r="Q32" s="4" t="s">
        <v>191</v>
      </c>
      <c r="R32" s="8" t="n">
        <v>15</v>
      </c>
      <c r="S32" s="6" t="n">
        <v>125.4</v>
      </c>
      <c r="T32" s="7" t="n">
        <f aca="false">IFERROR(S32/R32,"")</f>
        <v>8.36</v>
      </c>
      <c r="U32" s="6" t="n">
        <v>110.4</v>
      </c>
      <c r="V32" s="6" t="n">
        <v>95.4</v>
      </c>
      <c r="W32" s="8" t="n">
        <v>37</v>
      </c>
      <c r="X32" s="7" t="n">
        <f aca="false">IFERROR(S32/AH32,"")</f>
        <v>0.72485549132948</v>
      </c>
      <c r="Y32" s="9" t="n">
        <f aca="false">IFERROR(S32/AF32,"")</f>
        <v>0.290277777777778</v>
      </c>
      <c r="Z32" s="6" t="n">
        <v>3.75</v>
      </c>
      <c r="AA32" s="6" t="n">
        <v>7.5</v>
      </c>
      <c r="AB32" s="6" t="n">
        <v>17.1</v>
      </c>
      <c r="AC32" s="10" t="n">
        <v>0.2</v>
      </c>
      <c r="AD32" s="10" t="n">
        <v>0.133</v>
      </c>
      <c r="AE32" s="7" t="n">
        <v>0.82</v>
      </c>
      <c r="AF32" s="8" t="n">
        <v>432</v>
      </c>
      <c r="AG32" s="10" t="n">
        <v>0.458</v>
      </c>
      <c r="AH32" s="8" t="n">
        <v>173</v>
      </c>
      <c r="AI32" s="8" t="n">
        <v>134</v>
      </c>
      <c r="AJ32" s="6" t="n">
        <f aca="false">IFERROR(AI32/R32,"")</f>
        <v>8.93333333333333</v>
      </c>
      <c r="AK32" s="10" t="n">
        <v>0.3427</v>
      </c>
      <c r="AL32" s="8" t="n">
        <v>511</v>
      </c>
      <c r="AM32" s="7" t="n">
        <f aca="false">IFERROR(AL32/AI32,"")</f>
        <v>3.8134328358209</v>
      </c>
      <c r="AN32" s="7" t="n">
        <v>2.007</v>
      </c>
      <c r="AO32" s="7" t="n">
        <v>1.806</v>
      </c>
      <c r="AP32" s="8" t="n">
        <v>1</v>
      </c>
      <c r="AQ32" s="7" t="n">
        <v>-0.296908891472833</v>
      </c>
      <c r="AR32" s="6" t="n">
        <v>20.1492537313433</v>
      </c>
      <c r="AS32" s="7" t="n">
        <v>3.74021526418787</v>
      </c>
      <c r="AT32" s="8" t="n">
        <v>39</v>
      </c>
      <c r="AU32" s="6" t="n">
        <f aca="false">IFERROR(AT32/R32,"")</f>
        <v>2.6</v>
      </c>
      <c r="AV32" s="10" t="n">
        <v>0.0903</v>
      </c>
      <c r="AW32" s="8" t="n">
        <v>30</v>
      </c>
      <c r="AX32" s="10" t="n">
        <f aca="false">IFERROR(AW32/AT32,"")</f>
        <v>0.769230769230769</v>
      </c>
      <c r="AY32" s="8" t="n">
        <v>223</v>
      </c>
      <c r="AZ32" s="7" t="n">
        <f aca="false">IFERROR(AY32/AT32,"")</f>
        <v>5.71794871794872</v>
      </c>
      <c r="BA32" s="8" t="n">
        <v>24</v>
      </c>
      <c r="BB32" s="8" t="n">
        <v>11</v>
      </c>
      <c r="BC32" s="8" t="n">
        <v>4</v>
      </c>
      <c r="BD32" s="8" t="n">
        <v>4</v>
      </c>
      <c r="BE32" s="7" t="n">
        <v>5.18</v>
      </c>
      <c r="BF32" s="7" t="n">
        <f aca="false">IFERROR(BD32-BE32,"")</f>
        <v>-1.18</v>
      </c>
      <c r="BG32" s="9" t="n">
        <f aca="false">IFERROR(BD32/AH32,"")</f>
        <v>0.023121387283237</v>
      </c>
      <c r="BH32" s="6" t="n">
        <v>56.6</v>
      </c>
      <c r="BI32" s="6" t="n">
        <v>63.1</v>
      </c>
      <c r="BJ32" s="6" t="n">
        <v>47.3</v>
      </c>
      <c r="BK32" s="7" t="n">
        <v>3.179</v>
      </c>
      <c r="BL32" s="10" t="n">
        <v>0.1391</v>
      </c>
      <c r="BM32" s="10" t="n">
        <v>0.689655172413793</v>
      </c>
      <c r="BN32" s="7" t="n">
        <v>2.49</v>
      </c>
      <c r="BO32" s="10" t="n">
        <v>0.2718</v>
      </c>
      <c r="BP32" s="10" t="n">
        <v>0.0629</v>
      </c>
      <c r="BQ32" s="7" t="n">
        <v>2.4</v>
      </c>
      <c r="BR32" s="10" t="n">
        <v>0.596</v>
      </c>
      <c r="BS32" s="8" t="n">
        <v>3</v>
      </c>
      <c r="BT32" s="10" t="n">
        <v>-0.061</v>
      </c>
      <c r="BU32" s="10" t="n">
        <v>0.5106</v>
      </c>
      <c r="BV32" s="6" t="n">
        <v>58.59</v>
      </c>
      <c r="BW32" s="6" t="n">
        <v>39</v>
      </c>
      <c r="BX32" s="7" t="n">
        <v>2.82</v>
      </c>
      <c r="BY32" s="6" t="n">
        <v>18.3</v>
      </c>
      <c r="BZ32" s="9" t="n">
        <v>-0.0262</v>
      </c>
      <c r="CA32" s="9" t="n">
        <v>-0.0498</v>
      </c>
      <c r="CB32" s="8" t="n">
        <v>50</v>
      </c>
      <c r="CC32" s="10" t="n">
        <v>0.104</v>
      </c>
      <c r="CD32" s="8" t="n">
        <v>242</v>
      </c>
      <c r="CE32" s="10" t="n">
        <v>0.525</v>
      </c>
      <c r="CF32" s="8" t="n">
        <v>40</v>
      </c>
      <c r="CG32" s="7" t="n">
        <v>-0.524</v>
      </c>
      <c r="CH32" s="7" t="n">
        <v>-0.743</v>
      </c>
      <c r="CI32" s="4" t="s">
        <v>121</v>
      </c>
      <c r="CJ32" s="4"/>
    </row>
    <row r="33" customFormat="false" ht="15" hidden="false" customHeight="false" outlineLevel="0" collapsed="false">
      <c r="A33" s="3" t="n">
        <v>31</v>
      </c>
      <c r="B33" s="4" t="s">
        <v>317</v>
      </c>
      <c r="C33" s="11" t="s">
        <v>104</v>
      </c>
      <c r="D33" s="4" t="s">
        <v>318</v>
      </c>
      <c r="E33" s="4" t="s">
        <v>284</v>
      </c>
      <c r="F33" s="4" t="s">
        <v>270</v>
      </c>
      <c r="G33" s="3" t="n">
        <v>2</v>
      </c>
      <c r="H33" s="6" t="n">
        <v>28.2</v>
      </c>
      <c r="I33" s="3" t="n">
        <v>7</v>
      </c>
      <c r="J33" s="3" t="n">
        <v>9</v>
      </c>
      <c r="K33" s="7" t="n">
        <v>88.55</v>
      </c>
      <c r="L33" s="7" t="n">
        <v>11.52</v>
      </c>
      <c r="M33" s="8" t="n">
        <v>68</v>
      </c>
      <c r="N33" s="8" t="n">
        <v>132</v>
      </c>
      <c r="O33" s="7" t="n">
        <v>88.55</v>
      </c>
      <c r="P33" s="6" t="n">
        <v>86</v>
      </c>
      <c r="Q33" s="4" t="s">
        <v>191</v>
      </c>
      <c r="R33" s="8" t="n">
        <v>17</v>
      </c>
      <c r="S33" s="6" t="n">
        <v>216.3</v>
      </c>
      <c r="T33" s="7" t="n">
        <f aca="false">IFERROR(S33/R33,"")</f>
        <v>12.7235294117647</v>
      </c>
      <c r="U33" s="6" t="n">
        <v>196.8</v>
      </c>
      <c r="V33" s="6" t="n">
        <v>177.3</v>
      </c>
      <c r="W33" s="8" t="n">
        <v>18</v>
      </c>
      <c r="X33" s="7" t="n">
        <f aca="false">IFERROR(S33/AH33,"")</f>
        <v>0.756293706293706</v>
      </c>
      <c r="Y33" s="9" t="n">
        <f aca="false">IFERROR(S33/AF33,"")</f>
        <v>0.365989847715736</v>
      </c>
      <c r="Z33" s="6" t="n">
        <v>5.4</v>
      </c>
      <c r="AA33" s="6" t="n">
        <v>10.6</v>
      </c>
      <c r="AB33" s="6" t="n">
        <v>22.98</v>
      </c>
      <c r="AC33" s="10" t="n">
        <v>0.176</v>
      </c>
      <c r="AD33" s="10" t="n">
        <v>0</v>
      </c>
      <c r="AE33" s="7" t="n">
        <v>0.925</v>
      </c>
      <c r="AF33" s="8" t="n">
        <v>591</v>
      </c>
      <c r="AG33" s="10" t="n">
        <v>0.561</v>
      </c>
      <c r="AH33" s="8" t="n">
        <v>286</v>
      </c>
      <c r="AI33" s="8" t="n">
        <v>236</v>
      </c>
      <c r="AJ33" s="6" t="n">
        <f aca="false">IFERROR(AI33/R33,"")</f>
        <v>13.8823529411765</v>
      </c>
      <c r="AK33" s="10" t="n">
        <v>0.5119</v>
      </c>
      <c r="AL33" s="8" t="n">
        <v>1076</v>
      </c>
      <c r="AM33" s="7" t="n">
        <f aca="false">IFERROR(AL33/AI33,"")</f>
        <v>4.55932203389831</v>
      </c>
      <c r="AN33" s="7" t="n">
        <v>2.525</v>
      </c>
      <c r="AO33" s="7" t="n">
        <v>2.034</v>
      </c>
      <c r="AP33" s="8" t="n">
        <v>14</v>
      </c>
      <c r="AQ33" s="7" t="n">
        <v>0.630886186130139</v>
      </c>
      <c r="AR33" s="6" t="n">
        <v>21.1864406779661</v>
      </c>
      <c r="AS33" s="7" t="n">
        <v>3.26991635687732</v>
      </c>
      <c r="AT33" s="8" t="n">
        <v>50</v>
      </c>
      <c r="AU33" s="6" t="n">
        <f aca="false">IFERROR(AT33/R33,"")</f>
        <v>2.94117647058824</v>
      </c>
      <c r="AV33" s="10" t="n">
        <v>0.1042</v>
      </c>
      <c r="AW33" s="8" t="n">
        <v>39</v>
      </c>
      <c r="AX33" s="10" t="n">
        <f aca="false">IFERROR(AW33/AT33,"")</f>
        <v>0.78</v>
      </c>
      <c r="AY33" s="8" t="n">
        <v>297</v>
      </c>
      <c r="AZ33" s="7" t="n">
        <f aca="false">IFERROR(AY33/AT33,"")</f>
        <v>5.94</v>
      </c>
      <c r="BA33" s="8" t="n">
        <v>39</v>
      </c>
      <c r="BB33" s="8" t="n">
        <v>14</v>
      </c>
      <c r="BC33" s="8" t="n">
        <v>8</v>
      </c>
      <c r="BD33" s="8" t="n">
        <v>7</v>
      </c>
      <c r="BE33" s="7" t="n">
        <v>7.4</v>
      </c>
      <c r="BF33" s="7" t="n">
        <f aca="false">IFERROR(BD33-BE33,"")</f>
        <v>-0.4</v>
      </c>
      <c r="BG33" s="9" t="n">
        <f aca="false">IFERROR(BD33/AH33,"")</f>
        <v>0.0244755244755245</v>
      </c>
      <c r="BH33" s="6" t="n">
        <v>57.4</v>
      </c>
      <c r="BI33" s="6" t="n">
        <v>46.5</v>
      </c>
      <c r="BJ33" s="6" t="n">
        <v>65.1</v>
      </c>
      <c r="BK33" s="7" t="n">
        <v>2.87</v>
      </c>
      <c r="BL33" s="10" t="n">
        <v>0.172</v>
      </c>
      <c r="BM33" s="10" t="n">
        <v>0.68</v>
      </c>
      <c r="BN33" s="7" t="n">
        <v>2.285</v>
      </c>
      <c r="BO33" s="10" t="n">
        <v>0.1636</v>
      </c>
      <c r="BP33" s="10" t="n">
        <v>0.0526</v>
      </c>
      <c r="BQ33" s="7" t="n">
        <v>2.209</v>
      </c>
      <c r="BR33" s="10" t="n">
        <v>0.824</v>
      </c>
      <c r="BS33" s="8" t="n">
        <v>5</v>
      </c>
      <c r="BT33" s="10" t="n">
        <v>-0.007</v>
      </c>
      <c r="BU33" s="10" t="n">
        <v>0.5795</v>
      </c>
      <c r="BV33" s="6" t="n">
        <v>57.35</v>
      </c>
      <c r="BW33" s="6" t="n">
        <v>40</v>
      </c>
      <c r="BX33" s="7" t="n">
        <v>3</v>
      </c>
      <c r="BY33" s="6" t="n">
        <v>23.4</v>
      </c>
      <c r="BZ33" s="9" t="n">
        <v>0.0188</v>
      </c>
      <c r="CA33" s="9" t="n">
        <v>0.0312</v>
      </c>
      <c r="CB33" s="8" t="n">
        <v>179</v>
      </c>
      <c r="CC33" s="10" t="n">
        <v>0.343</v>
      </c>
      <c r="CD33" s="8" t="n">
        <v>129</v>
      </c>
      <c r="CE33" s="10" t="n">
        <v>0.317</v>
      </c>
      <c r="CF33" s="8" t="n">
        <v>59</v>
      </c>
      <c r="CG33" s="7" t="n">
        <v>0.344</v>
      </c>
      <c r="CH33" s="7" t="n">
        <v>0.125</v>
      </c>
      <c r="CI33" s="4" t="s">
        <v>102</v>
      </c>
      <c r="CJ33" s="4"/>
    </row>
    <row r="34" customFormat="false" ht="15" hidden="false" customHeight="false" outlineLevel="0" collapsed="false">
      <c r="A34" s="3" t="n">
        <v>32</v>
      </c>
      <c r="B34" s="4" t="s">
        <v>324</v>
      </c>
      <c r="C34" s="11" t="s">
        <v>104</v>
      </c>
      <c r="D34" s="4" t="s">
        <v>325</v>
      </c>
      <c r="E34" s="4" t="s">
        <v>209</v>
      </c>
      <c r="F34" s="4" t="s">
        <v>104</v>
      </c>
      <c r="G34" s="3" t="n">
        <v>2</v>
      </c>
      <c r="H34" s="6" t="n">
        <v>25.5</v>
      </c>
      <c r="I34" s="3" t="n">
        <v>2</v>
      </c>
      <c r="J34" s="3" t="n">
        <v>10</v>
      </c>
      <c r="K34" s="7" t="n">
        <v>92.56</v>
      </c>
      <c r="L34" s="7" t="n">
        <v>16.42</v>
      </c>
      <c r="M34" s="8" t="n">
        <v>61</v>
      </c>
      <c r="N34" s="8" t="n">
        <v>130</v>
      </c>
      <c r="O34" s="7" t="n">
        <v>92.56</v>
      </c>
      <c r="P34" s="6" t="n">
        <v>84</v>
      </c>
      <c r="Q34" s="4" t="s">
        <v>209</v>
      </c>
      <c r="R34" s="8" t="n">
        <v>17</v>
      </c>
      <c r="S34" s="6" t="n">
        <v>206.6</v>
      </c>
      <c r="T34" s="7" t="n">
        <f aca="false">IFERROR(S34/R34,"")</f>
        <v>12.1529411764706</v>
      </c>
      <c r="U34" s="6" t="n">
        <v>183.1</v>
      </c>
      <c r="V34" s="6" t="n">
        <v>159.6</v>
      </c>
      <c r="W34" s="8" t="n">
        <v>20</v>
      </c>
      <c r="X34" s="7" t="n">
        <f aca="false">IFERROR(S34/AH34,"")</f>
        <v>1.01274509803922</v>
      </c>
      <c r="Y34" s="9" t="n">
        <f aca="false">IFERROR(S34/AF34,"")</f>
        <v>0.42952182952183</v>
      </c>
      <c r="Z34" s="6" t="n">
        <v>6</v>
      </c>
      <c r="AA34" s="6" t="n">
        <v>8</v>
      </c>
      <c r="AB34" s="6" t="n">
        <v>21.68</v>
      </c>
      <c r="AC34" s="10" t="n">
        <v>0.412</v>
      </c>
      <c r="AD34" s="10" t="n">
        <v>0</v>
      </c>
      <c r="AE34" s="7" t="n">
        <v>0.957</v>
      </c>
      <c r="AF34" s="8" t="n">
        <v>481</v>
      </c>
      <c r="AG34" s="10" t="n">
        <v>0.421</v>
      </c>
      <c r="AH34" s="8" t="n">
        <v>204</v>
      </c>
      <c r="AI34" s="8" t="n">
        <v>146</v>
      </c>
      <c r="AJ34" s="6" t="n">
        <f aca="false">IFERROR(AI34/R34,"")</f>
        <v>8.58823529411765</v>
      </c>
      <c r="AK34" s="10" t="n">
        <v>0.3202</v>
      </c>
      <c r="AL34" s="8" t="n">
        <v>540</v>
      </c>
      <c r="AM34" s="7" t="n">
        <f aca="false">IFERROR(AL34/AI34,"")</f>
        <v>3.6986301369863</v>
      </c>
      <c r="AN34" s="7" t="n">
        <v>1.904</v>
      </c>
      <c r="AO34" s="7" t="n">
        <v>1.795</v>
      </c>
      <c r="AP34" s="8" t="n">
        <v>7</v>
      </c>
      <c r="AQ34" s="7" t="n">
        <v>-0.643702874374956</v>
      </c>
      <c r="AR34" s="6" t="n">
        <v>32.8767123287671</v>
      </c>
      <c r="AS34" s="7" t="n">
        <v>4.84772222222222</v>
      </c>
      <c r="AT34" s="8" t="n">
        <v>58</v>
      </c>
      <c r="AU34" s="6" t="n">
        <f aca="false">IFERROR(AT34/R34,"")</f>
        <v>3.41176470588235</v>
      </c>
      <c r="AV34" s="10" t="n">
        <v>0.0993</v>
      </c>
      <c r="AW34" s="8" t="n">
        <v>47</v>
      </c>
      <c r="AX34" s="10" t="n">
        <f aca="false">IFERROR(AW34/AT34,"")</f>
        <v>0.810344827586207</v>
      </c>
      <c r="AY34" s="8" t="n">
        <v>356</v>
      </c>
      <c r="AZ34" s="7" t="n">
        <f aca="false">IFERROR(AY34/AT34,"")</f>
        <v>6.13793103448276</v>
      </c>
      <c r="BA34" s="8" t="n">
        <v>39</v>
      </c>
      <c r="BB34" s="8" t="n">
        <v>20</v>
      </c>
      <c r="BC34" s="8" t="n">
        <v>12</v>
      </c>
      <c r="BD34" s="8" t="n">
        <v>12</v>
      </c>
      <c r="BE34" s="7" t="n">
        <v>8.99</v>
      </c>
      <c r="BF34" s="7" t="n">
        <f aca="false">IFERROR(BD34-BE34,"")</f>
        <v>3.01</v>
      </c>
      <c r="BG34" s="9" t="n">
        <f aca="false">IFERROR(BD34/AH34,"")</f>
        <v>0.0588235294117647</v>
      </c>
      <c r="BH34" s="6" t="n">
        <v>63.2</v>
      </c>
      <c r="BI34" s="6" t="n">
        <v>50</v>
      </c>
      <c r="BJ34" s="6" t="n">
        <v>70.8</v>
      </c>
      <c r="BK34" s="7" t="n">
        <v>2.952</v>
      </c>
      <c r="BL34" s="10" t="n">
        <v>0.1682</v>
      </c>
      <c r="BM34" s="10" t="n">
        <v>0.551724137931035</v>
      </c>
      <c r="BN34" s="7" t="n">
        <v>2.592</v>
      </c>
      <c r="BO34" s="10" t="n">
        <v>0.2088</v>
      </c>
      <c r="BP34" s="10" t="n">
        <v>0.037</v>
      </c>
      <c r="BQ34" s="7" t="n">
        <v>2.401</v>
      </c>
      <c r="BR34" s="10" t="n">
        <v>0.999</v>
      </c>
      <c r="BS34" s="8" t="n">
        <v>5</v>
      </c>
      <c r="BT34" s="10" t="n">
        <v>0.0157</v>
      </c>
      <c r="BU34" s="10" t="n">
        <v>0.59</v>
      </c>
      <c r="BV34" s="6" t="n">
        <v>63.47</v>
      </c>
      <c r="BW34" s="6" t="n">
        <v>38</v>
      </c>
      <c r="BX34" s="7" t="n">
        <v>3.47</v>
      </c>
      <c r="BY34" s="6" t="n">
        <v>23.6</v>
      </c>
      <c r="BZ34" s="9" t="n">
        <v>0.0004</v>
      </c>
      <c r="CA34" s="9" t="n">
        <v>0.0835</v>
      </c>
      <c r="CB34" s="8" t="n">
        <v>4</v>
      </c>
      <c r="CC34" s="10" t="n">
        <v>0.007</v>
      </c>
      <c r="CD34" s="8" t="n">
        <v>0</v>
      </c>
      <c r="CE34" s="10" t="n">
        <v>0</v>
      </c>
      <c r="CF34" s="8" t="n">
        <v>1</v>
      </c>
      <c r="CG34" s="7" t="n">
        <v>0.292</v>
      </c>
      <c r="CH34" s="7" t="n">
        <v>0.116</v>
      </c>
      <c r="CI34" s="4" t="s">
        <v>102</v>
      </c>
      <c r="CJ34" s="4"/>
    </row>
    <row r="35" customFormat="false" ht="15" hidden="false" customHeight="false" outlineLevel="0" collapsed="false">
      <c r="A35" s="3" t="n">
        <v>33</v>
      </c>
      <c r="B35" s="4" t="s">
        <v>338</v>
      </c>
      <c r="C35" s="11" t="s">
        <v>104</v>
      </c>
      <c r="D35" s="4" t="s">
        <v>339</v>
      </c>
      <c r="E35" s="4" t="s">
        <v>198</v>
      </c>
      <c r="F35" s="4" t="s">
        <v>281</v>
      </c>
      <c r="G35" s="3" t="n">
        <v>1</v>
      </c>
      <c r="H35" s="6" t="n">
        <v>27.4</v>
      </c>
      <c r="I35" s="3" t="n">
        <v>6</v>
      </c>
      <c r="J35" s="3" t="n">
        <v>10</v>
      </c>
      <c r="K35" s="7" t="n">
        <v>101.59</v>
      </c>
      <c r="L35" s="7" t="n">
        <v>14.64</v>
      </c>
      <c r="M35" s="8" t="n">
        <v>77</v>
      </c>
      <c r="N35" s="8" t="n">
        <v>156</v>
      </c>
      <c r="O35" s="7" t="n">
        <v>101.59</v>
      </c>
      <c r="P35" s="6" t="n">
        <v>79.3</v>
      </c>
      <c r="Q35" s="4" t="s">
        <v>284</v>
      </c>
      <c r="R35" s="8" t="n">
        <v>17</v>
      </c>
      <c r="S35" s="6" t="n">
        <v>221.3</v>
      </c>
      <c r="T35" s="7" t="n">
        <f aca="false">IFERROR(S35/R35,"")</f>
        <v>13.0176470588235</v>
      </c>
      <c r="U35" s="6" t="n">
        <v>184.8</v>
      </c>
      <c r="V35" s="6" t="n">
        <v>148.3</v>
      </c>
      <c r="W35" s="8" t="n">
        <v>16</v>
      </c>
      <c r="X35" s="7" t="n">
        <f aca="false">IFERROR(S35/AH35,"")</f>
        <v>1.11206030150754</v>
      </c>
      <c r="Y35" s="9" t="n">
        <f aca="false">IFERROR(S35/AF35,"")</f>
        <v>0.428046421663443</v>
      </c>
      <c r="Z35" s="6" t="n">
        <v>6.5</v>
      </c>
      <c r="AA35" s="6" t="n">
        <v>9.6</v>
      </c>
      <c r="AB35" s="6" t="n">
        <v>22.84</v>
      </c>
      <c r="AC35" s="10" t="n">
        <v>0.412</v>
      </c>
      <c r="AD35" s="10" t="n">
        <v>0.059</v>
      </c>
      <c r="AE35" s="7" t="n">
        <v>0.977</v>
      </c>
      <c r="AF35" s="8" t="n">
        <v>517</v>
      </c>
      <c r="AG35" s="10" t="n">
        <v>0.496</v>
      </c>
      <c r="AH35" s="8" t="n">
        <v>199</v>
      </c>
      <c r="AI35" s="8" t="n">
        <v>114</v>
      </c>
      <c r="AJ35" s="6" t="n">
        <f aca="false">IFERROR(AI35/R35,"")</f>
        <v>6.70588235294118</v>
      </c>
      <c r="AK35" s="10" t="n">
        <v>0.2801</v>
      </c>
      <c r="AL35" s="8" t="n">
        <v>537</v>
      </c>
      <c r="AM35" s="7" t="n">
        <f aca="false">IFERROR(AL35/AI35,"")</f>
        <v>4.71052631578947</v>
      </c>
      <c r="AN35" s="7" t="n">
        <v>2.632</v>
      </c>
      <c r="AO35" s="7" t="n">
        <v>2.079</v>
      </c>
      <c r="AP35" s="8" t="n">
        <v>14</v>
      </c>
      <c r="AQ35" s="7" t="n">
        <v>0.581342494137253</v>
      </c>
      <c r="AR35" s="6" t="n">
        <v>31.5789473684211</v>
      </c>
      <c r="AS35" s="7" t="n">
        <v>4.02860335195531</v>
      </c>
      <c r="AT35" s="8" t="n">
        <v>85</v>
      </c>
      <c r="AU35" s="6" t="n">
        <f aca="false">IFERROR(AT35/R35,"")</f>
        <v>5</v>
      </c>
      <c r="AV35" s="10" t="n">
        <v>0.1628</v>
      </c>
      <c r="AW35" s="8" t="n">
        <v>73</v>
      </c>
      <c r="AX35" s="10" t="n">
        <f aca="false">IFERROR(AW35/AT35,"")</f>
        <v>0.858823529411765</v>
      </c>
      <c r="AY35" s="8" t="n">
        <v>486</v>
      </c>
      <c r="AZ35" s="7" t="n">
        <f aca="false">IFERROR(AY35/AT35,"")</f>
        <v>5.71764705882353</v>
      </c>
      <c r="BA35" s="8" t="n">
        <v>40</v>
      </c>
      <c r="BB35" s="8" t="n">
        <v>22</v>
      </c>
      <c r="BC35" s="8" t="n">
        <v>10</v>
      </c>
      <c r="BD35" s="8" t="n">
        <v>8</v>
      </c>
      <c r="BE35" s="7" t="n">
        <v>10.57</v>
      </c>
      <c r="BF35" s="7" t="n">
        <f aca="false">IFERROR(BD35-BE35,"")</f>
        <v>-2.57</v>
      </c>
      <c r="BG35" s="9" t="n">
        <f aca="false">IFERROR(BD35/AH35,"")</f>
        <v>0.0402010050251256</v>
      </c>
      <c r="BH35" s="6" t="n">
        <v>57.4</v>
      </c>
      <c r="BI35" s="6" t="n">
        <v>46.3</v>
      </c>
      <c r="BJ35" s="6" t="n">
        <v>65.4</v>
      </c>
      <c r="BK35" s="7" t="n">
        <v>2.736</v>
      </c>
      <c r="BL35" s="10" t="n">
        <v>0.1938</v>
      </c>
      <c r="BM35" s="10" t="n">
        <v>0.708333333333333</v>
      </c>
      <c r="BN35" s="7" t="n">
        <v>2.699</v>
      </c>
      <c r="BO35" s="10" t="n">
        <v>0.172</v>
      </c>
      <c r="BP35" s="10" t="n">
        <v>0.0571</v>
      </c>
      <c r="BQ35" s="7" t="n">
        <v>2.292</v>
      </c>
      <c r="BR35" s="10" t="n">
        <v>0.791</v>
      </c>
      <c r="BS35" s="8" t="n">
        <v>4</v>
      </c>
      <c r="BT35" s="10" t="n">
        <v>-0.0347</v>
      </c>
      <c r="BU35" s="10" t="n">
        <v>0.5148</v>
      </c>
      <c r="BV35" s="6" t="n">
        <v>62.65</v>
      </c>
      <c r="BW35" s="6" t="n">
        <v>41</v>
      </c>
      <c r="BX35" s="7" t="n">
        <v>3.12</v>
      </c>
      <c r="BY35" s="6" t="n">
        <v>22.4</v>
      </c>
      <c r="BZ35" s="9" t="n">
        <v>0.0138</v>
      </c>
      <c r="CA35" s="9" t="n">
        <v>-0.0264</v>
      </c>
      <c r="CB35" s="8" t="n">
        <v>111</v>
      </c>
      <c r="CC35" s="10" t="n">
        <v>0.205</v>
      </c>
      <c r="CD35" s="8" t="n">
        <v>138</v>
      </c>
      <c r="CE35" s="10" t="n">
        <v>0.292</v>
      </c>
      <c r="CF35" s="8" t="n">
        <v>38</v>
      </c>
      <c r="CG35" s="7" t="n">
        <v>0.503</v>
      </c>
      <c r="CH35" s="7" t="n">
        <v>0.327</v>
      </c>
      <c r="CI35" s="4" t="s">
        <v>232</v>
      </c>
      <c r="CJ35" s="4"/>
    </row>
    <row r="36" customFormat="false" ht="15" hidden="false" customHeight="false" outlineLevel="0" collapsed="false">
      <c r="A36" s="3" t="n">
        <v>34</v>
      </c>
      <c r="B36" s="4" t="s">
        <v>340</v>
      </c>
      <c r="C36" s="11" t="s">
        <v>104</v>
      </c>
      <c r="D36" s="4" t="s">
        <v>341</v>
      </c>
      <c r="E36" s="4" t="s">
        <v>209</v>
      </c>
      <c r="F36" s="4" t="s">
        <v>104</v>
      </c>
      <c r="G36" s="3" t="n">
        <v>1</v>
      </c>
      <c r="H36" s="6" t="n">
        <v>27.7</v>
      </c>
      <c r="I36" s="3" t="n">
        <v>7</v>
      </c>
      <c r="J36" s="3" t="n">
        <v>10</v>
      </c>
      <c r="K36" s="7" t="n">
        <v>102.06</v>
      </c>
      <c r="L36" s="7" t="n">
        <v>17.7</v>
      </c>
      <c r="M36" s="8" t="n">
        <v>72</v>
      </c>
      <c r="N36" s="8" t="n">
        <v>177</v>
      </c>
      <c r="O36" s="7" t="n">
        <v>102.06</v>
      </c>
      <c r="P36" s="6" t="n">
        <v>82.6</v>
      </c>
      <c r="Q36" s="4" t="s">
        <v>209</v>
      </c>
      <c r="R36" s="8" t="n">
        <v>10</v>
      </c>
      <c r="S36" s="6" t="n">
        <v>115.9</v>
      </c>
      <c r="T36" s="7" t="n">
        <f aca="false">IFERROR(S36/R36,"")</f>
        <v>11.59</v>
      </c>
      <c r="U36" s="6" t="n">
        <v>110.4</v>
      </c>
      <c r="V36" s="6" t="n">
        <v>104.9</v>
      </c>
      <c r="W36" s="8" t="n">
        <v>42</v>
      </c>
      <c r="X36" s="7" t="n">
        <f aca="false">IFERROR(S36/AH36,"")</f>
        <v>0.694011976047904</v>
      </c>
      <c r="Y36" s="9" t="n">
        <f aca="false">IFERROR(S36/AF36,"")</f>
        <v>0.340882352941176</v>
      </c>
      <c r="Z36" s="6" t="n">
        <v>9.1</v>
      </c>
      <c r="AA36" s="6" t="n">
        <v>12.8</v>
      </c>
      <c r="AB36" s="6" t="n">
        <v>15.36</v>
      </c>
      <c r="AC36" s="10" t="n">
        <v>0</v>
      </c>
      <c r="AD36" s="10" t="n">
        <v>0</v>
      </c>
      <c r="AE36" s="7" t="n">
        <v>0.32</v>
      </c>
      <c r="AF36" s="8" t="n">
        <v>340</v>
      </c>
      <c r="AG36" s="10" t="n">
        <v>0.511</v>
      </c>
      <c r="AH36" s="8" t="n">
        <v>167</v>
      </c>
      <c r="AI36" s="8" t="n">
        <v>153</v>
      </c>
      <c r="AJ36" s="6" t="n">
        <f aca="false">IFERROR(AI36/R36,"")</f>
        <v>15.3</v>
      </c>
      <c r="AK36" s="10" t="n">
        <v>0.5667</v>
      </c>
      <c r="AL36" s="8" t="n">
        <v>772</v>
      </c>
      <c r="AM36" s="7" t="n">
        <f aca="false">IFERROR(AL36/AI36,"")</f>
        <v>5.04575163398693</v>
      </c>
      <c r="AN36" s="7" t="n">
        <v>2.601</v>
      </c>
      <c r="AO36" s="7" t="n">
        <v>2.444</v>
      </c>
      <c r="AP36" s="8" t="n">
        <v>9</v>
      </c>
      <c r="AQ36" s="7" t="n">
        <v>1.08086583379229</v>
      </c>
      <c r="AR36" s="6" t="n">
        <v>36.6013071895425</v>
      </c>
      <c r="AS36" s="7" t="n">
        <v>3.46006476683938</v>
      </c>
      <c r="AT36" s="8" t="n">
        <v>14</v>
      </c>
      <c r="AU36" s="6" t="n">
        <f aca="false">IFERROR(AT36/R36,"")</f>
        <v>1.4</v>
      </c>
      <c r="AV36" s="10" t="n">
        <v>0.0423</v>
      </c>
      <c r="AW36" s="8" t="n">
        <v>11</v>
      </c>
      <c r="AX36" s="10" t="n">
        <f aca="false">IFERROR(AW36/AT36,"")</f>
        <v>0.785714285714286</v>
      </c>
      <c r="AY36" s="8" t="n">
        <v>37</v>
      </c>
      <c r="AZ36" s="7" t="n">
        <f aca="false">IFERROR(AY36/AT36,"")</f>
        <v>2.64285714285714</v>
      </c>
      <c r="BA36" s="8" t="n">
        <v>20</v>
      </c>
      <c r="BB36" s="8" t="n">
        <v>11</v>
      </c>
      <c r="BC36" s="8" t="n">
        <v>7</v>
      </c>
      <c r="BD36" s="8" t="n">
        <v>4</v>
      </c>
      <c r="BE36" s="7" t="n">
        <v>5.15</v>
      </c>
      <c r="BF36" s="7" t="n">
        <f aca="false">IFERROR(BD36-BE36,"")</f>
        <v>-1.15</v>
      </c>
      <c r="BG36" s="9" t="n">
        <f aca="false">IFERROR(BD36/AH36,"")</f>
        <v>0.0239520958083832</v>
      </c>
      <c r="BH36" s="6" t="n">
        <v>63.2</v>
      </c>
      <c r="BI36" s="6" t="n">
        <v>50</v>
      </c>
      <c r="BJ36" s="6" t="n">
        <v>70.8</v>
      </c>
      <c r="BK36" s="7" t="n">
        <v>2.952</v>
      </c>
      <c r="BL36" s="10" t="n">
        <v>0.1682</v>
      </c>
      <c r="BM36" s="10" t="n">
        <v>0.551724137931035</v>
      </c>
      <c r="BN36" s="7" t="n">
        <v>2.592</v>
      </c>
      <c r="BO36" s="10" t="n">
        <v>0.2088</v>
      </c>
      <c r="BP36" s="10" t="n">
        <v>0.037</v>
      </c>
      <c r="BQ36" s="7" t="n">
        <v>2.401</v>
      </c>
      <c r="BR36" s="10" t="n">
        <v>0.999</v>
      </c>
      <c r="BS36" s="8" t="n">
        <v>5</v>
      </c>
      <c r="BT36" s="10" t="n">
        <v>0.0157</v>
      </c>
      <c r="BU36" s="10" t="n">
        <v>0.59</v>
      </c>
      <c r="BV36" s="6" t="n">
        <v>63.47</v>
      </c>
      <c r="BW36" s="6" t="n">
        <v>38</v>
      </c>
      <c r="BX36" s="7" t="n">
        <v>3.47</v>
      </c>
      <c r="BY36" s="6" t="n">
        <v>23.6</v>
      </c>
      <c r="BZ36" s="9" t="n">
        <v>0.0004</v>
      </c>
      <c r="CA36" s="9" t="n">
        <v>0.0835</v>
      </c>
      <c r="CB36" s="8" t="n">
        <v>4</v>
      </c>
      <c r="CC36" s="10" t="n">
        <v>0.007</v>
      </c>
      <c r="CD36" s="8" t="n">
        <v>0</v>
      </c>
      <c r="CE36" s="10" t="n">
        <v>0</v>
      </c>
      <c r="CF36" s="8" t="n">
        <v>1</v>
      </c>
      <c r="CG36" s="7" t="n">
        <v>-0.601</v>
      </c>
      <c r="CH36" s="7" t="n">
        <v>0.056</v>
      </c>
      <c r="CI36" s="4" t="s">
        <v>121</v>
      </c>
      <c r="CJ36" s="4"/>
    </row>
    <row r="37" customFormat="false" ht="15" hidden="false" customHeight="false" outlineLevel="0" collapsed="false">
      <c r="A37" s="3" t="n">
        <v>35</v>
      </c>
      <c r="B37" s="4" t="s">
        <v>350</v>
      </c>
      <c r="C37" s="11" t="s">
        <v>104</v>
      </c>
      <c r="D37" s="4" t="s">
        <v>351</v>
      </c>
      <c r="E37" s="4" t="s">
        <v>203</v>
      </c>
      <c r="F37" s="4" t="s">
        <v>104</v>
      </c>
      <c r="G37" s="3" t="n">
        <v>2</v>
      </c>
      <c r="H37" s="6" t="n">
        <v>24.2</v>
      </c>
      <c r="I37" s="3" t="n">
        <v>2</v>
      </c>
      <c r="J37" s="3" t="n">
        <v>10</v>
      </c>
      <c r="K37" s="7" t="n">
        <v>106.05</v>
      </c>
      <c r="L37" s="7" t="n">
        <v>13.88</v>
      </c>
      <c r="M37" s="8" t="n">
        <v>78</v>
      </c>
      <c r="N37" s="8" t="n">
        <v>156</v>
      </c>
      <c r="O37" s="7" t="n">
        <v>106.05</v>
      </c>
      <c r="P37" s="6" t="n">
        <v>81.7</v>
      </c>
      <c r="Q37" s="4" t="s">
        <v>203</v>
      </c>
      <c r="R37" s="8" t="n">
        <v>17</v>
      </c>
      <c r="S37" s="6" t="n">
        <v>146.7</v>
      </c>
      <c r="T37" s="7" t="n">
        <f aca="false">IFERROR(S37/R37,"")</f>
        <v>8.62941176470588</v>
      </c>
      <c r="U37" s="6" t="n">
        <v>137.7</v>
      </c>
      <c r="V37" s="6" t="n">
        <v>128.7</v>
      </c>
      <c r="W37" s="8" t="n">
        <v>29</v>
      </c>
      <c r="X37" s="7" t="n">
        <f aca="false">IFERROR(S37/AH37,"")</f>
        <v>0.737185929648241</v>
      </c>
      <c r="Y37" s="9" t="n">
        <f aca="false">IFERROR(S37/AF37,"")</f>
        <v>0.306903765690377</v>
      </c>
      <c r="Z37" s="6" t="n">
        <v>3.3</v>
      </c>
      <c r="AA37" s="6" t="n">
        <v>7.7</v>
      </c>
      <c r="AB37" s="6" t="n">
        <v>15.36</v>
      </c>
      <c r="AC37" s="10" t="n">
        <v>0.176</v>
      </c>
      <c r="AD37" s="10" t="n">
        <v>0.118</v>
      </c>
      <c r="AE37" s="7" t="n">
        <v>0.816</v>
      </c>
      <c r="AF37" s="8" t="n">
        <v>478</v>
      </c>
      <c r="AG37" s="10" t="n">
        <v>0.409</v>
      </c>
      <c r="AH37" s="8" t="n">
        <v>199</v>
      </c>
      <c r="AI37" s="8" t="n">
        <v>169</v>
      </c>
      <c r="AJ37" s="6" t="n">
        <f aca="false">IFERROR(AI37/R37,"")</f>
        <v>9.94117647058824</v>
      </c>
      <c r="AK37" s="10" t="n">
        <v>0.3347</v>
      </c>
      <c r="AL37" s="8" t="n">
        <v>783</v>
      </c>
      <c r="AM37" s="7" t="n">
        <f aca="false">IFERROR(AL37/AI37,"")</f>
        <v>4.63313609467456</v>
      </c>
      <c r="AN37" s="7" t="n">
        <v>2.716</v>
      </c>
      <c r="AO37" s="7" t="n">
        <v>1.917</v>
      </c>
      <c r="AP37" s="8" t="n">
        <v>5</v>
      </c>
      <c r="AQ37" s="7" t="n">
        <v>0.289548514862964</v>
      </c>
      <c r="AR37" s="6" t="n">
        <v>18.9349112426036</v>
      </c>
      <c r="AS37" s="7" t="n">
        <v>3.52149425287356</v>
      </c>
      <c r="AT37" s="8" t="n">
        <v>30</v>
      </c>
      <c r="AU37" s="6" t="n">
        <f aca="false">IFERROR(AT37/R37,"")</f>
        <v>1.76470588235294</v>
      </c>
      <c r="AV37" s="10" t="n">
        <v>0.0564</v>
      </c>
      <c r="AW37" s="8" t="n">
        <v>18</v>
      </c>
      <c r="AX37" s="10" t="n">
        <f aca="false">IFERROR(AW37/AT37,"")</f>
        <v>0.6</v>
      </c>
      <c r="AY37" s="8" t="n">
        <v>164</v>
      </c>
      <c r="AZ37" s="7" t="n">
        <f aca="false">IFERROR(AY37/AT37,"")</f>
        <v>5.46666666666667</v>
      </c>
      <c r="BA37" s="8" t="n">
        <v>39</v>
      </c>
      <c r="BB37" s="8" t="n">
        <v>20</v>
      </c>
      <c r="BC37" s="8" t="n">
        <v>10</v>
      </c>
      <c r="BD37" s="8" t="n">
        <v>5</v>
      </c>
      <c r="BE37" s="7" t="n">
        <v>7.5</v>
      </c>
      <c r="BF37" s="7" t="n">
        <f aca="false">IFERROR(BD37-BE37,"")</f>
        <v>-2.5</v>
      </c>
      <c r="BG37" s="9" t="n">
        <f aca="false">IFERROR(BD37/AH37,"")</f>
        <v>0.0251256281407035</v>
      </c>
      <c r="BH37" s="6" t="n">
        <v>76.3</v>
      </c>
      <c r="BI37" s="6" t="n">
        <v>80.3</v>
      </c>
      <c r="BJ37" s="6" t="n">
        <v>61.1</v>
      </c>
      <c r="BK37" s="7" t="n">
        <v>3.337</v>
      </c>
      <c r="BL37" s="10" t="n">
        <v>0.1354</v>
      </c>
      <c r="BM37" s="10" t="n">
        <v>0.794117647058824</v>
      </c>
      <c r="BN37" s="7" t="n">
        <v>3.125</v>
      </c>
      <c r="BO37" s="10" t="n">
        <v>0.2787</v>
      </c>
      <c r="BP37" s="10" t="n">
        <v>0.0358</v>
      </c>
      <c r="BQ37" s="7" t="n">
        <v>2.496</v>
      </c>
      <c r="BR37" s="10" t="n">
        <v>0.802</v>
      </c>
      <c r="BS37" s="8" t="n">
        <v>4</v>
      </c>
      <c r="BT37" s="10" t="n">
        <v>-0.039</v>
      </c>
      <c r="BU37" s="10" t="n">
        <v>0.5233</v>
      </c>
      <c r="BV37" s="6" t="n">
        <v>64.47</v>
      </c>
      <c r="BW37" s="6" t="n">
        <v>37</v>
      </c>
      <c r="BX37" s="7" t="n">
        <v>3.41</v>
      </c>
      <c r="BY37" s="6" t="n">
        <v>25.9</v>
      </c>
      <c r="BZ37" s="9" t="n">
        <v>0.0786</v>
      </c>
      <c r="CA37" s="9" t="n">
        <v>0.0802</v>
      </c>
      <c r="CB37" s="8" t="n">
        <v>161</v>
      </c>
      <c r="CC37" s="10" t="n">
        <v>0.303</v>
      </c>
      <c r="CD37" s="8" t="n">
        <v>20</v>
      </c>
      <c r="CE37" s="10" t="n">
        <v>0.04</v>
      </c>
      <c r="CF37" s="8" t="n">
        <v>26</v>
      </c>
      <c r="CG37" s="7" t="n">
        <v>0.004</v>
      </c>
      <c r="CH37" s="7" t="n">
        <v>-0.435</v>
      </c>
      <c r="CI37" s="4" t="s">
        <v>102</v>
      </c>
      <c r="CJ37" s="4"/>
    </row>
    <row r="38" customFormat="false" ht="15" hidden="false" customHeight="false" outlineLevel="0" collapsed="false">
      <c r="A38" s="3" t="n">
        <v>36</v>
      </c>
      <c r="B38" s="4" t="s">
        <v>352</v>
      </c>
      <c r="C38" s="11" t="s">
        <v>104</v>
      </c>
      <c r="D38" s="4" t="s">
        <v>353</v>
      </c>
      <c r="E38" s="4" t="s">
        <v>191</v>
      </c>
      <c r="F38" s="4" t="s">
        <v>104</v>
      </c>
      <c r="G38" s="3" t="n">
        <v>2</v>
      </c>
      <c r="H38" s="6" t="n">
        <v>23.1</v>
      </c>
      <c r="I38" s="3" t="n">
        <v>3</v>
      </c>
      <c r="J38" s="3" t="n">
        <v>5</v>
      </c>
      <c r="K38" s="7" t="n">
        <v>106.31</v>
      </c>
      <c r="L38" s="7" t="n">
        <v>31.34</v>
      </c>
      <c r="M38" s="8" t="n">
        <v>67</v>
      </c>
      <c r="N38" s="8" t="n">
        <v>243</v>
      </c>
      <c r="O38" s="7" t="n">
        <v>106.31</v>
      </c>
      <c r="P38" s="6" t="n">
        <v>74</v>
      </c>
      <c r="Q38" s="4"/>
      <c r="R38" s="8"/>
      <c r="S38" s="6"/>
      <c r="T38" s="7"/>
      <c r="U38" s="6"/>
      <c r="V38" s="6"/>
      <c r="W38" s="8"/>
      <c r="X38" s="7"/>
      <c r="Y38" s="9"/>
      <c r="Z38" s="6"/>
      <c r="AA38" s="6"/>
      <c r="AB38" s="6"/>
      <c r="AC38" s="10"/>
      <c r="AD38" s="10"/>
      <c r="AE38" s="7"/>
      <c r="AF38" s="8"/>
      <c r="AG38" s="10"/>
      <c r="AH38" s="8" t="n">
        <v>0</v>
      </c>
      <c r="AI38" s="8"/>
      <c r="AJ38" s="6"/>
      <c r="AK38" s="10"/>
      <c r="AL38" s="8"/>
      <c r="AM38" s="7"/>
      <c r="AN38" s="7"/>
      <c r="AO38" s="7"/>
      <c r="AP38" s="8"/>
      <c r="AQ38" s="7"/>
      <c r="AR38" s="6"/>
      <c r="AS38" s="7"/>
      <c r="AT38" s="8"/>
      <c r="AU38" s="6"/>
      <c r="AV38" s="10"/>
      <c r="AW38" s="8"/>
      <c r="AX38" s="10"/>
      <c r="AY38" s="8"/>
      <c r="AZ38" s="7"/>
      <c r="BA38" s="8"/>
      <c r="BB38" s="8"/>
      <c r="BC38" s="8"/>
      <c r="BD38" s="8"/>
      <c r="BE38" s="7"/>
      <c r="BF38" s="7"/>
      <c r="BG38" s="9"/>
      <c r="BH38" s="6" t="n">
        <v>56.6</v>
      </c>
      <c r="BI38" s="6" t="n">
        <v>63.1</v>
      </c>
      <c r="BJ38" s="6" t="n">
        <v>47.3</v>
      </c>
      <c r="BK38" s="7" t="n">
        <v>3.179</v>
      </c>
      <c r="BL38" s="10" t="n">
        <v>0.1391</v>
      </c>
      <c r="BM38" s="10" t="n">
        <v>0.689655172413793</v>
      </c>
      <c r="BN38" s="7" t="n">
        <v>2.49</v>
      </c>
      <c r="BO38" s="10" t="n">
        <v>0.2718</v>
      </c>
      <c r="BP38" s="10" t="n">
        <v>0.0629</v>
      </c>
      <c r="BQ38" s="7" t="n">
        <v>2.4</v>
      </c>
      <c r="BR38" s="10" t="n">
        <v>0.596</v>
      </c>
      <c r="BS38" s="8" t="n">
        <v>3</v>
      </c>
      <c r="BT38" s="10" t="n">
        <v>-0.061</v>
      </c>
      <c r="BU38" s="10" t="n">
        <v>0.5106</v>
      </c>
      <c r="BV38" s="6" t="n">
        <v>58.59</v>
      </c>
      <c r="BW38" s="6" t="n">
        <v>39</v>
      </c>
      <c r="BX38" s="7" t="n">
        <v>2.82</v>
      </c>
      <c r="BY38" s="6" t="n">
        <v>18.3</v>
      </c>
      <c r="BZ38" s="9" t="n">
        <v>-0.0262</v>
      </c>
      <c r="CA38" s="9" t="n">
        <v>-0.0498</v>
      </c>
      <c r="CB38" s="8" t="n">
        <v>50</v>
      </c>
      <c r="CC38" s="10" t="n">
        <v>0.104</v>
      </c>
      <c r="CD38" s="8" t="n">
        <v>242</v>
      </c>
      <c r="CE38" s="10" t="n">
        <v>0.525</v>
      </c>
      <c r="CF38" s="8" t="n">
        <v>40</v>
      </c>
      <c r="CG38" s="7"/>
      <c r="CH38" s="7"/>
      <c r="CI38" s="4"/>
      <c r="CJ38" s="4" t="s">
        <v>354</v>
      </c>
    </row>
    <row r="39" customFormat="false" ht="15" hidden="false" customHeight="false" outlineLevel="0" collapsed="false">
      <c r="A39" s="3" t="n">
        <v>37</v>
      </c>
      <c r="B39" s="4" t="s">
        <v>359</v>
      </c>
      <c r="C39" s="11" t="s">
        <v>104</v>
      </c>
      <c r="D39" s="4" t="s">
        <v>360</v>
      </c>
      <c r="E39" s="4" t="s">
        <v>221</v>
      </c>
      <c r="F39" s="4" t="s">
        <v>104</v>
      </c>
      <c r="G39" s="3" t="n">
        <v>2</v>
      </c>
      <c r="H39" s="6" t="n">
        <v>27.6</v>
      </c>
      <c r="I39" s="3" t="n">
        <v>5</v>
      </c>
      <c r="J39" s="3" t="n">
        <v>7</v>
      </c>
      <c r="K39" s="7" t="n">
        <v>108.98</v>
      </c>
      <c r="L39" s="7" t="n">
        <v>14.86</v>
      </c>
      <c r="M39" s="8" t="n">
        <v>75</v>
      </c>
      <c r="N39" s="8" t="n">
        <v>141</v>
      </c>
      <c r="O39" s="7" t="n">
        <v>108.98</v>
      </c>
      <c r="P39" s="6" t="n">
        <v>74</v>
      </c>
      <c r="Q39" s="4" t="s">
        <v>198</v>
      </c>
      <c r="R39" s="8" t="n">
        <v>17</v>
      </c>
      <c r="S39" s="6" t="n">
        <v>143</v>
      </c>
      <c r="T39" s="7" t="n">
        <f aca="false">IFERROR(S39/R39,"")</f>
        <v>8.41176470588235</v>
      </c>
      <c r="U39" s="6" t="n">
        <v>123</v>
      </c>
      <c r="V39" s="6" t="n">
        <v>103</v>
      </c>
      <c r="W39" s="8" t="n">
        <v>31</v>
      </c>
      <c r="X39" s="7" t="n">
        <f aca="false">IFERROR(S39/AH39,"")</f>
        <v>0.807909604519774</v>
      </c>
      <c r="Y39" s="9" t="n">
        <f aca="false">IFERROR(S39/AF39,"")</f>
        <v>0.249128919860627</v>
      </c>
      <c r="Z39" s="6" t="n">
        <v>5.2</v>
      </c>
      <c r="AA39" s="6" t="n">
        <v>8</v>
      </c>
      <c r="AB39" s="6" t="n">
        <v>12.92</v>
      </c>
      <c r="AC39" s="10" t="n">
        <v>0.118</v>
      </c>
      <c r="AD39" s="10" t="n">
        <v>0.059</v>
      </c>
      <c r="AE39" s="7" t="n">
        <v>0.687</v>
      </c>
      <c r="AF39" s="8" t="n">
        <v>574</v>
      </c>
      <c r="AG39" s="10" t="n">
        <v>0.511</v>
      </c>
      <c r="AH39" s="8" t="n">
        <v>177</v>
      </c>
      <c r="AI39" s="8" t="n">
        <v>132</v>
      </c>
      <c r="AJ39" s="6" t="n">
        <f aca="false">IFERROR(AI39/R39,"")</f>
        <v>7.76470588235294</v>
      </c>
      <c r="AK39" s="10" t="n">
        <v>0.2797</v>
      </c>
      <c r="AL39" s="8" t="n">
        <v>572</v>
      </c>
      <c r="AM39" s="7" t="n">
        <f aca="false">IFERROR(AL39/AI39,"")</f>
        <v>4.33333333333333</v>
      </c>
      <c r="AN39" s="7" t="n">
        <v>2.826</v>
      </c>
      <c r="AO39" s="7" t="n">
        <v>1.508</v>
      </c>
      <c r="AP39" s="8" t="n">
        <v>9</v>
      </c>
      <c r="AQ39" s="7" t="n">
        <v>-0.223049529477215</v>
      </c>
      <c r="AR39" s="6" t="n">
        <v>20.4545454545455</v>
      </c>
      <c r="AS39" s="7" t="n">
        <v>3.54566433566434</v>
      </c>
      <c r="AT39" s="8" t="n">
        <v>45</v>
      </c>
      <c r="AU39" s="6" t="n">
        <f aca="false">IFERROR(AT39/R39,"")</f>
        <v>2.64705882352941</v>
      </c>
      <c r="AV39" s="10" t="n">
        <v>0.0832</v>
      </c>
      <c r="AW39" s="8" t="n">
        <v>40</v>
      </c>
      <c r="AX39" s="10" t="n">
        <f aca="false">IFERROR(AW39/AT39,"")</f>
        <v>0.888888888888889</v>
      </c>
      <c r="AY39" s="8" t="n">
        <v>218</v>
      </c>
      <c r="AZ39" s="7" t="n">
        <f aca="false">IFERROR(AY39/AT39,"")</f>
        <v>4.84444444444444</v>
      </c>
      <c r="BA39" s="8" t="n">
        <v>28</v>
      </c>
      <c r="BB39" s="8" t="n">
        <v>10</v>
      </c>
      <c r="BC39" s="8" t="n">
        <v>8</v>
      </c>
      <c r="BD39" s="8" t="n">
        <v>4</v>
      </c>
      <c r="BE39" s="7" t="n">
        <v>7.43</v>
      </c>
      <c r="BF39" s="7" t="n">
        <f aca="false">IFERROR(BD39-BE39,"")</f>
        <v>-3.43</v>
      </c>
      <c r="BG39" s="9" t="n">
        <f aca="false">IFERROR(BD39/AH39,"")</f>
        <v>0.0225988700564972</v>
      </c>
      <c r="BH39" s="6" t="n">
        <v>54.8</v>
      </c>
      <c r="BI39" s="6" t="n">
        <v>50.7</v>
      </c>
      <c r="BJ39" s="6" t="n">
        <v>56.8</v>
      </c>
      <c r="BK39" s="7" t="n">
        <v>2.998</v>
      </c>
      <c r="BL39" s="10" t="n">
        <v>0.1651</v>
      </c>
      <c r="BM39" s="10" t="n">
        <v>0.548387096774194</v>
      </c>
      <c r="BN39" s="7" t="n">
        <v>2.512</v>
      </c>
      <c r="BO39" s="10" t="n">
        <v>0.2217</v>
      </c>
      <c r="BP39" s="10" t="n">
        <v>0.0606</v>
      </c>
      <c r="BQ39" s="7" t="n">
        <v>2.36</v>
      </c>
      <c r="BR39" s="10" t="n">
        <v>0.706</v>
      </c>
      <c r="BS39" s="8" t="n">
        <v>4</v>
      </c>
      <c r="BT39" s="10" t="n">
        <v>-0.0427</v>
      </c>
      <c r="BU39" s="10" t="n">
        <v>0.4747</v>
      </c>
      <c r="BV39" s="6" t="n">
        <v>57.59</v>
      </c>
      <c r="BW39" s="6" t="n">
        <v>38</v>
      </c>
      <c r="BX39" s="7" t="n">
        <v>2.94</v>
      </c>
      <c r="BY39" s="6" t="n">
        <v>20.9</v>
      </c>
      <c r="BZ39" s="9" t="n">
        <v>0.0192</v>
      </c>
      <c r="CA39" s="9" t="n">
        <v>-0.0055</v>
      </c>
      <c r="CB39" s="8" t="n">
        <v>138</v>
      </c>
      <c r="CC39" s="10" t="n">
        <v>0.319</v>
      </c>
      <c r="CD39" s="8" t="n">
        <v>142</v>
      </c>
      <c r="CE39" s="10" t="n">
        <v>0.293</v>
      </c>
      <c r="CF39" s="8" t="n">
        <v>56</v>
      </c>
      <c r="CG39" s="7" t="n">
        <v>-0.013</v>
      </c>
      <c r="CH39" s="7" t="n">
        <v>-0.452</v>
      </c>
      <c r="CI39" s="4" t="s">
        <v>102</v>
      </c>
      <c r="CJ39" s="4"/>
    </row>
    <row r="40" customFormat="false" ht="15" hidden="false" customHeight="false" outlineLevel="0" collapsed="false">
      <c r="A40" s="3" t="n">
        <v>38</v>
      </c>
      <c r="B40" s="4" t="s">
        <v>365</v>
      </c>
      <c r="C40" s="11" t="s">
        <v>104</v>
      </c>
      <c r="D40" s="4" t="s">
        <v>366</v>
      </c>
      <c r="E40" s="4" t="s">
        <v>109</v>
      </c>
      <c r="F40" s="4" t="s">
        <v>104</v>
      </c>
      <c r="G40" s="3" t="n">
        <v>2</v>
      </c>
      <c r="H40" s="6" t="n">
        <v>25.7</v>
      </c>
      <c r="I40" s="3" t="n">
        <v>3</v>
      </c>
      <c r="J40" s="3" t="n">
        <v>11</v>
      </c>
      <c r="K40" s="7" t="n">
        <v>112.83</v>
      </c>
      <c r="L40" s="7" t="n">
        <v>13.44</v>
      </c>
      <c r="M40" s="8" t="n">
        <v>84</v>
      </c>
      <c r="N40" s="8" t="n">
        <v>145</v>
      </c>
      <c r="O40" s="7" t="n">
        <v>112.83</v>
      </c>
      <c r="P40" s="6" t="n">
        <v>79.7</v>
      </c>
      <c r="Q40" s="4" t="s">
        <v>109</v>
      </c>
      <c r="R40" s="8" t="n">
        <v>17</v>
      </c>
      <c r="S40" s="6" t="n">
        <v>122.2</v>
      </c>
      <c r="T40" s="7" t="n">
        <f aca="false">IFERROR(S40/R40,"")</f>
        <v>7.18823529411765</v>
      </c>
      <c r="U40" s="6" t="n">
        <v>118.2</v>
      </c>
      <c r="V40" s="6" t="n">
        <v>114.2</v>
      </c>
      <c r="W40" s="8" t="n">
        <v>39</v>
      </c>
      <c r="X40" s="7" t="n">
        <f aca="false">IFERROR(S40/AH40,"")</f>
        <v>0.768553459119497</v>
      </c>
      <c r="Y40" s="9" t="n">
        <f aca="false">IFERROR(S40/AF40,"")</f>
        <v>0.368072289156627</v>
      </c>
      <c r="Z40" s="6" t="n">
        <v>2.4</v>
      </c>
      <c r="AA40" s="6" t="n">
        <v>5.3</v>
      </c>
      <c r="AB40" s="6" t="n">
        <v>13.1</v>
      </c>
      <c r="AC40" s="10" t="n">
        <v>0.059</v>
      </c>
      <c r="AD40" s="10" t="n">
        <v>0.294</v>
      </c>
      <c r="AE40" s="7" t="n">
        <v>1.225</v>
      </c>
      <c r="AF40" s="8" t="n">
        <v>332</v>
      </c>
      <c r="AG40" s="10" t="n">
        <v>0.291</v>
      </c>
      <c r="AH40" s="8" t="n">
        <v>159</v>
      </c>
      <c r="AI40" s="8" t="n">
        <v>145</v>
      </c>
      <c r="AJ40" s="6" t="n">
        <f aca="false">IFERROR(AI40/R40,"")</f>
        <v>8.52941176470588</v>
      </c>
      <c r="AK40" s="10" t="n">
        <v>0.3118</v>
      </c>
      <c r="AL40" s="8" t="n">
        <v>746</v>
      </c>
      <c r="AM40" s="7" t="n">
        <f aca="false">IFERROR(AL40/AI40,"")</f>
        <v>5.1448275862069</v>
      </c>
      <c r="AN40" s="7" t="n">
        <v>3.51</v>
      </c>
      <c r="AO40" s="7" t="n">
        <v>1.634</v>
      </c>
      <c r="AP40" s="8" t="n">
        <v>12</v>
      </c>
      <c r="AQ40" s="7" t="n">
        <v>0.854209210726062</v>
      </c>
      <c r="AR40" s="6" t="n">
        <v>21.3793103448276</v>
      </c>
      <c r="AS40" s="7" t="n">
        <v>3.45561662198391</v>
      </c>
      <c r="AT40" s="8" t="n">
        <v>14</v>
      </c>
      <c r="AU40" s="6" t="n">
        <f aca="false">IFERROR(AT40/R40,"")</f>
        <v>0.823529411764706</v>
      </c>
      <c r="AV40" s="10" t="n">
        <v>0.0241</v>
      </c>
      <c r="AW40" s="8" t="n">
        <v>8</v>
      </c>
      <c r="AX40" s="10" t="n">
        <f aca="false">IFERROR(AW40/AT40,"")</f>
        <v>0.571428571428571</v>
      </c>
      <c r="AY40" s="8" t="n">
        <v>36</v>
      </c>
      <c r="AZ40" s="7" t="n">
        <f aca="false">IFERROR(AY40/AT40,"")</f>
        <v>2.57142857142857</v>
      </c>
      <c r="BA40" s="8" t="n">
        <v>28</v>
      </c>
      <c r="BB40" s="8" t="n">
        <v>16</v>
      </c>
      <c r="BC40" s="8" t="n">
        <v>13</v>
      </c>
      <c r="BD40" s="8" t="n">
        <v>6</v>
      </c>
      <c r="BE40" s="7" t="n">
        <v>7.29</v>
      </c>
      <c r="BF40" s="7" t="n">
        <f aca="false">IFERROR(BD40-BE40,"")</f>
        <v>-1.29</v>
      </c>
      <c r="BG40" s="9" t="n">
        <f aca="false">IFERROR(BD40/AH40,"")</f>
        <v>0.0377358490566038</v>
      </c>
      <c r="BH40" s="6" t="n">
        <v>80.4</v>
      </c>
      <c r="BI40" s="6" t="n">
        <v>76.4</v>
      </c>
      <c r="BJ40" s="6" t="n">
        <v>71.5</v>
      </c>
      <c r="BK40" s="7" t="n">
        <v>3.462</v>
      </c>
      <c r="BL40" s="10" t="n">
        <v>0.1266</v>
      </c>
      <c r="BM40" s="10" t="n">
        <v>0.638297872340426</v>
      </c>
      <c r="BN40" s="7" t="n">
        <v>2.811</v>
      </c>
      <c r="BO40" s="10" t="n">
        <v>0.194</v>
      </c>
      <c r="BP40" s="10" t="n">
        <v>0.0424</v>
      </c>
      <c r="BQ40" s="7" t="n">
        <v>2.396</v>
      </c>
      <c r="BR40" s="10" t="n">
        <v>0.904</v>
      </c>
      <c r="BS40" s="8" t="n">
        <v>5</v>
      </c>
      <c r="BT40" s="10" t="n">
        <v>0.0296</v>
      </c>
      <c r="BU40" s="10" t="n">
        <v>0.6185</v>
      </c>
      <c r="BV40" s="6" t="n">
        <v>62.12</v>
      </c>
      <c r="BW40" s="6" t="n">
        <v>37</v>
      </c>
      <c r="BX40" s="7" t="n">
        <v>4.47</v>
      </c>
      <c r="BY40" s="6" t="n">
        <v>30.5</v>
      </c>
      <c r="BZ40" s="9" t="n">
        <v>0.0262</v>
      </c>
      <c r="CA40" s="9" t="n">
        <v>0.2292</v>
      </c>
      <c r="CB40" s="8" t="n">
        <v>15</v>
      </c>
      <c r="CC40" s="10" t="n">
        <v>0.026</v>
      </c>
      <c r="CD40" s="8" t="n">
        <v>0</v>
      </c>
      <c r="CE40" s="10" t="n">
        <v>0</v>
      </c>
      <c r="CF40" s="8" t="n">
        <v>1</v>
      </c>
      <c r="CG40" s="7" t="n">
        <v>-0.328</v>
      </c>
      <c r="CH40" s="7" t="n">
        <v>-0.679</v>
      </c>
      <c r="CI40" s="4" t="s">
        <v>102</v>
      </c>
      <c r="CJ40" s="4"/>
    </row>
    <row r="41" customFormat="false" ht="15" hidden="false" customHeight="false" outlineLevel="0" collapsed="false">
      <c r="A41" s="3" t="n">
        <v>39</v>
      </c>
      <c r="B41" s="4" t="s">
        <v>371</v>
      </c>
      <c r="C41" s="11" t="s">
        <v>104</v>
      </c>
      <c r="D41" s="4" t="s">
        <v>372</v>
      </c>
      <c r="E41" s="4" t="s">
        <v>127</v>
      </c>
      <c r="F41" s="4" t="s">
        <v>104</v>
      </c>
      <c r="G41" s="3" t="n">
        <v>1</v>
      </c>
      <c r="H41" s="6" t="n">
        <v>31.7</v>
      </c>
      <c r="I41" s="3" t="n">
        <v>10</v>
      </c>
      <c r="J41" s="3" t="n">
        <v>6</v>
      </c>
      <c r="K41" s="7" t="n">
        <v>113.67</v>
      </c>
      <c r="L41" s="7" t="n">
        <v>13.47</v>
      </c>
      <c r="M41" s="8" t="n">
        <v>77</v>
      </c>
      <c r="N41" s="8" t="n">
        <v>141</v>
      </c>
      <c r="O41" s="7" t="n">
        <v>113.67</v>
      </c>
      <c r="P41" s="6" t="n">
        <v>76.9</v>
      </c>
      <c r="Q41" s="4" t="s">
        <v>127</v>
      </c>
      <c r="R41" s="8" t="n">
        <v>12</v>
      </c>
      <c r="S41" s="6" t="n">
        <v>118.7</v>
      </c>
      <c r="T41" s="7" t="n">
        <f aca="false">IFERROR(S41/R41,"")</f>
        <v>9.89166666666667</v>
      </c>
      <c r="U41" s="6" t="n">
        <v>104.7</v>
      </c>
      <c r="V41" s="6" t="n">
        <v>90.7</v>
      </c>
      <c r="W41" s="8" t="n">
        <v>40</v>
      </c>
      <c r="X41" s="7" t="n">
        <f aca="false">IFERROR(S41/AH41,"")</f>
        <v>0.686127167630058</v>
      </c>
      <c r="Y41" s="9" t="n">
        <f aca="false">IFERROR(S41/AF41,"")</f>
        <v>0.32431693989071</v>
      </c>
      <c r="Z41" s="6" t="n">
        <v>6.95</v>
      </c>
      <c r="AA41" s="6" t="n">
        <v>10.3</v>
      </c>
      <c r="AB41" s="6" t="n">
        <v>15.44</v>
      </c>
      <c r="AC41" s="10" t="n">
        <v>0.167</v>
      </c>
      <c r="AD41" s="10" t="n">
        <v>0.083</v>
      </c>
      <c r="AE41" s="7" t="n">
        <v>0.438</v>
      </c>
      <c r="AF41" s="8" t="n">
        <v>366</v>
      </c>
      <c r="AG41" s="10" t="n">
        <v>0.551</v>
      </c>
      <c r="AH41" s="8" t="n">
        <v>173</v>
      </c>
      <c r="AI41" s="8" t="n">
        <v>132</v>
      </c>
      <c r="AJ41" s="6" t="n">
        <f aca="false">IFERROR(AI41/R41,"")</f>
        <v>11</v>
      </c>
      <c r="AK41" s="10" t="n">
        <v>0.4681</v>
      </c>
      <c r="AL41" s="8" t="n">
        <v>548</v>
      </c>
      <c r="AM41" s="7" t="n">
        <f aca="false">IFERROR(AL41/AI41,"")</f>
        <v>4.15151515151515</v>
      </c>
      <c r="AN41" s="7" t="n">
        <v>2.379</v>
      </c>
      <c r="AO41" s="7" t="n">
        <v>1.773</v>
      </c>
      <c r="AP41" s="8" t="n">
        <v>5</v>
      </c>
      <c r="AQ41" s="7" t="n">
        <v>-0.118336995356548</v>
      </c>
      <c r="AR41" s="6" t="n">
        <v>25</v>
      </c>
      <c r="AS41" s="7" t="n">
        <v>3.91622262773723</v>
      </c>
      <c r="AT41" s="8" t="n">
        <v>41</v>
      </c>
      <c r="AU41" s="6" t="n">
        <f aca="false">IFERROR(AT41/R41,"")</f>
        <v>3.41666666666667</v>
      </c>
      <c r="AV41" s="10" t="n">
        <v>0.1376</v>
      </c>
      <c r="AW41" s="8" t="n">
        <v>28</v>
      </c>
      <c r="AX41" s="10" t="n">
        <f aca="false">IFERROR(AW41/AT41,"")</f>
        <v>0.682926829268293</v>
      </c>
      <c r="AY41" s="8" t="n">
        <v>199</v>
      </c>
      <c r="AZ41" s="7" t="n">
        <f aca="false">IFERROR(AY41/AT41,"")</f>
        <v>4.85365853658537</v>
      </c>
      <c r="BA41" s="8" t="n">
        <v>19</v>
      </c>
      <c r="BB41" s="8" t="n">
        <v>6</v>
      </c>
      <c r="BC41" s="8" t="n">
        <v>3</v>
      </c>
      <c r="BD41" s="8" t="n">
        <v>3</v>
      </c>
      <c r="BE41" s="7" t="n">
        <v>3.81</v>
      </c>
      <c r="BF41" s="7" t="n">
        <f aca="false">IFERROR(BD41-BE41,"")</f>
        <v>-0.81</v>
      </c>
      <c r="BG41" s="9" t="n">
        <f aca="false">IFERROR(BD41/AH41,"")</f>
        <v>0.0173410404624277</v>
      </c>
      <c r="BH41" s="6" t="n">
        <v>36</v>
      </c>
      <c r="BI41" s="6" t="n">
        <v>51.8</v>
      </c>
      <c r="BJ41" s="6" t="n">
        <v>26.2</v>
      </c>
      <c r="BK41" s="7" t="n">
        <v>2.961</v>
      </c>
      <c r="BL41" s="10" t="n">
        <v>0.1751</v>
      </c>
      <c r="BM41" s="10" t="n">
        <v>0.7</v>
      </c>
      <c r="BN41" s="7" t="n">
        <v>2.441</v>
      </c>
      <c r="BO41" s="10" t="n">
        <v>0.3037</v>
      </c>
      <c r="BP41" s="10" t="n">
        <v>0.1028</v>
      </c>
      <c r="BQ41" s="7" t="n">
        <v>2.429</v>
      </c>
      <c r="BR41" s="10" t="n">
        <v>0.819</v>
      </c>
      <c r="BS41" s="8" t="n">
        <v>5</v>
      </c>
      <c r="BT41" s="10" t="n">
        <v>-0.012</v>
      </c>
      <c r="BU41" s="10" t="n">
        <v>0.5369</v>
      </c>
      <c r="BV41" s="6" t="n">
        <v>55.47</v>
      </c>
      <c r="BW41" s="6" t="n">
        <v>39</v>
      </c>
      <c r="BX41" s="7" t="n">
        <v>3.12</v>
      </c>
      <c r="BY41" s="6" t="n">
        <v>20.2</v>
      </c>
      <c r="BZ41" s="9" t="n">
        <v>-0.0149</v>
      </c>
      <c r="CA41" s="9" t="n">
        <v>-0.1883</v>
      </c>
      <c r="CB41" s="8" t="n">
        <v>82</v>
      </c>
      <c r="CC41" s="10" t="n">
        <v>0.175</v>
      </c>
      <c r="CD41" s="8" t="n">
        <v>24</v>
      </c>
      <c r="CE41" s="10" t="n">
        <v>0.059</v>
      </c>
      <c r="CF41" s="8" t="n">
        <v>17</v>
      </c>
      <c r="CG41" s="7" t="n">
        <v>-0.337</v>
      </c>
      <c r="CH41" s="7" t="n">
        <v>-0.03</v>
      </c>
      <c r="CI41" s="4" t="s">
        <v>102</v>
      </c>
      <c r="CJ41" s="4"/>
    </row>
    <row r="42" customFormat="false" ht="15" hidden="false" customHeight="false" outlineLevel="0" collapsed="false">
      <c r="A42" s="3" t="n">
        <v>40</v>
      </c>
      <c r="B42" s="4" t="s">
        <v>381</v>
      </c>
      <c r="C42" s="11" t="s">
        <v>104</v>
      </c>
      <c r="D42" s="4" t="s">
        <v>382</v>
      </c>
      <c r="E42" s="4" t="s">
        <v>221</v>
      </c>
      <c r="F42" s="4" t="s">
        <v>104</v>
      </c>
      <c r="G42" s="3" t="n">
        <v>1</v>
      </c>
      <c r="H42" s="6" t="n">
        <v>25.3</v>
      </c>
      <c r="I42" s="3" t="n">
        <v>2</v>
      </c>
      <c r="J42" s="3" t="n">
        <v>7</v>
      </c>
      <c r="K42" s="7" t="n">
        <v>119.51</v>
      </c>
      <c r="L42" s="7" t="n">
        <v>13.21</v>
      </c>
      <c r="M42" s="8" t="n">
        <v>78</v>
      </c>
      <c r="N42" s="8" t="n">
        <v>143</v>
      </c>
      <c r="O42" s="7" t="n">
        <v>119.51</v>
      </c>
      <c r="P42" s="6" t="n">
        <v>73.6</v>
      </c>
      <c r="Q42" s="4" t="s">
        <v>221</v>
      </c>
      <c r="R42" s="8" t="n">
        <v>17</v>
      </c>
      <c r="S42" s="6" t="n">
        <v>140.3</v>
      </c>
      <c r="T42" s="7" t="n">
        <f aca="false">IFERROR(S42/R42,"")</f>
        <v>8.25294117647059</v>
      </c>
      <c r="U42" s="6" t="n">
        <v>135.8</v>
      </c>
      <c r="V42" s="6" t="n">
        <v>131.3</v>
      </c>
      <c r="W42" s="8" t="n">
        <v>32</v>
      </c>
      <c r="X42" s="7" t="n">
        <f aca="false">IFERROR(S42/AH42,"")</f>
        <v>0.746276595744681</v>
      </c>
      <c r="Y42" s="9" t="n">
        <f aca="false">IFERROR(S42/AF42,"")</f>
        <v>0.345566502463054</v>
      </c>
      <c r="Z42" s="6" t="n">
        <v>3</v>
      </c>
      <c r="AA42" s="6" t="n">
        <v>5.1</v>
      </c>
      <c r="AB42" s="6" t="n">
        <v>15.04</v>
      </c>
      <c r="AC42" s="10" t="n">
        <v>0.118</v>
      </c>
      <c r="AD42" s="10" t="n">
        <v>0.118</v>
      </c>
      <c r="AE42" s="7" t="n">
        <v>1.464</v>
      </c>
      <c r="AF42" s="8" t="n">
        <v>406</v>
      </c>
      <c r="AG42" s="10" t="n">
        <v>0.395</v>
      </c>
      <c r="AH42" s="8" t="n">
        <v>188</v>
      </c>
      <c r="AI42" s="8" t="n">
        <v>175</v>
      </c>
      <c r="AJ42" s="6" t="n">
        <f aca="false">IFERROR(AI42/R42,"")</f>
        <v>10.2941176470588</v>
      </c>
      <c r="AK42" s="10" t="n">
        <v>0.3616</v>
      </c>
      <c r="AL42" s="8" t="n">
        <v>805</v>
      </c>
      <c r="AM42" s="7" t="n">
        <f aca="false">IFERROR(AL42/AI42,"")</f>
        <v>4.6</v>
      </c>
      <c r="AN42" s="7" t="n">
        <v>2.531</v>
      </c>
      <c r="AO42" s="7" t="n">
        <v>2.069</v>
      </c>
      <c r="AP42" s="8" t="n">
        <v>13</v>
      </c>
      <c r="AQ42" s="7" t="n">
        <v>0.788951155897321</v>
      </c>
      <c r="AR42" s="6" t="n">
        <v>28</v>
      </c>
      <c r="AS42" s="7" t="n">
        <v>3.47539130434783</v>
      </c>
      <c r="AT42" s="8" t="n">
        <v>13</v>
      </c>
      <c r="AU42" s="6" t="n">
        <f aca="false">IFERROR(AT42/R42,"")</f>
        <v>0.764705882352941</v>
      </c>
      <c r="AV42" s="10" t="n">
        <v>0.0301</v>
      </c>
      <c r="AW42" s="8" t="n">
        <v>9</v>
      </c>
      <c r="AX42" s="10" t="n">
        <f aca="false">IFERROR(AW42/AT42,"")</f>
        <v>0.692307692307692</v>
      </c>
      <c r="AY42" s="8" t="n">
        <v>68</v>
      </c>
      <c r="AZ42" s="7" t="n">
        <f aca="false">IFERROR(AY42/AT42,"")</f>
        <v>5.23076923076923</v>
      </c>
      <c r="BA42" s="8" t="n">
        <v>32</v>
      </c>
      <c r="BB42" s="8" t="n">
        <v>20</v>
      </c>
      <c r="BC42" s="8" t="n">
        <v>12</v>
      </c>
      <c r="BD42" s="8" t="n">
        <v>8</v>
      </c>
      <c r="BE42" s="7" t="n">
        <v>7.52</v>
      </c>
      <c r="BF42" s="7" t="n">
        <f aca="false">IFERROR(BD42-BE42,"")</f>
        <v>0.48</v>
      </c>
      <c r="BG42" s="9" t="n">
        <f aca="false">IFERROR(BD42/AH42,"")</f>
        <v>0.0425531914893617</v>
      </c>
      <c r="BH42" s="6" t="n">
        <v>54.8</v>
      </c>
      <c r="BI42" s="6" t="n">
        <v>50.7</v>
      </c>
      <c r="BJ42" s="6" t="n">
        <v>56.8</v>
      </c>
      <c r="BK42" s="7" t="n">
        <v>2.998</v>
      </c>
      <c r="BL42" s="10" t="n">
        <v>0.1651</v>
      </c>
      <c r="BM42" s="10" t="n">
        <v>0.548387096774194</v>
      </c>
      <c r="BN42" s="7" t="n">
        <v>2.512</v>
      </c>
      <c r="BO42" s="10" t="n">
        <v>0.2217</v>
      </c>
      <c r="BP42" s="10" t="n">
        <v>0.0606</v>
      </c>
      <c r="BQ42" s="7" t="n">
        <v>2.36</v>
      </c>
      <c r="BR42" s="10" t="n">
        <v>0.706</v>
      </c>
      <c r="BS42" s="8" t="n">
        <v>4</v>
      </c>
      <c r="BT42" s="10" t="n">
        <v>-0.0427</v>
      </c>
      <c r="BU42" s="10" t="n">
        <v>0.4747</v>
      </c>
      <c r="BV42" s="6" t="n">
        <v>57.59</v>
      </c>
      <c r="BW42" s="6" t="n">
        <v>38</v>
      </c>
      <c r="BX42" s="7" t="n">
        <v>2.94</v>
      </c>
      <c r="BY42" s="6" t="n">
        <v>20.9</v>
      </c>
      <c r="BZ42" s="9" t="n">
        <v>0.0192</v>
      </c>
      <c r="CA42" s="9" t="n">
        <v>-0.0055</v>
      </c>
      <c r="CB42" s="8" t="n">
        <v>138</v>
      </c>
      <c r="CC42" s="10" t="n">
        <v>0.319</v>
      </c>
      <c r="CD42" s="8" t="n">
        <v>142</v>
      </c>
      <c r="CE42" s="10" t="n">
        <v>0.293</v>
      </c>
      <c r="CF42" s="8" t="n">
        <v>56</v>
      </c>
      <c r="CG42" s="7" t="n">
        <v>0.049</v>
      </c>
      <c r="CH42" s="7" t="n">
        <v>-0.433</v>
      </c>
      <c r="CI42" s="4" t="s">
        <v>102</v>
      </c>
      <c r="CJ42" s="4"/>
    </row>
    <row r="43" customFormat="false" ht="15" hidden="false" customHeight="false" outlineLevel="0" collapsed="false">
      <c r="A43" s="3" t="n">
        <v>41</v>
      </c>
      <c r="B43" s="4" t="s">
        <v>389</v>
      </c>
      <c r="C43" s="11" t="s">
        <v>104</v>
      </c>
      <c r="D43" s="4" t="s">
        <v>390</v>
      </c>
      <c r="E43" s="4" t="s">
        <v>127</v>
      </c>
      <c r="F43" s="4" t="s">
        <v>104</v>
      </c>
      <c r="G43" s="3" t="n">
        <v>2</v>
      </c>
      <c r="H43" s="6" t="n">
        <v>27.2</v>
      </c>
      <c r="I43" s="3" t="n">
        <v>5</v>
      </c>
      <c r="J43" s="3" t="n">
        <v>6</v>
      </c>
      <c r="K43" s="7" t="n">
        <v>122.48</v>
      </c>
      <c r="L43" s="7" t="n">
        <v>13.87</v>
      </c>
      <c r="M43" s="8" t="n">
        <v>84</v>
      </c>
      <c r="N43" s="8" t="n">
        <v>146</v>
      </c>
      <c r="O43" s="7" t="n">
        <v>122.48</v>
      </c>
      <c r="P43" s="6" t="n">
        <v>65.7</v>
      </c>
      <c r="Q43" s="4" t="s">
        <v>127</v>
      </c>
      <c r="R43" s="8" t="n">
        <v>16</v>
      </c>
      <c r="S43" s="6" t="n">
        <v>128.9</v>
      </c>
      <c r="T43" s="7" t="n">
        <f aca="false">IFERROR(S43/R43,"")</f>
        <v>8.05625</v>
      </c>
      <c r="U43" s="6" t="n">
        <v>121.9</v>
      </c>
      <c r="V43" s="6" t="n">
        <v>114.9</v>
      </c>
      <c r="W43" s="8" t="n">
        <v>35</v>
      </c>
      <c r="X43" s="7" t="n">
        <f aca="false">IFERROR(S43/AH43,"")</f>
        <v>0.736571428571429</v>
      </c>
      <c r="Y43" s="9" t="n">
        <f aca="false">IFERROR(S43/AF43,"")</f>
        <v>0.312106537530266</v>
      </c>
      <c r="Z43" s="6" t="n">
        <v>4.18</v>
      </c>
      <c r="AA43" s="6" t="n">
        <v>7.15</v>
      </c>
      <c r="AB43" s="6" t="n">
        <v>11.58</v>
      </c>
      <c r="AC43" s="10" t="n">
        <v>0.062</v>
      </c>
      <c r="AD43" s="10" t="n">
        <v>0.125</v>
      </c>
      <c r="AE43" s="7" t="n">
        <v>0.769</v>
      </c>
      <c r="AF43" s="8" t="n">
        <v>413</v>
      </c>
      <c r="AG43" s="10" t="n">
        <v>0.428</v>
      </c>
      <c r="AH43" s="8" t="n">
        <v>175</v>
      </c>
      <c r="AI43" s="8" t="n">
        <v>159</v>
      </c>
      <c r="AJ43" s="6" t="n">
        <f aca="false">IFERROR(AI43/R43,"")</f>
        <v>9.9375</v>
      </c>
      <c r="AK43" s="10" t="n">
        <v>0.4162</v>
      </c>
      <c r="AL43" s="8" t="n">
        <v>758</v>
      </c>
      <c r="AM43" s="7" t="n">
        <f aca="false">IFERROR(AL43/AI43,"")</f>
        <v>4.76729559748428</v>
      </c>
      <c r="AN43" s="7" t="n">
        <v>2.346</v>
      </c>
      <c r="AO43" s="7" t="n">
        <v>2.421</v>
      </c>
      <c r="AP43" s="8" t="n">
        <v>13</v>
      </c>
      <c r="AQ43" s="7" t="n">
        <v>1.02109663916987</v>
      </c>
      <c r="AR43" s="6" t="n">
        <v>24.5283018867925</v>
      </c>
      <c r="AS43" s="7" t="n">
        <v>3.70106860158312</v>
      </c>
      <c r="AT43" s="8" t="n">
        <v>16</v>
      </c>
      <c r="AU43" s="6" t="n">
        <f aca="false">IFERROR(AT43/R43,"")</f>
        <v>1</v>
      </c>
      <c r="AV43" s="10" t="n">
        <v>0.0352</v>
      </c>
      <c r="AW43" s="8" t="n">
        <v>14</v>
      </c>
      <c r="AX43" s="10" t="n">
        <f aca="false">IFERROR(AW43/AT43,"")</f>
        <v>0.875</v>
      </c>
      <c r="AY43" s="8" t="n">
        <v>51</v>
      </c>
      <c r="AZ43" s="7" t="n">
        <f aca="false">IFERROR(AY43/AT43,"")</f>
        <v>3.1875</v>
      </c>
      <c r="BA43" s="8" t="n">
        <v>30</v>
      </c>
      <c r="BB43" s="8" t="n">
        <v>9</v>
      </c>
      <c r="BC43" s="8" t="n">
        <v>7</v>
      </c>
      <c r="BD43" s="8" t="n">
        <v>6</v>
      </c>
      <c r="BE43" s="7" t="n">
        <v>4.87</v>
      </c>
      <c r="BF43" s="7" t="n">
        <f aca="false">IFERROR(BD43-BE43,"")</f>
        <v>1.13</v>
      </c>
      <c r="BG43" s="9" t="n">
        <f aca="false">IFERROR(BD43/AH43,"")</f>
        <v>0.0342857142857143</v>
      </c>
      <c r="BH43" s="6" t="n">
        <v>36</v>
      </c>
      <c r="BI43" s="6" t="n">
        <v>51.8</v>
      </c>
      <c r="BJ43" s="6" t="n">
        <v>26.2</v>
      </c>
      <c r="BK43" s="7" t="n">
        <v>2.961</v>
      </c>
      <c r="BL43" s="10" t="n">
        <v>0.1751</v>
      </c>
      <c r="BM43" s="10" t="n">
        <v>0.7</v>
      </c>
      <c r="BN43" s="7" t="n">
        <v>2.441</v>
      </c>
      <c r="BO43" s="10" t="n">
        <v>0.3037</v>
      </c>
      <c r="BP43" s="10" t="n">
        <v>0.1028</v>
      </c>
      <c r="BQ43" s="7" t="n">
        <v>2.429</v>
      </c>
      <c r="BR43" s="10" t="n">
        <v>0.819</v>
      </c>
      <c r="BS43" s="8" t="n">
        <v>5</v>
      </c>
      <c r="BT43" s="10" t="n">
        <v>-0.012</v>
      </c>
      <c r="BU43" s="10" t="n">
        <v>0.5369</v>
      </c>
      <c r="BV43" s="6" t="n">
        <v>55.47</v>
      </c>
      <c r="BW43" s="6" t="n">
        <v>39</v>
      </c>
      <c r="BX43" s="7" t="n">
        <v>3.12</v>
      </c>
      <c r="BY43" s="6" t="n">
        <v>20.2</v>
      </c>
      <c r="BZ43" s="9" t="n">
        <v>-0.0149</v>
      </c>
      <c r="CA43" s="9" t="n">
        <v>-0.1883</v>
      </c>
      <c r="CB43" s="8" t="n">
        <v>82</v>
      </c>
      <c r="CC43" s="10" t="n">
        <v>0.175</v>
      </c>
      <c r="CD43" s="8" t="n">
        <v>24</v>
      </c>
      <c r="CE43" s="10" t="n">
        <v>0.059</v>
      </c>
      <c r="CF43" s="8" t="n">
        <v>17</v>
      </c>
      <c r="CG43" s="7" t="n">
        <v>-0.047</v>
      </c>
      <c r="CH43" s="7" t="n">
        <v>-0.441</v>
      </c>
      <c r="CI43" s="4" t="s">
        <v>102</v>
      </c>
      <c r="CJ43" s="4"/>
    </row>
    <row r="44" customFormat="false" ht="15" hidden="false" customHeight="false" outlineLevel="0" collapsed="false">
      <c r="A44" s="3" t="n">
        <v>42</v>
      </c>
      <c r="B44" s="4" t="s">
        <v>407</v>
      </c>
      <c r="C44" s="11" t="s">
        <v>104</v>
      </c>
      <c r="D44" s="4" t="s">
        <v>408</v>
      </c>
      <c r="E44" s="4" t="s">
        <v>178</v>
      </c>
      <c r="F44" s="4" t="s">
        <v>104</v>
      </c>
      <c r="G44" s="3" t="n">
        <v>2</v>
      </c>
      <c r="H44" s="6" t="n">
        <v>26.7</v>
      </c>
      <c r="I44" s="3" t="n">
        <v>3</v>
      </c>
      <c r="J44" s="3" t="n">
        <v>8</v>
      </c>
      <c r="K44" s="7" t="n">
        <v>132.07</v>
      </c>
      <c r="L44" s="7" t="n">
        <v>10.77</v>
      </c>
      <c r="M44" s="8" t="n">
        <v>113</v>
      </c>
      <c r="N44" s="8" t="n">
        <v>177</v>
      </c>
      <c r="O44" s="7" t="n">
        <v>132.07</v>
      </c>
      <c r="P44" s="6" t="n">
        <v>38</v>
      </c>
      <c r="Q44" s="4" t="s">
        <v>178</v>
      </c>
      <c r="R44" s="8" t="n">
        <v>15</v>
      </c>
      <c r="S44" s="6" t="n">
        <v>160.8</v>
      </c>
      <c r="T44" s="7" t="n">
        <f aca="false">IFERROR(S44/R44,"")</f>
        <v>10.72</v>
      </c>
      <c r="U44" s="6" t="n">
        <v>142.8</v>
      </c>
      <c r="V44" s="6" t="n">
        <v>124.8</v>
      </c>
      <c r="W44" s="8" t="n">
        <v>28</v>
      </c>
      <c r="X44" s="7" t="n">
        <f aca="false">IFERROR(S44/AH44,"")</f>
        <v>0.717857142857143</v>
      </c>
      <c r="Y44" s="9" t="n">
        <f aca="false">IFERROR(S44/AF44,"")</f>
        <v>0.293430656934307</v>
      </c>
      <c r="Z44" s="6" t="n">
        <v>6.15</v>
      </c>
      <c r="AA44" s="6" t="n">
        <v>8.1</v>
      </c>
      <c r="AB44" s="6" t="n">
        <v>17.71</v>
      </c>
      <c r="AC44" s="10" t="n">
        <v>0.2</v>
      </c>
      <c r="AD44" s="10" t="n">
        <v>0.067</v>
      </c>
      <c r="AE44" s="7" t="n">
        <v>0.946</v>
      </c>
      <c r="AF44" s="8" t="n">
        <v>548</v>
      </c>
      <c r="AG44" s="10" t="n">
        <v>0.545</v>
      </c>
      <c r="AH44" s="8" t="n">
        <v>224</v>
      </c>
      <c r="AI44" s="8" t="n">
        <v>176</v>
      </c>
      <c r="AJ44" s="6" t="n">
        <f aca="false">IFERROR(AI44/R44,"")</f>
        <v>11.7333333333333</v>
      </c>
      <c r="AK44" s="10" t="n">
        <v>0.4</v>
      </c>
      <c r="AL44" s="8" t="n">
        <v>740</v>
      </c>
      <c r="AM44" s="7" t="n">
        <f aca="false">IFERROR(AL44/AI44,"")</f>
        <v>4.20454545454545</v>
      </c>
      <c r="AN44" s="7" t="n">
        <v>2.494</v>
      </c>
      <c r="AO44" s="7" t="n">
        <v>1.71</v>
      </c>
      <c r="AP44" s="8" t="n">
        <v>5</v>
      </c>
      <c r="AQ44" s="7" t="n">
        <v>0.0883866573705913</v>
      </c>
      <c r="AR44" s="6" t="n">
        <v>17.0454545454545</v>
      </c>
      <c r="AS44" s="7" t="n">
        <v>3.9590945945946</v>
      </c>
      <c r="AT44" s="8" t="n">
        <v>48</v>
      </c>
      <c r="AU44" s="6" t="n">
        <f aca="false">IFERROR(AT44/R44,"")</f>
        <v>3.2</v>
      </c>
      <c r="AV44" s="10" t="n">
        <v>0.1081</v>
      </c>
      <c r="AW44" s="8" t="n">
        <v>36</v>
      </c>
      <c r="AX44" s="10" t="n">
        <f aca="false">IFERROR(AW44/AT44,"")</f>
        <v>0.75</v>
      </c>
      <c r="AY44" s="8" t="n">
        <v>288</v>
      </c>
      <c r="AZ44" s="7" t="n">
        <f aca="false">IFERROR(AY44/AT44,"")</f>
        <v>6</v>
      </c>
      <c r="BA44" s="8" t="n">
        <v>26</v>
      </c>
      <c r="BB44" s="8" t="n">
        <v>7</v>
      </c>
      <c r="BC44" s="8" t="n">
        <v>2</v>
      </c>
      <c r="BD44" s="8" t="n">
        <v>4</v>
      </c>
      <c r="BE44" s="7" t="n">
        <v>4.49</v>
      </c>
      <c r="BF44" s="7" t="n">
        <f aca="false">IFERROR(BD44-BE44,"")</f>
        <v>-0.49</v>
      </c>
      <c r="BG44" s="9" t="n">
        <f aca="false">IFERROR(BD44/AH44,"")</f>
        <v>0.0178571428571429</v>
      </c>
      <c r="BH44" s="6" t="n">
        <v>45.9</v>
      </c>
      <c r="BI44" s="6" t="n">
        <v>56.8</v>
      </c>
      <c r="BJ44" s="6" t="n">
        <v>36.8</v>
      </c>
      <c r="BK44" s="7" t="n">
        <v>2.974</v>
      </c>
      <c r="BL44" s="10" t="n">
        <v>0.1475</v>
      </c>
      <c r="BM44" s="10" t="n">
        <v>0.625</v>
      </c>
      <c r="BN44" s="7" t="n">
        <v>2.714</v>
      </c>
      <c r="BO44" s="10" t="n">
        <v>0.2947</v>
      </c>
      <c r="BP44" s="10" t="n">
        <v>0.076</v>
      </c>
      <c r="BQ44" s="7" t="n">
        <v>2.388</v>
      </c>
      <c r="BR44" s="10" t="n">
        <v>0.723</v>
      </c>
      <c r="BS44" s="8" t="n">
        <v>4</v>
      </c>
      <c r="BT44" s="10" t="n">
        <v>-0.0466</v>
      </c>
      <c r="BU44" s="10" t="n">
        <v>0.494</v>
      </c>
      <c r="BV44" s="6" t="n">
        <v>63.47</v>
      </c>
      <c r="BW44" s="6" t="n">
        <v>36</v>
      </c>
      <c r="BX44" s="7" t="n">
        <v>3.59</v>
      </c>
      <c r="BY44" s="6" t="n">
        <v>22.4</v>
      </c>
      <c r="BZ44" s="9" t="n">
        <v>0.0356</v>
      </c>
      <c r="CA44" s="9" t="n">
        <v>-0.008</v>
      </c>
      <c r="CB44" s="8" t="n">
        <v>177</v>
      </c>
      <c r="CC44" s="10" t="n">
        <v>0.352</v>
      </c>
      <c r="CD44" s="8" t="n">
        <v>3</v>
      </c>
      <c r="CE44" s="10" t="n">
        <v>0.006</v>
      </c>
      <c r="CF44" s="8" t="n">
        <v>21</v>
      </c>
      <c r="CG44" s="7" t="n">
        <v>0.296</v>
      </c>
      <c r="CH44" s="7" t="n">
        <v>0.12</v>
      </c>
      <c r="CI44" s="4" t="s">
        <v>102</v>
      </c>
      <c r="CJ44" s="4"/>
    </row>
    <row r="45" customFormat="false" ht="15" hidden="false" customHeight="false" outlineLevel="0" collapsed="false">
      <c r="A45" s="3" t="n">
        <v>43</v>
      </c>
      <c r="B45" s="4" t="s">
        <v>409</v>
      </c>
      <c r="C45" s="11" t="s">
        <v>104</v>
      </c>
      <c r="D45" s="4" t="s">
        <v>410</v>
      </c>
      <c r="E45" s="4" t="s">
        <v>151</v>
      </c>
      <c r="F45" s="4" t="s">
        <v>104</v>
      </c>
      <c r="G45" s="3" t="n">
        <v>2</v>
      </c>
      <c r="H45" s="6" t="n">
        <v>26.3</v>
      </c>
      <c r="I45" s="3" t="n">
        <v>5</v>
      </c>
      <c r="J45" s="3" t="n">
        <v>14</v>
      </c>
      <c r="K45" s="7" t="n">
        <v>139.38</v>
      </c>
      <c r="L45" s="7" t="n">
        <v>11.82</v>
      </c>
      <c r="M45" s="8" t="n">
        <v>103</v>
      </c>
      <c r="N45" s="8" t="n">
        <v>164</v>
      </c>
      <c r="O45" s="7" t="n">
        <v>139.38</v>
      </c>
      <c r="P45" s="6" t="n">
        <v>38.8</v>
      </c>
      <c r="Q45" s="4" t="s">
        <v>112</v>
      </c>
      <c r="R45" s="8" t="n">
        <v>17</v>
      </c>
      <c r="S45" s="6" t="n">
        <v>123</v>
      </c>
      <c r="T45" s="7" t="n">
        <f aca="false">IFERROR(S45/R45,"")</f>
        <v>7.23529411764706</v>
      </c>
      <c r="U45" s="6" t="n">
        <v>116</v>
      </c>
      <c r="V45" s="6" t="n">
        <v>109</v>
      </c>
      <c r="W45" s="8" t="n">
        <v>38</v>
      </c>
      <c r="X45" s="7" t="n">
        <f aca="false">IFERROR(S45/AH45,"")</f>
        <v>0.773584905660377</v>
      </c>
      <c r="Y45" s="9" t="n">
        <f aca="false">IFERROR(S45/AF45,"")</f>
        <v>0.375</v>
      </c>
      <c r="Z45" s="6" t="n">
        <v>2.3</v>
      </c>
      <c r="AA45" s="6" t="n">
        <v>8.3</v>
      </c>
      <c r="AB45" s="6" t="n">
        <v>12.54</v>
      </c>
      <c r="AC45" s="10" t="n">
        <v>0.059</v>
      </c>
      <c r="AD45" s="10" t="n">
        <v>0.235</v>
      </c>
      <c r="AE45" s="7" t="n">
        <v>0.645</v>
      </c>
      <c r="AF45" s="8" t="n">
        <v>328</v>
      </c>
      <c r="AG45" s="10" t="n">
        <v>0.302</v>
      </c>
      <c r="AH45" s="8" t="n">
        <v>159</v>
      </c>
      <c r="AI45" s="8" t="n">
        <v>143</v>
      </c>
      <c r="AJ45" s="6" t="n">
        <f aca="false">IFERROR(AI45/R45,"")</f>
        <v>8.41176470588235</v>
      </c>
      <c r="AK45" s="10" t="n">
        <v>0.2998</v>
      </c>
      <c r="AL45" s="8" t="n">
        <v>514</v>
      </c>
      <c r="AM45" s="7" t="n">
        <f aca="false">IFERROR(AL45/AI45,"")</f>
        <v>3.59440559440559</v>
      </c>
      <c r="AN45" s="7" t="n">
        <v>1.986</v>
      </c>
      <c r="AO45" s="7" t="n">
        <v>1.608</v>
      </c>
      <c r="AP45" s="8" t="n">
        <v>9</v>
      </c>
      <c r="AQ45" s="7" t="n">
        <v>-0.177434600903399</v>
      </c>
      <c r="AR45" s="6" t="n">
        <v>24.4755244755245</v>
      </c>
      <c r="AS45" s="7" t="n">
        <v>4.71330739299611</v>
      </c>
      <c r="AT45" s="8" t="n">
        <v>16</v>
      </c>
      <c r="AU45" s="6" t="n">
        <f aca="false">IFERROR(AT45/R45,"")</f>
        <v>0.941176470588235</v>
      </c>
      <c r="AV45" s="10" t="n">
        <v>0.0308</v>
      </c>
      <c r="AW45" s="8" t="n">
        <v>14</v>
      </c>
      <c r="AX45" s="10" t="n">
        <f aca="false">IFERROR(AW45/AT45,"")</f>
        <v>0.875</v>
      </c>
      <c r="AY45" s="8" t="n">
        <v>96</v>
      </c>
      <c r="AZ45" s="7" t="n">
        <f aca="false">IFERROR(AY45/AT45,"")</f>
        <v>6</v>
      </c>
      <c r="BA45" s="8" t="n">
        <v>33</v>
      </c>
      <c r="BB45" s="8" t="n">
        <v>19</v>
      </c>
      <c r="BC45" s="8" t="n">
        <v>10</v>
      </c>
      <c r="BD45" s="8" t="n">
        <v>8</v>
      </c>
      <c r="BE45" s="7" t="n">
        <v>6.98</v>
      </c>
      <c r="BF45" s="7" t="n">
        <f aca="false">IFERROR(BD45-BE45,"")</f>
        <v>1.02</v>
      </c>
      <c r="BG45" s="9" t="n">
        <f aca="false">IFERROR(BD45/AH45,"")</f>
        <v>0.050314465408805</v>
      </c>
      <c r="BH45" s="6" t="n">
        <v>36.9</v>
      </c>
      <c r="BI45" s="6" t="n">
        <v>43.8</v>
      </c>
      <c r="BJ45" s="6" t="n">
        <v>35.6</v>
      </c>
      <c r="BK45" s="7" t="n">
        <v>2.771</v>
      </c>
      <c r="BL45" s="10" t="n">
        <v>0.2005</v>
      </c>
      <c r="BM45" s="10" t="n">
        <v>0.65625</v>
      </c>
      <c r="BN45" s="7" t="n">
        <v>2.593</v>
      </c>
      <c r="BO45" s="10" t="n">
        <v>0.282</v>
      </c>
      <c r="BP45" s="10" t="n">
        <v>0.0839</v>
      </c>
      <c r="BQ45" s="7" t="n">
        <v>2.373</v>
      </c>
      <c r="BR45" s="10" t="n">
        <v>0.686</v>
      </c>
      <c r="BS45" s="8" t="n">
        <v>3</v>
      </c>
      <c r="BT45" s="10" t="n">
        <v>0.0399</v>
      </c>
      <c r="BU45" s="10" t="n">
        <v>0.6204</v>
      </c>
      <c r="BV45" s="6" t="n">
        <v>63.18</v>
      </c>
      <c r="BW45" s="6" t="n">
        <v>39</v>
      </c>
      <c r="BX45" s="7" t="n">
        <v>3.59</v>
      </c>
      <c r="BY45" s="6" t="n">
        <v>20.9</v>
      </c>
      <c r="BZ45" s="9" t="n">
        <v>-0.0591</v>
      </c>
      <c r="CA45" s="9" t="n">
        <v>0.0023</v>
      </c>
      <c r="CB45" s="8" t="n">
        <v>106</v>
      </c>
      <c r="CC45" s="10" t="n">
        <v>0.172</v>
      </c>
      <c r="CD45" s="8" t="n">
        <v>173</v>
      </c>
      <c r="CE45" s="10" t="n">
        <v>0.473</v>
      </c>
      <c r="CF45" s="8" t="n">
        <v>41</v>
      </c>
      <c r="CG45" s="7" t="n">
        <v>-0.107</v>
      </c>
      <c r="CH45" s="7" t="n">
        <v>-0.458</v>
      </c>
      <c r="CI45" s="4" t="s">
        <v>102</v>
      </c>
      <c r="CJ45" s="4"/>
    </row>
    <row r="46" customFormat="false" ht="15" hidden="false" customHeight="false" outlineLevel="0" collapsed="false">
      <c r="A46" s="3" t="n">
        <v>44</v>
      </c>
      <c r="B46" s="4" t="s">
        <v>411</v>
      </c>
      <c r="C46" s="11" t="s">
        <v>104</v>
      </c>
      <c r="D46" s="4" t="s">
        <v>412</v>
      </c>
      <c r="E46" s="4" t="s">
        <v>139</v>
      </c>
      <c r="F46" s="4" t="s">
        <v>104</v>
      </c>
      <c r="G46" s="3" t="n">
        <v>2</v>
      </c>
      <c r="H46" s="6" t="n">
        <v>25.6</v>
      </c>
      <c r="I46" s="3" t="n">
        <v>2</v>
      </c>
      <c r="J46" s="3" t="n">
        <v>8</v>
      </c>
      <c r="K46" s="7" t="n">
        <v>140.38</v>
      </c>
      <c r="L46" s="7" t="n">
        <v>12.45</v>
      </c>
      <c r="M46" s="8" t="n">
        <v>99</v>
      </c>
      <c r="N46" s="8" t="n">
        <v>175</v>
      </c>
      <c r="O46" s="7" t="n">
        <v>140.38</v>
      </c>
      <c r="P46" s="6" t="n">
        <v>49.5</v>
      </c>
      <c r="Q46" s="4" t="s">
        <v>139</v>
      </c>
      <c r="R46" s="8" t="n">
        <v>16</v>
      </c>
      <c r="S46" s="6" t="n">
        <v>145.1</v>
      </c>
      <c r="T46" s="7" t="n">
        <f aca="false">IFERROR(S46/R46,"")</f>
        <v>9.06875</v>
      </c>
      <c r="U46" s="6" t="n">
        <v>133.1</v>
      </c>
      <c r="V46" s="6" t="n">
        <v>121.1</v>
      </c>
      <c r="W46" s="8" t="n">
        <v>30</v>
      </c>
      <c r="X46" s="7" t="n">
        <f aca="false">IFERROR(S46/AH46,"")</f>
        <v>0.625431034482759</v>
      </c>
      <c r="Y46" s="9" t="n">
        <f aca="false">IFERROR(S46/AF46,"")</f>
        <v>0.254115586690018</v>
      </c>
      <c r="Z46" s="6" t="n">
        <v>4.75</v>
      </c>
      <c r="AA46" s="6" t="n">
        <v>7.25</v>
      </c>
      <c r="AB46" s="6" t="n">
        <v>15.48</v>
      </c>
      <c r="AC46" s="10" t="n">
        <v>0.125</v>
      </c>
      <c r="AD46" s="10" t="n">
        <v>0.062</v>
      </c>
      <c r="AE46" s="7" t="n">
        <v>0.956</v>
      </c>
      <c r="AF46" s="8" t="n">
        <v>571</v>
      </c>
      <c r="AG46" s="10" t="n">
        <v>0.515</v>
      </c>
      <c r="AH46" s="8" t="n">
        <v>232</v>
      </c>
      <c r="AI46" s="8" t="n">
        <v>196</v>
      </c>
      <c r="AJ46" s="6" t="n">
        <f aca="false">IFERROR(AI46/R46,"")</f>
        <v>12.25</v>
      </c>
      <c r="AK46" s="10" t="n">
        <v>0.4365</v>
      </c>
      <c r="AL46" s="8" t="n">
        <v>703</v>
      </c>
      <c r="AM46" s="7" t="n">
        <f aca="false">IFERROR(AL46/AI46,"")</f>
        <v>3.58673469387755</v>
      </c>
      <c r="AN46" s="7" t="n">
        <v>1.816</v>
      </c>
      <c r="AO46" s="7" t="n">
        <v>1.77</v>
      </c>
      <c r="AP46" s="8" t="n">
        <v>6</v>
      </c>
      <c r="AQ46" s="7" t="n">
        <v>0.162302199972177</v>
      </c>
      <c r="AR46" s="6" t="n">
        <v>27.5510204081633</v>
      </c>
      <c r="AS46" s="7" t="n">
        <v>4.1198719772404</v>
      </c>
      <c r="AT46" s="8" t="n">
        <v>36</v>
      </c>
      <c r="AU46" s="6" t="n">
        <f aca="false">IFERROR(AT46/R46,"")</f>
        <v>2.25</v>
      </c>
      <c r="AV46" s="10" t="n">
        <v>0.0694</v>
      </c>
      <c r="AW46" s="8" t="n">
        <v>24</v>
      </c>
      <c r="AX46" s="10" t="n">
        <f aca="false">IFERROR(AW46/AT46,"")</f>
        <v>0.666666666666667</v>
      </c>
      <c r="AY46" s="8" t="n">
        <v>208</v>
      </c>
      <c r="AZ46" s="7" t="n">
        <f aca="false">IFERROR(AY46/AT46,"")</f>
        <v>5.77777777777778</v>
      </c>
      <c r="BA46" s="8" t="n">
        <v>41</v>
      </c>
      <c r="BB46" s="8" t="n">
        <v>18</v>
      </c>
      <c r="BC46" s="8" t="n">
        <v>11</v>
      </c>
      <c r="BD46" s="8" t="n">
        <v>5</v>
      </c>
      <c r="BE46" s="7" t="n">
        <v>8.39</v>
      </c>
      <c r="BF46" s="7" t="n">
        <f aca="false">IFERROR(BD46-BE46,"")</f>
        <v>-3.39</v>
      </c>
      <c r="BG46" s="9" t="n">
        <f aca="false">IFERROR(BD46/AH46,"")</f>
        <v>0.021551724137931</v>
      </c>
      <c r="BH46" s="6" t="n">
        <v>45.8</v>
      </c>
      <c r="BI46" s="6" t="n">
        <v>34.1</v>
      </c>
      <c r="BJ46" s="6" t="n">
        <v>59.3</v>
      </c>
      <c r="BK46" s="7" t="n">
        <v>2.812</v>
      </c>
      <c r="BL46" s="10" t="n">
        <v>0.1937</v>
      </c>
      <c r="BM46" s="10" t="n">
        <v>0.485714285714286</v>
      </c>
      <c r="BN46" s="7" t="n">
        <v>2.099</v>
      </c>
      <c r="BO46" s="10" t="n">
        <v>0.2216</v>
      </c>
      <c r="BP46" s="10" t="n">
        <v>0.0526</v>
      </c>
      <c r="BQ46" s="7" t="n">
        <v>2.345</v>
      </c>
      <c r="BR46" s="10" t="n">
        <v>0.713</v>
      </c>
      <c r="BS46" s="8" t="n">
        <v>2</v>
      </c>
      <c r="BT46" s="10" t="n">
        <v>-0.0098</v>
      </c>
      <c r="BU46" s="10" t="n">
        <v>0.5638</v>
      </c>
      <c r="BV46" s="6" t="n">
        <v>63.41</v>
      </c>
      <c r="BW46" s="6" t="n">
        <v>38</v>
      </c>
      <c r="BX46" s="7" t="n">
        <v>3.41</v>
      </c>
      <c r="BY46" s="6" t="n">
        <v>23.8</v>
      </c>
      <c r="BZ46" s="9" t="n">
        <v>-0.0779</v>
      </c>
      <c r="CA46" s="9" t="n">
        <v>0.036</v>
      </c>
      <c r="CB46" s="8" t="n">
        <v>82</v>
      </c>
      <c r="CC46" s="10" t="n">
        <v>0.148</v>
      </c>
      <c r="CD46" s="8" t="n">
        <v>21</v>
      </c>
      <c r="CE46" s="10" t="n">
        <v>0.044</v>
      </c>
      <c r="CF46" s="8" t="n">
        <v>18</v>
      </c>
      <c r="CG46" s="7" t="n">
        <v>0.279</v>
      </c>
      <c r="CH46" s="7" t="n">
        <v>0.015</v>
      </c>
      <c r="CI46" s="4" t="s">
        <v>102</v>
      </c>
      <c r="CJ46" s="4"/>
    </row>
    <row r="47" customFormat="false" ht="15" hidden="false" customHeight="false" outlineLevel="0" collapsed="false">
      <c r="A47" s="3" t="n">
        <v>45</v>
      </c>
      <c r="B47" s="4" t="s">
        <v>419</v>
      </c>
      <c r="C47" s="11" t="s">
        <v>104</v>
      </c>
      <c r="D47" s="4" t="s">
        <v>420</v>
      </c>
      <c r="E47" s="4" t="s">
        <v>235</v>
      </c>
      <c r="F47" s="4" t="s">
        <v>104</v>
      </c>
      <c r="G47" s="3" t="n">
        <v>2</v>
      </c>
      <c r="H47" s="6" t="n">
        <v>26.9</v>
      </c>
      <c r="I47" s="3" t="n">
        <v>4</v>
      </c>
      <c r="J47" s="3" t="n">
        <v>7</v>
      </c>
      <c r="K47" s="7" t="n">
        <v>143.1</v>
      </c>
      <c r="L47" s="7" t="n">
        <v>20.38</v>
      </c>
      <c r="M47" s="8" t="n">
        <v>118</v>
      </c>
      <c r="N47" s="8" t="n">
        <v>263</v>
      </c>
      <c r="O47" s="7" t="n">
        <v>143.1</v>
      </c>
      <c r="P47" s="6" t="n">
        <v>39</v>
      </c>
      <c r="Q47" s="4" t="s">
        <v>221</v>
      </c>
      <c r="R47" s="8" t="n">
        <v>12</v>
      </c>
      <c r="S47" s="6" t="n">
        <v>92</v>
      </c>
      <c r="T47" s="7" t="n">
        <f aca="false">IFERROR(S47/R47,"")</f>
        <v>7.66666666666667</v>
      </c>
      <c r="U47" s="6" t="n">
        <v>90.5</v>
      </c>
      <c r="V47" s="6" t="n">
        <v>89</v>
      </c>
      <c r="W47" s="8" t="n">
        <v>47</v>
      </c>
      <c r="X47" s="7" t="n">
        <f aca="false">IFERROR(S47/AH47,"")</f>
        <v>0.793103448275862</v>
      </c>
      <c r="Y47" s="9" t="n">
        <f aca="false">IFERROR(S47/AF47,"")</f>
        <v>0.36078431372549</v>
      </c>
      <c r="Z47" s="6" t="n">
        <v>4.88</v>
      </c>
      <c r="AA47" s="6" t="n">
        <v>7.4</v>
      </c>
      <c r="AB47" s="6" t="n">
        <v>12.99</v>
      </c>
      <c r="AC47" s="10" t="n">
        <v>0</v>
      </c>
      <c r="AD47" s="10" t="n">
        <v>0.167</v>
      </c>
      <c r="AE47" s="7" t="n">
        <v>0.654</v>
      </c>
      <c r="AF47" s="8" t="n">
        <v>255</v>
      </c>
      <c r="AG47" s="10" t="n">
        <v>0.312</v>
      </c>
      <c r="AH47" s="8" t="n">
        <v>116</v>
      </c>
      <c r="AI47" s="8" t="n">
        <v>112</v>
      </c>
      <c r="AJ47" s="6" t="n">
        <f aca="false">IFERROR(AI47/R47,"")</f>
        <v>9.33333333333333</v>
      </c>
      <c r="AK47" s="10" t="n">
        <v>0.3209</v>
      </c>
      <c r="AL47" s="8" t="n">
        <v>500</v>
      </c>
      <c r="AM47" s="7" t="n">
        <f aca="false">IFERROR(AL47/AI47,"")</f>
        <v>4.46428571428571</v>
      </c>
      <c r="AN47" s="7" t="n">
        <v>1.491</v>
      </c>
      <c r="AO47" s="7" t="n">
        <v>2.973</v>
      </c>
      <c r="AP47" s="8" t="n">
        <v>13</v>
      </c>
      <c r="AQ47" s="7" t="n">
        <v>0.69514541097149</v>
      </c>
      <c r="AR47" s="6" t="n">
        <v>31.25</v>
      </c>
      <c r="AS47" s="7" t="n">
        <v>3.33612</v>
      </c>
      <c r="AT47" s="8" t="n">
        <v>4</v>
      </c>
      <c r="AU47" s="6" t="n">
        <f aca="false">IFERROR(AT47/R47,"")</f>
        <v>0.333333333333333</v>
      </c>
      <c r="AV47" s="10" t="n">
        <v>0.0132</v>
      </c>
      <c r="AW47" s="8" t="n">
        <v>3</v>
      </c>
      <c r="AX47" s="10"/>
      <c r="AY47" s="8" t="n">
        <v>30</v>
      </c>
      <c r="AZ47" s="7"/>
      <c r="BA47" s="8" t="n">
        <v>34</v>
      </c>
      <c r="BB47" s="8" t="n">
        <v>22</v>
      </c>
      <c r="BC47" s="8" t="n">
        <v>14</v>
      </c>
      <c r="BD47" s="8" t="n">
        <v>6</v>
      </c>
      <c r="BE47" s="7" t="n">
        <v>7.52</v>
      </c>
      <c r="BF47" s="7" t="n">
        <f aca="false">IFERROR(BD47-BE47,"")</f>
        <v>-1.52</v>
      </c>
      <c r="BG47" s="9" t="n">
        <f aca="false">IFERROR(BD47/AH47,"")</f>
        <v>0.0517241379310345</v>
      </c>
      <c r="BH47" s="6" t="n">
        <v>44.3</v>
      </c>
      <c r="BI47" s="6" t="n">
        <v>40.2</v>
      </c>
      <c r="BJ47" s="6" t="n">
        <v>50.8</v>
      </c>
      <c r="BK47" s="7" t="n">
        <v>2.885</v>
      </c>
      <c r="BL47" s="10" t="n">
        <v>0.1784</v>
      </c>
      <c r="BM47" s="10" t="n">
        <v>0.5</v>
      </c>
      <c r="BN47" s="7" t="n">
        <v>2.219</v>
      </c>
      <c r="BO47" s="10" t="n">
        <v>0.2504</v>
      </c>
      <c r="BP47" s="10" t="n">
        <v>0.0647</v>
      </c>
      <c r="BQ47" s="7" t="n">
        <v>2.395</v>
      </c>
      <c r="BR47" s="10" t="n">
        <v>1</v>
      </c>
      <c r="BS47" s="8" t="n">
        <v>5</v>
      </c>
      <c r="BT47" s="10" t="n">
        <v>0.0164</v>
      </c>
      <c r="BU47" s="10" t="n">
        <v>0.5756</v>
      </c>
      <c r="BV47" s="6" t="n">
        <v>63.18</v>
      </c>
      <c r="BW47" s="6" t="n">
        <v>40</v>
      </c>
      <c r="BX47" s="7" t="n">
        <v>4.24</v>
      </c>
      <c r="BY47" s="6" t="n">
        <v>27.9</v>
      </c>
      <c r="BZ47" s="9" t="n">
        <v>-0.0041</v>
      </c>
      <c r="CA47" s="9" t="n">
        <v>0.0592</v>
      </c>
      <c r="CB47" s="8" t="n">
        <v>132</v>
      </c>
      <c r="CC47" s="10" t="n">
        <v>0.241</v>
      </c>
      <c r="CD47" s="8" t="n">
        <v>271</v>
      </c>
      <c r="CE47" s="10" t="n">
        <v>0.554</v>
      </c>
      <c r="CF47" s="8" t="n">
        <v>85</v>
      </c>
      <c r="CG47" s="7" t="n">
        <v>-0.431</v>
      </c>
      <c r="CH47" s="7" t="n">
        <v>-0.344</v>
      </c>
      <c r="CI47" s="4" t="s">
        <v>121</v>
      </c>
      <c r="CJ47" s="4"/>
    </row>
    <row r="48" customFormat="false" ht="15" hidden="false" customHeight="false" outlineLevel="0" collapsed="false">
      <c r="A48" s="3" t="n">
        <v>46</v>
      </c>
      <c r="B48" s="4" t="s">
        <v>421</v>
      </c>
      <c r="C48" s="11" t="s">
        <v>104</v>
      </c>
      <c r="D48" s="4" t="s">
        <v>422</v>
      </c>
      <c r="E48" s="4" t="s">
        <v>115</v>
      </c>
      <c r="F48" s="4" t="s">
        <v>104</v>
      </c>
      <c r="G48" s="3" t="n">
        <v>1</v>
      </c>
      <c r="H48" s="6" t="n">
        <v>25.6</v>
      </c>
      <c r="I48" s="3" t="n">
        <v>4</v>
      </c>
      <c r="J48" s="3" t="n">
        <v>11</v>
      </c>
      <c r="K48" s="7" t="n">
        <v>143.64</v>
      </c>
      <c r="L48" s="7" t="n">
        <v>19.97</v>
      </c>
      <c r="M48" s="8" t="n">
        <v>102</v>
      </c>
      <c r="N48" s="8" t="n">
        <v>245</v>
      </c>
      <c r="O48" s="7" t="n">
        <v>143.64</v>
      </c>
      <c r="P48" s="6" t="n">
        <v>62.5</v>
      </c>
      <c r="Q48" s="4" t="s">
        <v>115</v>
      </c>
      <c r="R48" s="8" t="n">
        <v>16</v>
      </c>
      <c r="S48" s="6" t="n">
        <v>181.4</v>
      </c>
      <c r="T48" s="7" t="n">
        <f aca="false">IFERROR(S48/R48,"")</f>
        <v>11.3375</v>
      </c>
      <c r="U48" s="6" t="n">
        <v>171.4</v>
      </c>
      <c r="V48" s="6" t="n">
        <v>161.4</v>
      </c>
      <c r="W48" s="8" t="n">
        <v>24</v>
      </c>
      <c r="X48" s="7" t="n">
        <f aca="false">IFERROR(S48/AH48,"")</f>
        <v>0.872115384615385</v>
      </c>
      <c r="Y48" s="9" t="n">
        <f aca="false">IFERROR(S48/AF48,"")</f>
        <v>0.370961145194274</v>
      </c>
      <c r="Z48" s="6" t="n">
        <v>6.43</v>
      </c>
      <c r="AA48" s="6" t="n">
        <v>10.95</v>
      </c>
      <c r="AB48" s="6" t="n">
        <v>18.38</v>
      </c>
      <c r="AC48" s="10" t="n">
        <v>0.188</v>
      </c>
      <c r="AD48" s="10" t="n">
        <v>0.062</v>
      </c>
      <c r="AE48" s="7" t="n">
        <v>0.612</v>
      </c>
      <c r="AF48" s="8" t="n">
        <v>489</v>
      </c>
      <c r="AG48" s="10" t="n">
        <v>0.484</v>
      </c>
      <c r="AH48" s="8" t="n">
        <v>208</v>
      </c>
      <c r="AI48" s="8" t="n">
        <v>184</v>
      </c>
      <c r="AJ48" s="6" t="n">
        <f aca="false">IFERROR(AI48/R48,"")</f>
        <v>11.5</v>
      </c>
      <c r="AK48" s="10" t="n">
        <v>0.3882</v>
      </c>
      <c r="AL48" s="8" t="n">
        <v>730</v>
      </c>
      <c r="AM48" s="7" t="n">
        <f aca="false">IFERROR(AL48/AI48,"")</f>
        <v>3.96739130434783</v>
      </c>
      <c r="AN48" s="7" t="n">
        <v>2.136</v>
      </c>
      <c r="AO48" s="7" t="n">
        <v>1.832</v>
      </c>
      <c r="AP48" s="8" t="n">
        <v>14</v>
      </c>
      <c r="AQ48" s="7" t="n">
        <v>0.329518560351908</v>
      </c>
      <c r="AR48" s="6" t="n">
        <v>35.3260869565217</v>
      </c>
      <c r="AS48" s="7" t="n">
        <v>4.30943835616439</v>
      </c>
      <c r="AT48" s="8" t="n">
        <v>24</v>
      </c>
      <c r="AU48" s="6" t="n">
        <f aca="false">IFERROR(AT48/R48,"")</f>
        <v>1.5</v>
      </c>
      <c r="AV48" s="10" t="n">
        <v>0.0552</v>
      </c>
      <c r="AW48" s="8" t="n">
        <v>20</v>
      </c>
      <c r="AX48" s="10" t="n">
        <f aca="false">IFERROR(AW48/AT48,"")</f>
        <v>0.833333333333333</v>
      </c>
      <c r="AY48" s="8" t="n">
        <v>144</v>
      </c>
      <c r="AZ48" s="7" t="n">
        <f aca="false">IFERROR(AY48/AT48,"")</f>
        <v>6</v>
      </c>
      <c r="BA48" s="8" t="n">
        <v>54</v>
      </c>
      <c r="BB48" s="8" t="n">
        <v>32</v>
      </c>
      <c r="BC48" s="8" t="n">
        <v>19</v>
      </c>
      <c r="BD48" s="8" t="n">
        <v>12</v>
      </c>
      <c r="BE48" s="7" t="n">
        <v>12.42</v>
      </c>
      <c r="BF48" s="7" t="n">
        <f aca="false">IFERROR(BD48-BE48,"")</f>
        <v>-0.42</v>
      </c>
      <c r="BG48" s="9" t="n">
        <f aca="false">IFERROR(BD48/AH48,"")</f>
        <v>0.0576923076923077</v>
      </c>
      <c r="BH48" s="6" t="n">
        <v>49.9</v>
      </c>
      <c r="BI48" s="6" t="n">
        <v>39.3</v>
      </c>
      <c r="BJ48" s="6" t="n">
        <v>60.5</v>
      </c>
      <c r="BK48" s="7" t="n">
        <v>2.758</v>
      </c>
      <c r="BL48" s="10" t="n">
        <v>0.2121</v>
      </c>
      <c r="BM48" s="10" t="n">
        <v>0.612903225806452</v>
      </c>
      <c r="BN48" s="7" t="n">
        <v>2.477</v>
      </c>
      <c r="BO48" s="10" t="n">
        <v>0.2266</v>
      </c>
      <c r="BP48" s="10" t="n">
        <v>0.0535</v>
      </c>
      <c r="BQ48" s="7" t="n">
        <v>2.4</v>
      </c>
      <c r="BR48" s="10" t="n">
        <v>0.942</v>
      </c>
      <c r="BS48" s="8" t="n">
        <v>5</v>
      </c>
      <c r="BT48" s="10" t="n">
        <v>-0.0677</v>
      </c>
      <c r="BU48" s="10" t="n">
        <v>0.5204</v>
      </c>
      <c r="BV48" s="6" t="n">
        <v>58.65</v>
      </c>
      <c r="BW48" s="6" t="n">
        <v>39</v>
      </c>
      <c r="BX48" s="7" t="n">
        <v>3.53</v>
      </c>
      <c r="BY48" s="6" t="n">
        <v>28.4</v>
      </c>
      <c r="BZ48" s="9" t="n">
        <v>-0.0491</v>
      </c>
      <c r="CA48" s="9" t="n">
        <v>0.1122</v>
      </c>
      <c r="CB48" s="8" t="n">
        <v>39</v>
      </c>
      <c r="CC48" s="10" t="n">
        <v>0.086</v>
      </c>
      <c r="CD48" s="8" t="n">
        <v>221</v>
      </c>
      <c r="CE48" s="10" t="n">
        <v>0.436</v>
      </c>
      <c r="CF48" s="8" t="n">
        <v>37</v>
      </c>
      <c r="CG48" s="7" t="n">
        <v>0.613</v>
      </c>
      <c r="CH48" s="7" t="n">
        <v>0.437</v>
      </c>
      <c r="CI48" s="4" t="s">
        <v>232</v>
      </c>
      <c r="CJ48" s="4"/>
    </row>
    <row r="49" customFormat="false" ht="15" hidden="false" customHeight="false" outlineLevel="0" collapsed="false">
      <c r="A49" s="3" t="n">
        <v>47</v>
      </c>
      <c r="B49" s="4" t="s">
        <v>425</v>
      </c>
      <c r="C49" s="11" t="s">
        <v>104</v>
      </c>
      <c r="D49" s="4" t="s">
        <v>426</v>
      </c>
      <c r="E49" s="4" t="s">
        <v>265</v>
      </c>
      <c r="F49" s="4" t="s">
        <v>104</v>
      </c>
      <c r="G49" s="3" t="n">
        <v>2</v>
      </c>
      <c r="H49" s="6" t="n">
        <v>25.2</v>
      </c>
      <c r="I49" s="3" t="n">
        <v>4</v>
      </c>
      <c r="J49" s="3" t="n">
        <v>9</v>
      </c>
      <c r="K49" s="7" t="n">
        <v>145.85</v>
      </c>
      <c r="L49" s="7" t="n">
        <v>17.52</v>
      </c>
      <c r="M49" s="8" t="n">
        <v>103</v>
      </c>
      <c r="N49" s="8" t="n">
        <v>228</v>
      </c>
      <c r="O49" s="7" t="n">
        <v>145.85</v>
      </c>
      <c r="P49" s="6" t="n">
        <v>36.9</v>
      </c>
      <c r="Q49" s="4" t="s">
        <v>265</v>
      </c>
      <c r="R49" s="8" t="n">
        <v>13</v>
      </c>
      <c r="S49" s="6" t="n">
        <v>111.7</v>
      </c>
      <c r="T49" s="7" t="n">
        <f aca="false">IFERROR(S49/R49,"")</f>
        <v>8.59230769230769</v>
      </c>
      <c r="U49" s="6" t="n">
        <v>89.2</v>
      </c>
      <c r="V49" s="6" t="n">
        <v>66.7</v>
      </c>
      <c r="W49" s="8" t="n">
        <v>43</v>
      </c>
      <c r="X49" s="7" t="n">
        <f aca="false">IFERROR(S49/AH49,"")</f>
        <v>0.915573770491803</v>
      </c>
      <c r="Y49" s="9" t="n">
        <f aca="false">IFERROR(S49/AF49,"")</f>
        <v>0.298663101604278</v>
      </c>
      <c r="Z49" s="6" t="n">
        <v>6.5</v>
      </c>
      <c r="AA49" s="6" t="n">
        <v>8.4</v>
      </c>
      <c r="AB49" s="6" t="n">
        <v>11.2</v>
      </c>
      <c r="AC49" s="10" t="n">
        <v>0.154</v>
      </c>
      <c r="AD49" s="10" t="n">
        <v>0.154</v>
      </c>
      <c r="AE49" s="7" t="n">
        <v>0.661</v>
      </c>
      <c r="AF49" s="8" t="n">
        <v>374</v>
      </c>
      <c r="AG49" s="10" t="n">
        <v>0.459</v>
      </c>
      <c r="AH49" s="8" t="n">
        <v>122</v>
      </c>
      <c r="AI49" s="8" t="n">
        <v>72</v>
      </c>
      <c r="AJ49" s="6" t="n">
        <f aca="false">IFERROR(AI49/R49,"")</f>
        <v>5.53846153846154</v>
      </c>
      <c r="AK49" s="10" t="n">
        <v>0.2483</v>
      </c>
      <c r="AL49" s="8" t="n">
        <v>283</v>
      </c>
      <c r="AM49" s="7" t="n">
        <f aca="false">IFERROR(AL49/AI49,"")</f>
        <v>3.93055555555556</v>
      </c>
      <c r="AN49" s="7" t="n">
        <v>2.583</v>
      </c>
      <c r="AO49" s="7" t="n">
        <v>1.347</v>
      </c>
      <c r="AP49" s="8" t="n">
        <v>4</v>
      </c>
      <c r="AQ49" s="7"/>
      <c r="AR49" s="6"/>
      <c r="AS49" s="7"/>
      <c r="AT49" s="8" t="n">
        <v>50</v>
      </c>
      <c r="AU49" s="6" t="n">
        <f aca="false">IFERROR(AT49/R49,"")</f>
        <v>3.84615384615385</v>
      </c>
      <c r="AV49" s="10" t="n">
        <v>0.1199</v>
      </c>
      <c r="AW49" s="8" t="n">
        <v>45</v>
      </c>
      <c r="AX49" s="10" t="n">
        <f aca="false">IFERROR(AW49/AT49,"")</f>
        <v>0.9</v>
      </c>
      <c r="AY49" s="8" t="n">
        <v>264</v>
      </c>
      <c r="AZ49" s="7" t="n">
        <f aca="false">IFERROR(AY49/AT49,"")</f>
        <v>5.28</v>
      </c>
      <c r="BA49" s="8" t="n">
        <v>17</v>
      </c>
      <c r="BB49" s="8" t="n">
        <v>8</v>
      </c>
      <c r="BC49" s="8" t="n">
        <v>2</v>
      </c>
      <c r="BD49" s="8" t="n">
        <v>2</v>
      </c>
      <c r="BE49" s="7" t="n">
        <v>3.61</v>
      </c>
      <c r="BF49" s="7" t="n">
        <f aca="false">IFERROR(BD49-BE49,"")</f>
        <v>-1.61</v>
      </c>
      <c r="BG49" s="9" t="n">
        <f aca="false">IFERROR(BD49/AH49,"")</f>
        <v>0.0163934426229508</v>
      </c>
      <c r="BH49" s="6" t="n">
        <v>41.1</v>
      </c>
      <c r="BI49" s="6" t="n">
        <v>58.4</v>
      </c>
      <c r="BJ49" s="6" t="n">
        <v>27.6</v>
      </c>
      <c r="BK49" s="7" t="n">
        <v>3.085</v>
      </c>
      <c r="BL49" s="10" t="n">
        <v>0.1549</v>
      </c>
      <c r="BM49" s="10" t="n">
        <v>0.666666666666667</v>
      </c>
      <c r="BN49" s="7" t="n">
        <v>2.54</v>
      </c>
      <c r="BO49" s="10" t="n">
        <v>0.3175</v>
      </c>
      <c r="BP49" s="10" t="n">
        <v>0.0872</v>
      </c>
      <c r="BQ49" s="7" t="n">
        <v>2.389</v>
      </c>
      <c r="BR49" s="10" t="n">
        <v>0.527</v>
      </c>
      <c r="BS49" s="8" t="n">
        <v>3</v>
      </c>
      <c r="BT49" s="10" t="n">
        <v>-0.0385</v>
      </c>
      <c r="BU49" s="10" t="n">
        <v>0.5401</v>
      </c>
      <c r="BV49" s="6" t="n">
        <v>58.53</v>
      </c>
      <c r="BW49" s="6" t="n">
        <v>40</v>
      </c>
      <c r="BX49" s="7" t="n">
        <v>2.06</v>
      </c>
      <c r="BY49" s="6" t="n">
        <v>16.7</v>
      </c>
      <c r="BZ49" s="9" t="n">
        <v>-0.0573</v>
      </c>
      <c r="CA49" s="9" t="n">
        <v>-0.2208</v>
      </c>
      <c r="CB49" s="8" t="n">
        <v>152</v>
      </c>
      <c r="CC49" s="10" t="n">
        <v>0.287</v>
      </c>
      <c r="CD49" s="8" t="n">
        <v>0</v>
      </c>
      <c r="CE49" s="10" t="n">
        <v>0</v>
      </c>
      <c r="CF49" s="8" t="n">
        <v>8</v>
      </c>
      <c r="CG49" s="7" t="n">
        <v>-0.185</v>
      </c>
      <c r="CH49" s="7" t="n">
        <v>-0.054</v>
      </c>
      <c r="CI49" s="4" t="s">
        <v>102</v>
      </c>
      <c r="CJ49" s="4"/>
    </row>
    <row r="50" customFormat="false" ht="15" hidden="false" customHeight="false" outlineLevel="0" collapsed="false">
      <c r="A50" s="3" t="n">
        <v>48</v>
      </c>
      <c r="B50" s="4" t="s">
        <v>429</v>
      </c>
      <c r="C50" s="11" t="s">
        <v>104</v>
      </c>
      <c r="D50" s="4" t="s">
        <v>430</v>
      </c>
      <c r="E50" s="4" t="s">
        <v>158</v>
      </c>
      <c r="F50" s="4" t="s">
        <v>104</v>
      </c>
      <c r="G50" s="3" t="n">
        <v>2</v>
      </c>
      <c r="H50" s="6" t="n">
        <v>31.1</v>
      </c>
      <c r="I50" s="3" t="n">
        <v>10</v>
      </c>
      <c r="J50" s="3" t="n">
        <v>8</v>
      </c>
      <c r="K50" s="7" t="n">
        <v>148.76</v>
      </c>
      <c r="L50" s="7" t="n">
        <v>17.47</v>
      </c>
      <c r="M50" s="8" t="n">
        <v>103</v>
      </c>
      <c r="N50" s="8" t="n">
        <v>214</v>
      </c>
      <c r="O50" s="7" t="n">
        <v>148.76</v>
      </c>
      <c r="P50" s="6" t="n">
        <v>46</v>
      </c>
      <c r="Q50" s="4" t="s">
        <v>158</v>
      </c>
      <c r="R50" s="8" t="n">
        <v>11</v>
      </c>
      <c r="S50" s="6" t="n">
        <v>100.7</v>
      </c>
      <c r="T50" s="7" t="n">
        <f aca="false">IFERROR(S50/R50,"")</f>
        <v>9.15454545454545</v>
      </c>
      <c r="U50" s="6" t="n">
        <v>84.2</v>
      </c>
      <c r="V50" s="6" t="n">
        <v>67.7</v>
      </c>
      <c r="W50" s="8" t="n">
        <v>44</v>
      </c>
      <c r="X50" s="7" t="n">
        <f aca="false">IFERROR(S50/AH50,"")</f>
        <v>0.592352941176471</v>
      </c>
      <c r="Y50" s="9" t="n">
        <f aca="false">IFERROR(S50/AF50,"")</f>
        <v>0.22035010940919</v>
      </c>
      <c r="Z50" s="6" t="n">
        <v>6.2</v>
      </c>
      <c r="AA50" s="6" t="n">
        <v>9.5</v>
      </c>
      <c r="AB50" s="6" t="n">
        <v>14.1</v>
      </c>
      <c r="AC50" s="10" t="n">
        <v>0</v>
      </c>
      <c r="AD50" s="10" t="n">
        <v>0.091</v>
      </c>
      <c r="AE50" s="7" t="n">
        <v>0.516</v>
      </c>
      <c r="AF50" s="8" t="n">
        <v>457</v>
      </c>
      <c r="AG50" s="10" t="n">
        <v>0.637</v>
      </c>
      <c r="AH50" s="8" t="n">
        <v>170</v>
      </c>
      <c r="AI50" s="8" t="n">
        <v>131</v>
      </c>
      <c r="AJ50" s="6" t="n">
        <f aca="false">IFERROR(AI50/R50,"")</f>
        <v>11.9090909090909</v>
      </c>
      <c r="AK50" s="10" t="n">
        <v>0.4729</v>
      </c>
      <c r="AL50" s="8" t="n">
        <v>471</v>
      </c>
      <c r="AM50" s="7" t="n">
        <f aca="false">IFERROR(AL50/AI50,"")</f>
        <v>3.59541984732824</v>
      </c>
      <c r="AN50" s="7" t="n">
        <v>2.153</v>
      </c>
      <c r="AO50" s="7" t="n">
        <v>1.443</v>
      </c>
      <c r="AP50" s="8" t="n">
        <v>7</v>
      </c>
      <c r="AQ50" s="7" t="n">
        <v>-0.73372035596954</v>
      </c>
      <c r="AR50" s="6" t="n">
        <v>10.6870229007634</v>
      </c>
      <c r="AS50" s="7" t="n">
        <v>4.15912951167728</v>
      </c>
      <c r="AT50" s="8" t="n">
        <v>39</v>
      </c>
      <c r="AU50" s="6" t="n">
        <f aca="false">IFERROR(AT50/R50,"")</f>
        <v>3.54545454545455</v>
      </c>
      <c r="AV50" s="10" t="n">
        <v>0.1048</v>
      </c>
      <c r="AW50" s="8" t="n">
        <v>33</v>
      </c>
      <c r="AX50" s="10" t="n">
        <f aca="false">IFERROR(AW50/AT50,"")</f>
        <v>0.846153846153846</v>
      </c>
      <c r="AY50" s="8" t="n">
        <v>186</v>
      </c>
      <c r="AZ50" s="7" t="n">
        <f aca="false">IFERROR(AY50/AT50,"")</f>
        <v>4.76923076923077</v>
      </c>
      <c r="BA50" s="8" t="n">
        <v>20</v>
      </c>
      <c r="BB50" s="8" t="n">
        <v>8</v>
      </c>
      <c r="BC50" s="8" t="n">
        <v>2</v>
      </c>
      <c r="BD50" s="8" t="n">
        <v>1</v>
      </c>
      <c r="BE50" s="7" t="n">
        <v>4.14</v>
      </c>
      <c r="BF50" s="7" t="n">
        <f aca="false">IFERROR(BD50-BE50,"")</f>
        <v>-3.14</v>
      </c>
      <c r="BG50" s="9" t="n">
        <f aca="false">IFERROR(BD50/AH50,"")</f>
        <v>0.00588235294117647</v>
      </c>
      <c r="BH50" s="6" t="n">
        <v>41.9</v>
      </c>
      <c r="BI50" s="6" t="n">
        <v>42.4</v>
      </c>
      <c r="BJ50" s="6" t="n">
        <v>44.9</v>
      </c>
      <c r="BK50" s="7" t="n">
        <v>2.883</v>
      </c>
      <c r="BL50" s="10" t="n">
        <v>0.1505</v>
      </c>
      <c r="BM50" s="10" t="n">
        <v>0.55</v>
      </c>
      <c r="BN50" s="7" t="n">
        <v>2.057</v>
      </c>
      <c r="BO50" s="10" t="n">
        <v>0.2132</v>
      </c>
      <c r="BP50" s="10" t="n">
        <v>0.0763</v>
      </c>
      <c r="BQ50" s="7" t="n">
        <v>2.2</v>
      </c>
      <c r="BR50" s="10" t="n">
        <v>0.784</v>
      </c>
      <c r="BS50" s="8" t="n">
        <v>4</v>
      </c>
      <c r="BT50" s="10" t="n">
        <v>-0.0301</v>
      </c>
      <c r="BU50" s="10" t="n">
        <v>0.5383</v>
      </c>
      <c r="BV50" s="6" t="n">
        <v>62.59</v>
      </c>
      <c r="BW50" s="6" t="n">
        <v>35</v>
      </c>
      <c r="BX50" s="7" t="n">
        <v>2.82</v>
      </c>
      <c r="BY50" s="6" t="n">
        <v>18</v>
      </c>
      <c r="BZ50" s="9" t="n">
        <v>-0.1008</v>
      </c>
      <c r="CA50" s="9" t="n">
        <v>-0.0795</v>
      </c>
      <c r="CB50" s="8" t="n">
        <v>127</v>
      </c>
      <c r="CC50" s="10" t="n">
        <v>0.225</v>
      </c>
      <c r="CD50" s="8" t="n">
        <v>21</v>
      </c>
      <c r="CE50" s="10" t="n">
        <v>0.048</v>
      </c>
      <c r="CF50" s="8" t="n">
        <v>15</v>
      </c>
      <c r="CG50" s="7" t="n">
        <v>-0.193</v>
      </c>
      <c r="CH50" s="7" t="n">
        <v>0.201</v>
      </c>
      <c r="CI50" s="4" t="s">
        <v>102</v>
      </c>
      <c r="CJ50" s="4"/>
    </row>
    <row r="51" customFormat="false" ht="15" hidden="false" customHeight="false" outlineLevel="0" collapsed="false">
      <c r="A51" s="3" t="n">
        <v>49</v>
      </c>
      <c r="B51" s="4" t="s">
        <v>431</v>
      </c>
      <c r="C51" s="11" t="s">
        <v>104</v>
      </c>
      <c r="D51" s="4" t="s">
        <v>432</v>
      </c>
      <c r="E51" s="4" t="s">
        <v>258</v>
      </c>
      <c r="F51" s="4" t="s">
        <v>104</v>
      </c>
      <c r="G51" s="3" t="n">
        <v>2</v>
      </c>
      <c r="H51" s="6" t="n">
        <v>21.9</v>
      </c>
      <c r="I51" s="3" t="n">
        <v>2</v>
      </c>
      <c r="J51" s="3" t="n">
        <v>11</v>
      </c>
      <c r="K51" s="7" t="n">
        <v>149.56</v>
      </c>
      <c r="L51" s="7" t="n">
        <v>17.35</v>
      </c>
      <c r="M51" s="8" t="n">
        <v>103</v>
      </c>
      <c r="N51" s="8" t="n">
        <v>203</v>
      </c>
      <c r="O51" s="7" t="n">
        <v>149.56</v>
      </c>
      <c r="P51" s="6" t="n">
        <v>21.1</v>
      </c>
      <c r="Q51" s="4" t="s">
        <v>258</v>
      </c>
      <c r="R51" s="8" t="n">
        <v>15</v>
      </c>
      <c r="S51" s="6" t="n">
        <v>87.6</v>
      </c>
      <c r="T51" s="7" t="n">
        <f aca="false">IFERROR(S51/R51,"")</f>
        <v>5.84</v>
      </c>
      <c r="U51" s="6" t="n">
        <v>71.1</v>
      </c>
      <c r="V51" s="6" t="n">
        <v>54.6</v>
      </c>
      <c r="W51" s="8" t="n">
        <v>50</v>
      </c>
      <c r="X51" s="7" t="n">
        <f aca="false">IFERROR(S51/AH51,"")</f>
        <v>0.834285714285714</v>
      </c>
      <c r="Y51" s="9" t="n">
        <f aca="false">IFERROR(S51/AF51,"")</f>
        <v>0.351807228915663</v>
      </c>
      <c r="Z51" s="6" t="n">
        <v>1.55</v>
      </c>
      <c r="AA51" s="6" t="n">
        <v>4.4</v>
      </c>
      <c r="AB51" s="6" t="n">
        <v>10.79</v>
      </c>
      <c r="AC51" s="10" t="n">
        <v>0.133</v>
      </c>
      <c r="AD51" s="10" t="n">
        <v>0.4</v>
      </c>
      <c r="AE51" s="7" t="n">
        <v>1.272</v>
      </c>
      <c r="AF51" s="8" t="n">
        <v>249</v>
      </c>
      <c r="AG51" s="10" t="n">
        <v>0.265</v>
      </c>
      <c r="AH51" s="8" t="n">
        <v>105</v>
      </c>
      <c r="AI51" s="8" t="n">
        <v>65</v>
      </c>
      <c r="AJ51" s="6" t="n">
        <f aca="false">IFERROR(AI51/R51,"")</f>
        <v>4.33333333333333</v>
      </c>
      <c r="AK51" s="10" t="n">
        <v>0.1738</v>
      </c>
      <c r="AL51" s="8" t="n">
        <v>175</v>
      </c>
      <c r="AM51" s="7" t="n">
        <f aca="false">IFERROR(AL51/AI51,"")</f>
        <v>2.69230769230769</v>
      </c>
      <c r="AN51" s="7" t="n">
        <v>1.154</v>
      </c>
      <c r="AO51" s="7" t="n">
        <v>1.538</v>
      </c>
      <c r="AP51" s="8" t="n">
        <v>6</v>
      </c>
      <c r="AQ51" s="7"/>
      <c r="AR51" s="6"/>
      <c r="AS51" s="7"/>
      <c r="AT51" s="8" t="n">
        <v>40</v>
      </c>
      <c r="AU51" s="6" t="n">
        <f aca="false">IFERROR(AT51/R51,"")</f>
        <v>2.66666666666667</v>
      </c>
      <c r="AV51" s="10" t="n">
        <v>0.0862</v>
      </c>
      <c r="AW51" s="8" t="n">
        <v>33</v>
      </c>
      <c r="AX51" s="10" t="n">
        <f aca="false">IFERROR(AW51/AT51,"")</f>
        <v>0.825</v>
      </c>
      <c r="AY51" s="8" t="n">
        <v>271</v>
      </c>
      <c r="AZ51" s="7" t="n">
        <f aca="false">IFERROR(AY51/AT51,"")</f>
        <v>6.775</v>
      </c>
      <c r="BA51" s="8" t="n">
        <v>13</v>
      </c>
      <c r="BB51" s="8" t="n">
        <v>3</v>
      </c>
      <c r="BC51" s="8" t="n">
        <v>0</v>
      </c>
      <c r="BD51" s="8" t="n">
        <v>2</v>
      </c>
      <c r="BE51" s="7" t="n">
        <v>2.52</v>
      </c>
      <c r="BF51" s="7" t="n">
        <f aca="false">IFERROR(BD51-BE51,"")</f>
        <v>-0.52</v>
      </c>
      <c r="BG51" s="9" t="n">
        <f aca="false">IFERROR(BD51/AH51,"")</f>
        <v>0.0190476190476191</v>
      </c>
      <c r="BH51" s="6" t="n">
        <v>15.1</v>
      </c>
      <c r="BI51" s="6" t="n">
        <v>18.5</v>
      </c>
      <c r="BJ51" s="6" t="n">
        <v>26.5</v>
      </c>
      <c r="BK51" s="7" t="n">
        <v>2.392</v>
      </c>
      <c r="BL51" s="10" t="n">
        <v>0.225</v>
      </c>
      <c r="BM51" s="10" t="n">
        <v>0.666666666666667</v>
      </c>
      <c r="BN51" s="7" t="n">
        <v>1.808</v>
      </c>
      <c r="BO51" s="10" t="n">
        <v>0.3405</v>
      </c>
      <c r="BP51" s="10" t="n">
        <v>0.0842</v>
      </c>
      <c r="BQ51" s="7" t="n">
        <v>2.444</v>
      </c>
      <c r="BR51" s="10" t="n">
        <v>0.261</v>
      </c>
      <c r="BS51" s="8" t="n">
        <v>1</v>
      </c>
      <c r="BT51" s="10" t="n">
        <v>-0.0372</v>
      </c>
      <c r="BU51" s="10" t="n">
        <v>0.5161</v>
      </c>
      <c r="BV51" s="6" t="n">
        <v>60.47</v>
      </c>
      <c r="BW51" s="6" t="n">
        <v>39</v>
      </c>
      <c r="BX51" s="7" t="n">
        <v>2.47</v>
      </c>
      <c r="BY51" s="6" t="n">
        <v>16.4</v>
      </c>
      <c r="BZ51" s="9" t="n">
        <v>-0.0478</v>
      </c>
      <c r="CA51" s="9" t="n">
        <v>-0.2882</v>
      </c>
      <c r="CB51" s="8" t="n">
        <v>88</v>
      </c>
      <c r="CC51" s="10" t="n">
        <v>0.169</v>
      </c>
      <c r="CD51" s="8" t="n">
        <v>37</v>
      </c>
      <c r="CE51" s="10" t="n">
        <v>0.088</v>
      </c>
      <c r="CF51" s="8" t="n">
        <v>23</v>
      </c>
      <c r="CG51" s="7" t="n">
        <v>-0.421</v>
      </c>
      <c r="CH51" s="7" t="n">
        <v>-0.509</v>
      </c>
      <c r="CI51" s="4" t="s">
        <v>121</v>
      </c>
      <c r="CJ51" s="4"/>
    </row>
    <row r="52" customFormat="false" ht="15" hidden="false" customHeight="false" outlineLevel="0" collapsed="false">
      <c r="A52" s="3" t="n">
        <v>50</v>
      </c>
      <c r="B52" s="4" t="s">
        <v>433</v>
      </c>
      <c r="C52" s="11" t="s">
        <v>104</v>
      </c>
      <c r="D52" s="4" t="s">
        <v>434</v>
      </c>
      <c r="E52" s="4" t="s">
        <v>106</v>
      </c>
      <c r="F52" s="4" t="s">
        <v>104</v>
      </c>
      <c r="G52" s="3" t="n">
        <v>2</v>
      </c>
      <c r="H52" s="6" t="n">
        <v>27.5</v>
      </c>
      <c r="I52" s="3" t="n">
        <v>5</v>
      </c>
      <c r="J52" s="3" t="n">
        <v>6</v>
      </c>
      <c r="K52" s="7" t="n">
        <v>151.56</v>
      </c>
      <c r="L52" s="7" t="n">
        <v>12.45</v>
      </c>
      <c r="M52" s="8" t="n">
        <v>118</v>
      </c>
      <c r="N52" s="8" t="n">
        <v>189</v>
      </c>
      <c r="O52" s="7" t="n">
        <v>151.56</v>
      </c>
      <c r="P52" s="6" t="n">
        <v>43</v>
      </c>
      <c r="Q52" s="4" t="s">
        <v>164</v>
      </c>
      <c r="R52" s="8" t="n">
        <v>13</v>
      </c>
      <c r="S52" s="6" t="n">
        <v>87.3</v>
      </c>
      <c r="T52" s="7" t="n">
        <f aca="false">IFERROR(S52/R52,"")</f>
        <v>6.71538461538462</v>
      </c>
      <c r="U52" s="6" t="n">
        <v>77.8</v>
      </c>
      <c r="V52" s="6" t="n">
        <v>68.3</v>
      </c>
      <c r="W52" s="8" t="n">
        <v>51</v>
      </c>
      <c r="X52" s="7" t="n">
        <f aca="false">IFERROR(S52/AH52,"")</f>
        <v>0.60625</v>
      </c>
      <c r="Y52" s="9" t="n">
        <f aca="false">IFERROR(S52/AF52,"")</f>
        <v>0.205896226415094</v>
      </c>
      <c r="Z52" s="6" t="n">
        <v>3.9</v>
      </c>
      <c r="AA52" s="6" t="n">
        <v>5.8</v>
      </c>
      <c r="AB52" s="6" t="n">
        <v>12.48</v>
      </c>
      <c r="AC52" s="10" t="n">
        <v>0</v>
      </c>
      <c r="AD52" s="10" t="n">
        <v>0.077</v>
      </c>
      <c r="AE52" s="7" t="n">
        <v>0.672</v>
      </c>
      <c r="AF52" s="8" t="n">
        <v>424</v>
      </c>
      <c r="AG52" s="10" t="n">
        <v>0.517</v>
      </c>
      <c r="AH52" s="8" t="n">
        <v>144</v>
      </c>
      <c r="AI52" s="8" t="n">
        <v>118</v>
      </c>
      <c r="AJ52" s="6" t="n">
        <f aca="false">IFERROR(AI52/R52,"")</f>
        <v>9.07692307692308</v>
      </c>
      <c r="AK52" s="10" t="n">
        <v>0.3554</v>
      </c>
      <c r="AL52" s="8" t="n">
        <v>462</v>
      </c>
      <c r="AM52" s="7" t="n">
        <f aca="false">IFERROR(AL52/AI52,"")</f>
        <v>3.91525423728814</v>
      </c>
      <c r="AN52" s="7" t="n">
        <v>2.161</v>
      </c>
      <c r="AO52" s="7" t="n">
        <v>1.754</v>
      </c>
      <c r="AP52" s="8" t="n">
        <v>2</v>
      </c>
      <c r="AQ52" s="7" t="n">
        <v>-0.412150317992779</v>
      </c>
      <c r="AR52" s="6" t="n">
        <v>14.406779661017</v>
      </c>
      <c r="AS52" s="7" t="n">
        <v>3.87748917748918</v>
      </c>
      <c r="AT52" s="8" t="n">
        <v>26</v>
      </c>
      <c r="AU52" s="6" t="n">
        <f aca="false">IFERROR(AT52/R52,"")</f>
        <v>2</v>
      </c>
      <c r="AV52" s="10" t="n">
        <v>0.0644</v>
      </c>
      <c r="AW52" s="8" t="n">
        <v>19</v>
      </c>
      <c r="AX52" s="10" t="n">
        <f aca="false">IFERROR(AW52/AT52,"")</f>
        <v>0.730769230769231</v>
      </c>
      <c r="AY52" s="8" t="n">
        <v>101</v>
      </c>
      <c r="AZ52" s="7" t="n">
        <f aca="false">IFERROR(AY52/AT52,"")</f>
        <v>3.88461538461538</v>
      </c>
      <c r="BA52" s="8" t="n">
        <v>24</v>
      </c>
      <c r="BB52" s="8" t="n">
        <v>9</v>
      </c>
      <c r="BC52" s="8" t="n">
        <v>1</v>
      </c>
      <c r="BD52" s="8" t="n">
        <v>2</v>
      </c>
      <c r="BE52" s="7" t="n">
        <v>3.45</v>
      </c>
      <c r="BF52" s="7" t="n">
        <f aca="false">IFERROR(BD52-BE52,"")</f>
        <v>-1.45</v>
      </c>
      <c r="BG52" s="9" t="n">
        <f aca="false">IFERROR(BD52/AH52,"")</f>
        <v>0.0138888888888889</v>
      </c>
      <c r="BH52" s="6" t="n">
        <v>46.7</v>
      </c>
      <c r="BI52" s="6" t="n">
        <v>50</v>
      </c>
      <c r="BJ52" s="6" t="n">
        <v>44.8</v>
      </c>
      <c r="BK52" s="7" t="n">
        <v>2.796</v>
      </c>
      <c r="BL52" s="10" t="n">
        <v>0.1795</v>
      </c>
      <c r="BM52" s="10" t="n">
        <v>0.645161290322581</v>
      </c>
      <c r="BN52" s="7" t="n">
        <v>2.844</v>
      </c>
      <c r="BO52" s="10" t="n">
        <v>0.2646</v>
      </c>
      <c r="BP52" s="10" t="n">
        <v>0.0608</v>
      </c>
      <c r="BQ52" s="7" t="n">
        <v>2.297</v>
      </c>
      <c r="BR52" s="10" t="n">
        <v>0.521</v>
      </c>
      <c r="BS52" s="8" t="n">
        <v>3</v>
      </c>
      <c r="BT52" s="10" t="n">
        <v>-0.0456</v>
      </c>
      <c r="BU52" s="10" t="n">
        <v>0.5469</v>
      </c>
      <c r="BV52" s="6" t="n">
        <v>61.82</v>
      </c>
      <c r="BW52" s="6" t="n">
        <v>38</v>
      </c>
      <c r="BX52" s="7" t="n">
        <v>3.82</v>
      </c>
      <c r="BY52" s="6" t="n">
        <v>28.3</v>
      </c>
      <c r="BZ52" s="9" t="n">
        <v>-0.0408</v>
      </c>
      <c r="CA52" s="9" t="n">
        <v>0.1681</v>
      </c>
      <c r="CB52" s="8" t="n">
        <v>79</v>
      </c>
      <c r="CC52" s="10" t="n">
        <v>0.144</v>
      </c>
      <c r="CD52" s="8" t="n">
        <v>167</v>
      </c>
      <c r="CE52" s="10" t="n">
        <v>0.378</v>
      </c>
      <c r="CF52" s="8" t="n">
        <v>45</v>
      </c>
      <c r="CG52" s="7" t="n">
        <v>-0.429</v>
      </c>
      <c r="CH52" s="7" t="n">
        <v>-0.298</v>
      </c>
      <c r="CI52" s="4" t="s">
        <v>121</v>
      </c>
      <c r="CJ52" s="4"/>
    </row>
    <row r="53" customFormat="false" ht="15" hidden="false" customHeight="false" outlineLevel="0" collapsed="false">
      <c r="A53" s="3" t="n">
        <v>51</v>
      </c>
      <c r="B53" s="4" t="s">
        <v>439</v>
      </c>
      <c r="C53" s="11" t="s">
        <v>104</v>
      </c>
      <c r="D53" s="4" t="s">
        <v>440</v>
      </c>
      <c r="E53" s="4" t="s">
        <v>170</v>
      </c>
      <c r="F53" s="4" t="s">
        <v>281</v>
      </c>
      <c r="G53" s="3" t="n">
        <v>2</v>
      </c>
      <c r="H53" s="6" t="n">
        <v>24.6</v>
      </c>
      <c r="I53" s="3" t="n">
        <v>4</v>
      </c>
      <c r="J53" s="3" t="n">
        <v>7</v>
      </c>
      <c r="K53" s="7" t="n">
        <v>155.54</v>
      </c>
      <c r="L53" s="7" t="n">
        <v>27.44</v>
      </c>
      <c r="M53" s="8" t="n">
        <v>122</v>
      </c>
      <c r="N53" s="8" t="n">
        <v>275</v>
      </c>
      <c r="O53" s="7" t="n">
        <v>155.54</v>
      </c>
      <c r="P53" s="6" t="n">
        <v>28</v>
      </c>
      <c r="Q53" s="4" t="s">
        <v>183</v>
      </c>
      <c r="R53" s="8" t="n">
        <v>13</v>
      </c>
      <c r="S53" s="6" t="n">
        <v>55.4</v>
      </c>
      <c r="T53" s="7" t="n">
        <f aca="false">IFERROR(S53/R53,"")</f>
        <v>4.26153846153846</v>
      </c>
      <c r="U53" s="6" t="n">
        <v>50.9</v>
      </c>
      <c r="V53" s="6" t="n">
        <v>46.4</v>
      </c>
      <c r="W53" s="8" t="n">
        <v>57</v>
      </c>
      <c r="X53" s="7" t="n">
        <f aca="false">IFERROR(S53/AH53,"")</f>
        <v>0.780281690140845</v>
      </c>
      <c r="Y53" s="9" t="n">
        <f aca="false">IFERROR(S53/AF53,"")</f>
        <v>0.41969696969697</v>
      </c>
      <c r="Z53" s="6" t="n">
        <v>2.3</v>
      </c>
      <c r="AA53" s="6" t="n">
        <v>3.1</v>
      </c>
      <c r="AB53" s="6" t="n">
        <v>7.44</v>
      </c>
      <c r="AC53" s="10" t="n">
        <v>0</v>
      </c>
      <c r="AD53" s="10" t="n">
        <v>0.231</v>
      </c>
      <c r="AE53" s="7" t="n">
        <v>1.054</v>
      </c>
      <c r="AF53" s="8" t="n">
        <v>132</v>
      </c>
      <c r="AG53" s="10" t="n">
        <v>0.175</v>
      </c>
      <c r="AH53" s="8" t="n">
        <v>71</v>
      </c>
      <c r="AI53" s="8" t="n">
        <v>59</v>
      </c>
      <c r="AJ53" s="6" t="n">
        <f aca="false">IFERROR(AI53/R53,"")</f>
        <v>4.53846153846154</v>
      </c>
      <c r="AK53" s="10" t="n">
        <v>0.1401</v>
      </c>
      <c r="AL53" s="8" t="n">
        <v>341</v>
      </c>
      <c r="AM53" s="7" t="n">
        <f aca="false">IFERROR(AL53/AI53,"")</f>
        <v>5.77966101694915</v>
      </c>
      <c r="AN53" s="7" t="n">
        <v>3.61</v>
      </c>
      <c r="AO53" s="7" t="n">
        <v>2.169</v>
      </c>
      <c r="AP53" s="8" t="n">
        <v>2</v>
      </c>
      <c r="AQ53" s="7"/>
      <c r="AR53" s="6"/>
      <c r="AS53" s="7"/>
      <c r="AT53" s="8" t="n">
        <v>12</v>
      </c>
      <c r="AU53" s="6" t="n">
        <f aca="false">IFERROR(AT53/R53,"")</f>
        <v>0.923076923076923</v>
      </c>
      <c r="AV53" s="10" t="n">
        <v>0.0397</v>
      </c>
      <c r="AW53" s="8" t="n">
        <v>9</v>
      </c>
      <c r="AX53" s="10" t="n">
        <f aca="false">IFERROR(AW53/AT53,"")</f>
        <v>0.75</v>
      </c>
      <c r="AY53" s="8" t="n">
        <v>63</v>
      </c>
      <c r="AZ53" s="7" t="n">
        <f aca="false">IFERROR(AY53/AT53,"")</f>
        <v>5.25</v>
      </c>
      <c r="BA53" s="8" t="n">
        <v>14</v>
      </c>
      <c r="BB53" s="8" t="n">
        <v>2</v>
      </c>
      <c r="BC53" s="8" t="n">
        <v>0</v>
      </c>
      <c r="BD53" s="8" t="n">
        <v>1</v>
      </c>
      <c r="BE53" s="7" t="n">
        <v>1.41</v>
      </c>
      <c r="BF53" s="7" t="n">
        <f aca="false">IFERROR(BD53-BE53,"")</f>
        <v>-0.41</v>
      </c>
      <c r="BG53" s="9" t="n">
        <f aca="false">IFERROR(BD53/AH53,"")</f>
        <v>0.0140845070422535</v>
      </c>
      <c r="BH53" s="6" t="n">
        <v>26.9</v>
      </c>
      <c r="BI53" s="6" t="n">
        <v>40.7</v>
      </c>
      <c r="BJ53" s="6" t="n">
        <v>23</v>
      </c>
      <c r="BK53" s="7" t="n">
        <v>2.77</v>
      </c>
      <c r="BL53" s="10" t="n">
        <v>0.2195</v>
      </c>
      <c r="BM53" s="10" t="n">
        <v>0.611111111111111</v>
      </c>
      <c r="BN53" s="7" t="n">
        <v>2.614</v>
      </c>
      <c r="BO53" s="10" t="n">
        <v>0.3427</v>
      </c>
      <c r="BP53" s="10" t="n">
        <v>0.0832</v>
      </c>
      <c r="BQ53" s="7" t="n">
        <v>2.37</v>
      </c>
      <c r="BR53" s="10" t="n">
        <v>0.205</v>
      </c>
      <c r="BS53" s="8" t="n">
        <v>1</v>
      </c>
      <c r="BT53" s="10" t="n">
        <v>0.0064</v>
      </c>
      <c r="BU53" s="10" t="n">
        <v>0.579</v>
      </c>
      <c r="BV53" s="6" t="n">
        <v>63.53</v>
      </c>
      <c r="BW53" s="6" t="n">
        <v>39</v>
      </c>
      <c r="BX53" s="7" t="n">
        <v>3.47</v>
      </c>
      <c r="BY53" s="6" t="n">
        <v>21.6</v>
      </c>
      <c r="BZ53" s="9" t="n">
        <v>0.0187</v>
      </c>
      <c r="CA53" s="9" t="n">
        <v>-0.0542</v>
      </c>
      <c r="CB53" s="8" t="n">
        <v>15</v>
      </c>
      <c r="CC53" s="10" t="n">
        <v>0.028</v>
      </c>
      <c r="CD53" s="8" t="n">
        <v>23</v>
      </c>
      <c r="CE53" s="10" t="n">
        <v>0.049</v>
      </c>
      <c r="CF53" s="8" t="n">
        <v>2</v>
      </c>
      <c r="CG53" s="7" t="n">
        <v>-0.657</v>
      </c>
      <c r="CH53" s="7" t="n">
        <v>-0.701</v>
      </c>
      <c r="CI53" s="4" t="s">
        <v>121</v>
      </c>
      <c r="CJ53" s="4"/>
    </row>
    <row r="54" customFormat="false" ht="15" hidden="false" customHeight="false" outlineLevel="0" collapsed="false">
      <c r="A54" s="3" t="n">
        <v>52</v>
      </c>
      <c r="B54" s="4" t="s">
        <v>451</v>
      </c>
      <c r="C54" s="11" t="s">
        <v>104</v>
      </c>
      <c r="D54" s="4" t="s">
        <v>452</v>
      </c>
      <c r="E54" s="4" t="s">
        <v>209</v>
      </c>
      <c r="F54" s="4" t="s">
        <v>104</v>
      </c>
      <c r="G54" s="3" t="n">
        <v>3</v>
      </c>
      <c r="H54" s="6" t="n">
        <v>23</v>
      </c>
      <c r="I54" s="3" t="n">
        <v>0</v>
      </c>
      <c r="J54" s="3" t="n">
        <v>10</v>
      </c>
      <c r="K54" s="7" t="n">
        <v>165.71</v>
      </c>
      <c r="L54" s="7" t="n">
        <v>32.36</v>
      </c>
      <c r="M54" s="8" t="n">
        <v>127</v>
      </c>
      <c r="N54" s="8" t="n">
        <v>322</v>
      </c>
      <c r="O54" s="7" t="n">
        <v>165.71</v>
      </c>
      <c r="P54" s="6" t="n">
        <v>26.5</v>
      </c>
      <c r="Q54" s="4"/>
      <c r="R54" s="8"/>
      <c r="S54" s="6"/>
      <c r="T54" s="7"/>
      <c r="U54" s="6"/>
      <c r="V54" s="6"/>
      <c r="W54" s="8"/>
      <c r="X54" s="7"/>
      <c r="Y54" s="9"/>
      <c r="Z54" s="6"/>
      <c r="AA54" s="6"/>
      <c r="AB54" s="6"/>
      <c r="AC54" s="10"/>
      <c r="AD54" s="10"/>
      <c r="AE54" s="7"/>
      <c r="AF54" s="8"/>
      <c r="AG54" s="10"/>
      <c r="AH54" s="8"/>
      <c r="AI54" s="8"/>
      <c r="AJ54" s="6"/>
      <c r="AK54" s="10"/>
      <c r="AL54" s="8"/>
      <c r="AM54" s="7"/>
      <c r="AN54" s="7"/>
      <c r="AO54" s="7"/>
      <c r="AP54" s="8"/>
      <c r="AQ54" s="7"/>
      <c r="AR54" s="6"/>
      <c r="AS54" s="7"/>
      <c r="AT54" s="8"/>
      <c r="AU54" s="6"/>
      <c r="AV54" s="10"/>
      <c r="AW54" s="8"/>
      <c r="AX54" s="10"/>
      <c r="AY54" s="8"/>
      <c r="AZ54" s="7"/>
      <c r="BA54" s="8"/>
      <c r="BB54" s="8"/>
      <c r="BC54" s="8"/>
      <c r="BD54" s="8"/>
      <c r="BE54" s="7"/>
      <c r="BF54" s="7"/>
      <c r="BG54" s="9"/>
      <c r="BH54" s="6" t="n">
        <v>63.2</v>
      </c>
      <c r="BI54" s="6" t="n">
        <v>50</v>
      </c>
      <c r="BJ54" s="6" t="n">
        <v>70.8</v>
      </c>
      <c r="BK54" s="7" t="n">
        <v>2.952</v>
      </c>
      <c r="BL54" s="10" t="n">
        <v>0.1682</v>
      </c>
      <c r="BM54" s="10" t="n">
        <v>0.551724137931035</v>
      </c>
      <c r="BN54" s="7" t="n">
        <v>2.592</v>
      </c>
      <c r="BO54" s="10" t="n">
        <v>0.2088</v>
      </c>
      <c r="BP54" s="10" t="n">
        <v>0.037</v>
      </c>
      <c r="BQ54" s="7" t="n">
        <v>2.401</v>
      </c>
      <c r="BR54" s="10" t="n">
        <v>0.999</v>
      </c>
      <c r="BS54" s="8" t="n">
        <v>5</v>
      </c>
      <c r="BT54" s="10" t="n">
        <v>0.0157</v>
      </c>
      <c r="BU54" s="10" t="n">
        <v>0.59</v>
      </c>
      <c r="BV54" s="6" t="n">
        <v>63.47</v>
      </c>
      <c r="BW54" s="6" t="n">
        <v>38</v>
      </c>
      <c r="BX54" s="7" t="n">
        <v>3.47</v>
      </c>
      <c r="BY54" s="6" t="n">
        <v>23.6</v>
      </c>
      <c r="BZ54" s="9" t="n">
        <v>0.0004</v>
      </c>
      <c r="CA54" s="9" t="n">
        <v>0.0835</v>
      </c>
      <c r="CB54" s="8" t="n">
        <v>4</v>
      </c>
      <c r="CC54" s="10" t="n">
        <v>0.007</v>
      </c>
      <c r="CD54" s="8" t="n">
        <v>0</v>
      </c>
      <c r="CE54" s="10" t="n">
        <v>0</v>
      </c>
      <c r="CF54" s="8" t="n">
        <v>1</v>
      </c>
      <c r="CG54" s="7"/>
      <c r="CH54" s="7"/>
      <c r="CI54" s="4"/>
      <c r="CJ54" s="4" t="s">
        <v>206</v>
      </c>
    </row>
    <row r="55" customFormat="false" ht="15" hidden="false" customHeight="false" outlineLevel="0" collapsed="false">
      <c r="A55" s="3" t="n">
        <v>53</v>
      </c>
      <c r="B55" s="4" t="s">
        <v>459</v>
      </c>
      <c r="C55" s="11" t="s">
        <v>104</v>
      </c>
      <c r="D55" s="4" t="s">
        <v>460</v>
      </c>
      <c r="E55" s="4" t="s">
        <v>136</v>
      </c>
      <c r="F55" s="4" t="s">
        <v>281</v>
      </c>
      <c r="G55" s="3" t="n">
        <v>2</v>
      </c>
      <c r="H55" s="6" t="n">
        <v>24</v>
      </c>
      <c r="I55" s="3" t="n">
        <v>4</v>
      </c>
      <c r="J55" s="3" t="n">
        <v>10</v>
      </c>
      <c r="K55" s="7" t="n">
        <v>168.33</v>
      </c>
      <c r="L55" s="7" t="n">
        <v>22.85</v>
      </c>
      <c r="M55" s="8" t="n">
        <v>132</v>
      </c>
      <c r="N55" s="8" t="n">
        <v>234</v>
      </c>
      <c r="O55" s="7" t="n">
        <v>168.33</v>
      </c>
      <c r="P55" s="6" t="n">
        <v>25.9</v>
      </c>
      <c r="Q55" s="4" t="s">
        <v>136</v>
      </c>
      <c r="R55" s="8" t="n">
        <v>15</v>
      </c>
      <c r="S55" s="6" t="n">
        <v>53.8</v>
      </c>
      <c r="T55" s="7" t="n">
        <f aca="false">IFERROR(S55/R55,"")</f>
        <v>3.58666666666667</v>
      </c>
      <c r="U55" s="6" t="n">
        <v>52.3</v>
      </c>
      <c r="V55" s="6" t="n">
        <v>50.8</v>
      </c>
      <c r="W55" s="8" t="n">
        <v>59</v>
      </c>
      <c r="X55" s="7" t="n">
        <f aca="false">IFERROR(S55/AH55,"")</f>
        <v>0.802985074626866</v>
      </c>
      <c r="Y55" s="9" t="n">
        <f aca="false">IFERROR(S55/AF55,"")</f>
        <v>0.38705035971223</v>
      </c>
      <c r="Z55" s="6" t="n">
        <v>0.7</v>
      </c>
      <c r="AA55" s="6" t="n">
        <v>1.9</v>
      </c>
      <c r="AB55" s="6" t="n">
        <v>9.84</v>
      </c>
      <c r="AC55" s="10" t="n">
        <v>0.077</v>
      </c>
      <c r="AD55" s="10" t="n">
        <v>0.615</v>
      </c>
      <c r="AE55" s="7" t="n">
        <v>2.817</v>
      </c>
      <c r="AF55" s="8" t="n">
        <v>139</v>
      </c>
      <c r="AG55" s="10" t="n">
        <v>0.126</v>
      </c>
      <c r="AH55" s="8" t="n">
        <v>67</v>
      </c>
      <c r="AI55" s="8" t="n">
        <v>63</v>
      </c>
      <c r="AJ55" s="6" t="n">
        <f aca="false">IFERROR(AI55/R55,"")</f>
        <v>4.2</v>
      </c>
      <c r="AK55" s="10" t="n">
        <v>0.1903</v>
      </c>
      <c r="AL55" s="8" t="n">
        <v>356</v>
      </c>
      <c r="AM55" s="7" t="n">
        <f aca="false">IFERROR(AL55/AI55,"")</f>
        <v>5.65079365079365</v>
      </c>
      <c r="AN55" s="7" t="n">
        <v>2.984</v>
      </c>
      <c r="AO55" s="7" t="n">
        <v>2.667</v>
      </c>
      <c r="AP55" s="8" t="n">
        <v>10</v>
      </c>
      <c r="AQ55" s="7"/>
      <c r="AR55" s="6"/>
      <c r="AS55" s="7"/>
      <c r="AT55" s="8" t="n">
        <v>4</v>
      </c>
      <c r="AU55" s="6" t="n">
        <f aca="false">IFERROR(AT55/R55,"")</f>
        <v>0.266666666666667</v>
      </c>
      <c r="AV55" s="10" t="n">
        <v>0.0134</v>
      </c>
      <c r="AW55" s="8" t="n">
        <v>3</v>
      </c>
      <c r="AX55" s="10"/>
      <c r="AY55" s="8" t="n">
        <v>32</v>
      </c>
      <c r="AZ55" s="7"/>
      <c r="BA55" s="8" t="n">
        <v>19</v>
      </c>
      <c r="BB55" s="8" t="n">
        <v>9</v>
      </c>
      <c r="BC55" s="8" t="n">
        <v>6</v>
      </c>
      <c r="BD55" s="8" t="n">
        <v>2</v>
      </c>
      <c r="BE55" s="7" t="n">
        <v>3.91</v>
      </c>
      <c r="BF55" s="7" t="n">
        <f aca="false">IFERROR(BD55-BE55,"")</f>
        <v>-1.91</v>
      </c>
      <c r="BG55" s="9" t="n">
        <f aca="false">IFERROR(BD55/AH55,"")</f>
        <v>0.0298507462686567</v>
      </c>
      <c r="BH55" s="6" t="n">
        <v>48.2</v>
      </c>
      <c r="BI55" s="6" t="n">
        <v>35.6</v>
      </c>
      <c r="BJ55" s="6" t="n">
        <v>61.6</v>
      </c>
      <c r="BK55" s="7" t="n">
        <v>2.749</v>
      </c>
      <c r="BL55" s="10" t="n">
        <v>0.2192</v>
      </c>
      <c r="BM55" s="10" t="n">
        <v>0.466666666666667</v>
      </c>
      <c r="BN55" s="7" t="n">
        <v>2.6</v>
      </c>
      <c r="BO55" s="10" t="n">
        <v>0.2334</v>
      </c>
      <c r="BP55" s="10" t="n">
        <v>0.0577</v>
      </c>
      <c r="BQ55" s="7" t="n">
        <v>2.491</v>
      </c>
      <c r="BR55" s="10" t="n">
        <v>0.909</v>
      </c>
      <c r="BS55" s="8" t="n">
        <v>5</v>
      </c>
      <c r="BT55" s="10" t="n">
        <v>-0.0248</v>
      </c>
      <c r="BU55" s="10" t="n">
        <v>0.5347</v>
      </c>
      <c r="BV55" s="6" t="n">
        <v>58.53</v>
      </c>
      <c r="BW55" s="6" t="n">
        <v>39</v>
      </c>
      <c r="BX55" s="7" t="n">
        <v>2.76</v>
      </c>
      <c r="BY55" s="6" t="n">
        <v>22.3</v>
      </c>
      <c r="BZ55" s="9" t="n">
        <v>0.0054</v>
      </c>
      <c r="CA55" s="9" t="n">
        <v>0.0436</v>
      </c>
      <c r="CB55" s="8" t="n">
        <v>175</v>
      </c>
      <c r="CC55" s="10" t="n">
        <v>0.377</v>
      </c>
      <c r="CD55" s="8" t="n">
        <v>12</v>
      </c>
      <c r="CE55" s="10" t="n">
        <v>0.025</v>
      </c>
      <c r="CF55" s="8" t="n">
        <v>23</v>
      </c>
      <c r="CG55" s="7" t="n">
        <v>-0.673</v>
      </c>
      <c r="CH55" s="7" t="n">
        <v>-0.849</v>
      </c>
      <c r="CI55" s="4" t="s">
        <v>121</v>
      </c>
      <c r="CJ55" s="4"/>
    </row>
    <row r="56" customFormat="false" ht="15" hidden="false" customHeight="false" outlineLevel="0" collapsed="false">
      <c r="A56" s="3" t="n">
        <v>54</v>
      </c>
      <c r="B56" s="4" t="s">
        <v>463</v>
      </c>
      <c r="C56" s="11" t="s">
        <v>104</v>
      </c>
      <c r="D56" s="4" t="s">
        <v>464</v>
      </c>
      <c r="E56" s="4" t="s">
        <v>112</v>
      </c>
      <c r="F56" s="4" t="s">
        <v>104</v>
      </c>
      <c r="G56" s="3" t="n">
        <v>2</v>
      </c>
      <c r="H56" s="6" t="n">
        <v>27.4</v>
      </c>
      <c r="I56" s="3" t="n">
        <v>3</v>
      </c>
      <c r="J56" s="3" t="n">
        <v>11</v>
      </c>
      <c r="K56" s="7" t="n">
        <v>170.02</v>
      </c>
      <c r="L56" s="7" t="n">
        <v>20.52</v>
      </c>
      <c r="M56" s="8" t="n">
        <v>144</v>
      </c>
      <c r="N56" s="8" t="n">
        <v>234</v>
      </c>
      <c r="O56" s="7" t="n">
        <v>170.02</v>
      </c>
      <c r="P56" s="6" t="n">
        <v>32.8</v>
      </c>
      <c r="Q56" s="4" t="s">
        <v>124</v>
      </c>
      <c r="R56" s="8" t="n">
        <v>17</v>
      </c>
      <c r="S56" s="6" t="n">
        <v>62.5</v>
      </c>
      <c r="T56" s="7" t="n">
        <f aca="false">IFERROR(S56/R56,"")</f>
        <v>3.67647058823529</v>
      </c>
      <c r="U56" s="6" t="n">
        <v>58.5</v>
      </c>
      <c r="V56" s="6" t="n">
        <v>54.5</v>
      </c>
      <c r="W56" s="8" t="n">
        <v>56</v>
      </c>
      <c r="X56" s="7" t="n">
        <f aca="false">IFERROR(S56/AH56,"")</f>
        <v>0.600961538461538</v>
      </c>
      <c r="Y56" s="9" t="n">
        <f aca="false">IFERROR(S56/AF56,"")</f>
        <v>0.328947368421053</v>
      </c>
      <c r="Z56" s="6" t="n">
        <v>2.1</v>
      </c>
      <c r="AA56" s="6" t="n">
        <v>2.6</v>
      </c>
      <c r="AB56" s="6" t="n">
        <v>5.12</v>
      </c>
      <c r="AC56" s="10" t="n">
        <v>0</v>
      </c>
      <c r="AD56" s="10" t="n">
        <v>0.529</v>
      </c>
      <c r="AE56" s="7" t="n">
        <v>1.232</v>
      </c>
      <c r="AF56" s="8" t="n">
        <v>190</v>
      </c>
      <c r="AG56" s="10" t="n">
        <v>0.167</v>
      </c>
      <c r="AH56" s="8" t="n">
        <v>104</v>
      </c>
      <c r="AI56" s="8" t="n">
        <v>92</v>
      </c>
      <c r="AJ56" s="6" t="n">
        <f aca="false">IFERROR(AI56/R56,"")</f>
        <v>5.41176470588235</v>
      </c>
      <c r="AK56" s="10" t="n">
        <v>0.1913</v>
      </c>
      <c r="AL56" s="8" t="n">
        <v>400</v>
      </c>
      <c r="AM56" s="7" t="n">
        <f aca="false">IFERROR(AL56/AI56,"")</f>
        <v>4.34782608695652</v>
      </c>
      <c r="AN56" s="7" t="n">
        <v>2.576</v>
      </c>
      <c r="AO56" s="7" t="n">
        <v>1.772</v>
      </c>
      <c r="AP56" s="8" t="n">
        <v>10</v>
      </c>
      <c r="AQ56" s="7" t="n">
        <v>-0.0642848940231071</v>
      </c>
      <c r="AR56" s="6" t="n">
        <v>30.4347826086957</v>
      </c>
      <c r="AS56" s="7" t="n">
        <v>3.75625</v>
      </c>
      <c r="AT56" s="8" t="n">
        <v>12</v>
      </c>
      <c r="AU56" s="6" t="n">
        <f aca="false">IFERROR(AT56/R56,"")</f>
        <v>0.705882352941177</v>
      </c>
      <c r="AV56" s="10" t="n">
        <v>0.0218</v>
      </c>
      <c r="AW56" s="8" t="n">
        <v>8</v>
      </c>
      <c r="AX56" s="10" t="n">
        <f aca="false">IFERROR(AW56/AT56,"")</f>
        <v>0.666666666666667</v>
      </c>
      <c r="AY56" s="8" t="n">
        <v>25</v>
      </c>
      <c r="AZ56" s="7" t="n">
        <f aca="false">IFERROR(AY56/AT56,"")</f>
        <v>2.08333333333333</v>
      </c>
      <c r="BA56" s="8" t="n">
        <v>17</v>
      </c>
      <c r="BB56" s="8" t="n">
        <v>5</v>
      </c>
      <c r="BC56" s="8" t="n">
        <v>3</v>
      </c>
      <c r="BD56" s="8" t="n">
        <v>2</v>
      </c>
      <c r="BE56" s="7" t="n">
        <v>3.24</v>
      </c>
      <c r="BF56" s="7" t="n">
        <f aca="false">IFERROR(BD56-BE56,"")</f>
        <v>-1.24</v>
      </c>
      <c r="BG56" s="9" t="n">
        <f aca="false">IFERROR(BD56/AH56,"")</f>
        <v>0.0192307692307692</v>
      </c>
      <c r="BH56" s="6" t="n">
        <v>62.4</v>
      </c>
      <c r="BI56" s="6" t="n">
        <v>52.7</v>
      </c>
      <c r="BJ56" s="6" t="n">
        <v>66.9</v>
      </c>
      <c r="BK56" s="7" t="n">
        <v>3.071</v>
      </c>
      <c r="BL56" s="10" t="n">
        <v>0.1627</v>
      </c>
      <c r="BM56" s="10" t="n">
        <v>0.523809523809524</v>
      </c>
      <c r="BN56" s="7" t="n">
        <v>2.522</v>
      </c>
      <c r="BO56" s="10" t="n">
        <v>0.2037</v>
      </c>
      <c r="BP56" s="10" t="n">
        <v>0.0494</v>
      </c>
      <c r="BQ56" s="7" t="n">
        <v>2.4</v>
      </c>
      <c r="BR56" s="10" t="n">
        <v>0.798</v>
      </c>
      <c r="BS56" s="8" t="n">
        <v>4</v>
      </c>
      <c r="BT56" s="10" t="n">
        <v>-0.0621</v>
      </c>
      <c r="BU56" s="10" t="n">
        <v>0.549</v>
      </c>
      <c r="BV56" s="6" t="n">
        <v>60.94</v>
      </c>
      <c r="BW56" s="6" t="n">
        <v>38</v>
      </c>
      <c r="BX56" s="7" t="n">
        <v>3.12</v>
      </c>
      <c r="BY56" s="6" t="n">
        <v>20.8</v>
      </c>
      <c r="BZ56" s="9" t="n">
        <v>-0.0314</v>
      </c>
      <c r="CA56" s="9" t="n">
        <v>-0.0132</v>
      </c>
      <c r="CB56" s="8" t="n">
        <v>151</v>
      </c>
      <c r="CC56" s="10" t="n">
        <v>0.291</v>
      </c>
      <c r="CD56" s="8" t="n">
        <v>160</v>
      </c>
      <c r="CE56" s="10" t="n">
        <v>0.335</v>
      </c>
      <c r="CF56" s="8" t="n">
        <v>49</v>
      </c>
      <c r="CG56" s="7" t="n">
        <v>-0.506</v>
      </c>
      <c r="CH56" s="7" t="n">
        <v>-0.77</v>
      </c>
      <c r="CI56" s="4" t="s">
        <v>121</v>
      </c>
      <c r="CJ56" s="4"/>
    </row>
    <row r="57" customFormat="false" ht="15" hidden="false" customHeight="false" outlineLevel="0" collapsed="false">
      <c r="A57" s="3" t="n">
        <v>55</v>
      </c>
      <c r="B57" s="4" t="s">
        <v>480</v>
      </c>
      <c r="C57" s="11" t="s">
        <v>104</v>
      </c>
      <c r="D57" s="4" t="s">
        <v>481</v>
      </c>
      <c r="E57" s="4" t="s">
        <v>186</v>
      </c>
      <c r="F57" s="4" t="s">
        <v>104</v>
      </c>
      <c r="G57" s="3" t="n">
        <v>2</v>
      </c>
      <c r="H57" s="6" t="n">
        <v>22.6</v>
      </c>
      <c r="I57" s="3" t="n">
        <v>3</v>
      </c>
      <c r="J57" s="3" t="n">
        <v>13</v>
      </c>
      <c r="K57" s="7" t="n">
        <v>182.34</v>
      </c>
      <c r="L57" s="7" t="n">
        <v>31.3</v>
      </c>
      <c r="M57" s="8" t="n">
        <v>135</v>
      </c>
      <c r="N57" s="8" t="n">
        <v>266</v>
      </c>
      <c r="O57" s="7" t="n">
        <v>182.34</v>
      </c>
      <c r="P57" s="6" t="n">
        <v>16.8</v>
      </c>
      <c r="Q57" s="4" t="s">
        <v>186</v>
      </c>
      <c r="R57" s="8" t="n">
        <v>4</v>
      </c>
      <c r="S57" s="6" t="n">
        <v>15.3</v>
      </c>
      <c r="T57" s="7" t="n">
        <f aca="false">IFERROR(S57/R57,"")</f>
        <v>3.825</v>
      </c>
      <c r="U57" s="6" t="n">
        <v>14.3</v>
      </c>
      <c r="V57" s="6" t="n">
        <v>13.3</v>
      </c>
      <c r="W57" s="8" t="n">
        <v>67</v>
      </c>
      <c r="X57" s="7" t="n">
        <f aca="false">IFERROR(S57/AH57,"")</f>
        <v>0.728571428571429</v>
      </c>
      <c r="Y57" s="9" t="n">
        <f aca="false">IFERROR(S57/AF57,"")</f>
        <v>0.263793103448276</v>
      </c>
      <c r="Z57" s="6" t="n">
        <v>0.98</v>
      </c>
      <c r="AA57" s="6" t="n">
        <v>3.9</v>
      </c>
      <c r="AB57" s="6" t="n">
        <v>6.81</v>
      </c>
      <c r="AC57" s="10" t="n">
        <v>0</v>
      </c>
      <c r="AD57" s="10" t="n">
        <v>0.5</v>
      </c>
      <c r="AE57" s="7" t="n">
        <v>0.883</v>
      </c>
      <c r="AF57" s="8" t="n">
        <v>58</v>
      </c>
      <c r="AG57" s="10" t="n">
        <v>0.232</v>
      </c>
      <c r="AH57" s="8" t="n">
        <v>21</v>
      </c>
      <c r="AI57" s="8" t="n">
        <v>18</v>
      </c>
      <c r="AJ57" s="6" t="n">
        <f aca="false">IFERROR(AI57/R57,"")</f>
        <v>4.5</v>
      </c>
      <c r="AK57" s="10" t="n">
        <v>0.1622</v>
      </c>
      <c r="AL57" s="8" t="n">
        <v>76</v>
      </c>
      <c r="AM57" s="7"/>
      <c r="AN57" s="7"/>
      <c r="AO57" s="7"/>
      <c r="AP57" s="8" t="n">
        <v>0</v>
      </c>
      <c r="AQ57" s="7"/>
      <c r="AR57" s="6"/>
      <c r="AS57" s="7"/>
      <c r="AT57" s="8" t="n">
        <v>3</v>
      </c>
      <c r="AU57" s="6" t="n">
        <f aca="false">IFERROR(AT57/R57,"")</f>
        <v>0.75</v>
      </c>
      <c r="AV57" s="10" t="n">
        <v>0.0288</v>
      </c>
      <c r="AW57" s="8" t="n">
        <v>2</v>
      </c>
      <c r="AX57" s="10"/>
      <c r="AY57" s="8" t="n">
        <v>17</v>
      </c>
      <c r="AZ57" s="7"/>
      <c r="BA57" s="8" t="n">
        <v>8</v>
      </c>
      <c r="BB57" s="8" t="n">
        <v>5</v>
      </c>
      <c r="BC57" s="8" t="n">
        <v>1</v>
      </c>
      <c r="BD57" s="8" t="n">
        <v>1</v>
      </c>
      <c r="BE57" s="7" t="n">
        <v>1.38</v>
      </c>
      <c r="BF57" s="7" t="n">
        <f aca="false">IFERROR(BD57-BE57,"")</f>
        <v>-0.38</v>
      </c>
      <c r="BG57" s="9" t="n">
        <f aca="false">IFERROR(BD57/AH57,"")</f>
        <v>0.0476190476190476</v>
      </c>
      <c r="BH57" s="6" t="n">
        <v>38.6</v>
      </c>
      <c r="BI57" s="6" t="n">
        <v>56.3</v>
      </c>
      <c r="BJ57" s="6" t="n">
        <v>25.8</v>
      </c>
      <c r="BK57" s="7" t="n">
        <v>2.892</v>
      </c>
      <c r="BL57" s="10" t="n">
        <v>0.1813</v>
      </c>
      <c r="BM57" s="10" t="n">
        <v>0.739130434782609</v>
      </c>
      <c r="BN57" s="7" t="n">
        <v>2.899</v>
      </c>
      <c r="BO57" s="10" t="n">
        <v>0.3117</v>
      </c>
      <c r="BP57" s="10" t="n">
        <v>0.0989</v>
      </c>
      <c r="BQ57" s="7" t="n">
        <v>2.423</v>
      </c>
      <c r="BR57" s="10" t="n">
        <v>0.808</v>
      </c>
      <c r="BS57" s="8" t="n">
        <v>3</v>
      </c>
      <c r="BT57" s="10" t="n">
        <v>-0.0877</v>
      </c>
      <c r="BU57" s="10" t="n">
        <v>0.4319</v>
      </c>
      <c r="BV57" s="6" t="n">
        <v>59.35</v>
      </c>
      <c r="BW57" s="6" t="n">
        <v>38</v>
      </c>
      <c r="BX57" s="7" t="n">
        <v>2.47</v>
      </c>
      <c r="BY57" s="6" t="n">
        <v>17.6</v>
      </c>
      <c r="BZ57" s="9" t="n">
        <v>-0.061</v>
      </c>
      <c r="CA57" s="9" t="n">
        <v>-0.1799</v>
      </c>
      <c r="CB57" s="8" t="n">
        <v>76</v>
      </c>
      <c r="CC57" s="10" t="n">
        <v>0.161</v>
      </c>
      <c r="CD57" s="8" t="n">
        <v>117</v>
      </c>
      <c r="CE57" s="10" t="n">
        <v>0.257</v>
      </c>
      <c r="CF57" s="8" t="n">
        <v>27</v>
      </c>
      <c r="CG57" s="7" t="n">
        <v>-0.953</v>
      </c>
      <c r="CH57" s="7" t="n">
        <v>-0.647</v>
      </c>
      <c r="CI57" s="4" t="s">
        <v>121</v>
      </c>
      <c r="CJ57" s="4"/>
    </row>
    <row r="58" customFormat="false" ht="15" hidden="false" customHeight="false" outlineLevel="0" collapsed="false">
      <c r="A58" s="3" t="n">
        <v>56</v>
      </c>
      <c r="B58" s="4" t="s">
        <v>488</v>
      </c>
      <c r="C58" s="11" t="s">
        <v>104</v>
      </c>
      <c r="D58" s="4" t="s">
        <v>489</v>
      </c>
      <c r="E58" s="4" t="s">
        <v>147</v>
      </c>
      <c r="F58" s="4" t="s">
        <v>281</v>
      </c>
      <c r="G58" s="3" t="n">
        <v>1</v>
      </c>
      <c r="H58" s="6" t="n">
        <v>26.7</v>
      </c>
      <c r="I58" s="3" t="n">
        <v>3</v>
      </c>
      <c r="J58" s="3" t="n">
        <v>7</v>
      </c>
      <c r="K58" s="7" t="n">
        <v>192.99</v>
      </c>
      <c r="L58" s="7" t="n">
        <v>30.27</v>
      </c>
      <c r="M58" s="8" t="n">
        <v>143</v>
      </c>
      <c r="N58" s="8" t="n">
        <v>263</v>
      </c>
      <c r="O58" s="7" t="n">
        <v>192.99</v>
      </c>
      <c r="P58" s="6" t="n">
        <v>13.5</v>
      </c>
      <c r="Q58" s="4" t="s">
        <v>147</v>
      </c>
      <c r="R58" s="8" t="n">
        <v>17</v>
      </c>
      <c r="S58" s="6" t="n">
        <v>64.1</v>
      </c>
      <c r="T58" s="7" t="n">
        <f aca="false">IFERROR(S58/R58,"")</f>
        <v>3.77058823529412</v>
      </c>
      <c r="U58" s="6" t="n">
        <v>59.1</v>
      </c>
      <c r="V58" s="6" t="n">
        <v>54.1</v>
      </c>
      <c r="W58" s="8" t="n">
        <v>55</v>
      </c>
      <c r="X58" s="7" t="n">
        <f aca="false">IFERROR(S58/AH58,"")</f>
        <v>0.902816901408451</v>
      </c>
      <c r="Y58" s="9" t="n">
        <f aca="false">IFERROR(S58/AF58,"")</f>
        <v>0.381547619047619</v>
      </c>
      <c r="Z58" s="6" t="n">
        <v>0.1</v>
      </c>
      <c r="AA58" s="6" t="n">
        <v>1.6</v>
      </c>
      <c r="AB58" s="6" t="n">
        <v>6.12</v>
      </c>
      <c r="AC58" s="10" t="n">
        <v>0.059</v>
      </c>
      <c r="AD58" s="10" t="n">
        <v>0.647</v>
      </c>
      <c r="AE58" s="7" t="n">
        <v>3.914</v>
      </c>
      <c r="AF58" s="8" t="n">
        <v>168</v>
      </c>
      <c r="AG58" s="10" t="n">
        <v>0.143</v>
      </c>
      <c r="AH58" s="8" t="n">
        <v>71</v>
      </c>
      <c r="AI58" s="8" t="n">
        <v>58</v>
      </c>
      <c r="AJ58" s="6" t="n">
        <f aca="false">IFERROR(AI58/R58,"")</f>
        <v>3.41176470588235</v>
      </c>
      <c r="AK58" s="10" t="n">
        <v>0.106</v>
      </c>
      <c r="AL58" s="8" t="n">
        <v>275</v>
      </c>
      <c r="AM58" s="7" t="n">
        <f aca="false">IFERROR(AL58/AI58,"")</f>
        <v>4.74137931034483</v>
      </c>
      <c r="AN58" s="7" t="n">
        <v>2.5</v>
      </c>
      <c r="AO58" s="7" t="n">
        <v>2.241</v>
      </c>
      <c r="AP58" s="8" t="n">
        <v>3</v>
      </c>
      <c r="AQ58" s="7"/>
      <c r="AR58" s="6"/>
      <c r="AS58" s="7"/>
      <c r="AT58" s="8" t="n">
        <v>13</v>
      </c>
      <c r="AU58" s="6" t="n">
        <f aca="false">IFERROR(AT58/R58,"")</f>
        <v>0.764705882352941</v>
      </c>
      <c r="AV58" s="10" t="n">
        <v>0.0271</v>
      </c>
      <c r="AW58" s="8" t="n">
        <v>10</v>
      </c>
      <c r="AX58" s="10" t="n">
        <f aca="false">IFERROR(AW58/AT58,"")</f>
        <v>0.769230769230769</v>
      </c>
      <c r="AY58" s="8" t="n">
        <v>86</v>
      </c>
      <c r="AZ58" s="7" t="n">
        <f aca="false">IFERROR(AY58/AT58,"")</f>
        <v>6.61538461538462</v>
      </c>
      <c r="BA58" s="8" t="n">
        <v>11</v>
      </c>
      <c r="BB58" s="8" t="n">
        <v>5</v>
      </c>
      <c r="BC58" s="8" t="n">
        <v>4</v>
      </c>
      <c r="BD58" s="8" t="n">
        <v>2</v>
      </c>
      <c r="BE58" s="7" t="n">
        <v>2.98</v>
      </c>
      <c r="BF58" s="7" t="n">
        <f aca="false">IFERROR(BD58-BE58,"")</f>
        <v>-0.98</v>
      </c>
      <c r="BG58" s="9" t="n">
        <f aca="false">IFERROR(BD58/AH58,"")</f>
        <v>0.028169014084507</v>
      </c>
      <c r="BH58" s="6" t="n">
        <v>73.6</v>
      </c>
      <c r="BI58" s="6" t="n">
        <v>72.8</v>
      </c>
      <c r="BJ58" s="6" t="n">
        <v>64.4</v>
      </c>
      <c r="BK58" s="7" t="n">
        <v>3.397</v>
      </c>
      <c r="BL58" s="10" t="n">
        <v>0.1265</v>
      </c>
      <c r="BM58" s="10" t="n">
        <v>0.540540540540541</v>
      </c>
      <c r="BN58" s="7" t="n">
        <v>2.905</v>
      </c>
      <c r="BO58" s="10" t="n">
        <v>0.2</v>
      </c>
      <c r="BP58" s="10" t="n">
        <v>0.0702</v>
      </c>
      <c r="BQ58" s="7" t="n">
        <v>2.507</v>
      </c>
      <c r="BR58" s="10" t="n">
        <v>0.763</v>
      </c>
      <c r="BS58" s="8" t="n">
        <v>4</v>
      </c>
      <c r="BT58" s="10" t="n">
        <v>-0.0352</v>
      </c>
      <c r="BU58" s="10" t="n">
        <v>0.5028</v>
      </c>
      <c r="BV58" s="6" t="n">
        <v>62.65</v>
      </c>
      <c r="BW58" s="6" t="n">
        <v>40</v>
      </c>
      <c r="BX58" s="7" t="n">
        <v>4</v>
      </c>
      <c r="BY58" s="6" t="n">
        <v>28.3</v>
      </c>
      <c r="BZ58" s="9" t="n">
        <v>0.1102</v>
      </c>
      <c r="CA58" s="9" t="n">
        <v>0.1599</v>
      </c>
      <c r="CB58" s="8" t="n">
        <v>19</v>
      </c>
      <c r="CC58" s="10" t="n">
        <v>0.04</v>
      </c>
      <c r="CD58" s="8" t="n">
        <v>17</v>
      </c>
      <c r="CE58" s="10" t="n">
        <v>0.031</v>
      </c>
      <c r="CF58" s="8" t="n">
        <v>2</v>
      </c>
      <c r="CG58" s="7" t="n">
        <v>-0.392</v>
      </c>
      <c r="CH58" s="7" t="n">
        <v>-0.655</v>
      </c>
      <c r="CI58" s="4" t="s">
        <v>121</v>
      </c>
      <c r="CJ58" s="4"/>
    </row>
    <row r="59" customFormat="false" ht="15" hidden="false" customHeight="false" outlineLevel="0" collapsed="false">
      <c r="A59" s="3" t="n">
        <v>57</v>
      </c>
      <c r="B59" s="4" t="s">
        <v>490</v>
      </c>
      <c r="C59" s="11" t="s">
        <v>104</v>
      </c>
      <c r="D59" s="4" t="s">
        <v>491</v>
      </c>
      <c r="E59" s="4" t="s">
        <v>151</v>
      </c>
      <c r="F59" s="4" t="s">
        <v>104</v>
      </c>
      <c r="G59" s="3" t="n">
        <v>3</v>
      </c>
      <c r="H59" s="6" t="n">
        <v>31.3</v>
      </c>
      <c r="I59" s="3" t="n">
        <v>10</v>
      </c>
      <c r="J59" s="3" t="n">
        <v>14</v>
      </c>
      <c r="K59" s="7" t="n">
        <v>194.7</v>
      </c>
      <c r="L59" s="7" t="n">
        <v>41.07</v>
      </c>
      <c r="M59" s="8" t="n">
        <v>117</v>
      </c>
      <c r="N59" s="8" t="n">
        <v>318</v>
      </c>
      <c r="O59" s="7" t="n">
        <v>194.7</v>
      </c>
      <c r="P59" s="6" t="n">
        <v>19.5</v>
      </c>
      <c r="Q59" s="4" t="s">
        <v>151</v>
      </c>
      <c r="R59" s="8" t="n">
        <v>3</v>
      </c>
      <c r="S59" s="6" t="n">
        <v>33.3</v>
      </c>
      <c r="T59" s="7" t="n">
        <f aca="false">IFERROR(S59/R59,"")</f>
        <v>11.1</v>
      </c>
      <c r="U59" s="6" t="n">
        <v>29.3</v>
      </c>
      <c r="V59" s="6" t="n">
        <v>25.3</v>
      </c>
      <c r="W59" s="8" t="n">
        <v>62</v>
      </c>
      <c r="X59" s="7"/>
      <c r="Y59" s="9"/>
      <c r="Z59" s="6" t="n">
        <v>9.45</v>
      </c>
      <c r="AA59" s="6" t="n">
        <v>12.2</v>
      </c>
      <c r="AB59" s="6" t="n">
        <v>13.74</v>
      </c>
      <c r="AC59" s="10" t="n">
        <v>0</v>
      </c>
      <c r="AD59" s="10" t="n">
        <v>0</v>
      </c>
      <c r="AE59" s="7"/>
      <c r="AF59" s="8" t="n">
        <v>93</v>
      </c>
      <c r="AG59" s="10" t="n">
        <v>0.5</v>
      </c>
      <c r="AH59" s="8" t="n">
        <v>41</v>
      </c>
      <c r="AI59" s="8" t="n">
        <v>32</v>
      </c>
      <c r="AJ59" s="6" t="n">
        <f aca="false">IFERROR(AI59/R59,"")</f>
        <v>10.6666666666667</v>
      </c>
      <c r="AK59" s="10" t="n">
        <v>0.4156</v>
      </c>
      <c r="AL59" s="8" t="n">
        <v>95</v>
      </c>
      <c r="AM59" s="7"/>
      <c r="AN59" s="7"/>
      <c r="AO59" s="7"/>
      <c r="AP59" s="8" t="n">
        <v>3</v>
      </c>
      <c r="AQ59" s="7"/>
      <c r="AR59" s="6"/>
      <c r="AS59" s="7"/>
      <c r="AT59" s="8" t="n">
        <v>9</v>
      </c>
      <c r="AU59" s="6" t="n">
        <f aca="false">IFERROR(AT59/R59,"")</f>
        <v>3</v>
      </c>
      <c r="AV59" s="10" t="n">
        <v>0.1023</v>
      </c>
      <c r="AW59" s="8" t="n">
        <v>8</v>
      </c>
      <c r="AX59" s="10"/>
      <c r="AY59" s="8" t="n">
        <v>38</v>
      </c>
      <c r="AZ59" s="7"/>
      <c r="BA59" s="8" t="n">
        <v>6</v>
      </c>
      <c r="BB59" s="8" t="n">
        <v>4</v>
      </c>
      <c r="BC59" s="8" t="n">
        <v>4</v>
      </c>
      <c r="BD59" s="8" t="n">
        <v>2</v>
      </c>
      <c r="BE59" s="7" t="n">
        <v>2.06</v>
      </c>
      <c r="BF59" s="7" t="n">
        <f aca="false">IFERROR(BD59-BE59,"")</f>
        <v>-0.0600000000000001</v>
      </c>
      <c r="BG59" s="9"/>
      <c r="BH59" s="6" t="n">
        <v>36.9</v>
      </c>
      <c r="BI59" s="6" t="n">
        <v>43.8</v>
      </c>
      <c r="BJ59" s="6" t="n">
        <v>35.6</v>
      </c>
      <c r="BK59" s="7" t="n">
        <v>2.771</v>
      </c>
      <c r="BL59" s="10" t="n">
        <v>0.2005</v>
      </c>
      <c r="BM59" s="10" t="n">
        <v>0.65625</v>
      </c>
      <c r="BN59" s="7" t="n">
        <v>2.593</v>
      </c>
      <c r="BO59" s="10" t="n">
        <v>0.282</v>
      </c>
      <c r="BP59" s="10" t="n">
        <v>0.0839</v>
      </c>
      <c r="BQ59" s="7" t="n">
        <v>2.373</v>
      </c>
      <c r="BR59" s="10" t="n">
        <v>0.686</v>
      </c>
      <c r="BS59" s="8" t="n">
        <v>3</v>
      </c>
      <c r="BT59" s="10" t="n">
        <v>0.0399</v>
      </c>
      <c r="BU59" s="10" t="n">
        <v>0.6204</v>
      </c>
      <c r="BV59" s="6" t="n">
        <v>63.18</v>
      </c>
      <c r="BW59" s="6" t="n">
        <v>39</v>
      </c>
      <c r="BX59" s="7" t="n">
        <v>3.59</v>
      </c>
      <c r="BY59" s="6" t="n">
        <v>20.9</v>
      </c>
      <c r="BZ59" s="9" t="n">
        <v>-0.0591</v>
      </c>
      <c r="CA59" s="9" t="n">
        <v>0.0023</v>
      </c>
      <c r="CB59" s="8" t="n">
        <v>106</v>
      </c>
      <c r="CC59" s="10" t="n">
        <v>0.172</v>
      </c>
      <c r="CD59" s="8" t="n">
        <v>173</v>
      </c>
      <c r="CE59" s="10" t="n">
        <v>0.473</v>
      </c>
      <c r="CF59" s="8" t="n">
        <v>41</v>
      </c>
      <c r="CG59" s="7" t="n">
        <v>-0.663</v>
      </c>
      <c r="CH59" s="7" t="n">
        <v>0.739</v>
      </c>
      <c r="CI59" s="4" t="s">
        <v>121</v>
      </c>
      <c r="CJ59" s="4"/>
    </row>
    <row r="60" customFormat="false" ht="15" hidden="false" customHeight="false" outlineLevel="0" collapsed="false">
      <c r="A60" s="3" t="n">
        <v>58</v>
      </c>
      <c r="B60" s="4" t="s">
        <v>492</v>
      </c>
      <c r="C60" s="11" t="s">
        <v>104</v>
      </c>
      <c r="D60" s="4" t="s">
        <v>493</v>
      </c>
      <c r="E60" s="4" t="s">
        <v>170</v>
      </c>
      <c r="F60" s="4" t="s">
        <v>281</v>
      </c>
      <c r="G60" s="3" t="n">
        <v>3</v>
      </c>
      <c r="H60" s="6" t="n">
        <v>25</v>
      </c>
      <c r="I60" s="3" t="n">
        <v>3</v>
      </c>
      <c r="J60" s="3" t="n">
        <v>7</v>
      </c>
      <c r="K60" s="7" t="n">
        <v>194.76</v>
      </c>
      <c r="L60" s="7" t="n">
        <v>35.11</v>
      </c>
      <c r="M60" s="8" t="n">
        <v>152</v>
      </c>
      <c r="N60" s="8" t="n">
        <v>288</v>
      </c>
      <c r="O60" s="7" t="n">
        <v>194.76</v>
      </c>
      <c r="P60" s="6" t="n">
        <v>11.8</v>
      </c>
      <c r="Q60" s="4" t="s">
        <v>170</v>
      </c>
      <c r="R60" s="8" t="n">
        <v>13</v>
      </c>
      <c r="S60" s="6" t="n">
        <v>117.9</v>
      </c>
      <c r="T60" s="7" t="n">
        <f aca="false">IFERROR(S60/R60,"")</f>
        <v>9.06923076923077</v>
      </c>
      <c r="U60" s="6" t="n">
        <v>109.9</v>
      </c>
      <c r="V60" s="6" t="n">
        <v>101.9</v>
      </c>
      <c r="W60" s="8" t="n">
        <v>41</v>
      </c>
      <c r="X60" s="7" t="n">
        <f aca="false">IFERROR(S60/AH60,"")</f>
        <v>0.666101694915254</v>
      </c>
      <c r="Y60" s="9" t="n">
        <f aca="false">IFERROR(S60/AF60,"")</f>
        <v>0.245114345114345</v>
      </c>
      <c r="Z60" s="6" t="n">
        <v>2.9</v>
      </c>
      <c r="AA60" s="6" t="n">
        <v>5.8</v>
      </c>
      <c r="AB60" s="6" t="n">
        <v>19.9</v>
      </c>
      <c r="AC60" s="10" t="n">
        <v>0.308</v>
      </c>
      <c r="AD60" s="10" t="n">
        <v>0.231</v>
      </c>
      <c r="AE60" s="7" t="n">
        <v>1.44</v>
      </c>
      <c r="AF60" s="8" t="n">
        <v>481</v>
      </c>
      <c r="AG60" s="10" t="n">
        <v>0.545</v>
      </c>
      <c r="AH60" s="8" t="n">
        <v>177</v>
      </c>
      <c r="AI60" s="8" t="n">
        <v>155</v>
      </c>
      <c r="AJ60" s="6" t="n">
        <f aca="false">IFERROR(AI60/R60,"")</f>
        <v>11.9230769230769</v>
      </c>
      <c r="AK60" s="10" t="n">
        <v>0.4247</v>
      </c>
      <c r="AL60" s="8" t="n">
        <v>643</v>
      </c>
      <c r="AM60" s="7" t="n">
        <f aca="false">IFERROR(AL60/AI60,"")</f>
        <v>4.14838709677419</v>
      </c>
      <c r="AN60" s="7" t="n">
        <v>1.781</v>
      </c>
      <c r="AO60" s="7" t="n">
        <v>2.368</v>
      </c>
      <c r="AP60" s="8" t="n">
        <v>3</v>
      </c>
      <c r="AQ60" s="7" t="n">
        <v>0.497726977227561</v>
      </c>
      <c r="AR60" s="6" t="n">
        <v>31.6129032258065</v>
      </c>
      <c r="AS60" s="7" t="n">
        <v>3.90367029548989</v>
      </c>
      <c r="AT60" s="8" t="n">
        <v>22</v>
      </c>
      <c r="AU60" s="6" t="n">
        <f aca="false">IFERROR(AT60/R60,"")</f>
        <v>1.69230769230769</v>
      </c>
      <c r="AV60" s="10" t="n">
        <v>0.0541</v>
      </c>
      <c r="AW60" s="8" t="n">
        <v>16</v>
      </c>
      <c r="AX60" s="10" t="n">
        <f aca="false">IFERROR(AW60/AT60,"")</f>
        <v>0.727272727272727</v>
      </c>
      <c r="AY60" s="8" t="n">
        <v>136</v>
      </c>
      <c r="AZ60" s="7" t="n">
        <f aca="false">IFERROR(AY60/AT60,"")</f>
        <v>6.18181818181818</v>
      </c>
      <c r="BA60" s="8" t="n">
        <v>32</v>
      </c>
      <c r="BB60" s="8" t="n">
        <v>14</v>
      </c>
      <c r="BC60" s="8" t="n">
        <v>7</v>
      </c>
      <c r="BD60" s="8" t="n">
        <v>4</v>
      </c>
      <c r="BE60" s="7" t="n">
        <v>6.84</v>
      </c>
      <c r="BF60" s="7" t="n">
        <f aca="false">IFERROR(BD60-BE60,"")</f>
        <v>-2.84</v>
      </c>
      <c r="BG60" s="9" t="n">
        <f aca="false">IFERROR(BD60/AH60,"")</f>
        <v>0.0225988700564972</v>
      </c>
      <c r="BH60" s="6" t="n">
        <v>26.9</v>
      </c>
      <c r="BI60" s="6" t="n">
        <v>40.7</v>
      </c>
      <c r="BJ60" s="6" t="n">
        <v>23</v>
      </c>
      <c r="BK60" s="7" t="n">
        <v>2.77</v>
      </c>
      <c r="BL60" s="10" t="n">
        <v>0.2195</v>
      </c>
      <c r="BM60" s="10" t="n">
        <v>0.611111111111111</v>
      </c>
      <c r="BN60" s="7" t="n">
        <v>2.614</v>
      </c>
      <c r="BO60" s="10" t="n">
        <v>0.3427</v>
      </c>
      <c r="BP60" s="10" t="n">
        <v>0.0832</v>
      </c>
      <c r="BQ60" s="7" t="n">
        <v>2.37</v>
      </c>
      <c r="BR60" s="10" t="n">
        <v>0.205</v>
      </c>
      <c r="BS60" s="8" t="n">
        <v>1</v>
      </c>
      <c r="BT60" s="10" t="n">
        <v>0.0064</v>
      </c>
      <c r="BU60" s="10" t="n">
        <v>0.579</v>
      </c>
      <c r="BV60" s="6" t="n">
        <v>63.53</v>
      </c>
      <c r="BW60" s="6" t="n">
        <v>39</v>
      </c>
      <c r="BX60" s="7" t="n">
        <v>3.47</v>
      </c>
      <c r="BY60" s="6" t="n">
        <v>21.6</v>
      </c>
      <c r="BZ60" s="9" t="n">
        <v>0.0187</v>
      </c>
      <c r="CA60" s="9" t="n">
        <v>-0.0542</v>
      </c>
      <c r="CB60" s="8" t="n">
        <v>15</v>
      </c>
      <c r="CC60" s="10" t="n">
        <v>0.028</v>
      </c>
      <c r="CD60" s="8" t="n">
        <v>23</v>
      </c>
      <c r="CE60" s="10" t="n">
        <v>0.049</v>
      </c>
      <c r="CF60" s="8" t="n">
        <v>2</v>
      </c>
      <c r="CG60" s="7" t="n">
        <v>0.293</v>
      </c>
      <c r="CH60" s="7" t="n">
        <v>0.511</v>
      </c>
      <c r="CI60" s="4" t="s">
        <v>102</v>
      </c>
      <c r="CJ60" s="4"/>
    </row>
    <row r="61" customFormat="false" ht="15" hidden="false" customHeight="false" outlineLevel="0" collapsed="false">
      <c r="A61" s="3" t="n">
        <v>59</v>
      </c>
      <c r="B61" s="4" t="s">
        <v>498</v>
      </c>
      <c r="C61" s="11" t="s">
        <v>104</v>
      </c>
      <c r="D61" s="4" t="s">
        <v>499</v>
      </c>
      <c r="E61" s="4" t="s">
        <v>164</v>
      </c>
      <c r="F61" s="4" t="s">
        <v>104</v>
      </c>
      <c r="G61" s="3" t="n">
        <v>3</v>
      </c>
      <c r="H61" s="6" t="n">
        <v>22.9</v>
      </c>
      <c r="I61" s="3" t="n">
        <v>0</v>
      </c>
      <c r="J61" s="3" t="n">
        <v>5</v>
      </c>
      <c r="K61" s="7" t="n">
        <v>198</v>
      </c>
      <c r="L61" s="7" t="n">
        <v>40.58</v>
      </c>
      <c r="M61" s="8" t="n">
        <v>148</v>
      </c>
      <c r="N61" s="8" t="n">
        <v>322</v>
      </c>
      <c r="O61" s="7" t="n">
        <v>198</v>
      </c>
      <c r="P61" s="6" t="n">
        <v>18.5</v>
      </c>
      <c r="Q61" s="4"/>
      <c r="R61" s="8"/>
      <c r="S61" s="6"/>
      <c r="T61" s="7"/>
      <c r="U61" s="6"/>
      <c r="V61" s="6"/>
      <c r="W61" s="8"/>
      <c r="X61" s="7"/>
      <c r="Y61" s="9"/>
      <c r="Z61" s="6"/>
      <c r="AA61" s="6"/>
      <c r="AB61" s="6"/>
      <c r="AC61" s="10"/>
      <c r="AD61" s="10"/>
      <c r="AE61" s="7"/>
      <c r="AF61" s="8"/>
      <c r="AG61" s="10"/>
      <c r="AH61" s="8"/>
      <c r="AI61" s="8"/>
      <c r="AJ61" s="6"/>
      <c r="AK61" s="10"/>
      <c r="AL61" s="8"/>
      <c r="AM61" s="7"/>
      <c r="AN61" s="7"/>
      <c r="AO61" s="7"/>
      <c r="AP61" s="8"/>
      <c r="AQ61" s="7"/>
      <c r="AR61" s="6"/>
      <c r="AS61" s="7"/>
      <c r="AT61" s="8"/>
      <c r="AU61" s="6"/>
      <c r="AV61" s="10"/>
      <c r="AW61" s="8"/>
      <c r="AX61" s="10"/>
      <c r="AY61" s="8"/>
      <c r="AZ61" s="7"/>
      <c r="BA61" s="8"/>
      <c r="BB61" s="8"/>
      <c r="BC61" s="8"/>
      <c r="BD61" s="8"/>
      <c r="BE61" s="7"/>
      <c r="BF61" s="7"/>
      <c r="BG61" s="9"/>
      <c r="BH61" s="6" t="n">
        <v>50.1</v>
      </c>
      <c r="BI61" s="6" t="n">
        <v>66.2</v>
      </c>
      <c r="BJ61" s="6" t="n">
        <v>34</v>
      </c>
      <c r="BK61" s="7" t="n">
        <v>3.062</v>
      </c>
      <c r="BL61" s="10" t="n">
        <v>0.1258</v>
      </c>
      <c r="BM61" s="10" t="n">
        <v>0.8125</v>
      </c>
      <c r="BN61" s="7" t="n">
        <v>2.623</v>
      </c>
      <c r="BO61" s="10" t="n">
        <v>0.2877</v>
      </c>
      <c r="BP61" s="10" t="n">
        <v>0.0659</v>
      </c>
      <c r="BQ61" s="7" t="n">
        <v>2.212</v>
      </c>
      <c r="BR61" s="10" t="n">
        <v>0.864</v>
      </c>
      <c r="BS61" s="8" t="n">
        <v>5</v>
      </c>
      <c r="BT61" s="10" t="n">
        <v>0.0395</v>
      </c>
      <c r="BU61" s="10" t="n">
        <v>0.5721</v>
      </c>
      <c r="BV61" s="6" t="n">
        <v>61.65</v>
      </c>
      <c r="BW61" s="6" t="n">
        <v>38</v>
      </c>
      <c r="BX61" s="7" t="n">
        <v>3.71</v>
      </c>
      <c r="BY61" s="6" t="n">
        <v>21.3</v>
      </c>
      <c r="BZ61" s="9" t="n">
        <v>0.0273</v>
      </c>
      <c r="CA61" s="9" t="n">
        <v>0.0399</v>
      </c>
      <c r="CB61" s="8" t="n">
        <v>147</v>
      </c>
      <c r="CC61" s="10" t="n">
        <v>0.268</v>
      </c>
      <c r="CD61" s="8" t="n">
        <v>129</v>
      </c>
      <c r="CE61" s="10" t="n">
        <v>0.3</v>
      </c>
      <c r="CF61" s="8" t="n">
        <v>43</v>
      </c>
      <c r="CG61" s="7"/>
      <c r="CH61" s="7"/>
      <c r="CI61" s="4"/>
      <c r="CJ61" s="4" t="s">
        <v>206</v>
      </c>
    </row>
    <row r="62" customFormat="false" ht="15" hidden="false" customHeight="false" outlineLevel="0" collapsed="false">
      <c r="A62" s="3" t="n">
        <v>60</v>
      </c>
      <c r="B62" s="4" t="s">
        <v>504</v>
      </c>
      <c r="C62" s="11" t="s">
        <v>104</v>
      </c>
      <c r="D62" s="4" t="s">
        <v>505</v>
      </c>
      <c r="E62" s="4" t="s">
        <v>198</v>
      </c>
      <c r="F62" s="4" t="s">
        <v>281</v>
      </c>
      <c r="G62" s="3" t="n">
        <v>3</v>
      </c>
      <c r="H62" s="6" t="n">
        <v>24.8</v>
      </c>
      <c r="I62" s="3" t="n">
        <v>4</v>
      </c>
      <c r="J62" s="3" t="n">
        <v>10</v>
      </c>
      <c r="K62" s="7" t="n">
        <v>200.06</v>
      </c>
      <c r="L62" s="7" t="n">
        <v>34.26</v>
      </c>
      <c r="M62" s="8" t="n">
        <v>141</v>
      </c>
      <c r="N62" s="8" t="n">
        <v>299</v>
      </c>
      <c r="O62" s="7" t="n">
        <v>200.06</v>
      </c>
      <c r="P62" s="6" t="n">
        <v>11.1</v>
      </c>
      <c r="Q62" s="4" t="s">
        <v>198</v>
      </c>
      <c r="R62" s="8" t="n">
        <v>17</v>
      </c>
      <c r="S62" s="6" t="n">
        <v>91.4</v>
      </c>
      <c r="T62" s="7" t="n">
        <f aca="false">IFERROR(S62/R62,"")</f>
        <v>5.3764705882353</v>
      </c>
      <c r="U62" s="6" t="n">
        <v>87.4</v>
      </c>
      <c r="V62" s="6" t="n">
        <v>83.4</v>
      </c>
      <c r="W62" s="8" t="n">
        <v>48</v>
      </c>
      <c r="X62" s="7" t="n">
        <f aca="false">IFERROR(S62/AH62,"")</f>
        <v>0.942268041237114</v>
      </c>
      <c r="Y62" s="9" t="n">
        <f aca="false">IFERROR(S62/AF62,"")</f>
        <v>0.516384180790961</v>
      </c>
      <c r="Z62" s="6" t="n">
        <v>0.15</v>
      </c>
      <c r="AA62" s="6" t="n">
        <v>4.25</v>
      </c>
      <c r="AB62" s="6" t="n">
        <v>8.8</v>
      </c>
      <c r="AC62" s="10" t="n">
        <v>0.062</v>
      </c>
      <c r="AD62" s="10" t="n">
        <v>0.438</v>
      </c>
      <c r="AE62" s="7" t="n">
        <v>1.973</v>
      </c>
      <c r="AF62" s="8" t="n">
        <v>177</v>
      </c>
      <c r="AG62" s="10" t="n">
        <v>0.158</v>
      </c>
      <c r="AH62" s="8" t="n">
        <v>97</v>
      </c>
      <c r="AI62" s="8" t="n">
        <v>86</v>
      </c>
      <c r="AJ62" s="6" t="n">
        <f aca="false">IFERROR(AI62/R62,"")</f>
        <v>5.05882352941176</v>
      </c>
      <c r="AK62" s="10" t="n">
        <v>0.2087</v>
      </c>
      <c r="AL62" s="8" t="n">
        <v>320</v>
      </c>
      <c r="AM62" s="7" t="n">
        <f aca="false">IFERROR(AL62/AI62,"")</f>
        <v>3.72093023255814</v>
      </c>
      <c r="AN62" s="7" t="n">
        <v>2.756</v>
      </c>
      <c r="AO62" s="7" t="n">
        <v>0.965</v>
      </c>
      <c r="AP62" s="8" t="n">
        <v>5</v>
      </c>
      <c r="AQ62" s="7"/>
      <c r="AR62" s="6"/>
      <c r="AS62" s="7"/>
      <c r="AT62" s="8" t="n">
        <v>11</v>
      </c>
      <c r="AU62" s="6" t="n">
        <f aca="false">IFERROR(AT62/R62,"")</f>
        <v>0.647058823529412</v>
      </c>
      <c r="AV62" s="10" t="n">
        <v>0.0233</v>
      </c>
      <c r="AW62" s="8" t="n">
        <v>8</v>
      </c>
      <c r="AX62" s="10" t="n">
        <f aca="false">IFERROR(AW62/AT62,"")</f>
        <v>0.727272727272727</v>
      </c>
      <c r="AY62" s="8" t="n">
        <v>34</v>
      </c>
      <c r="AZ62" s="7" t="n">
        <f aca="false">IFERROR(AY62/AT62,"")</f>
        <v>3.09090909090909</v>
      </c>
      <c r="BA62" s="8" t="n">
        <v>24</v>
      </c>
      <c r="BB62" s="8" t="n">
        <v>15</v>
      </c>
      <c r="BC62" s="8" t="n">
        <v>12</v>
      </c>
      <c r="BD62" s="8" t="n">
        <v>8</v>
      </c>
      <c r="BE62" s="7" t="n">
        <v>6.7</v>
      </c>
      <c r="BF62" s="7" t="n">
        <f aca="false">IFERROR(BD62-BE62,"")</f>
        <v>1.3</v>
      </c>
      <c r="BG62" s="9" t="n">
        <f aca="false">IFERROR(BD62/AH62,"")</f>
        <v>0.0824742268041237</v>
      </c>
      <c r="BH62" s="6" t="n">
        <v>57.4</v>
      </c>
      <c r="BI62" s="6" t="n">
        <v>46.3</v>
      </c>
      <c r="BJ62" s="6" t="n">
        <v>65.4</v>
      </c>
      <c r="BK62" s="7" t="n">
        <v>2.736</v>
      </c>
      <c r="BL62" s="10" t="n">
        <v>0.1938</v>
      </c>
      <c r="BM62" s="10" t="n">
        <v>0.708333333333333</v>
      </c>
      <c r="BN62" s="7" t="n">
        <v>2.699</v>
      </c>
      <c r="BO62" s="10" t="n">
        <v>0.172</v>
      </c>
      <c r="BP62" s="10" t="n">
        <v>0.0571</v>
      </c>
      <c r="BQ62" s="7" t="n">
        <v>2.292</v>
      </c>
      <c r="BR62" s="10" t="n">
        <v>0.791</v>
      </c>
      <c r="BS62" s="8" t="n">
        <v>4</v>
      </c>
      <c r="BT62" s="10" t="n">
        <v>-0.0347</v>
      </c>
      <c r="BU62" s="10" t="n">
        <v>0.5148</v>
      </c>
      <c r="BV62" s="6" t="n">
        <v>62.65</v>
      </c>
      <c r="BW62" s="6" t="n">
        <v>41</v>
      </c>
      <c r="BX62" s="7" t="n">
        <v>3.12</v>
      </c>
      <c r="BY62" s="6" t="n">
        <v>22.4</v>
      </c>
      <c r="BZ62" s="9" t="n">
        <v>0.0138</v>
      </c>
      <c r="CA62" s="9" t="n">
        <v>-0.0264</v>
      </c>
      <c r="CB62" s="8" t="n">
        <v>111</v>
      </c>
      <c r="CC62" s="10" t="n">
        <v>0.205</v>
      </c>
      <c r="CD62" s="8" t="n">
        <v>138</v>
      </c>
      <c r="CE62" s="10" t="n">
        <v>0.292</v>
      </c>
      <c r="CF62" s="8" t="n">
        <v>38</v>
      </c>
      <c r="CG62" s="7" t="n">
        <v>0.057</v>
      </c>
      <c r="CH62" s="7" t="n">
        <v>-0.207</v>
      </c>
      <c r="CI62" s="4" t="s">
        <v>102</v>
      </c>
      <c r="CJ62" s="4"/>
    </row>
    <row r="63" customFormat="false" ht="15" hidden="false" customHeight="false" outlineLevel="0" collapsed="false">
      <c r="A63" s="3" t="n">
        <v>61</v>
      </c>
      <c r="B63" s="4" t="s">
        <v>516</v>
      </c>
      <c r="C63" s="11" t="s">
        <v>104</v>
      </c>
      <c r="D63" s="4" t="s">
        <v>517</v>
      </c>
      <c r="E63" s="4" t="s">
        <v>142</v>
      </c>
      <c r="F63" s="4"/>
      <c r="G63" s="3"/>
      <c r="H63" s="6" t="n">
        <v>23.1</v>
      </c>
      <c r="I63" s="3" t="n">
        <v>0</v>
      </c>
      <c r="J63" s="3" t="n">
        <v>13</v>
      </c>
      <c r="K63" s="7" t="n">
        <v>206.02</v>
      </c>
      <c r="L63" s="7" t="n">
        <v>34.45</v>
      </c>
      <c r="M63" s="8" t="n">
        <v>143</v>
      </c>
      <c r="N63" s="8" t="n">
        <v>313</v>
      </c>
      <c r="O63" s="7" t="n">
        <v>206.02</v>
      </c>
      <c r="P63" s="6" t="n">
        <v>17.5</v>
      </c>
      <c r="Q63" s="4"/>
      <c r="R63" s="8"/>
      <c r="S63" s="6"/>
      <c r="T63" s="7"/>
      <c r="U63" s="6"/>
      <c r="V63" s="6"/>
      <c r="W63" s="8"/>
      <c r="X63" s="7"/>
      <c r="Y63" s="9"/>
      <c r="Z63" s="6"/>
      <c r="AA63" s="6"/>
      <c r="AB63" s="6"/>
      <c r="AC63" s="10"/>
      <c r="AD63" s="10"/>
      <c r="AE63" s="7"/>
      <c r="AF63" s="8"/>
      <c r="AG63" s="10"/>
      <c r="AH63" s="8"/>
      <c r="AI63" s="8"/>
      <c r="AJ63" s="6"/>
      <c r="AK63" s="10"/>
      <c r="AL63" s="8"/>
      <c r="AM63" s="7"/>
      <c r="AN63" s="7"/>
      <c r="AO63" s="7"/>
      <c r="AP63" s="8"/>
      <c r="AQ63" s="7"/>
      <c r="AR63" s="6"/>
      <c r="AS63" s="7"/>
      <c r="AT63" s="8"/>
      <c r="AU63" s="6"/>
      <c r="AV63" s="10"/>
      <c r="AW63" s="8"/>
      <c r="AX63" s="10"/>
      <c r="AY63" s="8"/>
      <c r="AZ63" s="7"/>
      <c r="BA63" s="8"/>
      <c r="BB63" s="8"/>
      <c r="BC63" s="8"/>
      <c r="BD63" s="8"/>
      <c r="BE63" s="7"/>
      <c r="BF63" s="7"/>
      <c r="BG63" s="9"/>
      <c r="BH63" s="6" t="n">
        <v>15.2</v>
      </c>
      <c r="BI63" s="6" t="n">
        <v>7.8</v>
      </c>
      <c r="BJ63" s="6" t="n">
        <v>37.5</v>
      </c>
      <c r="BK63" s="7" t="n">
        <v>2.49</v>
      </c>
      <c r="BL63" s="10" t="n">
        <v>0.2502</v>
      </c>
      <c r="BM63" s="10" t="n">
        <v>0.366666666666667</v>
      </c>
      <c r="BN63" s="7" t="n">
        <v>1.629</v>
      </c>
      <c r="BO63" s="10" t="n">
        <v>0.2641</v>
      </c>
      <c r="BP63" s="10" t="n">
        <v>0.1019</v>
      </c>
      <c r="BQ63" s="7" t="n">
        <v>2.487</v>
      </c>
      <c r="BR63" s="10" t="n">
        <v>0.384</v>
      </c>
      <c r="BS63" s="8" t="n">
        <v>2</v>
      </c>
      <c r="BT63" s="10" t="n">
        <v>-0.0175</v>
      </c>
      <c r="BU63" s="10" t="n">
        <v>0.5679</v>
      </c>
      <c r="BV63" s="6" t="n">
        <v>55.41</v>
      </c>
      <c r="BW63" s="6" t="n">
        <v>38</v>
      </c>
      <c r="BX63" s="7" t="n">
        <v>2.24</v>
      </c>
      <c r="BY63" s="6" t="n">
        <v>14.2</v>
      </c>
      <c r="BZ63" s="9" t="n">
        <v>-0.2605</v>
      </c>
      <c r="CA63" s="9" t="n">
        <v>-0.187</v>
      </c>
      <c r="CB63" s="8" t="n">
        <v>55</v>
      </c>
      <c r="CC63" s="10" t="n">
        <v>0.111</v>
      </c>
      <c r="CD63" s="8" t="n">
        <v>58</v>
      </c>
      <c r="CE63" s="10" t="n">
        <v>0.157</v>
      </c>
      <c r="CF63" s="8" t="n">
        <v>13</v>
      </c>
      <c r="CG63" s="7"/>
      <c r="CH63" s="7"/>
      <c r="CI63" s="4"/>
      <c r="CJ63" s="4" t="s">
        <v>206</v>
      </c>
    </row>
    <row r="64" customFormat="false" ht="15" hidden="false" customHeight="false" outlineLevel="0" collapsed="false">
      <c r="A64" s="3" t="n">
        <v>62</v>
      </c>
      <c r="B64" s="4" t="s">
        <v>522</v>
      </c>
      <c r="C64" s="11" t="s">
        <v>104</v>
      </c>
      <c r="D64" s="4" t="s">
        <v>523</v>
      </c>
      <c r="E64" s="4" t="s">
        <v>115</v>
      </c>
      <c r="F64" s="4" t="s">
        <v>104</v>
      </c>
      <c r="G64" s="3" t="n">
        <v>4</v>
      </c>
      <c r="H64" s="6" t="n">
        <v>27.3</v>
      </c>
      <c r="I64" s="3" t="n">
        <v>4</v>
      </c>
      <c r="J64" s="3" t="n">
        <v>11</v>
      </c>
      <c r="K64" s="7" t="n">
        <v>208.66</v>
      </c>
      <c r="L64" s="7" t="n">
        <v>35.97</v>
      </c>
      <c r="M64" s="8" t="n">
        <v>143</v>
      </c>
      <c r="N64" s="8" t="n">
        <v>290</v>
      </c>
      <c r="O64" s="7" t="n">
        <v>208.66</v>
      </c>
      <c r="P64" s="6" t="n">
        <v>10.1</v>
      </c>
      <c r="Q64" s="4" t="s">
        <v>218</v>
      </c>
      <c r="R64" s="8" t="n">
        <v>17</v>
      </c>
      <c r="S64" s="6" t="n">
        <v>94.5</v>
      </c>
      <c r="T64" s="7" t="n">
        <f aca="false">IFERROR(S64/R64,"")</f>
        <v>5.55882352941176</v>
      </c>
      <c r="U64" s="6" t="n">
        <v>87</v>
      </c>
      <c r="V64" s="6" t="n">
        <v>79.5</v>
      </c>
      <c r="W64" s="8" t="n">
        <v>46</v>
      </c>
      <c r="X64" s="7" t="n">
        <f aca="false">IFERROR(S64/AH64,"")</f>
        <v>0.665492957746479</v>
      </c>
      <c r="Y64" s="9" t="n">
        <f aca="false">IFERROR(S64/AF64,"")</f>
        <v>0.289877300613497</v>
      </c>
      <c r="Z64" s="6" t="n">
        <v>1.4</v>
      </c>
      <c r="AA64" s="6" t="n">
        <v>2.5</v>
      </c>
      <c r="AB64" s="6" t="n">
        <v>11.46</v>
      </c>
      <c r="AC64" s="10" t="n">
        <v>0.059</v>
      </c>
      <c r="AD64" s="10" t="n">
        <v>0.471</v>
      </c>
      <c r="AE64" s="7" t="n">
        <v>2.776</v>
      </c>
      <c r="AF64" s="8" t="n">
        <v>326</v>
      </c>
      <c r="AG64" s="10" t="n">
        <v>0.311</v>
      </c>
      <c r="AH64" s="8" t="n">
        <v>142</v>
      </c>
      <c r="AI64" s="8" t="n">
        <v>125</v>
      </c>
      <c r="AJ64" s="6" t="n">
        <f aca="false">IFERROR(AI64/R64,"")</f>
        <v>7.35294117647059</v>
      </c>
      <c r="AK64" s="10" t="n">
        <v>0.2541</v>
      </c>
      <c r="AL64" s="8" t="n">
        <v>496</v>
      </c>
      <c r="AM64" s="7" t="n">
        <f aca="false">IFERROR(AL64/AI64,"")</f>
        <v>3.968</v>
      </c>
      <c r="AN64" s="7" t="n">
        <v>1.736</v>
      </c>
      <c r="AO64" s="7" t="n">
        <v>2.232</v>
      </c>
      <c r="AP64" s="8" t="n">
        <v>7</v>
      </c>
      <c r="AQ64" s="7" t="n">
        <v>-0.213823006172269</v>
      </c>
      <c r="AR64" s="6" t="n">
        <v>28</v>
      </c>
      <c r="AS64" s="7" t="n">
        <v>3.85014112903226</v>
      </c>
      <c r="AT64" s="8" t="n">
        <v>17</v>
      </c>
      <c r="AU64" s="6" t="n">
        <f aca="false">IFERROR(AT64/R64,"")</f>
        <v>1</v>
      </c>
      <c r="AV64" s="10" t="n">
        <v>0.037</v>
      </c>
      <c r="AW64" s="8" t="n">
        <v>15</v>
      </c>
      <c r="AX64" s="10" t="n">
        <f aca="false">IFERROR(AW64/AT64,"")</f>
        <v>0.882352941176471</v>
      </c>
      <c r="AY64" s="8" t="n">
        <v>99</v>
      </c>
      <c r="AZ64" s="7" t="n">
        <f aca="false">IFERROR(AY64/AT64,"")</f>
        <v>5.82352941176471</v>
      </c>
      <c r="BA64" s="8" t="n">
        <v>26</v>
      </c>
      <c r="BB64" s="8" t="n">
        <v>9</v>
      </c>
      <c r="BC64" s="8" t="n">
        <v>4</v>
      </c>
      <c r="BD64" s="8" t="n">
        <v>3</v>
      </c>
      <c r="BE64" s="7" t="n">
        <v>4.18</v>
      </c>
      <c r="BF64" s="7" t="n">
        <f aca="false">IFERROR(BD64-BE64,"")</f>
        <v>-1.18</v>
      </c>
      <c r="BG64" s="9" t="n">
        <f aca="false">IFERROR(BD64/AH64,"")</f>
        <v>0.0211267605633803</v>
      </c>
      <c r="BH64" s="6" t="n">
        <v>49.9</v>
      </c>
      <c r="BI64" s="6" t="n">
        <v>39.3</v>
      </c>
      <c r="BJ64" s="6" t="n">
        <v>60.5</v>
      </c>
      <c r="BK64" s="7" t="n">
        <v>2.758</v>
      </c>
      <c r="BL64" s="10" t="n">
        <v>0.2121</v>
      </c>
      <c r="BM64" s="10" t="n">
        <v>0.612903225806452</v>
      </c>
      <c r="BN64" s="7" t="n">
        <v>2.477</v>
      </c>
      <c r="BO64" s="10" t="n">
        <v>0.2266</v>
      </c>
      <c r="BP64" s="10" t="n">
        <v>0.0535</v>
      </c>
      <c r="BQ64" s="7" t="n">
        <v>2.4</v>
      </c>
      <c r="BR64" s="10" t="n">
        <v>0.942</v>
      </c>
      <c r="BS64" s="8" t="n">
        <v>5</v>
      </c>
      <c r="BT64" s="10" t="n">
        <v>-0.0677</v>
      </c>
      <c r="BU64" s="10" t="n">
        <v>0.5204</v>
      </c>
      <c r="BV64" s="6" t="n">
        <v>58.65</v>
      </c>
      <c r="BW64" s="6" t="n">
        <v>39</v>
      </c>
      <c r="BX64" s="7" t="n">
        <v>3.53</v>
      </c>
      <c r="BY64" s="6" t="n">
        <v>28.4</v>
      </c>
      <c r="BZ64" s="9" t="n">
        <v>-0.0491</v>
      </c>
      <c r="CA64" s="9" t="n">
        <v>0.1122</v>
      </c>
      <c r="CB64" s="8" t="n">
        <v>39</v>
      </c>
      <c r="CC64" s="10" t="n">
        <v>0.086</v>
      </c>
      <c r="CD64" s="8" t="n">
        <v>221</v>
      </c>
      <c r="CE64" s="10" t="n">
        <v>0.436</v>
      </c>
      <c r="CF64" s="8" t="n">
        <v>37</v>
      </c>
      <c r="CG64" s="7" t="n">
        <v>0.215</v>
      </c>
      <c r="CH64" s="7" t="n">
        <v>-0.092</v>
      </c>
      <c r="CI64" s="4" t="s">
        <v>102</v>
      </c>
      <c r="CJ64" s="4"/>
    </row>
    <row r="65" customFormat="false" ht="15" hidden="false" customHeight="false" outlineLevel="0" collapsed="false">
      <c r="A65" s="3" t="n">
        <v>63</v>
      </c>
      <c r="B65" s="4" t="s">
        <v>528</v>
      </c>
      <c r="C65" s="11" t="s">
        <v>104</v>
      </c>
      <c r="D65" s="4" t="s">
        <v>529</v>
      </c>
      <c r="E65" s="4" t="s">
        <v>265</v>
      </c>
      <c r="F65" s="4" t="s">
        <v>104</v>
      </c>
      <c r="G65" s="3" t="n">
        <v>3</v>
      </c>
      <c r="H65" s="6" t="n">
        <v>22.6</v>
      </c>
      <c r="I65" s="3" t="n">
        <v>0</v>
      </c>
      <c r="J65" s="3" t="n">
        <v>9</v>
      </c>
      <c r="K65" s="7" t="n">
        <v>216.81</v>
      </c>
      <c r="L65" s="7" t="n">
        <v>42.14</v>
      </c>
      <c r="M65" s="8" t="n">
        <v>135</v>
      </c>
      <c r="N65" s="8" t="n">
        <v>323</v>
      </c>
      <c r="O65" s="7" t="n">
        <v>216.81</v>
      </c>
      <c r="P65" s="6" t="n">
        <v>17</v>
      </c>
      <c r="Q65" s="4"/>
      <c r="R65" s="8"/>
      <c r="S65" s="6"/>
      <c r="T65" s="7"/>
      <c r="U65" s="6"/>
      <c r="V65" s="6"/>
      <c r="W65" s="8"/>
      <c r="X65" s="7"/>
      <c r="Y65" s="9"/>
      <c r="Z65" s="6"/>
      <c r="AA65" s="6"/>
      <c r="AB65" s="6"/>
      <c r="AC65" s="10"/>
      <c r="AD65" s="10"/>
      <c r="AE65" s="7"/>
      <c r="AF65" s="8"/>
      <c r="AG65" s="10"/>
      <c r="AH65" s="8"/>
      <c r="AI65" s="8"/>
      <c r="AJ65" s="6"/>
      <c r="AK65" s="10"/>
      <c r="AL65" s="8"/>
      <c r="AM65" s="7"/>
      <c r="AN65" s="7"/>
      <c r="AO65" s="7"/>
      <c r="AP65" s="8"/>
      <c r="AQ65" s="7"/>
      <c r="AR65" s="6"/>
      <c r="AS65" s="7"/>
      <c r="AT65" s="8"/>
      <c r="AU65" s="6"/>
      <c r="AV65" s="10"/>
      <c r="AW65" s="8"/>
      <c r="AX65" s="10"/>
      <c r="AY65" s="8"/>
      <c r="AZ65" s="7"/>
      <c r="BA65" s="8"/>
      <c r="BB65" s="8"/>
      <c r="BC65" s="8"/>
      <c r="BD65" s="8"/>
      <c r="BE65" s="7"/>
      <c r="BF65" s="7"/>
      <c r="BG65" s="9"/>
      <c r="BH65" s="6" t="n">
        <v>41.1</v>
      </c>
      <c r="BI65" s="6" t="n">
        <v>58.4</v>
      </c>
      <c r="BJ65" s="6" t="n">
        <v>27.6</v>
      </c>
      <c r="BK65" s="7" t="n">
        <v>3.085</v>
      </c>
      <c r="BL65" s="10" t="n">
        <v>0.1549</v>
      </c>
      <c r="BM65" s="10" t="n">
        <v>0.666666666666667</v>
      </c>
      <c r="BN65" s="7" t="n">
        <v>2.54</v>
      </c>
      <c r="BO65" s="10" t="n">
        <v>0.3175</v>
      </c>
      <c r="BP65" s="10" t="n">
        <v>0.0872</v>
      </c>
      <c r="BQ65" s="7" t="n">
        <v>2.389</v>
      </c>
      <c r="BR65" s="10" t="n">
        <v>0.527</v>
      </c>
      <c r="BS65" s="8" t="n">
        <v>3</v>
      </c>
      <c r="BT65" s="10" t="n">
        <v>-0.0385</v>
      </c>
      <c r="BU65" s="10" t="n">
        <v>0.5401</v>
      </c>
      <c r="BV65" s="6" t="n">
        <v>58.53</v>
      </c>
      <c r="BW65" s="6" t="n">
        <v>40</v>
      </c>
      <c r="BX65" s="7" t="n">
        <v>2.06</v>
      </c>
      <c r="BY65" s="6" t="n">
        <v>16.7</v>
      </c>
      <c r="BZ65" s="9" t="n">
        <v>-0.0573</v>
      </c>
      <c r="CA65" s="9" t="n">
        <v>-0.2208</v>
      </c>
      <c r="CB65" s="8" t="n">
        <v>152</v>
      </c>
      <c r="CC65" s="10" t="n">
        <v>0.287</v>
      </c>
      <c r="CD65" s="8" t="n">
        <v>0</v>
      </c>
      <c r="CE65" s="10" t="n">
        <v>0</v>
      </c>
      <c r="CF65" s="8" t="n">
        <v>8</v>
      </c>
      <c r="CG65" s="7"/>
      <c r="CH65" s="7"/>
      <c r="CI65" s="4"/>
      <c r="CJ65" s="4" t="s">
        <v>206</v>
      </c>
    </row>
    <row r="66" customFormat="false" ht="15" hidden="false" customHeight="false" outlineLevel="0" collapsed="false">
      <c r="A66" s="3" t="n">
        <v>64</v>
      </c>
      <c r="B66" s="4" t="s">
        <v>534</v>
      </c>
      <c r="C66" s="11" t="s">
        <v>104</v>
      </c>
      <c r="D66" s="4" t="s">
        <v>535</v>
      </c>
      <c r="E66" s="4" t="s">
        <v>218</v>
      </c>
      <c r="F66" s="4" t="s">
        <v>104</v>
      </c>
      <c r="G66" s="3" t="n">
        <v>2</v>
      </c>
      <c r="H66" s="6" t="n">
        <v>25.6</v>
      </c>
      <c r="I66" s="3" t="n">
        <v>3</v>
      </c>
      <c r="J66" s="3" t="n">
        <v>11</v>
      </c>
      <c r="K66" s="7" t="n">
        <v>220.8</v>
      </c>
      <c r="L66" s="7" t="n">
        <v>54</v>
      </c>
      <c r="M66" s="8" t="n">
        <v>136</v>
      </c>
      <c r="N66" s="8" t="n">
        <v>330</v>
      </c>
      <c r="O66" s="7" t="n">
        <v>220.8</v>
      </c>
      <c r="P66" s="6" t="n">
        <v>10.5</v>
      </c>
      <c r="Q66" s="4"/>
      <c r="R66" s="8"/>
      <c r="S66" s="6"/>
      <c r="T66" s="7"/>
      <c r="U66" s="6"/>
      <c r="V66" s="6"/>
      <c r="W66" s="8"/>
      <c r="X66" s="7"/>
      <c r="Y66" s="9"/>
      <c r="Z66" s="6"/>
      <c r="AA66" s="6"/>
      <c r="AB66" s="6"/>
      <c r="AC66" s="10"/>
      <c r="AD66" s="10"/>
      <c r="AE66" s="7"/>
      <c r="AF66" s="8"/>
      <c r="AG66" s="10"/>
      <c r="AH66" s="8" t="n">
        <v>0</v>
      </c>
      <c r="AI66" s="8"/>
      <c r="AJ66" s="6"/>
      <c r="AK66" s="10"/>
      <c r="AL66" s="8"/>
      <c r="AM66" s="7"/>
      <c r="AN66" s="7"/>
      <c r="AO66" s="7"/>
      <c r="AP66" s="8"/>
      <c r="AQ66" s="7"/>
      <c r="AR66" s="6"/>
      <c r="AS66" s="7"/>
      <c r="AT66" s="8"/>
      <c r="AU66" s="6"/>
      <c r="AV66" s="10"/>
      <c r="AW66" s="8"/>
      <c r="AX66" s="10"/>
      <c r="AY66" s="8"/>
      <c r="AZ66" s="7"/>
      <c r="BA66" s="8"/>
      <c r="BB66" s="8"/>
      <c r="BC66" s="8"/>
      <c r="BD66" s="8"/>
      <c r="BE66" s="7"/>
      <c r="BF66" s="7"/>
      <c r="BG66" s="9"/>
      <c r="BH66" s="6" t="n">
        <v>52.5</v>
      </c>
      <c r="BI66" s="6" t="n">
        <v>45.3</v>
      </c>
      <c r="BJ66" s="6" t="n">
        <v>58.7</v>
      </c>
      <c r="BK66" s="7" t="n">
        <v>2.905</v>
      </c>
      <c r="BL66" s="10" t="n">
        <v>0.1629</v>
      </c>
      <c r="BM66" s="10" t="n">
        <v>0.604651162790698</v>
      </c>
      <c r="BN66" s="7" t="n">
        <v>2.199</v>
      </c>
      <c r="BO66" s="10" t="n">
        <v>0.2454</v>
      </c>
      <c r="BP66" s="10" t="n">
        <v>0.0493</v>
      </c>
      <c r="BQ66" s="7" t="n">
        <v>2.41</v>
      </c>
      <c r="BR66" s="10" t="n">
        <v>0.704</v>
      </c>
      <c r="BS66" s="8" t="n">
        <v>4</v>
      </c>
      <c r="BT66" s="10" t="n">
        <v>-0.0441</v>
      </c>
      <c r="BU66" s="10" t="n">
        <v>0.5063</v>
      </c>
      <c r="BV66" s="6" t="n">
        <v>58.41</v>
      </c>
      <c r="BW66" s="6" t="n">
        <v>39</v>
      </c>
      <c r="BX66" s="7" t="n">
        <v>3.47</v>
      </c>
      <c r="BY66" s="6" t="n">
        <v>23</v>
      </c>
      <c r="BZ66" s="9" t="n">
        <v>-0.0102</v>
      </c>
      <c r="CA66" s="9" t="n">
        <v>0.229</v>
      </c>
      <c r="CB66" s="8" t="n">
        <v>155</v>
      </c>
      <c r="CC66" s="10" t="n">
        <v>0.337</v>
      </c>
      <c r="CD66" s="8" t="n">
        <v>148</v>
      </c>
      <c r="CE66" s="10" t="n">
        <v>0.301</v>
      </c>
      <c r="CF66" s="8" t="n">
        <v>52</v>
      </c>
      <c r="CG66" s="7"/>
      <c r="CH66" s="7"/>
      <c r="CI66" s="4"/>
      <c r="CJ66" s="4" t="s">
        <v>354</v>
      </c>
    </row>
    <row r="67" customFormat="false" ht="15" hidden="false" customHeight="false" outlineLevel="0" collapsed="false">
      <c r="A67" s="3" t="n">
        <v>65</v>
      </c>
      <c r="B67" s="4" t="s">
        <v>544</v>
      </c>
      <c r="C67" s="11" t="s">
        <v>104</v>
      </c>
      <c r="D67" s="4" t="s">
        <v>545</v>
      </c>
      <c r="E67" s="4" t="s">
        <v>120</v>
      </c>
      <c r="F67" s="4" t="s">
        <v>104</v>
      </c>
      <c r="G67" s="3" t="n">
        <v>2</v>
      </c>
      <c r="H67" s="6" t="n">
        <v>22.6</v>
      </c>
      <c r="I67" s="3" t="n">
        <v>2</v>
      </c>
      <c r="J67" s="3" t="n">
        <v>14</v>
      </c>
      <c r="K67" s="7" t="n">
        <v>223.65</v>
      </c>
      <c r="L67" s="7" t="n">
        <v>47.84</v>
      </c>
      <c r="M67" s="8" t="n">
        <v>135</v>
      </c>
      <c r="N67" s="8" t="n">
        <v>328</v>
      </c>
      <c r="O67" s="7" t="n">
        <v>223.65</v>
      </c>
      <c r="P67" s="6" t="n">
        <v>10.3</v>
      </c>
      <c r="Q67" s="4" t="s">
        <v>120</v>
      </c>
      <c r="R67" s="8" t="n">
        <v>5</v>
      </c>
      <c r="S67" s="6" t="n">
        <v>20.4</v>
      </c>
      <c r="T67" s="7" t="n">
        <f aca="false">IFERROR(S67/R67,"")</f>
        <v>4.08</v>
      </c>
      <c r="U67" s="6" t="n">
        <v>19.9</v>
      </c>
      <c r="V67" s="6" t="n">
        <v>19.4</v>
      </c>
      <c r="W67" s="8" t="n">
        <v>66</v>
      </c>
      <c r="X67" s="7" t="n">
        <f aca="false">IFERROR(S67/AH67,"")</f>
        <v>0.523076923076923</v>
      </c>
      <c r="Y67" s="9" t="n">
        <f aca="false">IFERROR(S67/AF67,"")</f>
        <v>0.261538461538462</v>
      </c>
      <c r="Z67" s="6" t="n">
        <v>0.7</v>
      </c>
      <c r="AA67" s="6" t="n">
        <v>2.9</v>
      </c>
      <c r="AB67" s="6" t="n">
        <v>7.6</v>
      </c>
      <c r="AC67" s="10" t="n">
        <v>0</v>
      </c>
      <c r="AD67" s="10" t="n">
        <v>0.4</v>
      </c>
      <c r="AE67" s="7" t="n">
        <v>1.714</v>
      </c>
      <c r="AF67" s="8" t="n">
        <v>78</v>
      </c>
      <c r="AG67" s="10" t="n">
        <v>0.256</v>
      </c>
      <c r="AH67" s="8" t="n">
        <v>39</v>
      </c>
      <c r="AI67" s="8" t="n">
        <v>38</v>
      </c>
      <c r="AJ67" s="6" t="n">
        <f aca="false">IFERROR(AI67/R67,"")</f>
        <v>7.6</v>
      </c>
      <c r="AK67" s="10" t="n">
        <v>0.2714</v>
      </c>
      <c r="AL67" s="8" t="n">
        <v>129</v>
      </c>
      <c r="AM67" s="7" t="n">
        <f aca="false">IFERROR(AL67/AI67,"")</f>
        <v>3.39473684210526</v>
      </c>
      <c r="AN67" s="7" t="n">
        <v>2.237</v>
      </c>
      <c r="AO67" s="7" t="n">
        <v>1.158</v>
      </c>
      <c r="AP67" s="8" t="n">
        <v>2</v>
      </c>
      <c r="AQ67" s="7"/>
      <c r="AR67" s="6"/>
      <c r="AS67" s="7"/>
      <c r="AT67" s="8" t="n">
        <v>1</v>
      </c>
      <c r="AU67" s="6" t="n">
        <f aca="false">IFERROR(AT67/R67,"")</f>
        <v>0.2</v>
      </c>
      <c r="AV67" s="10" t="n">
        <v>0.0067</v>
      </c>
      <c r="AW67" s="8" t="n">
        <v>1</v>
      </c>
      <c r="AX67" s="10"/>
      <c r="AY67" s="8" t="n">
        <v>5</v>
      </c>
      <c r="AZ67" s="7"/>
      <c r="BA67" s="8" t="n">
        <v>7</v>
      </c>
      <c r="BB67" s="8" t="n">
        <v>2</v>
      </c>
      <c r="BC67" s="8" t="n">
        <v>1</v>
      </c>
      <c r="BD67" s="8" t="n">
        <v>1</v>
      </c>
      <c r="BE67" s="7" t="n">
        <v>0.86</v>
      </c>
      <c r="BF67" s="7" t="n">
        <f aca="false">IFERROR(BD67-BE67,"")</f>
        <v>0.14</v>
      </c>
      <c r="BG67" s="9" t="n">
        <f aca="false">IFERROR(BD67/AH67,"")</f>
        <v>0.0256410256410256</v>
      </c>
      <c r="BH67" s="6" t="n">
        <v>65.1</v>
      </c>
      <c r="BI67" s="6" t="n">
        <v>61.6</v>
      </c>
      <c r="BJ67" s="6" t="n">
        <v>62.2</v>
      </c>
      <c r="BK67" s="7" t="n">
        <v>3.074</v>
      </c>
      <c r="BL67" s="10" t="n">
        <v>0.1352</v>
      </c>
      <c r="BM67" s="10" t="n">
        <v>0.705882352941177</v>
      </c>
      <c r="BN67" s="7" t="n">
        <v>2.563</v>
      </c>
      <c r="BO67" s="10" t="n">
        <v>0.2356</v>
      </c>
      <c r="BP67" s="10" t="n">
        <v>0.044</v>
      </c>
      <c r="BQ67" s="7" t="n">
        <v>2.396</v>
      </c>
      <c r="BR67" s="10" t="n">
        <v>0.848</v>
      </c>
      <c r="BS67" s="8" t="n">
        <v>5</v>
      </c>
      <c r="BT67" s="10" t="n">
        <v>-0.0098</v>
      </c>
      <c r="BU67" s="10" t="n">
        <v>0.5628</v>
      </c>
      <c r="BV67" s="6" t="n">
        <v>64.94</v>
      </c>
      <c r="BW67" s="6" t="n">
        <v>36</v>
      </c>
      <c r="BX67" s="7" t="n">
        <v>3.82</v>
      </c>
      <c r="BY67" s="6" t="n">
        <v>27.7</v>
      </c>
      <c r="BZ67" s="9" t="n">
        <v>0.005</v>
      </c>
      <c r="CA67" s="9" t="n">
        <v>0.1615</v>
      </c>
      <c r="CB67" s="8" t="n">
        <v>34</v>
      </c>
      <c r="CC67" s="10" t="n">
        <v>0.056</v>
      </c>
      <c r="CD67" s="8" t="n">
        <v>0</v>
      </c>
      <c r="CE67" s="10" t="n">
        <v>0</v>
      </c>
      <c r="CF67" s="8" t="n">
        <v>4</v>
      </c>
      <c r="CG67" s="7" t="n">
        <v>-0.555</v>
      </c>
      <c r="CH67" s="7" t="n">
        <v>-0.249</v>
      </c>
      <c r="CI67" s="4" t="s">
        <v>121</v>
      </c>
      <c r="CJ67" s="4"/>
    </row>
    <row r="68" customFormat="false" ht="15" hidden="false" customHeight="false" outlineLevel="0" collapsed="false">
      <c r="A68" s="3" t="n">
        <v>66</v>
      </c>
      <c r="B68" s="4" t="s">
        <v>548</v>
      </c>
      <c r="C68" s="11" t="s">
        <v>104</v>
      </c>
      <c r="D68" s="4" t="s">
        <v>549</v>
      </c>
      <c r="E68" s="4" t="s">
        <v>221</v>
      </c>
      <c r="F68" s="4" t="s">
        <v>104</v>
      </c>
      <c r="G68" s="3" t="n">
        <v>3</v>
      </c>
      <c r="H68" s="6" t="n">
        <v>23.6</v>
      </c>
      <c r="I68" s="3" t="n">
        <v>0</v>
      </c>
      <c r="J68" s="3" t="n">
        <v>7</v>
      </c>
      <c r="K68" s="7" t="n">
        <v>227.85</v>
      </c>
      <c r="L68" s="7" t="n">
        <v>34.91</v>
      </c>
      <c r="M68" s="8" t="n">
        <v>158</v>
      </c>
      <c r="N68" s="8" t="n">
        <v>324</v>
      </c>
      <c r="O68" s="7" t="n">
        <v>227.85</v>
      </c>
      <c r="P68" s="6" t="n">
        <v>12.7</v>
      </c>
      <c r="Q68" s="4"/>
      <c r="R68" s="8"/>
      <c r="S68" s="6"/>
      <c r="T68" s="7"/>
      <c r="U68" s="6"/>
      <c r="V68" s="6"/>
      <c r="W68" s="8"/>
      <c r="X68" s="7"/>
      <c r="Y68" s="9"/>
      <c r="Z68" s="6"/>
      <c r="AA68" s="6"/>
      <c r="AB68" s="6"/>
      <c r="AC68" s="10"/>
      <c r="AD68" s="10"/>
      <c r="AE68" s="7"/>
      <c r="AF68" s="8"/>
      <c r="AG68" s="10"/>
      <c r="AH68" s="8"/>
      <c r="AI68" s="8"/>
      <c r="AJ68" s="6"/>
      <c r="AK68" s="10"/>
      <c r="AL68" s="8"/>
      <c r="AM68" s="7"/>
      <c r="AN68" s="7"/>
      <c r="AO68" s="7"/>
      <c r="AP68" s="8"/>
      <c r="AQ68" s="7"/>
      <c r="AR68" s="6"/>
      <c r="AS68" s="7"/>
      <c r="AT68" s="8"/>
      <c r="AU68" s="6"/>
      <c r="AV68" s="10"/>
      <c r="AW68" s="8"/>
      <c r="AX68" s="10"/>
      <c r="AY68" s="8"/>
      <c r="AZ68" s="7"/>
      <c r="BA68" s="8"/>
      <c r="BB68" s="8"/>
      <c r="BC68" s="8"/>
      <c r="BD68" s="8"/>
      <c r="BE68" s="7"/>
      <c r="BF68" s="7"/>
      <c r="BG68" s="9"/>
      <c r="BH68" s="6" t="n">
        <v>54.8</v>
      </c>
      <c r="BI68" s="6" t="n">
        <v>50.7</v>
      </c>
      <c r="BJ68" s="6" t="n">
        <v>56.8</v>
      </c>
      <c r="BK68" s="7" t="n">
        <v>2.998</v>
      </c>
      <c r="BL68" s="10" t="n">
        <v>0.1651</v>
      </c>
      <c r="BM68" s="10" t="n">
        <v>0.548387096774194</v>
      </c>
      <c r="BN68" s="7" t="n">
        <v>2.512</v>
      </c>
      <c r="BO68" s="10" t="n">
        <v>0.2217</v>
      </c>
      <c r="BP68" s="10" t="n">
        <v>0.0606</v>
      </c>
      <c r="BQ68" s="7" t="n">
        <v>2.36</v>
      </c>
      <c r="BR68" s="10" t="n">
        <v>0.706</v>
      </c>
      <c r="BS68" s="8" t="n">
        <v>4</v>
      </c>
      <c r="BT68" s="10" t="n">
        <v>-0.0427</v>
      </c>
      <c r="BU68" s="10" t="n">
        <v>0.4747</v>
      </c>
      <c r="BV68" s="6" t="n">
        <v>57.59</v>
      </c>
      <c r="BW68" s="6" t="n">
        <v>38</v>
      </c>
      <c r="BX68" s="7" t="n">
        <v>2.94</v>
      </c>
      <c r="BY68" s="6" t="n">
        <v>20.9</v>
      </c>
      <c r="BZ68" s="9" t="n">
        <v>0.0192</v>
      </c>
      <c r="CA68" s="9" t="n">
        <v>-0.0055</v>
      </c>
      <c r="CB68" s="8" t="n">
        <v>138</v>
      </c>
      <c r="CC68" s="10" t="n">
        <v>0.319</v>
      </c>
      <c r="CD68" s="8" t="n">
        <v>142</v>
      </c>
      <c r="CE68" s="10" t="n">
        <v>0.293</v>
      </c>
      <c r="CF68" s="8" t="n">
        <v>56</v>
      </c>
      <c r="CG68" s="7"/>
      <c r="CH68" s="7"/>
      <c r="CI68" s="4"/>
      <c r="CJ68" s="4" t="s">
        <v>206</v>
      </c>
    </row>
    <row r="69" customFormat="false" ht="15" hidden="false" customHeight="false" outlineLevel="0" collapsed="false">
      <c r="A69" s="3" t="n">
        <v>67</v>
      </c>
      <c r="B69" s="4" t="s">
        <v>552</v>
      </c>
      <c r="C69" s="11" t="s">
        <v>104</v>
      </c>
      <c r="D69" s="4" t="s">
        <v>553</v>
      </c>
      <c r="E69" s="4" t="s">
        <v>161</v>
      </c>
      <c r="F69" s="4" t="s">
        <v>104</v>
      </c>
      <c r="G69" s="3" t="n">
        <v>2</v>
      </c>
      <c r="H69" s="6" t="n">
        <v>23.4</v>
      </c>
      <c r="I69" s="3" t="n">
        <v>3</v>
      </c>
      <c r="J69" s="3" t="n">
        <v>6</v>
      </c>
      <c r="K69" s="7" t="n">
        <v>231.65</v>
      </c>
      <c r="L69" s="7" t="n">
        <v>26.28</v>
      </c>
      <c r="M69" s="8" t="n">
        <v>157</v>
      </c>
      <c r="N69" s="8" t="n">
        <v>296</v>
      </c>
      <c r="O69" s="7" t="n">
        <v>231.65</v>
      </c>
      <c r="P69" s="6" t="n">
        <v>8</v>
      </c>
      <c r="Q69" s="4" t="s">
        <v>161</v>
      </c>
      <c r="R69" s="8" t="n">
        <v>9</v>
      </c>
      <c r="S69" s="6" t="n">
        <v>48.2</v>
      </c>
      <c r="T69" s="7" t="n">
        <f aca="false">IFERROR(S69/R69,"")</f>
        <v>5.35555555555556</v>
      </c>
      <c r="U69" s="6" t="n">
        <v>45.7</v>
      </c>
      <c r="V69" s="6" t="n">
        <v>43.2</v>
      </c>
      <c r="W69" s="8" t="n">
        <v>60</v>
      </c>
      <c r="X69" s="7" t="n">
        <f aca="false">IFERROR(S69/AH69,"")</f>
        <v>0.610126582278481</v>
      </c>
      <c r="Y69" s="9" t="n">
        <f aca="false">IFERROR(S69/AF69,"")</f>
        <v>0.379527559055118</v>
      </c>
      <c r="Z69" s="6" t="n">
        <v>1.7</v>
      </c>
      <c r="AA69" s="6" t="n">
        <v>3.8</v>
      </c>
      <c r="AB69" s="6" t="n">
        <v>10.96</v>
      </c>
      <c r="AC69" s="10" t="n">
        <v>0.111</v>
      </c>
      <c r="AD69" s="10" t="n">
        <v>0.444</v>
      </c>
      <c r="AE69" s="7" t="n">
        <v>1.453</v>
      </c>
      <c r="AF69" s="8" t="n">
        <v>127</v>
      </c>
      <c r="AG69" s="10" t="n">
        <v>0.215</v>
      </c>
      <c r="AH69" s="8" t="n">
        <v>79</v>
      </c>
      <c r="AI69" s="8" t="n">
        <v>70</v>
      </c>
      <c r="AJ69" s="6" t="n">
        <f aca="false">IFERROR(AI69/R69,"")</f>
        <v>7.77777777777778</v>
      </c>
      <c r="AK69" s="10" t="n">
        <v>0.2574</v>
      </c>
      <c r="AL69" s="8" t="n">
        <v>288</v>
      </c>
      <c r="AM69" s="7" t="n">
        <f aca="false">IFERROR(AL69/AI69,"")</f>
        <v>4.11428571428571</v>
      </c>
      <c r="AN69" s="7" t="n">
        <v>1.6</v>
      </c>
      <c r="AO69" s="7" t="n">
        <v>2.514</v>
      </c>
      <c r="AP69" s="8" t="n">
        <v>6</v>
      </c>
      <c r="AQ69" s="7"/>
      <c r="AR69" s="6"/>
      <c r="AS69" s="7"/>
      <c r="AT69" s="8" t="n">
        <v>9</v>
      </c>
      <c r="AU69" s="6" t="n">
        <f aca="false">IFERROR(AT69/R69,"")</f>
        <v>1</v>
      </c>
      <c r="AV69" s="10" t="n">
        <v>0.0429</v>
      </c>
      <c r="AW69" s="8" t="n">
        <v>5</v>
      </c>
      <c r="AX69" s="10"/>
      <c r="AY69" s="8" t="n">
        <v>44</v>
      </c>
      <c r="AZ69" s="7"/>
      <c r="BA69" s="8" t="n">
        <v>12</v>
      </c>
      <c r="BB69" s="8" t="n">
        <v>6</v>
      </c>
      <c r="BC69" s="8" t="n">
        <v>4</v>
      </c>
      <c r="BD69" s="8" t="n">
        <v>2</v>
      </c>
      <c r="BE69" s="7" t="n">
        <v>2.65</v>
      </c>
      <c r="BF69" s="7" t="n">
        <f aca="false">IFERROR(BD69-BE69,"")</f>
        <v>-0.65</v>
      </c>
      <c r="BG69" s="9" t="n">
        <f aca="false">IFERROR(BD69/AH69,"")</f>
        <v>0.0253164556962025</v>
      </c>
      <c r="BH69" s="6" t="n">
        <v>38.6</v>
      </c>
      <c r="BI69" s="6" t="n">
        <v>37.5</v>
      </c>
      <c r="BJ69" s="6" t="n">
        <v>44.5</v>
      </c>
      <c r="BK69" s="7" t="n">
        <v>2.839</v>
      </c>
      <c r="BL69" s="10" t="n">
        <v>0.2101</v>
      </c>
      <c r="BM69" s="10" t="n">
        <v>0.586206896551724</v>
      </c>
      <c r="BN69" s="7" t="n">
        <v>2.199</v>
      </c>
      <c r="BO69" s="10" t="n">
        <v>0.2422</v>
      </c>
      <c r="BP69" s="10" t="n">
        <v>0.0727</v>
      </c>
      <c r="BQ69" s="7" t="n">
        <v>2.29</v>
      </c>
      <c r="BR69" s="10" t="n">
        <v>0.672</v>
      </c>
      <c r="BS69" s="8" t="n">
        <v>4</v>
      </c>
      <c r="BT69" s="10" t="n">
        <v>-0.0584</v>
      </c>
      <c r="BU69" s="10" t="n">
        <v>0.5279</v>
      </c>
      <c r="BV69" s="6" t="n">
        <v>55.41</v>
      </c>
      <c r="BW69" s="6" t="n">
        <v>41</v>
      </c>
      <c r="BX69" s="7" t="n">
        <v>2.82</v>
      </c>
      <c r="BY69" s="6" t="n">
        <v>20.4</v>
      </c>
      <c r="BZ69" s="9" t="n">
        <v>-0.026</v>
      </c>
      <c r="CA69" s="9" t="n">
        <v>-0.0093</v>
      </c>
      <c r="CB69" s="8" t="n">
        <v>209</v>
      </c>
      <c r="CC69" s="10" t="n">
        <v>0.452</v>
      </c>
      <c r="CD69" s="8" t="n">
        <v>28</v>
      </c>
      <c r="CE69" s="10" t="n">
        <v>0.065</v>
      </c>
      <c r="CF69" s="8" t="n">
        <v>32</v>
      </c>
      <c r="CG69" s="7" t="n">
        <v>-0.221</v>
      </c>
      <c r="CH69" s="7" t="n">
        <v>-0.003</v>
      </c>
      <c r="CI69" s="4" t="s">
        <v>102</v>
      </c>
      <c r="CJ69" s="4"/>
    </row>
    <row r="70" customFormat="false" ht="15" hidden="false" customHeight="false" outlineLevel="0" collapsed="false">
      <c r="A70" s="3" t="n">
        <v>68</v>
      </c>
      <c r="B70" s="4" t="s">
        <v>562</v>
      </c>
      <c r="C70" s="11" t="s">
        <v>104</v>
      </c>
      <c r="D70" s="4" t="s">
        <v>563</v>
      </c>
      <c r="E70" s="4" t="s">
        <v>183</v>
      </c>
      <c r="F70" s="4" t="s">
        <v>104</v>
      </c>
      <c r="G70" s="3" t="n">
        <v>2</v>
      </c>
      <c r="H70" s="6" t="n">
        <v>28.8</v>
      </c>
      <c r="I70" s="3" t="n">
        <v>8</v>
      </c>
      <c r="J70" s="3" t="n">
        <v>13</v>
      </c>
      <c r="K70" s="7" t="n">
        <v>237.68</v>
      </c>
      <c r="L70" s="7" t="n">
        <v>38.94</v>
      </c>
      <c r="M70" s="8" t="n">
        <v>145</v>
      </c>
      <c r="N70" s="8" t="n">
        <v>310</v>
      </c>
      <c r="O70" s="7" t="n">
        <v>237.68</v>
      </c>
      <c r="P70" s="6" t="n">
        <v>7.4</v>
      </c>
      <c r="Q70" s="4" t="s">
        <v>183</v>
      </c>
      <c r="R70" s="8" t="n">
        <v>10</v>
      </c>
      <c r="S70" s="6" t="n">
        <v>65.2</v>
      </c>
      <c r="T70" s="7" t="n">
        <f aca="false">IFERROR(S70/R70,"")</f>
        <v>6.52</v>
      </c>
      <c r="U70" s="6" t="n">
        <v>54.7</v>
      </c>
      <c r="V70" s="6" t="n">
        <v>44.2</v>
      </c>
      <c r="W70" s="8" t="n">
        <v>54</v>
      </c>
      <c r="X70" s="7" t="n">
        <f aca="false">IFERROR(S70/AH70,"")</f>
        <v>1.44888888888889</v>
      </c>
      <c r="Y70" s="9" t="n">
        <f aca="false">IFERROR(S70/AF70,"")</f>
        <v>0.297716894977169</v>
      </c>
      <c r="Z70" s="6" t="n">
        <v>0.7</v>
      </c>
      <c r="AA70" s="6" t="n">
        <v>4.5</v>
      </c>
      <c r="AB70" s="6" t="n">
        <v>9.02</v>
      </c>
      <c r="AC70" s="10" t="n">
        <v>0.1</v>
      </c>
      <c r="AD70" s="10" t="n">
        <v>0.3</v>
      </c>
      <c r="AE70" s="7" t="n">
        <v>1.902</v>
      </c>
      <c r="AF70" s="8" t="n">
        <v>219</v>
      </c>
      <c r="AG70" s="10" t="n">
        <v>0.371</v>
      </c>
      <c r="AH70" s="8" t="n">
        <v>45</v>
      </c>
      <c r="AI70" s="8" t="n">
        <v>18</v>
      </c>
      <c r="AJ70" s="6" t="n">
        <f aca="false">IFERROR(AI70/R70,"")</f>
        <v>1.8</v>
      </c>
      <c r="AK70" s="10" t="n">
        <v>0.0647</v>
      </c>
      <c r="AL70" s="8" t="n">
        <v>93</v>
      </c>
      <c r="AM70" s="7"/>
      <c r="AN70" s="7"/>
      <c r="AO70" s="7"/>
      <c r="AP70" s="8" t="n">
        <v>1</v>
      </c>
      <c r="AQ70" s="7"/>
      <c r="AR70" s="6"/>
      <c r="AS70" s="7"/>
      <c r="AT70" s="8" t="n">
        <v>27</v>
      </c>
      <c r="AU70" s="6" t="n">
        <f aca="false">IFERROR(AT70/R70,"")</f>
        <v>2.7</v>
      </c>
      <c r="AV70" s="10" t="n">
        <v>0.108</v>
      </c>
      <c r="AW70" s="8" t="n">
        <v>21</v>
      </c>
      <c r="AX70" s="10" t="n">
        <f aca="false">IFERROR(AW70/AT70,"")</f>
        <v>0.777777777777778</v>
      </c>
      <c r="AY70" s="8" t="n">
        <v>169</v>
      </c>
      <c r="AZ70" s="7" t="n">
        <f aca="false">IFERROR(AY70/AT70,"")</f>
        <v>6.25925925925926</v>
      </c>
      <c r="BA70" s="8" t="n">
        <v>4</v>
      </c>
      <c r="BB70" s="8" t="n">
        <v>1</v>
      </c>
      <c r="BC70" s="8" t="n">
        <v>1</v>
      </c>
      <c r="BD70" s="8" t="n">
        <v>3</v>
      </c>
      <c r="BE70" s="7" t="n">
        <v>1.05</v>
      </c>
      <c r="BF70" s="7" t="n">
        <f aca="false">IFERROR(BD70-BE70,"")</f>
        <v>1.95</v>
      </c>
      <c r="BG70" s="9" t="n">
        <f aca="false">IFERROR(BD70/AH70,"")</f>
        <v>0.0666666666666667</v>
      </c>
      <c r="BH70" s="6" t="n">
        <v>53.2</v>
      </c>
      <c r="BI70" s="6" t="n">
        <v>64.1</v>
      </c>
      <c r="BJ70" s="6" t="n">
        <v>41</v>
      </c>
      <c r="BK70" s="7" t="n">
        <v>3.032</v>
      </c>
      <c r="BL70" s="10" t="n">
        <v>0.1574</v>
      </c>
      <c r="BM70" s="10" t="n">
        <v>0.648648648648649</v>
      </c>
      <c r="BN70" s="7" t="n">
        <v>3.144</v>
      </c>
      <c r="BO70" s="10" t="n">
        <v>0.2725</v>
      </c>
      <c r="BP70" s="10" t="n">
        <v>0.0849</v>
      </c>
      <c r="BQ70" s="7" t="n">
        <v>2.454</v>
      </c>
      <c r="BR70" s="10" t="n">
        <v>0.572</v>
      </c>
      <c r="BS70" s="8" t="n">
        <v>2</v>
      </c>
      <c r="BT70" s="10" t="n">
        <v>-0.0884</v>
      </c>
      <c r="BU70" s="10" t="n">
        <v>0.4667</v>
      </c>
      <c r="BV70" s="6" t="n">
        <v>56.24</v>
      </c>
      <c r="BW70" s="6" t="n">
        <v>39</v>
      </c>
      <c r="BX70" s="7" t="n">
        <v>3.59</v>
      </c>
      <c r="BY70" s="6" t="n">
        <v>24.9</v>
      </c>
      <c r="BZ70" s="9" t="n">
        <v>0.0996</v>
      </c>
      <c r="CA70" s="9" t="n">
        <v>-0.035</v>
      </c>
      <c r="CB70" s="8" t="n">
        <v>75</v>
      </c>
      <c r="CC70" s="10" t="n">
        <v>0.184</v>
      </c>
      <c r="CD70" s="8" t="n">
        <v>64</v>
      </c>
      <c r="CE70" s="10" t="n">
        <v>0.126</v>
      </c>
      <c r="CF70" s="8" t="n">
        <v>26</v>
      </c>
      <c r="CG70" s="7" t="n">
        <v>0.077</v>
      </c>
      <c r="CH70" s="7" t="n">
        <v>0.296</v>
      </c>
      <c r="CI70" s="4" t="s">
        <v>102</v>
      </c>
      <c r="CJ70" s="4"/>
    </row>
    <row r="71" customFormat="false" ht="15" hidden="false" customHeight="false" outlineLevel="0" collapsed="false">
      <c r="A71" s="3" t="n">
        <v>69</v>
      </c>
      <c r="B71" s="4" t="s">
        <v>568</v>
      </c>
      <c r="C71" s="11" t="s">
        <v>104</v>
      </c>
      <c r="D71" s="4" t="s">
        <v>569</v>
      </c>
      <c r="E71" s="4" t="s">
        <v>161</v>
      </c>
      <c r="F71" s="4" t="s">
        <v>104</v>
      </c>
      <c r="G71" s="3" t="n">
        <v>3</v>
      </c>
      <c r="H71" s="6" t="n">
        <v>22.6</v>
      </c>
      <c r="I71" s="3" t="n">
        <v>2</v>
      </c>
      <c r="J71" s="3" t="n">
        <v>6</v>
      </c>
      <c r="K71" s="7" t="n">
        <v>243.04</v>
      </c>
      <c r="L71" s="7" t="n">
        <v>22.81</v>
      </c>
      <c r="M71" s="8" t="n">
        <v>173</v>
      </c>
      <c r="N71" s="8" t="n">
        <v>309</v>
      </c>
      <c r="O71" s="7" t="n">
        <v>243.04</v>
      </c>
      <c r="P71" s="6" t="n">
        <v>3.2</v>
      </c>
      <c r="Q71" s="4" t="s">
        <v>161</v>
      </c>
      <c r="R71" s="8" t="n">
        <v>17</v>
      </c>
      <c r="S71" s="6" t="n">
        <v>54.1</v>
      </c>
      <c r="T71" s="7" t="n">
        <f aca="false">IFERROR(S71/R71,"")</f>
        <v>3.18235294117647</v>
      </c>
      <c r="U71" s="6" t="n">
        <v>50.6</v>
      </c>
      <c r="V71" s="6" t="n">
        <v>47.1</v>
      </c>
      <c r="W71" s="8" t="n">
        <v>58</v>
      </c>
      <c r="X71" s="7" t="n">
        <f aca="false">IFERROR(S71/AH71,"")</f>
        <v>0.684810126582279</v>
      </c>
      <c r="Y71" s="9" t="n">
        <f aca="false">IFERROR(S71/AF71,"")</f>
        <v>0.243693693693694</v>
      </c>
      <c r="Z71" s="6" t="n">
        <v>0</v>
      </c>
      <c r="AA71" s="6" t="n">
        <v>1.3</v>
      </c>
      <c r="AB71" s="6" t="n">
        <v>8.96</v>
      </c>
      <c r="AC71" s="10" t="n">
        <v>0</v>
      </c>
      <c r="AD71" s="10" t="n">
        <v>0.706</v>
      </c>
      <c r="AE71" s="7" t="n">
        <v>3.343</v>
      </c>
      <c r="AF71" s="8" t="n">
        <v>222</v>
      </c>
      <c r="AG71" s="10" t="n">
        <v>0.224</v>
      </c>
      <c r="AH71" s="8" t="n">
        <v>79</v>
      </c>
      <c r="AI71" s="8" t="n">
        <v>70</v>
      </c>
      <c r="AJ71" s="6" t="n">
        <f aca="false">IFERROR(AI71/R71,"")</f>
        <v>4.11764705882353</v>
      </c>
      <c r="AK71" s="10" t="n">
        <v>0.162</v>
      </c>
      <c r="AL71" s="8" t="n">
        <v>199</v>
      </c>
      <c r="AM71" s="7" t="n">
        <f aca="false">IFERROR(AL71/AI71,"")</f>
        <v>2.84285714285714</v>
      </c>
      <c r="AN71" s="7" t="n">
        <v>1.157</v>
      </c>
      <c r="AO71" s="7" t="n">
        <v>1.686</v>
      </c>
      <c r="AP71" s="8" t="n">
        <v>6</v>
      </c>
      <c r="AQ71" s="7"/>
      <c r="AR71" s="6"/>
      <c r="AS71" s="7"/>
      <c r="AT71" s="8" t="n">
        <v>9</v>
      </c>
      <c r="AU71" s="6" t="n">
        <f aca="false">IFERROR(AT71/R71,"")</f>
        <v>0.529411764705882</v>
      </c>
      <c r="AV71" s="10" t="n">
        <v>0.0195</v>
      </c>
      <c r="AW71" s="8" t="n">
        <v>7</v>
      </c>
      <c r="AX71" s="10"/>
      <c r="AY71" s="8" t="n">
        <v>32</v>
      </c>
      <c r="AZ71" s="7"/>
      <c r="BA71" s="8" t="n">
        <v>21</v>
      </c>
      <c r="BB71" s="8" t="n">
        <v>12</v>
      </c>
      <c r="BC71" s="8" t="n">
        <v>6</v>
      </c>
      <c r="BD71" s="8" t="n">
        <v>4</v>
      </c>
      <c r="BE71" s="7" t="n">
        <v>4.64</v>
      </c>
      <c r="BF71" s="7" t="n">
        <f aca="false">IFERROR(BD71-BE71,"")</f>
        <v>-0.64</v>
      </c>
      <c r="BG71" s="9" t="n">
        <f aca="false">IFERROR(BD71/AH71,"")</f>
        <v>0.0506329113924051</v>
      </c>
      <c r="BH71" s="6" t="n">
        <v>38.6</v>
      </c>
      <c r="BI71" s="6" t="n">
        <v>37.5</v>
      </c>
      <c r="BJ71" s="6" t="n">
        <v>44.5</v>
      </c>
      <c r="BK71" s="7" t="n">
        <v>2.839</v>
      </c>
      <c r="BL71" s="10" t="n">
        <v>0.2101</v>
      </c>
      <c r="BM71" s="10" t="n">
        <v>0.586206896551724</v>
      </c>
      <c r="BN71" s="7" t="n">
        <v>2.199</v>
      </c>
      <c r="BO71" s="10" t="n">
        <v>0.2422</v>
      </c>
      <c r="BP71" s="10" t="n">
        <v>0.0727</v>
      </c>
      <c r="BQ71" s="7" t="n">
        <v>2.29</v>
      </c>
      <c r="BR71" s="10" t="n">
        <v>0.672</v>
      </c>
      <c r="BS71" s="8" t="n">
        <v>4</v>
      </c>
      <c r="BT71" s="10" t="n">
        <v>-0.0584</v>
      </c>
      <c r="BU71" s="10" t="n">
        <v>0.5279</v>
      </c>
      <c r="BV71" s="6" t="n">
        <v>55.41</v>
      </c>
      <c r="BW71" s="6" t="n">
        <v>41</v>
      </c>
      <c r="BX71" s="7" t="n">
        <v>2.82</v>
      </c>
      <c r="BY71" s="6" t="n">
        <v>20.4</v>
      </c>
      <c r="BZ71" s="9" t="n">
        <v>-0.026</v>
      </c>
      <c r="CA71" s="9" t="n">
        <v>-0.0093</v>
      </c>
      <c r="CB71" s="8" t="n">
        <v>209</v>
      </c>
      <c r="CC71" s="10" t="n">
        <v>0.452</v>
      </c>
      <c r="CD71" s="8" t="n">
        <v>28</v>
      </c>
      <c r="CE71" s="10" t="n">
        <v>0.065</v>
      </c>
      <c r="CF71" s="8" t="n">
        <v>32</v>
      </c>
      <c r="CG71" s="7" t="n">
        <v>-0.063</v>
      </c>
      <c r="CH71" s="7" t="n">
        <v>-0.326</v>
      </c>
      <c r="CI71" s="4" t="s">
        <v>102</v>
      </c>
      <c r="CJ71" s="4"/>
    </row>
    <row r="72" customFormat="false" ht="15" hidden="false" customHeight="false" outlineLevel="0" collapsed="false">
      <c r="A72" s="3" t="n">
        <v>70</v>
      </c>
      <c r="B72" s="4" t="s">
        <v>576</v>
      </c>
      <c r="C72" s="11" t="s">
        <v>104</v>
      </c>
      <c r="D72" s="4" t="s">
        <v>577</v>
      </c>
      <c r="E72" s="4" t="s">
        <v>186</v>
      </c>
      <c r="F72" s="4" t="s">
        <v>104</v>
      </c>
      <c r="G72" s="3" t="n">
        <v>3</v>
      </c>
      <c r="H72" s="6" t="n">
        <v>24.5</v>
      </c>
      <c r="I72" s="3" t="n">
        <v>3</v>
      </c>
      <c r="J72" s="3" t="n">
        <v>13</v>
      </c>
      <c r="K72" s="7" t="n">
        <v>247.78</v>
      </c>
      <c r="L72" s="7" t="n">
        <v>30.4</v>
      </c>
      <c r="M72" s="8" t="n">
        <v>171</v>
      </c>
      <c r="N72" s="8" t="n">
        <v>317</v>
      </c>
      <c r="O72" s="7" t="n">
        <v>247.78</v>
      </c>
      <c r="P72" s="6" t="n">
        <v>2.7</v>
      </c>
      <c r="Q72" s="4" t="s">
        <v>186</v>
      </c>
      <c r="R72" s="8" t="n">
        <v>16</v>
      </c>
      <c r="S72" s="6" t="n">
        <v>71.2</v>
      </c>
      <c r="T72" s="7" t="n">
        <f aca="false">IFERROR(S72/R72,"")</f>
        <v>4.45</v>
      </c>
      <c r="U72" s="6" t="n">
        <v>60.7</v>
      </c>
      <c r="V72" s="6" t="n">
        <v>50.2</v>
      </c>
      <c r="W72" s="8" t="n">
        <v>53</v>
      </c>
      <c r="X72" s="7" t="n">
        <f aca="false">IFERROR(S72/AH72,"")</f>
        <v>1.00281690140845</v>
      </c>
      <c r="Y72" s="9" t="n">
        <f aca="false">IFERROR(S72/AF72,"")</f>
        <v>0.249824561403509</v>
      </c>
      <c r="Z72" s="6" t="n">
        <v>1.1</v>
      </c>
      <c r="AA72" s="6" t="n">
        <v>2.15</v>
      </c>
      <c r="AB72" s="6" t="n">
        <v>9.07</v>
      </c>
      <c r="AC72" s="10" t="n">
        <v>0.062</v>
      </c>
      <c r="AD72" s="10" t="n">
        <v>0.5</v>
      </c>
      <c r="AE72" s="7" t="n">
        <v>2.407</v>
      </c>
      <c r="AF72" s="8" t="n">
        <v>285</v>
      </c>
      <c r="AG72" s="10" t="n">
        <v>0.28</v>
      </c>
      <c r="AH72" s="8" t="n">
        <v>71</v>
      </c>
      <c r="AI72" s="8" t="n">
        <v>43</v>
      </c>
      <c r="AJ72" s="6" t="n">
        <f aca="false">IFERROR(AI72/R72,"")</f>
        <v>2.6875</v>
      </c>
      <c r="AK72" s="10" t="n">
        <v>0.0993</v>
      </c>
      <c r="AL72" s="8" t="n">
        <v>236</v>
      </c>
      <c r="AM72" s="7" t="n">
        <f aca="false">IFERROR(AL72/AI72,"")</f>
        <v>5.48837209302326</v>
      </c>
      <c r="AN72" s="7" t="n">
        <v>3.023</v>
      </c>
      <c r="AO72" s="7" t="n">
        <v>2.465</v>
      </c>
      <c r="AP72" s="8" t="n">
        <v>2</v>
      </c>
      <c r="AQ72" s="7"/>
      <c r="AR72" s="6"/>
      <c r="AS72" s="7"/>
      <c r="AT72" s="8" t="n">
        <v>28</v>
      </c>
      <c r="AU72" s="6" t="n">
        <f aca="false">IFERROR(AT72/R72,"")</f>
        <v>1.75</v>
      </c>
      <c r="AV72" s="10" t="n">
        <v>0.0622</v>
      </c>
      <c r="AW72" s="8" t="n">
        <v>21</v>
      </c>
      <c r="AX72" s="10" t="n">
        <f aca="false">IFERROR(AW72/AT72,"")</f>
        <v>0.75</v>
      </c>
      <c r="AY72" s="8" t="n">
        <v>186</v>
      </c>
      <c r="AZ72" s="7" t="n">
        <f aca="false">IFERROR(AY72/AT72,"")</f>
        <v>6.64285714285714</v>
      </c>
      <c r="BA72" s="8" t="n">
        <v>10</v>
      </c>
      <c r="BB72" s="8" t="n">
        <v>1</v>
      </c>
      <c r="BC72" s="8" t="n">
        <v>0</v>
      </c>
      <c r="BD72" s="8" t="n">
        <v>1</v>
      </c>
      <c r="BE72" s="7" t="n">
        <v>1.34</v>
      </c>
      <c r="BF72" s="7" t="n">
        <f aca="false">IFERROR(BD72-BE72,"")</f>
        <v>-0.34</v>
      </c>
      <c r="BG72" s="9" t="n">
        <f aca="false">IFERROR(BD72/AH72,"")</f>
        <v>0.0140845070422535</v>
      </c>
      <c r="BH72" s="6" t="n">
        <v>38.6</v>
      </c>
      <c r="BI72" s="6" t="n">
        <v>56.3</v>
      </c>
      <c r="BJ72" s="6" t="n">
        <v>25.8</v>
      </c>
      <c r="BK72" s="7" t="n">
        <v>2.892</v>
      </c>
      <c r="BL72" s="10" t="n">
        <v>0.1813</v>
      </c>
      <c r="BM72" s="10" t="n">
        <v>0.739130434782609</v>
      </c>
      <c r="BN72" s="7" t="n">
        <v>2.899</v>
      </c>
      <c r="BO72" s="10" t="n">
        <v>0.3117</v>
      </c>
      <c r="BP72" s="10" t="n">
        <v>0.0989</v>
      </c>
      <c r="BQ72" s="7" t="n">
        <v>2.423</v>
      </c>
      <c r="BR72" s="10" t="n">
        <v>0.808</v>
      </c>
      <c r="BS72" s="8" t="n">
        <v>3</v>
      </c>
      <c r="BT72" s="10" t="n">
        <v>-0.0877</v>
      </c>
      <c r="BU72" s="10" t="n">
        <v>0.4319</v>
      </c>
      <c r="BV72" s="6" t="n">
        <v>59.35</v>
      </c>
      <c r="BW72" s="6" t="n">
        <v>38</v>
      </c>
      <c r="BX72" s="7" t="n">
        <v>2.47</v>
      </c>
      <c r="BY72" s="6" t="n">
        <v>17.6</v>
      </c>
      <c r="BZ72" s="9" t="n">
        <v>-0.061</v>
      </c>
      <c r="CA72" s="9" t="n">
        <v>-0.1799</v>
      </c>
      <c r="CB72" s="8" t="n">
        <v>76</v>
      </c>
      <c r="CC72" s="10" t="n">
        <v>0.161</v>
      </c>
      <c r="CD72" s="8" t="n">
        <v>117</v>
      </c>
      <c r="CE72" s="10" t="n">
        <v>0.257</v>
      </c>
      <c r="CF72" s="8" t="n">
        <v>27</v>
      </c>
      <c r="CG72" s="7" t="n">
        <v>0.192</v>
      </c>
      <c r="CH72" s="7" t="n">
        <v>0.016</v>
      </c>
      <c r="CI72" s="4" t="s">
        <v>102</v>
      </c>
      <c r="CJ72" s="4"/>
    </row>
    <row r="73" customFormat="false" ht="15" hidden="false" customHeight="false" outlineLevel="0" collapsed="false">
      <c r="A73" s="3" t="n">
        <v>71</v>
      </c>
      <c r="B73" s="4" t="s">
        <v>584</v>
      </c>
      <c r="C73" s="11" t="s">
        <v>104</v>
      </c>
      <c r="D73" s="4" t="s">
        <v>585</v>
      </c>
      <c r="E73" s="4" t="s">
        <v>115</v>
      </c>
      <c r="F73" s="4" t="s">
        <v>281</v>
      </c>
      <c r="G73" s="3" t="n">
        <v>3</v>
      </c>
      <c r="H73" s="6" t="n">
        <v>26.7</v>
      </c>
      <c r="I73" s="3" t="n">
        <v>3</v>
      </c>
      <c r="J73" s="3" t="n">
        <v>11</v>
      </c>
      <c r="K73" s="7" t="n">
        <v>251.2</v>
      </c>
      <c r="L73" s="7" t="n">
        <v>40.97</v>
      </c>
      <c r="M73" s="8" t="n">
        <v>160</v>
      </c>
      <c r="N73" s="8" t="n">
        <v>313</v>
      </c>
      <c r="O73" s="7" t="n">
        <v>251.2</v>
      </c>
      <c r="P73" s="6" t="n">
        <v>5.3</v>
      </c>
      <c r="Q73" s="4" t="s">
        <v>115</v>
      </c>
      <c r="R73" s="8" t="n">
        <v>10</v>
      </c>
      <c r="S73" s="6" t="n">
        <v>20.8</v>
      </c>
      <c r="T73" s="7" t="n">
        <f aca="false">IFERROR(S73/R73,"")</f>
        <v>2.08</v>
      </c>
      <c r="U73" s="6" t="n">
        <v>19.8</v>
      </c>
      <c r="V73" s="6" t="n">
        <v>18.8</v>
      </c>
      <c r="W73" s="8" t="n">
        <v>65</v>
      </c>
      <c r="X73" s="7" t="n">
        <f aca="false">IFERROR(S73/AH73,"")</f>
        <v>0.866666666666667</v>
      </c>
      <c r="Y73" s="9" t="n">
        <f aca="false">IFERROR(S73/AF73,"")</f>
        <v>0.577777777777778</v>
      </c>
      <c r="Z73" s="6" t="n">
        <v>0.6</v>
      </c>
      <c r="AA73" s="6" t="n">
        <v>0.9</v>
      </c>
      <c r="AB73" s="6" t="n">
        <v>6.16</v>
      </c>
      <c r="AC73" s="10" t="n">
        <v>0</v>
      </c>
      <c r="AD73" s="10" t="n">
        <v>0.6</v>
      </c>
      <c r="AE73" s="7" t="n">
        <v>4.224</v>
      </c>
      <c r="AF73" s="8" t="n">
        <v>36</v>
      </c>
      <c r="AG73" s="10" t="n">
        <v>0.055</v>
      </c>
      <c r="AH73" s="8" t="n">
        <v>24</v>
      </c>
      <c r="AI73" s="8" t="n">
        <v>22</v>
      </c>
      <c r="AJ73" s="6" t="n">
        <f aca="false">IFERROR(AI73/R73,"")</f>
        <v>2.2</v>
      </c>
      <c r="AK73" s="10" t="n">
        <v>0.1594</v>
      </c>
      <c r="AL73" s="8" t="n">
        <v>73</v>
      </c>
      <c r="AM73" s="7" t="n">
        <f aca="false">IFERROR(AL73/AI73,"")</f>
        <v>3.31818181818182</v>
      </c>
      <c r="AN73" s="7" t="n">
        <v>1.636</v>
      </c>
      <c r="AO73" s="7" t="n">
        <v>1.682</v>
      </c>
      <c r="AP73" s="8" t="n">
        <v>3</v>
      </c>
      <c r="AQ73" s="7"/>
      <c r="AR73" s="6"/>
      <c r="AS73" s="7"/>
      <c r="AT73" s="8" t="n">
        <v>2</v>
      </c>
      <c r="AU73" s="6" t="n">
        <f aca="false">IFERROR(AT73/R73,"")</f>
        <v>0.2</v>
      </c>
      <c r="AV73" s="10" t="n">
        <v>0.0204</v>
      </c>
      <c r="AW73" s="8" t="n">
        <v>2</v>
      </c>
      <c r="AX73" s="10"/>
      <c r="AY73" s="8" t="n">
        <v>15</v>
      </c>
      <c r="AZ73" s="7"/>
      <c r="BA73" s="8" t="n">
        <v>5</v>
      </c>
      <c r="BB73" s="8" t="n">
        <v>1</v>
      </c>
      <c r="BC73" s="8" t="n">
        <v>0</v>
      </c>
      <c r="BD73" s="8" t="n">
        <v>1</v>
      </c>
      <c r="BE73" s="7" t="n">
        <v>0.44</v>
      </c>
      <c r="BF73" s="7" t="n">
        <f aca="false">IFERROR(BD73-BE73,"")</f>
        <v>0.56</v>
      </c>
      <c r="BG73" s="9" t="n">
        <f aca="false">IFERROR(BD73/AH73,"")</f>
        <v>0.0416666666666667</v>
      </c>
      <c r="BH73" s="6" t="n">
        <v>49.9</v>
      </c>
      <c r="BI73" s="6" t="n">
        <v>39.3</v>
      </c>
      <c r="BJ73" s="6" t="n">
        <v>60.5</v>
      </c>
      <c r="BK73" s="7" t="n">
        <v>2.758</v>
      </c>
      <c r="BL73" s="10" t="n">
        <v>0.2121</v>
      </c>
      <c r="BM73" s="10" t="n">
        <v>0.612903225806452</v>
      </c>
      <c r="BN73" s="7" t="n">
        <v>2.477</v>
      </c>
      <c r="BO73" s="10" t="n">
        <v>0.2266</v>
      </c>
      <c r="BP73" s="10" t="n">
        <v>0.0535</v>
      </c>
      <c r="BQ73" s="7" t="n">
        <v>2.4</v>
      </c>
      <c r="BR73" s="10" t="n">
        <v>0.942</v>
      </c>
      <c r="BS73" s="8" t="n">
        <v>5</v>
      </c>
      <c r="BT73" s="10" t="n">
        <v>-0.0677</v>
      </c>
      <c r="BU73" s="10" t="n">
        <v>0.5204</v>
      </c>
      <c r="BV73" s="6" t="n">
        <v>58.65</v>
      </c>
      <c r="BW73" s="6" t="n">
        <v>39</v>
      </c>
      <c r="BX73" s="7" t="n">
        <v>3.53</v>
      </c>
      <c r="BY73" s="6" t="n">
        <v>28.4</v>
      </c>
      <c r="BZ73" s="9" t="n">
        <v>-0.0491</v>
      </c>
      <c r="CA73" s="9" t="n">
        <v>0.1122</v>
      </c>
      <c r="CB73" s="8" t="n">
        <v>39</v>
      </c>
      <c r="CC73" s="10" t="n">
        <v>0.086</v>
      </c>
      <c r="CD73" s="8" t="n">
        <v>221</v>
      </c>
      <c r="CE73" s="10" t="n">
        <v>0.436</v>
      </c>
      <c r="CF73" s="8" t="n">
        <v>37</v>
      </c>
      <c r="CG73" s="7" t="n">
        <v>-0.299</v>
      </c>
      <c r="CH73" s="7" t="n">
        <v>-0.299</v>
      </c>
      <c r="CI73" s="4" t="s">
        <v>102</v>
      </c>
      <c r="CJ73" s="4"/>
    </row>
    <row r="74" customFormat="false" ht="15" hidden="false" customHeight="false" outlineLevel="0" collapsed="false">
      <c r="A74" s="3" t="n">
        <v>72</v>
      </c>
      <c r="B74" s="4" t="s">
        <v>592</v>
      </c>
      <c r="C74" s="11" t="s">
        <v>104</v>
      </c>
      <c r="D74" s="4" t="s">
        <v>593</v>
      </c>
      <c r="E74" s="4" t="s">
        <v>127</v>
      </c>
      <c r="F74" s="4" t="s">
        <v>281</v>
      </c>
      <c r="G74" s="3" t="n">
        <v>2</v>
      </c>
      <c r="H74" s="6" t="n">
        <v>22.9</v>
      </c>
      <c r="I74" s="3" t="n">
        <v>0</v>
      </c>
      <c r="J74" s="3" t="n">
        <v>6</v>
      </c>
      <c r="K74" s="7" t="n">
        <v>254</v>
      </c>
      <c r="L74" s="7" t="n">
        <v>34.79</v>
      </c>
      <c r="M74" s="8" t="n">
        <v>164</v>
      </c>
      <c r="N74" s="8" t="n">
        <v>354</v>
      </c>
      <c r="O74" s="7" t="n">
        <v>254</v>
      </c>
      <c r="P74" s="6" t="n">
        <v>9.9</v>
      </c>
      <c r="Q74" s="4"/>
      <c r="R74" s="8"/>
      <c r="S74" s="6"/>
      <c r="T74" s="7"/>
      <c r="U74" s="6"/>
      <c r="V74" s="6"/>
      <c r="W74" s="8"/>
      <c r="X74" s="7"/>
      <c r="Y74" s="9"/>
      <c r="Z74" s="6"/>
      <c r="AA74" s="6"/>
      <c r="AB74" s="6"/>
      <c r="AC74" s="10"/>
      <c r="AD74" s="10"/>
      <c r="AE74" s="7"/>
      <c r="AF74" s="8"/>
      <c r="AG74" s="10"/>
      <c r="AH74" s="8"/>
      <c r="AI74" s="8"/>
      <c r="AJ74" s="6"/>
      <c r="AK74" s="10"/>
      <c r="AL74" s="8"/>
      <c r="AM74" s="7"/>
      <c r="AN74" s="7"/>
      <c r="AO74" s="7"/>
      <c r="AP74" s="8"/>
      <c r="AQ74" s="7"/>
      <c r="AR74" s="6"/>
      <c r="AS74" s="7"/>
      <c r="AT74" s="8"/>
      <c r="AU74" s="6"/>
      <c r="AV74" s="10"/>
      <c r="AW74" s="8"/>
      <c r="AX74" s="10"/>
      <c r="AY74" s="8"/>
      <c r="AZ74" s="7"/>
      <c r="BA74" s="8"/>
      <c r="BB74" s="8"/>
      <c r="BC74" s="8"/>
      <c r="BD74" s="8"/>
      <c r="BE74" s="7"/>
      <c r="BF74" s="7"/>
      <c r="BG74" s="9"/>
      <c r="BH74" s="6" t="n">
        <v>36</v>
      </c>
      <c r="BI74" s="6" t="n">
        <v>51.8</v>
      </c>
      <c r="BJ74" s="6" t="n">
        <v>26.2</v>
      </c>
      <c r="BK74" s="7" t="n">
        <v>2.961</v>
      </c>
      <c r="BL74" s="10" t="n">
        <v>0.1751</v>
      </c>
      <c r="BM74" s="10" t="n">
        <v>0.7</v>
      </c>
      <c r="BN74" s="7" t="n">
        <v>2.441</v>
      </c>
      <c r="BO74" s="10" t="n">
        <v>0.3037</v>
      </c>
      <c r="BP74" s="10" t="n">
        <v>0.1028</v>
      </c>
      <c r="BQ74" s="7" t="n">
        <v>2.429</v>
      </c>
      <c r="BR74" s="10" t="n">
        <v>0.819</v>
      </c>
      <c r="BS74" s="8" t="n">
        <v>5</v>
      </c>
      <c r="BT74" s="10" t="n">
        <v>-0.012</v>
      </c>
      <c r="BU74" s="10" t="n">
        <v>0.5369</v>
      </c>
      <c r="BV74" s="6" t="n">
        <v>55.47</v>
      </c>
      <c r="BW74" s="6" t="n">
        <v>39</v>
      </c>
      <c r="BX74" s="7" t="n">
        <v>3.12</v>
      </c>
      <c r="BY74" s="6" t="n">
        <v>20.2</v>
      </c>
      <c r="BZ74" s="9" t="n">
        <v>-0.0149</v>
      </c>
      <c r="CA74" s="9" t="n">
        <v>-0.1883</v>
      </c>
      <c r="CB74" s="8" t="n">
        <v>82</v>
      </c>
      <c r="CC74" s="10" t="n">
        <v>0.175</v>
      </c>
      <c r="CD74" s="8" t="n">
        <v>24</v>
      </c>
      <c r="CE74" s="10" t="n">
        <v>0.059</v>
      </c>
      <c r="CF74" s="8" t="n">
        <v>17</v>
      </c>
      <c r="CG74" s="7"/>
      <c r="CH74" s="7"/>
      <c r="CI74" s="4"/>
      <c r="CJ74" s="4" t="s">
        <v>206</v>
      </c>
    </row>
    <row r="75" customFormat="false" ht="15" hidden="false" customHeight="false" outlineLevel="0" collapsed="false">
      <c r="A75" s="3" t="n">
        <v>73</v>
      </c>
      <c r="B75" s="4" t="s">
        <v>600</v>
      </c>
      <c r="C75" s="11" t="s">
        <v>104</v>
      </c>
      <c r="D75" s="4" t="s">
        <v>601</v>
      </c>
      <c r="E75" s="4" t="s">
        <v>147</v>
      </c>
      <c r="F75" s="4" t="s">
        <v>281</v>
      </c>
      <c r="G75" s="3" t="n">
        <v>2</v>
      </c>
      <c r="H75" s="6" t="n">
        <v>28.9</v>
      </c>
      <c r="I75" s="3" t="n">
        <v>8</v>
      </c>
      <c r="J75" s="3" t="n">
        <v>7</v>
      </c>
      <c r="K75" s="7" t="n">
        <v>255.07</v>
      </c>
      <c r="L75" s="7" t="n">
        <v>36.02</v>
      </c>
      <c r="M75" s="8" t="n">
        <v>156</v>
      </c>
      <c r="N75" s="8" t="n">
        <v>385</v>
      </c>
      <c r="O75" s="7" t="n">
        <v>255.07</v>
      </c>
      <c r="P75" s="6" t="n">
        <v>2.6</v>
      </c>
      <c r="Q75" s="4" t="s">
        <v>147</v>
      </c>
      <c r="R75" s="8" t="n">
        <v>17</v>
      </c>
      <c r="S75" s="6" t="n">
        <v>100.3</v>
      </c>
      <c r="T75" s="7" t="n">
        <f aca="false">IFERROR(S75/R75,"")</f>
        <v>5.9</v>
      </c>
      <c r="U75" s="6" t="n">
        <v>88.3</v>
      </c>
      <c r="V75" s="6" t="n">
        <v>76.3</v>
      </c>
      <c r="W75" s="8" t="n">
        <v>45</v>
      </c>
      <c r="X75" s="7" t="n">
        <f aca="false">IFERROR(S75/AH75,"")</f>
        <v>1.20843373493976</v>
      </c>
      <c r="Y75" s="9" t="n">
        <f aca="false">IFERROR(S75/AF75,"")</f>
        <v>0.299402985074627</v>
      </c>
      <c r="Z75" s="6" t="n">
        <v>2.4</v>
      </c>
      <c r="AA75" s="6" t="n">
        <v>5.5</v>
      </c>
      <c r="AB75" s="6" t="n">
        <v>9.28</v>
      </c>
      <c r="AC75" s="10" t="n">
        <v>0.059</v>
      </c>
      <c r="AD75" s="10" t="n">
        <v>0.235</v>
      </c>
      <c r="AE75" s="7" t="n">
        <v>0.961</v>
      </c>
      <c r="AF75" s="8" t="n">
        <v>335</v>
      </c>
      <c r="AG75" s="10" t="n">
        <v>0.296</v>
      </c>
      <c r="AH75" s="8" t="n">
        <v>83</v>
      </c>
      <c r="AI75" s="8" t="n">
        <v>50</v>
      </c>
      <c r="AJ75" s="6" t="n">
        <f aca="false">IFERROR(AI75/R75,"")</f>
        <v>2.94117647058824</v>
      </c>
      <c r="AK75" s="10" t="n">
        <v>0.0914</v>
      </c>
      <c r="AL75" s="8" t="n">
        <v>200</v>
      </c>
      <c r="AM75" s="7" t="n">
        <f aca="false">IFERROR(AL75/AI75,"")</f>
        <v>4</v>
      </c>
      <c r="AN75" s="7" t="n">
        <v>2.58</v>
      </c>
      <c r="AO75" s="7" t="n">
        <v>1.42</v>
      </c>
      <c r="AP75" s="8" t="n">
        <v>2</v>
      </c>
      <c r="AQ75" s="7"/>
      <c r="AR75" s="6"/>
      <c r="AS75" s="7"/>
      <c r="AT75" s="8" t="n">
        <v>33</v>
      </c>
      <c r="AU75" s="6" t="n">
        <f aca="false">IFERROR(AT75/R75,"")</f>
        <v>1.94117647058824</v>
      </c>
      <c r="AV75" s="10" t="n">
        <v>0.0689</v>
      </c>
      <c r="AW75" s="8" t="n">
        <v>24</v>
      </c>
      <c r="AX75" s="10" t="n">
        <f aca="false">IFERROR(AW75/AT75,"")</f>
        <v>0.727272727272727</v>
      </c>
      <c r="AY75" s="8" t="n">
        <v>263</v>
      </c>
      <c r="AZ75" s="7" t="n">
        <f aca="false">IFERROR(AY75/AT75,"")</f>
        <v>7.96969696969697</v>
      </c>
      <c r="BA75" s="8" t="n">
        <v>23</v>
      </c>
      <c r="BB75" s="8" t="n">
        <v>12</v>
      </c>
      <c r="BC75" s="8" t="n">
        <v>6</v>
      </c>
      <c r="BD75" s="8" t="n">
        <v>5</v>
      </c>
      <c r="BE75" s="7" t="n">
        <v>4.85</v>
      </c>
      <c r="BF75" s="7" t="n">
        <f aca="false">IFERROR(BD75-BE75,"")</f>
        <v>0.15</v>
      </c>
      <c r="BG75" s="9" t="n">
        <f aca="false">IFERROR(BD75/AH75,"")</f>
        <v>0.0602409638554217</v>
      </c>
      <c r="BH75" s="6" t="n">
        <v>73.6</v>
      </c>
      <c r="BI75" s="6" t="n">
        <v>72.8</v>
      </c>
      <c r="BJ75" s="6" t="n">
        <v>64.4</v>
      </c>
      <c r="BK75" s="7" t="n">
        <v>3.397</v>
      </c>
      <c r="BL75" s="10" t="n">
        <v>0.1265</v>
      </c>
      <c r="BM75" s="10" t="n">
        <v>0.540540540540541</v>
      </c>
      <c r="BN75" s="7" t="n">
        <v>2.905</v>
      </c>
      <c r="BO75" s="10" t="n">
        <v>0.2</v>
      </c>
      <c r="BP75" s="10" t="n">
        <v>0.0702</v>
      </c>
      <c r="BQ75" s="7" t="n">
        <v>2.507</v>
      </c>
      <c r="BR75" s="10" t="n">
        <v>0.763</v>
      </c>
      <c r="BS75" s="8" t="n">
        <v>4</v>
      </c>
      <c r="BT75" s="10" t="n">
        <v>-0.0352</v>
      </c>
      <c r="BU75" s="10" t="n">
        <v>0.5028</v>
      </c>
      <c r="BV75" s="6" t="n">
        <v>62.65</v>
      </c>
      <c r="BW75" s="6" t="n">
        <v>40</v>
      </c>
      <c r="BX75" s="7" t="n">
        <v>4</v>
      </c>
      <c r="BY75" s="6" t="n">
        <v>28.3</v>
      </c>
      <c r="BZ75" s="9" t="n">
        <v>0.1102</v>
      </c>
      <c r="CA75" s="9" t="n">
        <v>0.1599</v>
      </c>
      <c r="CB75" s="8" t="n">
        <v>19</v>
      </c>
      <c r="CC75" s="10" t="n">
        <v>0.04</v>
      </c>
      <c r="CD75" s="8" t="n">
        <v>17</v>
      </c>
      <c r="CE75" s="10" t="n">
        <v>0.031</v>
      </c>
      <c r="CF75" s="8" t="n">
        <v>2</v>
      </c>
      <c r="CG75" s="7" t="n">
        <v>0.648</v>
      </c>
      <c r="CH75" s="7" t="n">
        <v>0.385</v>
      </c>
      <c r="CI75" s="4" t="s">
        <v>232</v>
      </c>
      <c r="CJ75" s="4"/>
    </row>
    <row r="76" customFormat="false" ht="15" hidden="false" customHeight="false" outlineLevel="0" collapsed="false">
      <c r="A76" s="3" t="n">
        <v>74</v>
      </c>
      <c r="B76" s="4" t="s">
        <v>615</v>
      </c>
      <c r="C76" s="11" t="s">
        <v>104</v>
      </c>
      <c r="D76" s="4" t="s">
        <v>616</v>
      </c>
      <c r="E76" s="4" t="s">
        <v>151</v>
      </c>
      <c r="F76" s="4" t="s">
        <v>104</v>
      </c>
      <c r="G76" s="3" t="n">
        <v>4</v>
      </c>
      <c r="H76" s="6" t="n">
        <v>24.1</v>
      </c>
      <c r="I76" s="3" t="n">
        <v>3</v>
      </c>
      <c r="J76" s="3" t="n">
        <v>14</v>
      </c>
      <c r="K76" s="7" t="n">
        <v>261.14</v>
      </c>
      <c r="L76" s="7" t="n">
        <v>47.28</v>
      </c>
      <c r="M76" s="8" t="n">
        <v>145</v>
      </c>
      <c r="N76" s="8" t="n">
        <v>364</v>
      </c>
      <c r="O76" s="7" t="n">
        <v>261.14</v>
      </c>
      <c r="P76" s="6" t="n">
        <v>8.9</v>
      </c>
      <c r="Q76" s="4" t="s">
        <v>151</v>
      </c>
      <c r="R76" s="8" t="n">
        <v>4</v>
      </c>
      <c r="S76" s="6" t="n">
        <v>35.4</v>
      </c>
      <c r="T76" s="7" t="n">
        <f aca="false">IFERROR(S76/R76,"")</f>
        <v>8.85</v>
      </c>
      <c r="U76" s="6" t="n">
        <v>28.9</v>
      </c>
      <c r="V76" s="6" t="n">
        <v>22.4</v>
      </c>
      <c r="W76" s="8" t="n">
        <v>61</v>
      </c>
      <c r="X76" s="7" t="n">
        <f aca="false">IFERROR(S76/AH76,"")</f>
        <v>0.786666666666667</v>
      </c>
      <c r="Y76" s="9" t="n">
        <f aca="false">IFERROR(S76/AF76,"")</f>
        <v>0.287804878048781</v>
      </c>
      <c r="Z76" s="6" t="n">
        <v>8.33</v>
      </c>
      <c r="AA76" s="6" t="n">
        <v>8.45</v>
      </c>
      <c r="AB76" s="6" t="n">
        <v>9.54</v>
      </c>
      <c r="AC76" s="10" t="n">
        <v>0</v>
      </c>
      <c r="AD76" s="10" t="n">
        <v>0</v>
      </c>
      <c r="AE76" s="7" t="n">
        <v>0.124</v>
      </c>
      <c r="AF76" s="8" t="n">
        <v>123</v>
      </c>
      <c r="AG76" s="10" t="n">
        <v>0.483</v>
      </c>
      <c r="AH76" s="8" t="n">
        <v>45</v>
      </c>
      <c r="AI76" s="8" t="n">
        <v>29</v>
      </c>
      <c r="AJ76" s="6" t="n">
        <f aca="false">IFERROR(AI76/R76,"")</f>
        <v>7.25</v>
      </c>
      <c r="AK76" s="10" t="n">
        <v>0.3085</v>
      </c>
      <c r="AL76" s="8" t="n">
        <v>160</v>
      </c>
      <c r="AM76" s="7" t="n">
        <f aca="false">IFERROR(AL76/AI76,"")</f>
        <v>5.51724137931035</v>
      </c>
      <c r="AN76" s="7" t="n">
        <v>3.034</v>
      </c>
      <c r="AO76" s="7" t="n">
        <v>2.483</v>
      </c>
      <c r="AP76" s="8" t="n">
        <v>2</v>
      </c>
      <c r="AQ76" s="7"/>
      <c r="AR76" s="6"/>
      <c r="AS76" s="7"/>
      <c r="AT76" s="8" t="n">
        <v>16</v>
      </c>
      <c r="AU76" s="6" t="n">
        <f aca="false">IFERROR(AT76/R76,"")</f>
        <v>4</v>
      </c>
      <c r="AV76" s="10" t="n">
        <v>0.125</v>
      </c>
      <c r="AW76" s="8" t="n">
        <v>13</v>
      </c>
      <c r="AX76" s="10" t="n">
        <f aca="false">IFERROR(AW76/AT76,"")</f>
        <v>0.8125</v>
      </c>
      <c r="AY76" s="8" t="n">
        <v>64</v>
      </c>
      <c r="AZ76" s="7" t="n">
        <f aca="false">IFERROR(AY76/AT76,"")</f>
        <v>4</v>
      </c>
      <c r="BA76" s="8" t="n">
        <v>5</v>
      </c>
      <c r="BB76" s="8" t="n">
        <v>2</v>
      </c>
      <c r="BC76" s="8" t="n">
        <v>1</v>
      </c>
      <c r="BD76" s="8" t="n">
        <v>0</v>
      </c>
      <c r="BE76" s="7" t="n">
        <v>1.65</v>
      </c>
      <c r="BF76" s="7" t="n">
        <f aca="false">IFERROR(BD76-BE76,"")</f>
        <v>-1.65</v>
      </c>
      <c r="BG76" s="9" t="n">
        <f aca="false">IFERROR(BD76/AH76,"")</f>
        <v>0</v>
      </c>
      <c r="BH76" s="6" t="n">
        <v>36.9</v>
      </c>
      <c r="BI76" s="6" t="n">
        <v>43.8</v>
      </c>
      <c r="BJ76" s="6" t="n">
        <v>35.6</v>
      </c>
      <c r="BK76" s="7" t="n">
        <v>2.771</v>
      </c>
      <c r="BL76" s="10" t="n">
        <v>0.2005</v>
      </c>
      <c r="BM76" s="10" t="n">
        <v>0.65625</v>
      </c>
      <c r="BN76" s="7" t="n">
        <v>2.593</v>
      </c>
      <c r="BO76" s="10" t="n">
        <v>0.282</v>
      </c>
      <c r="BP76" s="10" t="n">
        <v>0.0839</v>
      </c>
      <c r="BQ76" s="7" t="n">
        <v>2.373</v>
      </c>
      <c r="BR76" s="10" t="n">
        <v>0.686</v>
      </c>
      <c r="BS76" s="8" t="n">
        <v>3</v>
      </c>
      <c r="BT76" s="10" t="n">
        <v>0.0399</v>
      </c>
      <c r="BU76" s="10" t="n">
        <v>0.6204</v>
      </c>
      <c r="BV76" s="6" t="n">
        <v>63.18</v>
      </c>
      <c r="BW76" s="6" t="n">
        <v>39</v>
      </c>
      <c r="BX76" s="7" t="n">
        <v>3.59</v>
      </c>
      <c r="BY76" s="6" t="n">
        <v>20.9</v>
      </c>
      <c r="BZ76" s="9" t="n">
        <v>-0.0591</v>
      </c>
      <c r="CA76" s="9" t="n">
        <v>0.0023</v>
      </c>
      <c r="CB76" s="8" t="n">
        <v>106</v>
      </c>
      <c r="CC76" s="10" t="n">
        <v>0.172</v>
      </c>
      <c r="CD76" s="8" t="n">
        <v>173</v>
      </c>
      <c r="CE76" s="10" t="n">
        <v>0.473</v>
      </c>
      <c r="CF76" s="8" t="n">
        <v>41</v>
      </c>
      <c r="CG76" s="7" t="n">
        <v>-0.017</v>
      </c>
      <c r="CH76" s="7" t="n">
        <v>0.99</v>
      </c>
      <c r="CI76" s="4" t="s">
        <v>102</v>
      </c>
      <c r="CJ76" s="4"/>
    </row>
    <row r="77" customFormat="false" ht="15" hidden="false" customHeight="false" outlineLevel="0" collapsed="false">
      <c r="A77" s="3" t="n">
        <v>75</v>
      </c>
      <c r="B77" s="4" t="s">
        <v>621</v>
      </c>
      <c r="C77" s="11" t="s">
        <v>104</v>
      </c>
      <c r="D77" s="4" t="s">
        <v>622</v>
      </c>
      <c r="E77" s="4" t="s">
        <v>235</v>
      </c>
      <c r="F77" s="4" t="s">
        <v>281</v>
      </c>
      <c r="G77" s="3" t="n">
        <v>2</v>
      </c>
      <c r="H77" s="6" t="n">
        <v>22</v>
      </c>
      <c r="I77" s="3" t="n">
        <v>2</v>
      </c>
      <c r="J77" s="3" t="n">
        <v>7</v>
      </c>
      <c r="K77" s="7" t="n">
        <v>264.49</v>
      </c>
      <c r="L77" s="7" t="n">
        <v>27.59</v>
      </c>
      <c r="M77" s="8" t="n">
        <v>169</v>
      </c>
      <c r="N77" s="8" t="n">
        <v>326</v>
      </c>
      <c r="O77" s="7" t="n">
        <v>264.49</v>
      </c>
      <c r="P77" s="6" t="n">
        <v>3.6</v>
      </c>
      <c r="Q77" s="4" t="s">
        <v>235</v>
      </c>
      <c r="R77" s="8" t="n">
        <v>16</v>
      </c>
      <c r="S77" s="6" t="n">
        <v>24.8</v>
      </c>
      <c r="T77" s="7" t="n">
        <f aca="false">IFERROR(S77/R77,"")</f>
        <v>1.55</v>
      </c>
      <c r="U77" s="6" t="n">
        <v>19.8</v>
      </c>
      <c r="V77" s="6" t="n">
        <v>14.8</v>
      </c>
      <c r="W77" s="8" t="n">
        <v>64</v>
      </c>
      <c r="X77" s="7" t="n">
        <f aca="false">IFERROR(S77/AH77,"")</f>
        <v>0.729411764705882</v>
      </c>
      <c r="Y77" s="9" t="n">
        <f aca="false">IFERROR(S77/AF77,"")</f>
        <v>0.0957528957528958</v>
      </c>
      <c r="Z77" s="6" t="n">
        <v>0.82</v>
      </c>
      <c r="AA77" s="6" t="n">
        <v>1.65</v>
      </c>
      <c r="AB77" s="6" t="n">
        <v>2.5</v>
      </c>
      <c r="AC77" s="10" t="n">
        <v>0</v>
      </c>
      <c r="AD77" s="10" t="n">
        <v>0.812</v>
      </c>
      <c r="AE77" s="7" t="n">
        <v>0.638</v>
      </c>
      <c r="AF77" s="8" t="n">
        <v>259</v>
      </c>
      <c r="AG77" s="10" t="n">
        <v>0.226</v>
      </c>
      <c r="AH77" s="8" t="n">
        <v>34</v>
      </c>
      <c r="AI77" s="8" t="n">
        <v>23</v>
      </c>
      <c r="AJ77" s="6" t="n">
        <f aca="false">IFERROR(AI77/R77,"")</f>
        <v>1.4375</v>
      </c>
      <c r="AK77" s="10" t="n">
        <v>0.0495</v>
      </c>
      <c r="AL77" s="8" t="n">
        <v>94</v>
      </c>
      <c r="AM77" s="7" t="n">
        <f aca="false">IFERROR(AL77/AI77,"")</f>
        <v>4.08695652173913</v>
      </c>
      <c r="AN77" s="7" t="n">
        <v>2.565</v>
      </c>
      <c r="AO77" s="7" t="n">
        <v>1.522</v>
      </c>
      <c r="AP77" s="8" t="n">
        <v>2</v>
      </c>
      <c r="AQ77" s="7"/>
      <c r="AR77" s="6"/>
      <c r="AS77" s="7"/>
      <c r="AT77" s="8" t="n">
        <v>11</v>
      </c>
      <c r="AU77" s="6" t="n">
        <f aca="false">IFERROR(AT77/R77,"")</f>
        <v>0.6875</v>
      </c>
      <c r="AV77" s="10" t="n">
        <v>0.0213</v>
      </c>
      <c r="AW77" s="8" t="n">
        <v>10</v>
      </c>
      <c r="AX77" s="10" t="n">
        <f aca="false">IFERROR(AW77/AT77,"")</f>
        <v>0.909090909090909</v>
      </c>
      <c r="AY77" s="8" t="n">
        <v>54</v>
      </c>
      <c r="AZ77" s="7" t="n">
        <f aca="false">IFERROR(AY77/AT77,"")</f>
        <v>4.90909090909091</v>
      </c>
      <c r="BA77" s="8" t="n">
        <v>6</v>
      </c>
      <c r="BB77" s="8" t="n">
        <v>1</v>
      </c>
      <c r="BC77" s="8" t="n">
        <v>1</v>
      </c>
      <c r="BD77" s="8" t="n">
        <v>0</v>
      </c>
      <c r="BE77" s="7" t="n">
        <v>1</v>
      </c>
      <c r="BF77" s="7" t="n">
        <f aca="false">IFERROR(BD77-BE77,"")</f>
        <v>-1</v>
      </c>
      <c r="BG77" s="9" t="n">
        <f aca="false">IFERROR(BD77/AH77,"")</f>
        <v>0</v>
      </c>
      <c r="BH77" s="6" t="n">
        <v>44.3</v>
      </c>
      <c r="BI77" s="6" t="n">
        <v>40.2</v>
      </c>
      <c r="BJ77" s="6" t="n">
        <v>50.8</v>
      </c>
      <c r="BK77" s="7" t="n">
        <v>2.885</v>
      </c>
      <c r="BL77" s="10" t="n">
        <v>0.1784</v>
      </c>
      <c r="BM77" s="10" t="n">
        <v>0.5</v>
      </c>
      <c r="BN77" s="7" t="n">
        <v>2.219</v>
      </c>
      <c r="BO77" s="10" t="n">
        <v>0.2504</v>
      </c>
      <c r="BP77" s="10" t="n">
        <v>0.0647</v>
      </c>
      <c r="BQ77" s="7" t="n">
        <v>2.395</v>
      </c>
      <c r="BR77" s="10" t="n">
        <v>1</v>
      </c>
      <c r="BS77" s="8" t="n">
        <v>5</v>
      </c>
      <c r="BT77" s="10" t="n">
        <v>0.0164</v>
      </c>
      <c r="BU77" s="10" t="n">
        <v>0.5756</v>
      </c>
      <c r="BV77" s="6" t="n">
        <v>63.18</v>
      </c>
      <c r="BW77" s="6" t="n">
        <v>40</v>
      </c>
      <c r="BX77" s="7" t="n">
        <v>4.24</v>
      </c>
      <c r="BY77" s="6" t="n">
        <v>27.9</v>
      </c>
      <c r="BZ77" s="9" t="n">
        <v>-0.0041</v>
      </c>
      <c r="CA77" s="9" t="n">
        <v>0.0592</v>
      </c>
      <c r="CB77" s="8" t="n">
        <v>132</v>
      </c>
      <c r="CC77" s="10" t="n">
        <v>0.241</v>
      </c>
      <c r="CD77" s="8" t="n">
        <v>271</v>
      </c>
      <c r="CE77" s="10" t="n">
        <v>0.554</v>
      </c>
      <c r="CF77" s="8" t="n">
        <v>85</v>
      </c>
      <c r="CG77" s="7" t="n">
        <v>-0.113</v>
      </c>
      <c r="CH77" s="7" t="n">
        <v>-0.289</v>
      </c>
      <c r="CI77" s="4" t="s">
        <v>102</v>
      </c>
      <c r="CJ77" s="4"/>
    </row>
    <row r="78" customFormat="false" ht="15" hidden="false" customHeight="false" outlineLevel="0" collapsed="false">
      <c r="A78" s="3" t="n">
        <v>76</v>
      </c>
      <c r="B78" s="4" t="s">
        <v>623</v>
      </c>
      <c r="C78" s="11" t="s">
        <v>104</v>
      </c>
      <c r="D78" s="4" t="s">
        <v>624</v>
      </c>
      <c r="E78" s="4" t="s">
        <v>124</v>
      </c>
      <c r="F78" s="4" t="s">
        <v>104</v>
      </c>
      <c r="G78" s="3" t="n">
        <v>2</v>
      </c>
      <c r="H78" s="6" t="n">
        <v>22.4</v>
      </c>
      <c r="I78" s="3" t="n">
        <v>2</v>
      </c>
      <c r="J78" s="3" t="n">
        <v>8</v>
      </c>
      <c r="K78" s="7" t="n">
        <v>264.7</v>
      </c>
      <c r="L78" s="7" t="n">
        <v>40.56</v>
      </c>
      <c r="M78" s="8" t="n">
        <v>160</v>
      </c>
      <c r="N78" s="8" t="n">
        <v>401</v>
      </c>
      <c r="O78" s="7" t="n">
        <v>264.7</v>
      </c>
      <c r="P78" s="6" t="n">
        <v>7.7</v>
      </c>
      <c r="Q78" s="4"/>
      <c r="R78" s="8"/>
      <c r="S78" s="6"/>
      <c r="T78" s="7"/>
      <c r="U78" s="6"/>
      <c r="V78" s="6"/>
      <c r="W78" s="8"/>
      <c r="X78" s="7"/>
      <c r="Y78" s="9"/>
      <c r="Z78" s="6"/>
      <c r="AA78" s="6"/>
      <c r="AB78" s="6"/>
      <c r="AC78" s="10"/>
      <c r="AD78" s="10"/>
      <c r="AE78" s="7"/>
      <c r="AF78" s="8" t="n">
        <v>3</v>
      </c>
      <c r="AG78" s="10" t="n">
        <v>0.017</v>
      </c>
      <c r="AH78" s="8" t="n">
        <v>0</v>
      </c>
      <c r="AI78" s="8"/>
      <c r="AJ78" s="6"/>
      <c r="AK78" s="10"/>
      <c r="AL78" s="8"/>
      <c r="AM78" s="7"/>
      <c r="AN78" s="7"/>
      <c r="AO78" s="7"/>
      <c r="AP78" s="8"/>
      <c r="AQ78" s="7"/>
      <c r="AR78" s="6"/>
      <c r="AS78" s="7"/>
      <c r="AT78" s="8"/>
      <c r="AU78" s="6"/>
      <c r="AV78" s="10"/>
      <c r="AW78" s="8"/>
      <c r="AX78" s="10"/>
      <c r="AY78" s="8"/>
      <c r="AZ78" s="7"/>
      <c r="BA78" s="8"/>
      <c r="BB78" s="8"/>
      <c r="BC78" s="8"/>
      <c r="BD78" s="8"/>
      <c r="BE78" s="7"/>
      <c r="BF78" s="7"/>
      <c r="BG78" s="9"/>
      <c r="BH78" s="6" t="n">
        <v>63.3</v>
      </c>
      <c r="BI78" s="6" t="n">
        <v>46.4</v>
      </c>
      <c r="BJ78" s="6" t="n">
        <v>74.5</v>
      </c>
      <c r="BK78" s="7" t="n">
        <v>2.906</v>
      </c>
      <c r="BL78" s="10" t="n">
        <v>0.1848</v>
      </c>
      <c r="BM78" s="10" t="n">
        <v>0.655172413793103</v>
      </c>
      <c r="BN78" s="7" t="n">
        <v>2.349</v>
      </c>
      <c r="BO78" s="10" t="n">
        <v>0.2125</v>
      </c>
      <c r="BP78" s="10" t="n">
        <v>0.0428</v>
      </c>
      <c r="BQ78" s="7" t="n">
        <v>2.547</v>
      </c>
      <c r="BR78" s="10" t="n">
        <v>0.852</v>
      </c>
      <c r="BS78" s="8" t="n">
        <v>4</v>
      </c>
      <c r="BT78" s="10" t="n">
        <v>-0.0088</v>
      </c>
      <c r="BU78" s="10" t="n">
        <v>0.5521</v>
      </c>
      <c r="BV78" s="6" t="n">
        <v>62.65</v>
      </c>
      <c r="BW78" s="6" t="n">
        <v>38</v>
      </c>
      <c r="BX78" s="7" t="n">
        <v>3.88</v>
      </c>
      <c r="BY78" s="6" t="n">
        <v>25.7</v>
      </c>
      <c r="BZ78" s="9" t="n">
        <v>-0.0044</v>
      </c>
      <c r="CA78" s="9" t="n">
        <v>0.1587</v>
      </c>
      <c r="CB78" s="8" t="n">
        <v>170</v>
      </c>
      <c r="CC78" s="10" t="n">
        <v>0.309</v>
      </c>
      <c r="CD78" s="8" t="n">
        <v>94</v>
      </c>
      <c r="CE78" s="10" t="n">
        <v>0.195</v>
      </c>
      <c r="CF78" s="8" t="n">
        <v>38</v>
      </c>
      <c r="CG78" s="7"/>
      <c r="CH78" s="7"/>
      <c r="CI78" s="4"/>
      <c r="CJ78" s="4" t="s">
        <v>354</v>
      </c>
    </row>
    <row r="79" customFormat="false" ht="15" hidden="false" customHeight="false" outlineLevel="0" collapsed="false">
      <c r="A79" s="3" t="n">
        <v>77</v>
      </c>
      <c r="B79" s="4" t="s">
        <v>625</v>
      </c>
      <c r="C79" s="11" t="s">
        <v>104</v>
      </c>
      <c r="D79" s="4" t="s">
        <v>626</v>
      </c>
      <c r="E79" s="4" t="s">
        <v>218</v>
      </c>
      <c r="F79" s="4" t="s">
        <v>104</v>
      </c>
      <c r="G79" s="3" t="n">
        <v>3</v>
      </c>
      <c r="H79" s="6" t="n">
        <v>26.6</v>
      </c>
      <c r="I79" s="3" t="n">
        <v>4</v>
      </c>
      <c r="J79" s="3" t="n">
        <v>11</v>
      </c>
      <c r="K79" s="7" t="n">
        <v>265.18</v>
      </c>
      <c r="L79" s="7" t="n">
        <v>28.24</v>
      </c>
      <c r="M79" s="8" t="n">
        <v>182</v>
      </c>
      <c r="N79" s="8" t="n">
        <v>321</v>
      </c>
      <c r="O79" s="7" t="n">
        <v>265.18</v>
      </c>
      <c r="P79" s="6" t="n">
        <v>3.8</v>
      </c>
      <c r="Q79" s="4" t="s">
        <v>218</v>
      </c>
      <c r="R79" s="8" t="n">
        <v>17</v>
      </c>
      <c r="S79" s="6" t="n">
        <v>32.7</v>
      </c>
      <c r="T79" s="7" t="n">
        <f aca="false">IFERROR(S79/R79,"")</f>
        <v>1.92352941176471</v>
      </c>
      <c r="U79" s="6" t="n">
        <v>26.2</v>
      </c>
      <c r="V79" s="6" t="n">
        <v>19.7</v>
      </c>
      <c r="W79" s="8" t="n">
        <v>63</v>
      </c>
      <c r="X79" s="7" t="n">
        <f aca="false">IFERROR(S79/AH79,"")</f>
        <v>0.743181818181818</v>
      </c>
      <c r="Y79" s="9" t="n">
        <f aca="false">IFERROR(S79/AF79,"")</f>
        <v>0.161083743842365</v>
      </c>
      <c r="Z79" s="6" t="n">
        <v>0.1</v>
      </c>
      <c r="AA79" s="6" t="n">
        <v>1.3</v>
      </c>
      <c r="AB79" s="6" t="n">
        <v>4.08</v>
      </c>
      <c r="AC79" s="10" t="n">
        <v>0</v>
      </c>
      <c r="AD79" s="10" t="n">
        <v>0.706</v>
      </c>
      <c r="AE79" s="7" t="n">
        <v>1.55</v>
      </c>
      <c r="AF79" s="8" t="n">
        <v>203</v>
      </c>
      <c r="AG79" s="10" t="n">
        <v>0.201</v>
      </c>
      <c r="AH79" s="8" t="n">
        <v>44</v>
      </c>
      <c r="AI79" s="8" t="n">
        <v>27</v>
      </c>
      <c r="AJ79" s="6" t="n">
        <f aca="false">IFERROR(AI79/R79,"")</f>
        <v>1.58823529411765</v>
      </c>
      <c r="AK79" s="10" t="n">
        <v>0.0549</v>
      </c>
      <c r="AL79" s="8" t="n">
        <v>106</v>
      </c>
      <c r="AM79" s="7" t="n">
        <f aca="false">IFERROR(AL79/AI79,"")</f>
        <v>3.92592592592593</v>
      </c>
      <c r="AN79" s="7" t="n">
        <v>2.074</v>
      </c>
      <c r="AO79" s="7" t="n">
        <v>1.852</v>
      </c>
      <c r="AP79" s="8" t="n">
        <v>1</v>
      </c>
      <c r="AQ79" s="7"/>
      <c r="AR79" s="6"/>
      <c r="AS79" s="7"/>
      <c r="AT79" s="8" t="n">
        <v>17</v>
      </c>
      <c r="AU79" s="6" t="n">
        <f aca="false">IFERROR(AT79/R79,"")</f>
        <v>1</v>
      </c>
      <c r="AV79" s="10" t="n">
        <v>0.037</v>
      </c>
      <c r="AW79" s="8" t="n">
        <v>13</v>
      </c>
      <c r="AX79" s="10" t="n">
        <f aca="false">IFERROR(AW79/AT79,"")</f>
        <v>0.764705882352941</v>
      </c>
      <c r="AY79" s="8" t="n">
        <v>91</v>
      </c>
      <c r="AZ79" s="7" t="n">
        <f aca="false">IFERROR(AY79/AT79,"")</f>
        <v>5.35294117647059</v>
      </c>
      <c r="BA79" s="8" t="n">
        <v>6</v>
      </c>
      <c r="BB79" s="8" t="n">
        <v>1</v>
      </c>
      <c r="BC79" s="8" t="n">
        <v>0</v>
      </c>
      <c r="BD79" s="8" t="n">
        <v>0</v>
      </c>
      <c r="BE79" s="7" t="n">
        <v>1.14</v>
      </c>
      <c r="BF79" s="7" t="n">
        <f aca="false">IFERROR(BD79-BE79,"")</f>
        <v>-1.14</v>
      </c>
      <c r="BG79" s="9" t="n">
        <f aca="false">IFERROR(BD79/AH79,"")</f>
        <v>0</v>
      </c>
      <c r="BH79" s="6" t="n">
        <v>52.5</v>
      </c>
      <c r="BI79" s="6" t="n">
        <v>45.3</v>
      </c>
      <c r="BJ79" s="6" t="n">
        <v>58.7</v>
      </c>
      <c r="BK79" s="7" t="n">
        <v>2.905</v>
      </c>
      <c r="BL79" s="10" t="n">
        <v>0.1629</v>
      </c>
      <c r="BM79" s="10" t="n">
        <v>0.604651162790698</v>
      </c>
      <c r="BN79" s="7" t="n">
        <v>2.199</v>
      </c>
      <c r="BO79" s="10" t="n">
        <v>0.2454</v>
      </c>
      <c r="BP79" s="10" t="n">
        <v>0.0493</v>
      </c>
      <c r="BQ79" s="7" t="n">
        <v>2.41</v>
      </c>
      <c r="BR79" s="10" t="n">
        <v>0.704</v>
      </c>
      <c r="BS79" s="8" t="n">
        <v>4</v>
      </c>
      <c r="BT79" s="10" t="n">
        <v>-0.0441</v>
      </c>
      <c r="BU79" s="10" t="n">
        <v>0.5063</v>
      </c>
      <c r="BV79" s="6" t="n">
        <v>58.41</v>
      </c>
      <c r="BW79" s="6" t="n">
        <v>39</v>
      </c>
      <c r="BX79" s="7" t="n">
        <v>3.47</v>
      </c>
      <c r="BY79" s="6" t="n">
        <v>23</v>
      </c>
      <c r="BZ79" s="9" t="n">
        <v>-0.0102</v>
      </c>
      <c r="CA79" s="9" t="n">
        <v>0.229</v>
      </c>
      <c r="CB79" s="8" t="n">
        <v>155</v>
      </c>
      <c r="CC79" s="10" t="n">
        <v>0.337</v>
      </c>
      <c r="CD79" s="8" t="n">
        <v>148</v>
      </c>
      <c r="CE79" s="10" t="n">
        <v>0.301</v>
      </c>
      <c r="CF79" s="8" t="n">
        <v>52</v>
      </c>
      <c r="CG79" s="7" t="n">
        <v>0.001</v>
      </c>
      <c r="CH79" s="7" t="n">
        <v>-0.131</v>
      </c>
      <c r="CI79" s="4" t="s">
        <v>102</v>
      </c>
      <c r="CJ79" s="4"/>
    </row>
    <row r="80" customFormat="false" ht="15" hidden="false" customHeight="false" outlineLevel="0" collapsed="false">
      <c r="A80" s="3" t="n">
        <v>78</v>
      </c>
      <c r="B80" s="4" t="s">
        <v>627</v>
      </c>
      <c r="C80" s="11" t="s">
        <v>104</v>
      </c>
      <c r="D80" s="4" t="s">
        <v>628</v>
      </c>
      <c r="E80" s="4" t="s">
        <v>130</v>
      </c>
      <c r="F80" s="4" t="s">
        <v>104</v>
      </c>
      <c r="G80" s="3" t="n">
        <v>2</v>
      </c>
      <c r="H80" s="6" t="n">
        <v>23</v>
      </c>
      <c r="I80" s="3" t="n">
        <v>2</v>
      </c>
      <c r="J80" s="3" t="n">
        <v>13</v>
      </c>
      <c r="K80" s="7" t="n">
        <v>266.77</v>
      </c>
      <c r="L80" s="7" t="n">
        <v>24.16</v>
      </c>
      <c r="M80" s="8" t="n">
        <v>177</v>
      </c>
      <c r="N80" s="8" t="n">
        <v>329</v>
      </c>
      <c r="O80" s="7" t="n">
        <v>266.77</v>
      </c>
      <c r="P80" s="6" t="n">
        <v>2</v>
      </c>
      <c r="Q80" s="4" t="s">
        <v>130</v>
      </c>
      <c r="R80" s="8" t="n">
        <v>5</v>
      </c>
      <c r="S80" s="6" t="n">
        <v>9.6</v>
      </c>
      <c r="T80" s="7" t="n">
        <f aca="false">IFERROR(S80/R80,"")</f>
        <v>1.92</v>
      </c>
      <c r="U80" s="6" t="n">
        <v>9.6</v>
      </c>
      <c r="V80" s="6" t="n">
        <v>9.6</v>
      </c>
      <c r="W80" s="8" t="n">
        <v>68</v>
      </c>
      <c r="X80" s="7" t="n">
        <f aca="false">IFERROR(S80/AH80,"")</f>
        <v>0.342857142857143</v>
      </c>
      <c r="Y80" s="9" t="n">
        <f aca="false">IFERROR(S80/AF80,"")</f>
        <v>0.137142857142857</v>
      </c>
      <c r="Z80" s="6" t="n">
        <v>0.3</v>
      </c>
      <c r="AA80" s="6" t="n">
        <v>2.2</v>
      </c>
      <c r="AB80" s="6" t="n">
        <v>3.44</v>
      </c>
      <c r="AC80" s="10" t="n">
        <v>0</v>
      </c>
      <c r="AD80" s="10" t="n">
        <v>0.4</v>
      </c>
      <c r="AE80" s="7" t="n">
        <v>0.797</v>
      </c>
      <c r="AF80" s="8" t="n">
        <v>70</v>
      </c>
      <c r="AG80" s="10" t="n">
        <v>0.12</v>
      </c>
      <c r="AH80" s="8" t="n">
        <v>28</v>
      </c>
      <c r="AI80" s="8" t="n">
        <v>26</v>
      </c>
      <c r="AJ80" s="6" t="n">
        <f aca="false">IFERROR(AI80/R80,"")</f>
        <v>5.2</v>
      </c>
      <c r="AK80" s="10" t="n">
        <v>0.1699</v>
      </c>
      <c r="AL80" s="8" t="n">
        <v>96</v>
      </c>
      <c r="AM80" s="7" t="n">
        <f aca="false">IFERROR(AL80/AI80,"")</f>
        <v>3.69230769230769</v>
      </c>
      <c r="AN80" s="7" t="n">
        <v>1.846</v>
      </c>
      <c r="AO80" s="7" t="n">
        <v>1.846</v>
      </c>
      <c r="AP80" s="8" t="n">
        <v>0</v>
      </c>
      <c r="AQ80" s="7"/>
      <c r="AR80" s="6"/>
      <c r="AS80" s="7"/>
      <c r="AT80" s="8" t="n">
        <v>2</v>
      </c>
      <c r="AU80" s="6" t="n">
        <f aca="false">IFERROR(AT80/R80,"")</f>
        <v>0.4</v>
      </c>
      <c r="AV80" s="10" t="n">
        <v>0.0132</v>
      </c>
      <c r="AW80" s="8" t="n">
        <v>0</v>
      </c>
      <c r="AX80" s="10"/>
      <c r="AY80" s="8" t="n">
        <v>0</v>
      </c>
      <c r="AZ80" s="7"/>
      <c r="BA80" s="8" t="n">
        <v>6</v>
      </c>
      <c r="BB80" s="8" t="n">
        <v>2</v>
      </c>
      <c r="BC80" s="8" t="n">
        <v>1</v>
      </c>
      <c r="BD80" s="8" t="n">
        <v>0</v>
      </c>
      <c r="BE80" s="7" t="n">
        <v>1.21</v>
      </c>
      <c r="BF80" s="7" t="n">
        <f aca="false">IFERROR(BD80-BE80,"")</f>
        <v>-1.21</v>
      </c>
      <c r="BG80" s="9" t="n">
        <f aca="false">IFERROR(BD80/AH80,"")</f>
        <v>0</v>
      </c>
      <c r="BH80" s="6" t="n">
        <v>60.3</v>
      </c>
      <c r="BI80" s="6" t="n">
        <v>57.7</v>
      </c>
      <c r="BJ80" s="6" t="n">
        <v>58.5</v>
      </c>
      <c r="BK80" s="7" t="n">
        <v>3.072</v>
      </c>
      <c r="BL80" s="10" t="n">
        <v>0.1487</v>
      </c>
      <c r="BM80" s="10" t="n">
        <v>0.6875</v>
      </c>
      <c r="BN80" s="7" t="n">
        <v>2.428</v>
      </c>
      <c r="BO80" s="10" t="n">
        <v>0.2121</v>
      </c>
      <c r="BP80" s="10" t="n">
        <v>0.047</v>
      </c>
      <c r="BQ80" s="7" t="n">
        <v>2.237</v>
      </c>
      <c r="BR80" s="10" t="n">
        <v>0.832</v>
      </c>
      <c r="BS80" s="8" t="n">
        <v>5</v>
      </c>
      <c r="BT80" s="10" t="n">
        <v>-0.0091</v>
      </c>
      <c r="BU80" s="10" t="n">
        <v>0.5637</v>
      </c>
      <c r="BV80" s="6" t="n">
        <v>59.47</v>
      </c>
      <c r="BW80" s="6" t="n">
        <v>39</v>
      </c>
      <c r="BX80" s="7" t="n">
        <v>4.12</v>
      </c>
      <c r="BY80" s="6" t="n">
        <v>27.4</v>
      </c>
      <c r="BZ80" s="9" t="n">
        <v>0.094</v>
      </c>
      <c r="CA80" s="9" t="n">
        <v>0.0558</v>
      </c>
      <c r="CB80" s="8" t="n">
        <v>147</v>
      </c>
      <c r="CC80" s="10" t="n">
        <v>0.277</v>
      </c>
      <c r="CD80" s="8" t="n">
        <v>24</v>
      </c>
      <c r="CE80" s="10" t="n">
        <v>0.054</v>
      </c>
      <c r="CF80" s="8" t="n">
        <v>20</v>
      </c>
      <c r="CG80" s="7" t="n">
        <v>-0.182</v>
      </c>
      <c r="CH80" s="7" t="n">
        <v>-0.139</v>
      </c>
      <c r="CI80" s="4" t="s">
        <v>102</v>
      </c>
      <c r="CJ80" s="4"/>
    </row>
    <row r="81" customFormat="false" ht="15" hidden="false" customHeight="false" outlineLevel="0" collapsed="false">
      <c r="A81" s="3" t="n">
        <v>79</v>
      </c>
      <c r="B81" s="4" t="s">
        <v>635</v>
      </c>
      <c r="C81" s="11" t="s">
        <v>104</v>
      </c>
      <c r="D81" s="4" t="s">
        <v>636</v>
      </c>
      <c r="E81" s="4" t="s">
        <v>124</v>
      </c>
      <c r="F81" s="4" t="s">
        <v>104</v>
      </c>
      <c r="G81" s="3" t="n">
        <v>3</v>
      </c>
      <c r="H81" s="6" t="n">
        <v>24.8</v>
      </c>
      <c r="I81" s="3" t="n">
        <v>0</v>
      </c>
      <c r="J81" s="3" t="n">
        <v>8</v>
      </c>
      <c r="K81" s="7" t="n">
        <v>268.09</v>
      </c>
      <c r="L81" s="7" t="n">
        <v>45.39</v>
      </c>
      <c r="M81" s="8" t="n">
        <v>160</v>
      </c>
      <c r="N81" s="8" t="n">
        <v>337</v>
      </c>
      <c r="O81" s="7" t="n">
        <v>268.09</v>
      </c>
      <c r="P81" s="6" t="n">
        <v>8.6</v>
      </c>
      <c r="Q81" s="4"/>
      <c r="R81" s="8"/>
      <c r="S81" s="6"/>
      <c r="T81" s="7"/>
      <c r="U81" s="6"/>
      <c r="V81" s="6"/>
      <c r="W81" s="8"/>
      <c r="X81" s="7"/>
      <c r="Y81" s="9"/>
      <c r="Z81" s="6"/>
      <c r="AA81" s="6"/>
      <c r="AB81" s="6"/>
      <c r="AC81" s="10"/>
      <c r="AD81" s="10"/>
      <c r="AE81" s="7"/>
      <c r="AF81" s="8"/>
      <c r="AG81" s="10"/>
      <c r="AH81" s="8"/>
      <c r="AI81" s="8"/>
      <c r="AJ81" s="6"/>
      <c r="AK81" s="10"/>
      <c r="AL81" s="8"/>
      <c r="AM81" s="7"/>
      <c r="AN81" s="7"/>
      <c r="AO81" s="7"/>
      <c r="AP81" s="8"/>
      <c r="AQ81" s="7"/>
      <c r="AR81" s="6"/>
      <c r="AS81" s="7"/>
      <c r="AT81" s="8"/>
      <c r="AU81" s="6"/>
      <c r="AV81" s="10"/>
      <c r="AW81" s="8"/>
      <c r="AX81" s="10"/>
      <c r="AY81" s="8"/>
      <c r="AZ81" s="7"/>
      <c r="BA81" s="8"/>
      <c r="BB81" s="8"/>
      <c r="BC81" s="8"/>
      <c r="BD81" s="8"/>
      <c r="BE81" s="7"/>
      <c r="BF81" s="7"/>
      <c r="BG81" s="9"/>
      <c r="BH81" s="6" t="n">
        <v>63.3</v>
      </c>
      <c r="BI81" s="6" t="n">
        <v>46.4</v>
      </c>
      <c r="BJ81" s="6" t="n">
        <v>74.5</v>
      </c>
      <c r="BK81" s="7" t="n">
        <v>2.906</v>
      </c>
      <c r="BL81" s="10" t="n">
        <v>0.1848</v>
      </c>
      <c r="BM81" s="10" t="n">
        <v>0.655172413793103</v>
      </c>
      <c r="BN81" s="7" t="n">
        <v>2.349</v>
      </c>
      <c r="BO81" s="10" t="n">
        <v>0.2125</v>
      </c>
      <c r="BP81" s="10" t="n">
        <v>0.0428</v>
      </c>
      <c r="BQ81" s="7" t="n">
        <v>2.547</v>
      </c>
      <c r="BR81" s="10" t="n">
        <v>0.852</v>
      </c>
      <c r="BS81" s="8" t="n">
        <v>4</v>
      </c>
      <c r="BT81" s="10" t="n">
        <v>-0.0088</v>
      </c>
      <c r="BU81" s="10" t="n">
        <v>0.5521</v>
      </c>
      <c r="BV81" s="6" t="n">
        <v>62.65</v>
      </c>
      <c r="BW81" s="6" t="n">
        <v>38</v>
      </c>
      <c r="BX81" s="7" t="n">
        <v>3.88</v>
      </c>
      <c r="BY81" s="6" t="n">
        <v>25.7</v>
      </c>
      <c r="BZ81" s="9" t="n">
        <v>-0.0044</v>
      </c>
      <c r="CA81" s="9" t="n">
        <v>0.1587</v>
      </c>
      <c r="CB81" s="8" t="n">
        <v>170</v>
      </c>
      <c r="CC81" s="10" t="n">
        <v>0.309</v>
      </c>
      <c r="CD81" s="8" t="n">
        <v>94</v>
      </c>
      <c r="CE81" s="10" t="n">
        <v>0.195</v>
      </c>
      <c r="CF81" s="8" t="n">
        <v>38</v>
      </c>
      <c r="CG81" s="7"/>
      <c r="CH81" s="7"/>
      <c r="CI81" s="4"/>
      <c r="CJ81" s="4" t="s">
        <v>206</v>
      </c>
    </row>
    <row r="82" customFormat="false" ht="15" hidden="false" customHeight="false" outlineLevel="0" collapsed="false">
      <c r="A82" s="3" t="n">
        <v>80</v>
      </c>
      <c r="B82" s="4" t="s">
        <v>637</v>
      </c>
      <c r="C82" s="11" t="s">
        <v>104</v>
      </c>
      <c r="D82" s="4" t="s">
        <v>638</v>
      </c>
      <c r="E82" s="4" t="s">
        <v>101</v>
      </c>
      <c r="F82" s="4" t="s">
        <v>104</v>
      </c>
      <c r="G82" s="3" t="n">
        <v>2</v>
      </c>
      <c r="H82" s="6" t="n">
        <v>30.9</v>
      </c>
      <c r="I82" s="3" t="n">
        <v>10</v>
      </c>
      <c r="J82" s="3" t="n">
        <v>6</v>
      </c>
      <c r="K82" s="7" t="n">
        <v>270.44</v>
      </c>
      <c r="L82" s="7" t="n">
        <v>39.7</v>
      </c>
      <c r="M82" s="8" t="n">
        <v>157</v>
      </c>
      <c r="N82" s="8" t="n">
        <v>414</v>
      </c>
      <c r="O82" s="7" t="n">
        <v>270.44</v>
      </c>
      <c r="P82" s="6" t="n">
        <v>4</v>
      </c>
      <c r="Q82" s="4" t="s">
        <v>101</v>
      </c>
      <c r="R82" s="8" t="n">
        <v>15</v>
      </c>
      <c r="S82" s="6" t="n">
        <v>77.9</v>
      </c>
      <c r="T82" s="7" t="n">
        <f aca="false">IFERROR(S82/R82,"")</f>
        <v>5.19333333333333</v>
      </c>
      <c r="U82" s="6" t="n">
        <v>69.4</v>
      </c>
      <c r="V82" s="6" t="n">
        <v>60.9</v>
      </c>
      <c r="W82" s="8" t="n">
        <v>52</v>
      </c>
      <c r="X82" s="7" t="n">
        <f aca="false">IFERROR(S82/AH82,"")</f>
        <v>0.741904761904762</v>
      </c>
      <c r="Y82" s="9" t="n">
        <f aca="false">IFERROR(S82/AF82,"")</f>
        <v>0.22514450867052</v>
      </c>
      <c r="Z82" s="6" t="n">
        <v>1.55</v>
      </c>
      <c r="AA82" s="6" t="n">
        <v>4.9</v>
      </c>
      <c r="AB82" s="6" t="n">
        <v>8.29</v>
      </c>
      <c r="AC82" s="10" t="n">
        <v>0</v>
      </c>
      <c r="AD82" s="10" t="n">
        <v>0.267</v>
      </c>
      <c r="AE82" s="7" t="n">
        <v>0.968</v>
      </c>
      <c r="AF82" s="8" t="n">
        <v>346</v>
      </c>
      <c r="AG82" s="10" t="n">
        <v>0.351</v>
      </c>
      <c r="AH82" s="8" t="n">
        <v>105</v>
      </c>
      <c r="AI82" s="8" t="n">
        <v>84</v>
      </c>
      <c r="AJ82" s="6" t="n">
        <f aca="false">IFERROR(AI82/R82,"")</f>
        <v>5.6</v>
      </c>
      <c r="AK82" s="10" t="n">
        <v>0.25</v>
      </c>
      <c r="AL82" s="8" t="n">
        <v>382</v>
      </c>
      <c r="AM82" s="7" t="n">
        <f aca="false">IFERROR(AL82/AI82,"")</f>
        <v>4.54761904761905</v>
      </c>
      <c r="AN82" s="7" t="n">
        <v>2.286</v>
      </c>
      <c r="AO82" s="7" t="n">
        <v>2.262</v>
      </c>
      <c r="AP82" s="8" t="n">
        <v>4</v>
      </c>
      <c r="AQ82" s="7"/>
      <c r="AR82" s="6"/>
      <c r="AS82" s="7"/>
      <c r="AT82" s="8" t="n">
        <v>21</v>
      </c>
      <c r="AU82" s="6" t="n">
        <f aca="false">IFERROR(AT82/R82,"")</f>
        <v>1.4</v>
      </c>
      <c r="AV82" s="10" t="n">
        <v>0.0393</v>
      </c>
      <c r="AW82" s="8" t="n">
        <v>17</v>
      </c>
      <c r="AX82" s="10" t="n">
        <f aca="false">IFERROR(AW82/AT82,"")</f>
        <v>0.80952380952381</v>
      </c>
      <c r="AY82" s="8" t="n">
        <v>87</v>
      </c>
      <c r="AZ82" s="7" t="n">
        <f aca="false">IFERROR(AY82/AT82,"")</f>
        <v>4.14285714285714</v>
      </c>
      <c r="BA82" s="8" t="n">
        <v>17</v>
      </c>
      <c r="BB82" s="8" t="n">
        <v>8</v>
      </c>
      <c r="BC82" s="8" t="n">
        <v>4</v>
      </c>
      <c r="BD82" s="8" t="n">
        <v>3</v>
      </c>
      <c r="BE82" s="7" t="n">
        <v>3.52</v>
      </c>
      <c r="BF82" s="7" t="n">
        <f aca="false">IFERROR(BD82-BE82,"")</f>
        <v>-0.52</v>
      </c>
      <c r="BG82" s="9" t="n">
        <f aca="false">IFERROR(BD82/AH82,"")</f>
        <v>0.0285714285714286</v>
      </c>
      <c r="BH82" s="6" t="n">
        <v>60.4</v>
      </c>
      <c r="BI82" s="6" t="n">
        <v>63.4</v>
      </c>
      <c r="BJ82" s="6" t="n">
        <v>53</v>
      </c>
      <c r="BK82" s="7" t="n">
        <v>3.212</v>
      </c>
      <c r="BL82" s="10" t="n">
        <v>0.1072</v>
      </c>
      <c r="BM82" s="10" t="n">
        <v>0.657142857142857</v>
      </c>
      <c r="BN82" s="7" t="n">
        <v>2.249</v>
      </c>
      <c r="BO82" s="10" t="n">
        <v>0.2234</v>
      </c>
      <c r="BP82" s="10" t="n">
        <v>0.0527</v>
      </c>
      <c r="BQ82" s="7" t="n">
        <v>2.22</v>
      </c>
      <c r="BR82" s="10" t="n">
        <v>0.996</v>
      </c>
      <c r="BS82" s="8" t="n">
        <v>5</v>
      </c>
      <c r="BT82" s="10" t="n">
        <v>0.0172</v>
      </c>
      <c r="BU82" s="10" t="n">
        <v>0.6322</v>
      </c>
      <c r="BV82" s="6" t="n">
        <v>61.71</v>
      </c>
      <c r="BW82" s="6" t="n">
        <v>38</v>
      </c>
      <c r="BX82" s="7" t="n">
        <v>3.29</v>
      </c>
      <c r="BY82" s="6" t="n">
        <v>24.4</v>
      </c>
      <c r="BZ82" s="9" t="n">
        <v>0.0246</v>
      </c>
      <c r="CA82" s="9" t="n">
        <v>-0.0266</v>
      </c>
      <c r="CB82" s="8" t="n">
        <v>41</v>
      </c>
      <c r="CC82" s="10" t="n">
        <v>0.067</v>
      </c>
      <c r="CD82" s="8" t="n">
        <v>9</v>
      </c>
      <c r="CE82" s="10" t="n">
        <v>0.024</v>
      </c>
      <c r="CF82" s="8" t="n">
        <v>6</v>
      </c>
      <c r="CG82" s="7" t="n">
        <v>0.59</v>
      </c>
      <c r="CH82" s="7" t="n">
        <v>0.414</v>
      </c>
      <c r="CI82" s="4" t="s">
        <v>232</v>
      </c>
      <c r="CJ82" s="4"/>
    </row>
    <row r="83" customFormat="false" ht="15" hidden="false" customHeight="false" outlineLevel="0" collapsed="false">
      <c r="A83" s="3" t="n">
        <v>81</v>
      </c>
      <c r="B83" s="4" t="s">
        <v>643</v>
      </c>
      <c r="C83" s="11" t="s">
        <v>104</v>
      </c>
      <c r="D83" s="4" t="s">
        <v>644</v>
      </c>
      <c r="E83" s="4" t="s">
        <v>284</v>
      </c>
      <c r="F83" s="4" t="s">
        <v>104</v>
      </c>
      <c r="G83" s="3" t="n">
        <v>3</v>
      </c>
      <c r="H83" s="6" t="n">
        <v>23</v>
      </c>
      <c r="I83" s="3" t="n">
        <v>2</v>
      </c>
      <c r="J83" s="3" t="n">
        <v>9</v>
      </c>
      <c r="K83" s="7" t="n">
        <v>271.06</v>
      </c>
      <c r="L83" s="7" t="n">
        <v>34.33</v>
      </c>
      <c r="M83" s="8" t="n">
        <v>145</v>
      </c>
      <c r="N83" s="8" t="n">
        <v>343</v>
      </c>
      <c r="O83" s="7" t="n">
        <v>271.06</v>
      </c>
      <c r="P83" s="6" t="n">
        <v>6.1</v>
      </c>
      <c r="Q83" s="4" t="s">
        <v>284</v>
      </c>
      <c r="R83" s="8" t="n">
        <v>10</v>
      </c>
      <c r="S83" s="6" t="n">
        <v>8.8</v>
      </c>
      <c r="T83" s="7" t="n">
        <f aca="false">IFERROR(S83/R83,"")</f>
        <v>0.88</v>
      </c>
      <c r="U83" s="6" t="n">
        <v>8.3</v>
      </c>
      <c r="V83" s="6" t="n">
        <v>7.8</v>
      </c>
      <c r="W83" s="8" t="n">
        <v>69</v>
      </c>
      <c r="X83" s="7" t="n">
        <f aca="false">IFERROR(S83/AH83,"")</f>
        <v>0.293333333333333</v>
      </c>
      <c r="Y83" s="9" t="n">
        <f aca="false">IFERROR(S83/AF83,"")</f>
        <v>0.172549019607843</v>
      </c>
      <c r="Z83" s="6" t="n">
        <v>0.3</v>
      </c>
      <c r="AA83" s="6" t="n">
        <v>0.4</v>
      </c>
      <c r="AB83" s="6" t="n">
        <v>1.95</v>
      </c>
      <c r="AC83" s="10" t="n">
        <v>0</v>
      </c>
      <c r="AD83" s="10" t="n">
        <v>0.9</v>
      </c>
      <c r="AE83" s="7" t="n">
        <v>2.272</v>
      </c>
      <c r="AF83" s="8" t="n">
        <v>51</v>
      </c>
      <c r="AG83" s="10" t="n">
        <v>0.091</v>
      </c>
      <c r="AH83" s="8" t="n">
        <v>30</v>
      </c>
      <c r="AI83" s="8" t="n">
        <v>28</v>
      </c>
      <c r="AJ83" s="6" t="n">
        <f aca="false">IFERROR(AI83/R83,"")</f>
        <v>2.8</v>
      </c>
      <c r="AK83" s="10" t="n">
        <v>0.1207</v>
      </c>
      <c r="AL83" s="8" t="n">
        <v>69</v>
      </c>
      <c r="AM83" s="7" t="n">
        <f aca="false">IFERROR(AL83/AI83,"")</f>
        <v>2.46428571428571</v>
      </c>
      <c r="AN83" s="7" t="n">
        <v>1.25</v>
      </c>
      <c r="AO83" s="7" t="n">
        <v>1.214</v>
      </c>
      <c r="AP83" s="8" t="n">
        <v>2</v>
      </c>
      <c r="AQ83" s="7"/>
      <c r="AR83" s="6"/>
      <c r="AS83" s="7"/>
      <c r="AT83" s="8" t="n">
        <v>2</v>
      </c>
      <c r="AU83" s="6" t="n">
        <f aca="false">IFERROR(AT83/R83,"")</f>
        <v>0.2</v>
      </c>
      <c r="AV83" s="10" t="n">
        <v>0.007</v>
      </c>
      <c r="AW83" s="8" t="n">
        <v>1</v>
      </c>
      <c r="AX83" s="10"/>
      <c r="AY83" s="8" t="n">
        <v>9</v>
      </c>
      <c r="AZ83" s="7"/>
      <c r="BA83" s="8" t="n">
        <v>4</v>
      </c>
      <c r="BB83" s="8" t="n">
        <v>0</v>
      </c>
      <c r="BC83" s="8" t="n">
        <v>0</v>
      </c>
      <c r="BD83" s="8" t="n">
        <v>0</v>
      </c>
      <c r="BE83" s="7" t="n">
        <v>0.44</v>
      </c>
      <c r="BF83" s="7" t="n">
        <f aca="false">IFERROR(BD83-BE83,"")</f>
        <v>-0.44</v>
      </c>
      <c r="BG83" s="9" t="n">
        <f aca="false">IFERROR(BD83/AH83,"")</f>
        <v>0</v>
      </c>
      <c r="BH83" s="6" t="n">
        <v>57.4</v>
      </c>
      <c r="BI83" s="6" t="n">
        <v>46.5</v>
      </c>
      <c r="BJ83" s="6" t="n">
        <v>65.1</v>
      </c>
      <c r="BK83" s="7" t="n">
        <v>2.87</v>
      </c>
      <c r="BL83" s="10" t="n">
        <v>0.172</v>
      </c>
      <c r="BM83" s="10" t="n">
        <v>0.68</v>
      </c>
      <c r="BN83" s="7" t="n">
        <v>2.285</v>
      </c>
      <c r="BO83" s="10" t="n">
        <v>0.1636</v>
      </c>
      <c r="BP83" s="10" t="n">
        <v>0.0526</v>
      </c>
      <c r="BQ83" s="7" t="n">
        <v>2.209</v>
      </c>
      <c r="BR83" s="10" t="n">
        <v>0.824</v>
      </c>
      <c r="BS83" s="8" t="n">
        <v>5</v>
      </c>
      <c r="BT83" s="10" t="n">
        <v>-0.007</v>
      </c>
      <c r="BU83" s="10" t="n">
        <v>0.5795</v>
      </c>
      <c r="BV83" s="6" t="n">
        <v>57.35</v>
      </c>
      <c r="BW83" s="6" t="n">
        <v>40</v>
      </c>
      <c r="BX83" s="7" t="n">
        <v>3</v>
      </c>
      <c r="BY83" s="6" t="n">
        <v>23.4</v>
      </c>
      <c r="BZ83" s="9" t="n">
        <v>0.0188</v>
      </c>
      <c r="CA83" s="9" t="n">
        <v>0.0312</v>
      </c>
      <c r="CB83" s="8" t="n">
        <v>179</v>
      </c>
      <c r="CC83" s="10" t="n">
        <v>0.343</v>
      </c>
      <c r="CD83" s="8" t="n">
        <v>129</v>
      </c>
      <c r="CE83" s="10" t="n">
        <v>0.317</v>
      </c>
      <c r="CF83" s="8" t="n">
        <v>59</v>
      </c>
      <c r="CG83" s="7" t="n">
        <v>-0.12</v>
      </c>
      <c r="CH83" s="7" t="n">
        <v>-0.12</v>
      </c>
      <c r="CI83" s="4" t="s">
        <v>102</v>
      </c>
      <c r="CJ83" s="4"/>
    </row>
  </sheetData>
  <autoFilter ref="A2:CJ83"/>
  <conditionalFormatting sqref="G3:G83">
    <cfRule type="colorScale" priority="2">
      <colorScale>
        <cfvo type="percentile" val="5"/>
        <cfvo type="percentile" val="50"/>
        <cfvo type="percentile" val="95"/>
        <color rgb="FF63BE7B"/>
        <color rgb="FFFFEB84"/>
        <color rgb="FFF8696B"/>
      </colorScale>
    </cfRule>
  </conditionalFormatting>
  <conditionalFormatting sqref="K3:K83">
    <cfRule type="colorScale" priority="3">
      <colorScale>
        <cfvo type="percentile" val="5"/>
        <cfvo type="percentile" val="50"/>
        <cfvo type="percentile" val="95"/>
        <color rgb="FF63BE7B"/>
        <color rgb="FFFFEB84"/>
        <color rgb="FFF8696B"/>
      </colorScale>
    </cfRule>
  </conditionalFormatting>
  <conditionalFormatting sqref="O3:O83">
    <cfRule type="colorScale" priority="4">
      <colorScale>
        <cfvo type="percentile" val="5"/>
        <cfvo type="percentile" val="50"/>
        <cfvo type="percentile" val="95"/>
        <color rgb="FF63BE7B"/>
        <color rgb="FFFFEB84"/>
        <color rgb="FFF8696B"/>
      </colorScale>
    </cfRule>
  </conditionalFormatting>
  <conditionalFormatting sqref="W3:W83">
    <cfRule type="colorScale" priority="5">
      <colorScale>
        <cfvo type="percentile" val="5"/>
        <cfvo type="percentile" val="50"/>
        <cfvo type="percentile" val="95"/>
        <color rgb="FF63BE7B"/>
        <color rgb="FFFFEB84"/>
        <color rgb="FFF8696B"/>
      </colorScale>
    </cfRule>
  </conditionalFormatting>
  <conditionalFormatting sqref="AD3:AD83">
    <cfRule type="colorScale" priority="6">
      <colorScale>
        <cfvo type="percentile" val="5"/>
        <cfvo type="percentile" val="50"/>
        <cfvo type="percentile" val="95"/>
        <color rgb="FF63BE7B"/>
        <color rgb="FFFFEB84"/>
        <color rgb="FFF8696B"/>
      </colorScale>
    </cfRule>
  </conditionalFormatting>
  <conditionalFormatting sqref="AE3:AE83">
    <cfRule type="colorScale" priority="7">
      <colorScale>
        <cfvo type="percentile" val="5"/>
        <cfvo type="percentile" val="50"/>
        <cfvo type="percentile" val="95"/>
        <color rgb="FF63BE7B"/>
        <color rgb="FFFFEB84"/>
        <color rgb="FFF8696B"/>
      </colorScale>
    </cfRule>
  </conditionalFormatting>
  <conditionalFormatting sqref="AR3:AR83">
    <cfRule type="colorScale" priority="8">
      <colorScale>
        <cfvo type="percentile" val="5"/>
        <cfvo type="percentile" val="50"/>
        <cfvo type="percentile" val="95"/>
        <color rgb="FF63BE7B"/>
        <color rgb="FFFFEB84"/>
        <color rgb="FFF8696B"/>
      </colorScale>
    </cfRule>
  </conditionalFormatting>
  <conditionalFormatting sqref="AS3:AS83">
    <cfRule type="colorScale" priority="9">
      <colorScale>
        <cfvo type="percentile" val="5"/>
        <cfvo type="percentile" val="50"/>
        <cfvo type="percentile" val="95"/>
        <color rgb="FF63BE7B"/>
        <color rgb="FFFFEB84"/>
        <color rgb="FFF8696B"/>
      </colorScale>
    </cfRule>
  </conditionalFormatting>
  <conditionalFormatting sqref="BL3:BL83">
    <cfRule type="colorScale" priority="10">
      <colorScale>
        <cfvo type="percentile" val="5"/>
        <cfvo type="percentile" val="50"/>
        <cfvo type="percentile" val="95"/>
        <color rgb="FF63BE7B"/>
        <color rgb="FFFFEB84"/>
        <color rgb="FFF8696B"/>
      </colorScale>
    </cfRule>
  </conditionalFormatting>
  <conditionalFormatting sqref="BO3:BO83">
    <cfRule type="colorScale" priority="11">
      <colorScale>
        <cfvo type="percentile" val="5"/>
        <cfvo type="percentile" val="50"/>
        <cfvo type="percentile" val="95"/>
        <color rgb="FF63BE7B"/>
        <color rgb="FFFFEB84"/>
        <color rgb="FFF8696B"/>
      </colorScale>
    </cfRule>
  </conditionalFormatting>
  <conditionalFormatting sqref="BP3:BP83">
    <cfRule type="colorScale" priority="12">
      <colorScale>
        <cfvo type="percentile" val="5"/>
        <cfvo type="percentile" val="50"/>
        <cfvo type="percentile" val="95"/>
        <color rgb="FF63BE7B"/>
        <color rgb="FFFFEB84"/>
        <color rgb="FFF8696B"/>
      </colorScale>
    </cfRule>
  </conditionalFormatting>
  <conditionalFormatting sqref="BW3:BW83">
    <cfRule type="colorScale" priority="13">
      <colorScale>
        <cfvo type="percentile" val="5"/>
        <cfvo type="percentile" val="50"/>
        <cfvo type="percentile" val="95"/>
        <color rgb="FF63BE7B"/>
        <color rgb="FFFFEB84"/>
        <color rgb="FFF8696B"/>
      </colorScale>
    </cfRule>
  </conditionalFormatting>
  <conditionalFormatting sqref="Z3:Z83">
    <cfRule type="colorScale" priority="14">
      <colorScale>
        <cfvo type="percentile" val="5"/>
        <cfvo type="percentile" val="50"/>
        <cfvo type="percentile" val="95"/>
        <color rgb="FFF8696B"/>
        <color rgb="FFFFEB84"/>
        <color rgb="FF63BE7B"/>
      </colorScale>
    </cfRule>
  </conditionalFormatting>
  <conditionalFormatting sqref="AA3:AA83">
    <cfRule type="colorScale" priority="15">
      <colorScale>
        <cfvo type="percentile" val="5"/>
        <cfvo type="percentile" val="50"/>
        <cfvo type="percentile" val="95"/>
        <color rgb="FFF8696B"/>
        <color rgb="FFFFEB84"/>
        <color rgb="FF63BE7B"/>
      </colorScale>
    </cfRule>
  </conditionalFormatting>
  <conditionalFormatting sqref="AB3:AB83">
    <cfRule type="colorScale" priority="16">
      <colorScale>
        <cfvo type="percentile" val="5"/>
        <cfvo type="percentile" val="50"/>
        <cfvo type="percentile" val="95"/>
        <color rgb="FFF8696B"/>
        <color rgb="FFFFEB84"/>
        <color rgb="FF63BE7B"/>
      </colorScale>
    </cfRule>
  </conditionalFormatting>
  <conditionalFormatting sqref="AC3:AC83">
    <cfRule type="colorScale" priority="17">
      <colorScale>
        <cfvo type="percentile" val="5"/>
        <cfvo type="percentile" val="50"/>
        <cfvo type="percentile" val="95"/>
        <color rgb="FFF8696B"/>
        <color rgb="FFFFEB84"/>
        <color rgb="FF63BE7B"/>
      </colorScale>
    </cfRule>
  </conditionalFormatting>
  <conditionalFormatting sqref="R3:R83">
    <cfRule type="colorScale" priority="18">
      <colorScale>
        <cfvo type="percentile" val="5"/>
        <cfvo type="percentile" val="50"/>
        <cfvo type="percentile" val="95"/>
        <color rgb="FFF8696B"/>
        <color rgb="FFFFEB84"/>
        <color rgb="FF63BE7B"/>
      </colorScale>
    </cfRule>
  </conditionalFormatting>
  <conditionalFormatting sqref="S3:S83">
    <cfRule type="colorScale" priority="19">
      <colorScale>
        <cfvo type="percentile" val="5"/>
        <cfvo type="percentile" val="50"/>
        <cfvo type="percentile" val="95"/>
        <color rgb="FFF8696B"/>
        <color rgb="FFFFEB84"/>
        <color rgb="FF63BE7B"/>
      </colorScale>
    </cfRule>
  </conditionalFormatting>
  <conditionalFormatting sqref="AF3:AF83">
    <cfRule type="colorScale" priority="20">
      <colorScale>
        <cfvo type="percentile" val="5"/>
        <cfvo type="percentile" val="50"/>
        <cfvo type="percentile" val="95"/>
        <color rgb="FFF8696B"/>
        <color rgb="FFFFEB84"/>
        <color rgb="FF63BE7B"/>
      </colorScale>
    </cfRule>
  </conditionalFormatting>
  <conditionalFormatting sqref="AG3:AG83">
    <cfRule type="colorScale" priority="21">
      <colorScale>
        <cfvo type="percentile" val="5"/>
        <cfvo type="percentile" val="50"/>
        <cfvo type="percentile" val="95"/>
        <color rgb="FFF8696B"/>
        <color rgb="FFFFEB84"/>
        <color rgb="FF63BE7B"/>
      </colorScale>
    </cfRule>
  </conditionalFormatting>
  <conditionalFormatting sqref="AH3:AH83">
    <cfRule type="colorScale" priority="22">
      <colorScale>
        <cfvo type="percentile" val="5"/>
        <cfvo type="percentile" val="50"/>
        <cfvo type="percentile" val="95"/>
        <color rgb="FFF8696B"/>
        <color rgb="FFFFEB84"/>
        <color rgb="FF63BE7B"/>
      </colorScale>
    </cfRule>
  </conditionalFormatting>
  <conditionalFormatting sqref="AI3:AI83">
    <cfRule type="colorScale" priority="23">
      <colorScale>
        <cfvo type="percentile" val="5"/>
        <cfvo type="percentile" val="50"/>
        <cfvo type="percentile" val="95"/>
        <color rgb="FFF8696B"/>
        <color rgb="FFFFEB84"/>
        <color rgb="FF63BE7B"/>
      </colorScale>
    </cfRule>
  </conditionalFormatting>
  <conditionalFormatting sqref="AJ3:AJ83">
    <cfRule type="colorScale" priority="24">
      <colorScale>
        <cfvo type="percentile" val="5"/>
        <cfvo type="percentile" val="50"/>
        <cfvo type="percentile" val="95"/>
        <color rgb="FFF8696B"/>
        <color rgb="FFFFEB84"/>
        <color rgb="FF63BE7B"/>
      </colorScale>
    </cfRule>
  </conditionalFormatting>
  <conditionalFormatting sqref="AK3:AK83">
    <cfRule type="colorScale" priority="25">
      <colorScale>
        <cfvo type="percentile" val="5"/>
        <cfvo type="percentile" val="50"/>
        <cfvo type="percentile" val="95"/>
        <color rgb="FFF8696B"/>
        <color rgb="FFFFEB84"/>
        <color rgb="FF63BE7B"/>
      </colorScale>
    </cfRule>
  </conditionalFormatting>
  <conditionalFormatting sqref="AL3:AL83">
    <cfRule type="colorScale" priority="26">
      <colorScale>
        <cfvo type="percentile" val="5"/>
        <cfvo type="percentile" val="50"/>
        <cfvo type="percentile" val="95"/>
        <color rgb="FFF8696B"/>
        <color rgb="FFFFEB84"/>
        <color rgb="FF63BE7B"/>
      </colorScale>
    </cfRule>
  </conditionalFormatting>
  <conditionalFormatting sqref="AM3:AM83">
    <cfRule type="colorScale" priority="27">
      <colorScale>
        <cfvo type="percentile" val="5"/>
        <cfvo type="percentile" val="50"/>
        <cfvo type="percentile" val="95"/>
        <color rgb="FFF8696B"/>
        <color rgb="FFFFEB84"/>
        <color rgb="FF63BE7B"/>
      </colorScale>
    </cfRule>
  </conditionalFormatting>
  <conditionalFormatting sqref="AN3:AN83">
    <cfRule type="colorScale" priority="28">
      <colorScale>
        <cfvo type="percentile" val="5"/>
        <cfvo type="percentile" val="50"/>
        <cfvo type="percentile" val="95"/>
        <color rgb="FFF8696B"/>
        <color rgb="FFFFEB84"/>
        <color rgb="FF63BE7B"/>
      </colorScale>
    </cfRule>
  </conditionalFormatting>
  <conditionalFormatting sqref="AO3:AO83">
    <cfRule type="colorScale" priority="29">
      <colorScale>
        <cfvo type="percentile" val="5"/>
        <cfvo type="percentile" val="50"/>
        <cfvo type="percentile" val="95"/>
        <color rgb="FFF8696B"/>
        <color rgb="FFFFEB84"/>
        <color rgb="FF63BE7B"/>
      </colorScale>
    </cfRule>
  </conditionalFormatting>
  <conditionalFormatting sqref="AP3:AP83">
    <cfRule type="colorScale" priority="30">
      <colorScale>
        <cfvo type="percentile" val="5"/>
        <cfvo type="percentile" val="50"/>
        <cfvo type="percentile" val="95"/>
        <color rgb="FFF8696B"/>
        <color rgb="FFFFEB84"/>
        <color rgb="FF63BE7B"/>
      </colorScale>
    </cfRule>
  </conditionalFormatting>
  <conditionalFormatting sqref="AQ3:AQ83">
    <cfRule type="colorScale" priority="31">
      <colorScale>
        <cfvo type="percentile" val="5"/>
        <cfvo type="percentile" val="50"/>
        <cfvo type="percentile" val="95"/>
        <color rgb="FFF8696B"/>
        <color rgb="FFFFEB84"/>
        <color rgb="FF63BE7B"/>
      </colorScale>
    </cfRule>
  </conditionalFormatting>
  <conditionalFormatting sqref="T3:T83">
    <cfRule type="colorScale" priority="32">
      <colorScale>
        <cfvo type="percentile" val="5"/>
        <cfvo type="percentile" val="50"/>
        <cfvo type="percentile" val="95"/>
        <color rgb="FFF8696B"/>
        <color rgb="FFFFEB84"/>
        <color rgb="FF63BE7B"/>
      </colorScale>
    </cfRule>
  </conditionalFormatting>
  <conditionalFormatting sqref="U3:U83">
    <cfRule type="colorScale" priority="33">
      <colorScale>
        <cfvo type="percentile" val="5"/>
        <cfvo type="percentile" val="50"/>
        <cfvo type="percentile" val="95"/>
        <color rgb="FFF8696B"/>
        <color rgb="FFFFEB84"/>
        <color rgb="FF63BE7B"/>
      </colorScale>
    </cfRule>
  </conditionalFormatting>
  <conditionalFormatting sqref="AT3:AT83">
    <cfRule type="colorScale" priority="34">
      <colorScale>
        <cfvo type="percentile" val="5"/>
        <cfvo type="percentile" val="50"/>
        <cfvo type="percentile" val="95"/>
        <color rgb="FFF8696B"/>
        <color rgb="FFFFEB84"/>
        <color rgb="FF63BE7B"/>
      </colorScale>
    </cfRule>
  </conditionalFormatting>
  <conditionalFormatting sqref="AU3:AU83">
    <cfRule type="colorScale" priority="35">
      <colorScale>
        <cfvo type="percentile" val="5"/>
        <cfvo type="percentile" val="50"/>
        <cfvo type="percentile" val="95"/>
        <color rgb="FFF8696B"/>
        <color rgb="FFFFEB84"/>
        <color rgb="FF63BE7B"/>
      </colorScale>
    </cfRule>
  </conditionalFormatting>
  <conditionalFormatting sqref="AV3:AV83">
    <cfRule type="colorScale" priority="36">
      <colorScale>
        <cfvo type="percentile" val="5"/>
        <cfvo type="percentile" val="50"/>
        <cfvo type="percentile" val="95"/>
        <color rgb="FFF8696B"/>
        <color rgb="FFFFEB84"/>
        <color rgb="FF63BE7B"/>
      </colorScale>
    </cfRule>
  </conditionalFormatting>
  <conditionalFormatting sqref="AW3:AW83">
    <cfRule type="colorScale" priority="37">
      <colorScale>
        <cfvo type="percentile" val="5"/>
        <cfvo type="percentile" val="50"/>
        <cfvo type="percentile" val="95"/>
        <color rgb="FFF8696B"/>
        <color rgb="FFFFEB84"/>
        <color rgb="FF63BE7B"/>
      </colorScale>
    </cfRule>
  </conditionalFormatting>
  <conditionalFormatting sqref="AX3:AX83">
    <cfRule type="colorScale" priority="38">
      <colorScale>
        <cfvo type="percentile" val="5"/>
        <cfvo type="percentile" val="50"/>
        <cfvo type="percentile" val="95"/>
        <color rgb="FFF8696B"/>
        <color rgb="FFFFEB84"/>
        <color rgb="FF63BE7B"/>
      </colorScale>
    </cfRule>
  </conditionalFormatting>
  <conditionalFormatting sqref="AY3:AY83">
    <cfRule type="colorScale" priority="39">
      <colorScale>
        <cfvo type="percentile" val="5"/>
        <cfvo type="percentile" val="50"/>
        <cfvo type="percentile" val="95"/>
        <color rgb="FFF8696B"/>
        <color rgb="FFFFEB84"/>
        <color rgb="FF63BE7B"/>
      </colorScale>
    </cfRule>
  </conditionalFormatting>
  <conditionalFormatting sqref="AZ3:AZ83">
    <cfRule type="colorScale" priority="40">
      <colorScale>
        <cfvo type="percentile" val="5"/>
        <cfvo type="percentile" val="50"/>
        <cfvo type="percentile" val="95"/>
        <color rgb="FFF8696B"/>
        <color rgb="FFFFEB84"/>
        <color rgb="FF63BE7B"/>
      </colorScale>
    </cfRule>
  </conditionalFormatting>
  <conditionalFormatting sqref="BA3:BA83">
    <cfRule type="colorScale" priority="41">
      <colorScale>
        <cfvo type="percentile" val="5"/>
        <cfvo type="percentile" val="50"/>
        <cfvo type="percentile" val="95"/>
        <color rgb="FFF8696B"/>
        <color rgb="FFFFEB84"/>
        <color rgb="FF63BE7B"/>
      </colorScale>
    </cfRule>
  </conditionalFormatting>
  <conditionalFormatting sqref="BB3:BB83">
    <cfRule type="colorScale" priority="42">
      <colorScale>
        <cfvo type="percentile" val="5"/>
        <cfvo type="percentile" val="50"/>
        <cfvo type="percentile" val="95"/>
        <color rgb="FFF8696B"/>
        <color rgb="FFFFEB84"/>
        <color rgb="FF63BE7B"/>
      </colorScale>
    </cfRule>
  </conditionalFormatting>
  <conditionalFormatting sqref="BC3:BC83">
    <cfRule type="colorScale" priority="43">
      <colorScale>
        <cfvo type="percentile" val="5"/>
        <cfvo type="percentile" val="50"/>
        <cfvo type="percentile" val="95"/>
        <color rgb="FFF8696B"/>
        <color rgb="FFFFEB84"/>
        <color rgb="FF63BE7B"/>
      </colorScale>
    </cfRule>
  </conditionalFormatting>
  <conditionalFormatting sqref="BD3:BD83">
    <cfRule type="colorScale" priority="44">
      <colorScale>
        <cfvo type="percentile" val="5"/>
        <cfvo type="percentile" val="50"/>
        <cfvo type="percentile" val="95"/>
        <color rgb="FFF8696B"/>
        <color rgb="FFFFEB84"/>
        <color rgb="FF63BE7B"/>
      </colorScale>
    </cfRule>
  </conditionalFormatting>
  <conditionalFormatting sqref="BE3:BE83">
    <cfRule type="colorScale" priority="45">
      <colorScale>
        <cfvo type="percentile" val="5"/>
        <cfvo type="percentile" val="50"/>
        <cfvo type="percentile" val="95"/>
        <color rgb="FFF8696B"/>
        <color rgb="FFFFEB84"/>
        <color rgb="FF63BE7B"/>
      </colorScale>
    </cfRule>
  </conditionalFormatting>
  <conditionalFormatting sqref="BG3:BG83">
    <cfRule type="colorScale" priority="46">
      <colorScale>
        <cfvo type="percentile" val="5"/>
        <cfvo type="percentile" val="50"/>
        <cfvo type="percentile" val="95"/>
        <color rgb="FFF8696B"/>
        <color rgb="FFFFEB84"/>
        <color rgb="FF63BE7B"/>
      </colorScale>
    </cfRule>
  </conditionalFormatting>
  <conditionalFormatting sqref="BH3:BH83">
    <cfRule type="colorScale" priority="47">
      <colorScale>
        <cfvo type="percentile" val="5"/>
        <cfvo type="percentile" val="50"/>
        <cfvo type="percentile" val="95"/>
        <color rgb="FFF8696B"/>
        <color rgb="FFFFEB84"/>
        <color rgb="FF63BE7B"/>
      </colorScale>
    </cfRule>
  </conditionalFormatting>
  <conditionalFormatting sqref="BI3:BI83">
    <cfRule type="colorScale" priority="48">
      <colorScale>
        <cfvo type="percentile" val="5"/>
        <cfvo type="percentile" val="50"/>
        <cfvo type="percentile" val="95"/>
        <color rgb="FFF8696B"/>
        <color rgb="FFFFEB84"/>
        <color rgb="FF63BE7B"/>
      </colorScale>
    </cfRule>
  </conditionalFormatting>
  <conditionalFormatting sqref="BJ3:BJ83">
    <cfRule type="colorScale" priority="49">
      <colorScale>
        <cfvo type="percentile" val="5"/>
        <cfvo type="percentile" val="50"/>
        <cfvo type="percentile" val="95"/>
        <color rgb="FFF8696B"/>
        <color rgb="FFFFEB84"/>
        <color rgb="FF63BE7B"/>
      </colorScale>
    </cfRule>
  </conditionalFormatting>
  <conditionalFormatting sqref="BK3:BK83">
    <cfRule type="colorScale" priority="50">
      <colorScale>
        <cfvo type="percentile" val="5"/>
        <cfvo type="percentile" val="50"/>
        <cfvo type="percentile" val="95"/>
        <color rgb="FFF8696B"/>
        <color rgb="FFFFEB84"/>
        <color rgb="FF63BE7B"/>
      </colorScale>
    </cfRule>
  </conditionalFormatting>
  <conditionalFormatting sqref="V3:V83">
    <cfRule type="colorScale" priority="51">
      <colorScale>
        <cfvo type="percentile" val="5"/>
        <cfvo type="percentile" val="50"/>
        <cfvo type="percentile" val="95"/>
        <color rgb="FFF8696B"/>
        <color rgb="FFFFEB84"/>
        <color rgb="FF63BE7B"/>
      </colorScale>
    </cfRule>
  </conditionalFormatting>
  <conditionalFormatting sqref="BM3:BM83">
    <cfRule type="colorScale" priority="52">
      <colorScale>
        <cfvo type="percentile" val="5"/>
        <cfvo type="percentile" val="50"/>
        <cfvo type="percentile" val="95"/>
        <color rgb="FFF8696B"/>
        <color rgb="FFFFEB84"/>
        <color rgb="FF63BE7B"/>
      </colorScale>
    </cfRule>
  </conditionalFormatting>
  <conditionalFormatting sqref="BN3:BN83">
    <cfRule type="colorScale" priority="53">
      <colorScale>
        <cfvo type="percentile" val="5"/>
        <cfvo type="percentile" val="50"/>
        <cfvo type="percentile" val="95"/>
        <color rgb="FFF8696B"/>
        <color rgb="FFFFEB84"/>
        <color rgb="FF63BE7B"/>
      </colorScale>
    </cfRule>
  </conditionalFormatting>
  <conditionalFormatting sqref="P3:P83">
    <cfRule type="colorScale" priority="54">
      <colorScale>
        <cfvo type="percentile" val="5"/>
        <cfvo type="percentile" val="50"/>
        <cfvo type="percentile" val="95"/>
        <color rgb="FFF8696B"/>
        <color rgb="FFFFEB84"/>
        <color rgb="FF63BE7B"/>
      </colorScale>
    </cfRule>
  </conditionalFormatting>
  <conditionalFormatting sqref="X3:X83">
    <cfRule type="colorScale" priority="55">
      <colorScale>
        <cfvo type="percentile" val="5"/>
        <cfvo type="percentile" val="50"/>
        <cfvo type="percentile" val="95"/>
        <color rgb="FFF8696B"/>
        <color rgb="FFFFEB84"/>
        <color rgb="FF63BE7B"/>
      </colorScale>
    </cfRule>
  </conditionalFormatting>
  <conditionalFormatting sqref="BQ3:BQ83">
    <cfRule type="colorScale" priority="56">
      <colorScale>
        <cfvo type="percentile" val="5"/>
        <cfvo type="percentile" val="50"/>
        <cfvo type="percentile" val="95"/>
        <color rgb="FFF8696B"/>
        <color rgb="FFFFEB84"/>
        <color rgb="FF63BE7B"/>
      </colorScale>
    </cfRule>
  </conditionalFormatting>
  <conditionalFormatting sqref="BR3:BR83">
    <cfRule type="colorScale" priority="57">
      <colorScale>
        <cfvo type="percentile" val="5"/>
        <cfvo type="percentile" val="50"/>
        <cfvo type="percentile" val="95"/>
        <color rgb="FFF8696B"/>
        <color rgb="FFFFEB84"/>
        <color rgb="FF63BE7B"/>
      </colorScale>
    </cfRule>
  </conditionalFormatting>
  <conditionalFormatting sqref="BS3:BS83">
    <cfRule type="colorScale" priority="58">
      <colorScale>
        <cfvo type="percentile" val="5"/>
        <cfvo type="percentile" val="50"/>
        <cfvo type="percentile" val="95"/>
        <color rgb="FFF8696B"/>
        <color rgb="FFFFEB84"/>
        <color rgb="FF63BE7B"/>
      </colorScale>
    </cfRule>
  </conditionalFormatting>
  <conditionalFormatting sqref="BV3:BV83">
    <cfRule type="colorScale" priority="59">
      <colorScale>
        <cfvo type="percentile" val="5"/>
        <cfvo type="percentile" val="50"/>
        <cfvo type="percentile" val="95"/>
        <color rgb="FFF8696B"/>
        <color rgb="FFFFEB84"/>
        <color rgb="FF63BE7B"/>
      </colorScale>
    </cfRule>
  </conditionalFormatting>
  <conditionalFormatting sqref="Y3:Y83">
    <cfRule type="colorScale" priority="60">
      <colorScale>
        <cfvo type="percentile" val="5"/>
        <cfvo type="percentile" val="50"/>
        <cfvo type="percentile" val="95"/>
        <color rgb="FFF8696B"/>
        <color rgb="FFFFEB84"/>
        <color rgb="FF63BE7B"/>
      </colorScale>
    </cfRule>
  </conditionalFormatting>
  <conditionalFormatting sqref="BX3:BX83">
    <cfRule type="colorScale" priority="61">
      <colorScale>
        <cfvo type="percentile" val="5"/>
        <cfvo type="percentile" val="50"/>
        <cfvo type="percentile" val="95"/>
        <color rgb="FFF8696B"/>
        <color rgb="FFFFEB84"/>
        <color rgb="FF63BE7B"/>
      </colorScale>
    </cfRule>
  </conditionalFormatting>
  <conditionalFormatting sqref="BY3:BY83">
    <cfRule type="colorScale" priority="62">
      <colorScale>
        <cfvo type="percentile" val="5"/>
        <cfvo type="percentile" val="50"/>
        <cfvo type="percentile" val="95"/>
        <color rgb="FFF8696B"/>
        <color rgb="FFFFEB84"/>
        <color rgb="FF63BE7B"/>
      </colorScale>
    </cfRule>
  </conditionalFormatting>
  <conditionalFormatting sqref="BZ3:BZ83">
    <cfRule type="colorScale" priority="63">
      <colorScale>
        <cfvo type="percentile" val="5"/>
        <cfvo type="percentile" val="50"/>
        <cfvo type="percentile" val="95"/>
        <color rgb="FFF8696B"/>
        <color rgb="FFFFEB84"/>
        <color rgb="FF63BE7B"/>
      </colorScale>
    </cfRule>
  </conditionalFormatting>
  <conditionalFormatting sqref="CA3:CA83">
    <cfRule type="colorScale" priority="64">
      <colorScale>
        <cfvo type="percentile" val="5"/>
        <cfvo type="percentile" val="50"/>
        <cfvo type="percentile" val="95"/>
        <color rgb="FFF8696B"/>
        <color rgb="FFFFEB84"/>
        <color rgb="FF63BE7B"/>
      </colorScale>
    </cfRule>
  </conditionalFormatting>
  <conditionalFormatting sqref="CB3:CB83">
    <cfRule type="colorScale" priority="65">
      <colorScale>
        <cfvo type="percentile" val="5"/>
        <cfvo type="percentile" val="50"/>
        <cfvo type="percentile" val="95"/>
        <color rgb="FFF8696B"/>
        <color rgb="FFFFEB84"/>
        <color rgb="FF63BE7B"/>
      </colorScale>
    </cfRule>
  </conditionalFormatting>
  <conditionalFormatting sqref="CC3:CC83">
    <cfRule type="colorScale" priority="66">
      <colorScale>
        <cfvo type="percentile" val="5"/>
        <cfvo type="percentile" val="50"/>
        <cfvo type="percentile" val="95"/>
        <color rgb="FFF8696B"/>
        <color rgb="FFFFEB84"/>
        <color rgb="FF63BE7B"/>
      </colorScale>
    </cfRule>
  </conditionalFormatting>
  <conditionalFormatting sqref="CD3:CD83">
    <cfRule type="colorScale" priority="67">
      <colorScale>
        <cfvo type="percentile" val="5"/>
        <cfvo type="percentile" val="50"/>
        <cfvo type="percentile" val="95"/>
        <color rgb="FFF8696B"/>
        <color rgb="FFFFEB84"/>
        <color rgb="FF63BE7B"/>
      </colorScale>
    </cfRule>
  </conditionalFormatting>
  <conditionalFormatting sqref="CE3:CE83">
    <cfRule type="colorScale" priority="68">
      <colorScale>
        <cfvo type="percentile" val="5"/>
        <cfvo type="percentile" val="50"/>
        <cfvo type="percentile" val="95"/>
        <color rgb="FFF8696B"/>
        <color rgb="FFFFEB84"/>
        <color rgb="FF63BE7B"/>
      </colorScale>
    </cfRule>
  </conditionalFormatting>
  <conditionalFormatting sqref="CF3:CF83">
    <cfRule type="colorScale" priority="69">
      <colorScale>
        <cfvo type="percentile" val="5"/>
        <cfvo type="percentile" val="50"/>
        <cfvo type="percentile" val="95"/>
        <color rgb="FFF8696B"/>
        <color rgb="FFFFEB84"/>
        <color rgb="FF63BE7B"/>
      </colorScale>
    </cfRule>
  </conditionalFormatting>
  <conditionalFormatting sqref="CG3:CG83">
    <cfRule type="colorScale" priority="70">
      <colorScale>
        <cfvo type="percentile" val="5"/>
        <cfvo type="percentile" val="50"/>
        <cfvo type="percentile" val="95"/>
        <color rgb="FFF8696B"/>
        <color rgb="FFFFEB84"/>
        <color rgb="FF63BE7B"/>
      </colorScale>
    </cfRule>
  </conditionalFormatting>
  <conditionalFormatting sqref="CH3:CH83">
    <cfRule type="colorScale" priority="71">
      <colorScale>
        <cfvo type="percentile" val="5"/>
        <cfvo type="percentile" val="50"/>
        <cfvo type="percentile" val="95"/>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H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5" min="3" style="0" width="9"/>
    <col collapsed="false" customWidth="true" hidden="false" outlineLevel="0" max="6" min="6" style="0" width="12"/>
    <col collapsed="false" customWidth="true" hidden="false" outlineLevel="0" max="15" min="7" style="0" width="9"/>
    <col collapsed="false" customWidth="true" hidden="false" outlineLevel="0" max="16" min="16" style="0" width="12"/>
    <col collapsed="false" customWidth="true" hidden="false" outlineLevel="0" max="20" min="17" style="0" width="9"/>
    <col collapsed="false" customWidth="true" hidden="false" outlineLevel="0" max="21" min="21" style="0" width="12"/>
    <col collapsed="false" customWidth="true" hidden="false" outlineLevel="0" max="22" min="22" style="0" width="9"/>
    <col collapsed="false" customWidth="true" hidden="false" outlineLevel="0" max="26" min="23" style="0" width="12"/>
    <col collapsed="false" customWidth="true" hidden="false" outlineLevel="0" max="27" min="27" style="0" width="9"/>
    <col collapsed="false" customWidth="true" hidden="false" outlineLevel="0" max="28" min="28" style="0" width="12"/>
    <col collapsed="false" customWidth="true" hidden="false" outlineLevel="0" max="30" min="29" style="0" width="9"/>
    <col collapsed="false" customWidth="true" hidden="false" outlineLevel="0" max="31" min="31" style="0" width="12"/>
    <col collapsed="false" customWidth="true" hidden="false" outlineLevel="0" max="33" min="32" style="0" width="9"/>
    <col collapsed="false" customWidth="true" hidden="false" outlineLevel="0" max="34" min="34" style="0" width="12"/>
    <col collapsed="false" customWidth="true" hidden="false" outlineLevel="0" max="36" min="35" style="0" width="9"/>
    <col collapsed="false" customWidth="true" hidden="false" outlineLevel="0" max="37" min="37" style="0" width="12"/>
    <col collapsed="false" customWidth="true" hidden="false" outlineLevel="0" max="47" min="38" style="0" width="9"/>
    <col collapsed="false" customWidth="true" hidden="false" outlineLevel="0" max="48" min="48" style="0" width="12"/>
    <col collapsed="false" customWidth="true" hidden="false" outlineLevel="0" max="54" min="49" style="0" width="9"/>
    <col collapsed="false" customWidth="true" hidden="false" outlineLevel="0" max="56" min="55" style="0" width="12"/>
    <col collapsed="false" customWidth="true" hidden="false" outlineLevel="0" max="57" min="57" style="0" width="9"/>
    <col collapsed="false" customWidth="true" hidden="false" outlineLevel="0" max="69" min="58" style="0" width="12"/>
    <col collapsed="false" customWidth="true" hidden="false" outlineLevel="0" max="70" min="70" style="0" width="9"/>
    <col collapsed="false" customWidth="true" hidden="false" outlineLevel="0" max="71" min="71" style="0" width="12"/>
    <col collapsed="false" customWidth="true" hidden="false" outlineLevel="0" max="73" min="72" style="0" width="9"/>
    <col collapsed="false" customWidth="true" hidden="false" outlineLevel="0" max="74" min="74" style="0" width="12"/>
    <col collapsed="false" customWidth="true" hidden="false" outlineLevel="0" max="75" min="75" style="0" width="9"/>
    <col collapsed="false" customWidth="true" hidden="false" outlineLevel="0" max="84" min="76" style="0" width="12"/>
    <col collapsed="false" customWidth="true" hidden="false" outlineLevel="0" max="85" min="85" style="0" width="22"/>
    <col collapsed="false" customWidth="true" hidden="false" outlineLevel="0" max="86" min="86" style="0" width="44"/>
  </cols>
  <sheetData>
    <row r="1" customFormat="false" ht="15" hidden="false" customHeight="false" outlineLevel="0" collapsed="false">
      <c r="A1" s="1" t="s">
        <v>654</v>
      </c>
    </row>
    <row r="2" customFormat="false" ht="33.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c r="AN2" s="2" t="s">
        <v>40</v>
      </c>
      <c r="AO2" s="2" t="s">
        <v>41</v>
      </c>
      <c r="AP2" s="2" t="s">
        <v>42</v>
      </c>
      <c r="AQ2" s="2" t="s">
        <v>43</v>
      </c>
      <c r="AR2" s="2" t="s">
        <v>44</v>
      </c>
      <c r="AS2" s="2" t="s">
        <v>45</v>
      </c>
      <c r="AT2" s="2" t="s">
        <v>46</v>
      </c>
      <c r="AU2" s="2" t="s">
        <v>47</v>
      </c>
      <c r="AV2" s="2" t="s">
        <v>48</v>
      </c>
      <c r="AW2" s="2" t="s">
        <v>49</v>
      </c>
      <c r="AX2" s="2" t="s">
        <v>50</v>
      </c>
      <c r="AY2" s="2" t="s">
        <v>62</v>
      </c>
      <c r="AZ2" s="2" t="s">
        <v>63</v>
      </c>
      <c r="BA2" s="2" t="s">
        <v>64</v>
      </c>
      <c r="BB2" s="2" t="s">
        <v>65</v>
      </c>
      <c r="BC2" s="2" t="s">
        <v>66</v>
      </c>
      <c r="BD2" s="2" t="s">
        <v>67</v>
      </c>
      <c r="BE2" s="2" t="s">
        <v>68</v>
      </c>
      <c r="BF2" s="2" t="s">
        <v>69</v>
      </c>
      <c r="BG2" s="2" t="s">
        <v>70</v>
      </c>
      <c r="BH2" s="2" t="s">
        <v>71</v>
      </c>
      <c r="BI2" s="2" t="s">
        <v>72</v>
      </c>
      <c r="BJ2" s="2" t="s">
        <v>73</v>
      </c>
      <c r="BK2" s="2" t="s">
        <v>74</v>
      </c>
      <c r="BL2" s="2" t="s">
        <v>75</v>
      </c>
      <c r="BM2" s="2" t="s">
        <v>76</v>
      </c>
      <c r="BN2" s="2" t="s">
        <v>77</v>
      </c>
      <c r="BO2" s="2" t="s">
        <v>78</v>
      </c>
      <c r="BP2" s="2" t="s">
        <v>79</v>
      </c>
      <c r="BQ2" s="2" t="s">
        <v>80</v>
      </c>
      <c r="BR2" s="2" t="s">
        <v>81</v>
      </c>
      <c r="BS2" s="2" t="s">
        <v>82</v>
      </c>
      <c r="BT2" s="2" t="s">
        <v>83</v>
      </c>
      <c r="BU2" s="2" t="s">
        <v>84</v>
      </c>
      <c r="BV2" s="2" t="s">
        <v>85</v>
      </c>
      <c r="BW2" s="2" t="s">
        <v>86</v>
      </c>
      <c r="BX2" s="2" t="s">
        <v>87</v>
      </c>
      <c r="BY2" s="2" t="s">
        <v>88</v>
      </c>
      <c r="BZ2" s="2" t="s">
        <v>89</v>
      </c>
      <c r="CA2" s="2" t="s">
        <v>90</v>
      </c>
      <c r="CB2" s="2" t="s">
        <v>91</v>
      </c>
      <c r="CC2" s="2" t="s">
        <v>92</v>
      </c>
      <c r="CD2" s="2" t="s">
        <v>93</v>
      </c>
      <c r="CE2" s="2" t="s">
        <v>94</v>
      </c>
      <c r="CF2" s="2" t="s">
        <v>95</v>
      </c>
      <c r="CG2" s="2" t="s">
        <v>96</v>
      </c>
      <c r="CH2" s="2" t="s">
        <v>97</v>
      </c>
    </row>
    <row r="3" customFormat="false" ht="15" hidden="false" customHeight="false" outlineLevel="0" collapsed="false">
      <c r="A3" s="3" t="n">
        <v>1</v>
      </c>
      <c r="B3" s="4" t="s">
        <v>98</v>
      </c>
      <c r="C3" s="5" t="s">
        <v>99</v>
      </c>
      <c r="D3" s="4" t="s">
        <v>100</v>
      </c>
      <c r="E3" s="4" t="s">
        <v>101</v>
      </c>
      <c r="F3" s="4" t="s">
        <v>99</v>
      </c>
      <c r="G3" s="3" t="n">
        <v>1</v>
      </c>
      <c r="H3" s="6" t="n">
        <v>26.5</v>
      </c>
      <c r="I3" s="3" t="n">
        <v>6</v>
      </c>
      <c r="J3" s="3" t="n">
        <v>6</v>
      </c>
      <c r="K3" s="7" t="n">
        <v>1.67</v>
      </c>
      <c r="L3" s="7" t="n">
        <v>0.96</v>
      </c>
      <c r="M3" s="8" t="n">
        <v>1</v>
      </c>
      <c r="N3" s="8" t="n">
        <v>4</v>
      </c>
      <c r="O3" s="7" t="n">
        <v>1.67</v>
      </c>
      <c r="P3" s="6" t="n">
        <v>99.5</v>
      </c>
      <c r="Q3" s="4" t="s">
        <v>101</v>
      </c>
      <c r="R3" s="8" t="n">
        <v>16</v>
      </c>
      <c r="S3" s="6" t="n">
        <v>313.6</v>
      </c>
      <c r="T3" s="7" t="n">
        <f aca="false">IFERROR(S3/R3,"")</f>
        <v>19.6</v>
      </c>
      <c r="U3" s="6" t="n">
        <v>251.1</v>
      </c>
      <c r="V3" s="6" t="n">
        <v>188.6</v>
      </c>
      <c r="W3" s="8" t="n">
        <v>4</v>
      </c>
      <c r="X3" s="7" t="n">
        <f aca="false">IFERROR(S3/AH3,"")</f>
        <v>1.66808510638298</v>
      </c>
      <c r="Y3" s="9" t="n">
        <f aca="false">IFERROR(S3/AF3,"")</f>
        <v>0.317730496453901</v>
      </c>
      <c r="Z3" s="6" t="n">
        <v>9.88</v>
      </c>
      <c r="AA3" s="6" t="n">
        <v>20.5</v>
      </c>
      <c r="AB3" s="6" t="n">
        <v>28.02</v>
      </c>
      <c r="AC3" s="10" t="n">
        <v>0.562</v>
      </c>
      <c r="AD3" s="10" t="n">
        <v>0</v>
      </c>
      <c r="AE3" s="7" t="n">
        <v>0.501</v>
      </c>
      <c r="AF3" s="8" t="n">
        <v>987</v>
      </c>
      <c r="AG3" s="10" t="n">
        <v>0.944</v>
      </c>
      <c r="AH3" s="8" t="n">
        <v>188</v>
      </c>
      <c r="AI3" s="8" t="n">
        <v>185</v>
      </c>
      <c r="AJ3" s="6" t="n">
        <f aca="false">IFERROR(AI3/R3,"")</f>
        <v>11.5625</v>
      </c>
      <c r="AK3" s="10" t="n">
        <v>0.3223</v>
      </c>
      <c r="AL3" s="10" t="n">
        <v>0.3712</v>
      </c>
      <c r="AM3" s="9" t="n">
        <v>0.7433</v>
      </c>
      <c r="AN3" s="8" t="n">
        <v>125</v>
      </c>
      <c r="AO3" s="10" t="n">
        <f aca="false">IFERROR(AN3/AI3,"")</f>
        <v>0.675675675675676</v>
      </c>
      <c r="AP3" s="8" t="n">
        <v>1412</v>
      </c>
      <c r="AQ3" s="7" t="n">
        <f aca="false">IFERROR(AP3/AI3,"")</f>
        <v>7.63243243243243</v>
      </c>
      <c r="AR3" s="6" t="n">
        <v>8.486</v>
      </c>
      <c r="AS3" s="7" t="n">
        <v>5.12</v>
      </c>
      <c r="AT3" s="7" t="n">
        <v>0.899</v>
      </c>
      <c r="AU3" s="7" t="n">
        <v>3.17336315809628</v>
      </c>
      <c r="AV3" s="7" t="n">
        <v>5.72634285714286</v>
      </c>
      <c r="AW3" s="7" t="n">
        <v>1.30842801771353</v>
      </c>
      <c r="AX3" s="10" t="n">
        <v>0.0216</v>
      </c>
      <c r="AY3" s="8" t="n">
        <v>22</v>
      </c>
      <c r="AZ3" s="8" t="n">
        <v>8</v>
      </c>
      <c r="BA3" s="8" t="n">
        <v>2</v>
      </c>
      <c r="BB3" s="8" t="n">
        <v>8</v>
      </c>
      <c r="BC3" s="7" t="n">
        <v>7.53</v>
      </c>
      <c r="BD3" s="7" t="n">
        <f aca="false">IFERROR(BB3-BC3,"")</f>
        <v>0.47</v>
      </c>
      <c r="BE3" s="9" t="n">
        <f aca="false">IFERROR(BB3/AH3,"")</f>
        <v>0.0425531914893617</v>
      </c>
      <c r="BF3" s="6" t="n">
        <v>60.4</v>
      </c>
      <c r="BG3" s="6" t="n">
        <v>63.4</v>
      </c>
      <c r="BH3" s="6" t="n">
        <v>53</v>
      </c>
      <c r="BI3" s="7" t="n">
        <v>3.212</v>
      </c>
      <c r="BJ3" s="10" t="n">
        <v>0.1072</v>
      </c>
      <c r="BK3" s="10" t="n">
        <v>0.657142857142857</v>
      </c>
      <c r="BL3" s="7" t="n">
        <v>2.249</v>
      </c>
      <c r="BM3" s="10" t="n">
        <v>0.2234</v>
      </c>
      <c r="BN3" s="10" t="n">
        <v>0.0527</v>
      </c>
      <c r="BO3" s="7" t="n">
        <v>2.22</v>
      </c>
      <c r="BP3" s="10" t="n">
        <v>0.996</v>
      </c>
      <c r="BQ3" s="8" t="n">
        <v>5</v>
      </c>
      <c r="BR3" s="10" t="n">
        <v>0.0172</v>
      </c>
      <c r="BS3" s="10" t="n">
        <v>0.6322</v>
      </c>
      <c r="BT3" s="6" t="n">
        <v>61.71</v>
      </c>
      <c r="BU3" s="6" t="n">
        <v>38</v>
      </c>
      <c r="BV3" s="7" t="n">
        <v>3.29</v>
      </c>
      <c r="BW3" s="6" t="n">
        <v>24.4</v>
      </c>
      <c r="BX3" s="9" t="n">
        <v>0.0246</v>
      </c>
      <c r="BY3" s="9" t="n">
        <v>-0.0266</v>
      </c>
      <c r="BZ3" s="8" t="n">
        <v>41</v>
      </c>
      <c r="CA3" s="10" t="n">
        <v>0.067</v>
      </c>
      <c r="CB3" s="8" t="n">
        <v>9</v>
      </c>
      <c r="CC3" s="10" t="n">
        <v>0.024</v>
      </c>
      <c r="CD3" s="8" t="n">
        <v>6</v>
      </c>
      <c r="CE3" s="7" t="n">
        <v>-0.105</v>
      </c>
      <c r="CF3" s="7" t="n">
        <v>-0.061</v>
      </c>
      <c r="CG3" s="4" t="s">
        <v>102</v>
      </c>
      <c r="CH3" s="4"/>
    </row>
    <row r="4" customFormat="false" ht="15" hidden="false" customHeight="false" outlineLevel="0" collapsed="false">
      <c r="A4" s="3" t="n">
        <v>2</v>
      </c>
      <c r="B4" s="4" t="s">
        <v>107</v>
      </c>
      <c r="C4" s="5" t="s">
        <v>99</v>
      </c>
      <c r="D4" s="4" t="s">
        <v>108</v>
      </c>
      <c r="E4" s="4" t="s">
        <v>109</v>
      </c>
      <c r="F4" s="4" t="s">
        <v>99</v>
      </c>
      <c r="G4" s="3" t="n">
        <v>1</v>
      </c>
      <c r="H4" s="6" t="n">
        <v>25.2</v>
      </c>
      <c r="I4" s="3" t="n">
        <v>4</v>
      </c>
      <c r="J4" s="3" t="n">
        <v>11</v>
      </c>
      <c r="K4" s="7" t="n">
        <v>3.21</v>
      </c>
      <c r="L4" s="7" t="n">
        <v>1.4</v>
      </c>
      <c r="M4" s="8" t="n">
        <v>1</v>
      </c>
      <c r="N4" s="8" t="n">
        <v>9</v>
      </c>
      <c r="O4" s="7" t="n">
        <v>3.21</v>
      </c>
      <c r="P4" s="6" t="n">
        <v>99.7</v>
      </c>
      <c r="Q4" s="4" t="s">
        <v>109</v>
      </c>
      <c r="R4" s="8" t="n">
        <v>16</v>
      </c>
      <c r="S4" s="6" t="n">
        <v>375</v>
      </c>
      <c r="T4" s="7" t="n">
        <f aca="false">IFERROR(S4/R4,"")</f>
        <v>23.4375</v>
      </c>
      <c r="U4" s="6" t="n">
        <v>310.5</v>
      </c>
      <c r="V4" s="6" t="n">
        <v>246</v>
      </c>
      <c r="W4" s="8" t="n">
        <v>1</v>
      </c>
      <c r="X4" s="7" t="n">
        <f aca="false">IFERROR(S4/AH4,"")</f>
        <v>2.13068181818182</v>
      </c>
      <c r="Y4" s="9" t="n">
        <f aca="false">IFERROR(S4/AF4,"")</f>
        <v>0.515818431911967</v>
      </c>
      <c r="Z4" s="6" t="n">
        <v>16.45</v>
      </c>
      <c r="AA4" s="6" t="n">
        <v>22.95</v>
      </c>
      <c r="AB4" s="6" t="n">
        <v>33.75</v>
      </c>
      <c r="AC4" s="10" t="n">
        <v>0.625</v>
      </c>
      <c r="AD4" s="10" t="n">
        <v>0</v>
      </c>
      <c r="AE4" s="7" t="n">
        <v>0.445</v>
      </c>
      <c r="AF4" s="8" t="n">
        <v>727</v>
      </c>
      <c r="AG4" s="10" t="n">
        <v>0.682</v>
      </c>
      <c r="AH4" s="8" t="n">
        <v>176</v>
      </c>
      <c r="AI4" s="8" t="n">
        <v>166</v>
      </c>
      <c r="AJ4" s="6" t="n">
        <f aca="false">IFERROR(AI4/R4,"")</f>
        <v>10.375</v>
      </c>
      <c r="AK4" s="10" t="n">
        <v>0.3029</v>
      </c>
      <c r="AL4" s="10" t="n">
        <v>0.3111</v>
      </c>
      <c r="AM4" s="9" t="n">
        <v>0.6721</v>
      </c>
      <c r="AN4" s="8" t="n">
        <v>129</v>
      </c>
      <c r="AO4" s="10" t="n">
        <f aca="false">IFERROR(AN4/AI4,"")</f>
        <v>0.77710843373494</v>
      </c>
      <c r="AP4" s="8" t="n">
        <v>1715</v>
      </c>
      <c r="AQ4" s="7" t="n">
        <f aca="false">IFERROR(AP4/AI4,"")</f>
        <v>10.3313253012048</v>
      </c>
      <c r="AR4" s="6" t="n">
        <v>9.434</v>
      </c>
      <c r="AS4" s="7" t="n">
        <v>5.163</v>
      </c>
      <c r="AT4" s="7" t="n">
        <v>1.095</v>
      </c>
      <c r="AU4" s="7" t="n">
        <v>2.87987607102695</v>
      </c>
      <c r="AV4" s="7" t="n">
        <v>6.02031446540881</v>
      </c>
      <c r="AW4" s="7" t="n">
        <v>1.34145983545684</v>
      </c>
      <c r="AX4" s="10" t="n">
        <v>0.0241</v>
      </c>
      <c r="AY4" s="8" t="n">
        <v>18</v>
      </c>
      <c r="AZ4" s="8" t="n">
        <v>11</v>
      </c>
      <c r="BA4" s="8" t="n">
        <v>4</v>
      </c>
      <c r="BB4" s="8" t="n">
        <v>11</v>
      </c>
      <c r="BC4" s="7" t="n">
        <v>7.68</v>
      </c>
      <c r="BD4" s="7" t="n">
        <f aca="false">IFERROR(BB4-BC4,"")</f>
        <v>3.32</v>
      </c>
      <c r="BE4" s="9" t="n">
        <f aca="false">IFERROR(BB4/AH4,"")</f>
        <v>0.0625</v>
      </c>
      <c r="BF4" s="6" t="n">
        <v>80.4</v>
      </c>
      <c r="BG4" s="6" t="n">
        <v>76.4</v>
      </c>
      <c r="BH4" s="6" t="n">
        <v>71.5</v>
      </c>
      <c r="BI4" s="7" t="n">
        <v>3.462</v>
      </c>
      <c r="BJ4" s="10" t="n">
        <v>0.1266</v>
      </c>
      <c r="BK4" s="10" t="n">
        <v>0.638297872340426</v>
      </c>
      <c r="BL4" s="7" t="n">
        <v>2.811</v>
      </c>
      <c r="BM4" s="10" t="n">
        <v>0.194</v>
      </c>
      <c r="BN4" s="10" t="n">
        <v>0.0424</v>
      </c>
      <c r="BO4" s="7" t="n">
        <v>2.396</v>
      </c>
      <c r="BP4" s="10" t="n">
        <v>0.904</v>
      </c>
      <c r="BQ4" s="8" t="n">
        <v>5</v>
      </c>
      <c r="BR4" s="10" t="n">
        <v>0.0296</v>
      </c>
      <c r="BS4" s="10" t="n">
        <v>0.6185</v>
      </c>
      <c r="BT4" s="6" t="n">
        <v>62.12</v>
      </c>
      <c r="BU4" s="6" t="n">
        <v>37</v>
      </c>
      <c r="BV4" s="7" t="n">
        <v>4.47</v>
      </c>
      <c r="BW4" s="6" t="n">
        <v>30.5</v>
      </c>
      <c r="BX4" s="9" t="n">
        <v>0.0262</v>
      </c>
      <c r="BY4" s="9" t="n">
        <v>0.2292</v>
      </c>
      <c r="BZ4" s="8" t="n">
        <v>15</v>
      </c>
      <c r="CA4" s="10" t="n">
        <v>0.026</v>
      </c>
      <c r="CB4" s="8" t="n">
        <v>0</v>
      </c>
      <c r="CC4" s="10" t="n">
        <v>0</v>
      </c>
      <c r="CD4" s="8" t="n">
        <v>1</v>
      </c>
      <c r="CE4" s="7" t="n">
        <v>0.062</v>
      </c>
      <c r="CF4" s="7" t="n">
        <v>0.062</v>
      </c>
      <c r="CG4" s="4" t="s">
        <v>102</v>
      </c>
      <c r="CH4" s="4"/>
    </row>
    <row r="5" customFormat="false" ht="15" hidden="false" customHeight="false" outlineLevel="0" collapsed="false">
      <c r="A5" s="3" t="n">
        <v>3</v>
      </c>
      <c r="B5" s="4" t="s">
        <v>113</v>
      </c>
      <c r="C5" s="5" t="s">
        <v>99</v>
      </c>
      <c r="D5" s="4" t="s">
        <v>114</v>
      </c>
      <c r="E5" s="4" t="s">
        <v>115</v>
      </c>
      <c r="F5" s="4" t="s">
        <v>99</v>
      </c>
      <c r="G5" s="3" t="n">
        <v>1</v>
      </c>
      <c r="H5" s="6" t="n">
        <v>24.5</v>
      </c>
      <c r="I5" s="3" t="n">
        <v>4</v>
      </c>
      <c r="J5" s="3" t="n">
        <v>11</v>
      </c>
      <c r="K5" s="7" t="n">
        <v>4.69</v>
      </c>
      <c r="L5" s="7" t="n">
        <v>1.37</v>
      </c>
      <c r="M5" s="8" t="n">
        <v>1</v>
      </c>
      <c r="N5" s="8" t="n">
        <v>9</v>
      </c>
      <c r="O5" s="7" t="n">
        <v>4.69</v>
      </c>
      <c r="P5" s="6" t="n">
        <v>99.7</v>
      </c>
      <c r="Q5" s="4" t="s">
        <v>115</v>
      </c>
      <c r="R5" s="8" t="n">
        <v>17</v>
      </c>
      <c r="S5" s="6" t="n">
        <v>359.9</v>
      </c>
      <c r="T5" s="7" t="n">
        <f aca="false">IFERROR(S5/R5,"")</f>
        <v>21.1705882352941</v>
      </c>
      <c r="U5" s="6" t="n">
        <v>300.4</v>
      </c>
      <c r="V5" s="6" t="n">
        <v>240.9</v>
      </c>
      <c r="W5" s="8" t="n">
        <v>2</v>
      </c>
      <c r="X5" s="7" t="n">
        <f aca="false">IFERROR(S5/AH5,"")</f>
        <v>2.11705882352941</v>
      </c>
      <c r="Y5" s="9" t="n">
        <f aca="false">IFERROR(S5/AF5,"")</f>
        <v>0.434137515078408</v>
      </c>
      <c r="Z5" s="6" t="n">
        <v>18.3</v>
      </c>
      <c r="AA5" s="6" t="n">
        <v>20.6</v>
      </c>
      <c r="AB5" s="6" t="n">
        <v>27.74</v>
      </c>
      <c r="AC5" s="10" t="n">
        <v>0.706</v>
      </c>
      <c r="AD5" s="10" t="n">
        <v>0</v>
      </c>
      <c r="AE5" s="7" t="n">
        <v>0.363</v>
      </c>
      <c r="AF5" s="8" t="n">
        <v>829</v>
      </c>
      <c r="AG5" s="10" t="n">
        <v>0.774</v>
      </c>
      <c r="AH5" s="8" t="n">
        <v>170</v>
      </c>
      <c r="AI5" s="8" t="n">
        <v>163</v>
      </c>
      <c r="AJ5" s="6" t="n">
        <f aca="false">IFERROR(AI5/R5,"")</f>
        <v>9.58823529411765</v>
      </c>
      <c r="AK5" s="10" t="n">
        <v>0.3582</v>
      </c>
      <c r="AL5" s="10" t="n">
        <v>0.4997</v>
      </c>
      <c r="AM5" s="9" t="n">
        <v>0.8871</v>
      </c>
      <c r="AN5" s="8" t="n">
        <v>119</v>
      </c>
      <c r="AO5" s="10" t="n">
        <f aca="false">IFERROR(AN5/AI5,"")</f>
        <v>0.730061349693252</v>
      </c>
      <c r="AP5" s="8" t="n">
        <v>1793</v>
      </c>
      <c r="AQ5" s="7" t="n">
        <f aca="false">IFERROR(AP5/AI5,"")</f>
        <v>11</v>
      </c>
      <c r="AR5" s="6" t="n">
        <v>11.245</v>
      </c>
      <c r="AS5" s="7" t="n">
        <v>4.437</v>
      </c>
      <c r="AT5" s="7" t="n">
        <v>0.978</v>
      </c>
      <c r="AU5" s="7" t="n">
        <v>3.01756823312639</v>
      </c>
      <c r="AV5" s="7" t="n">
        <v>6.29564935064935</v>
      </c>
      <c r="AW5" s="7" t="n">
        <v>0.794440211804091</v>
      </c>
      <c r="AX5" s="10" t="n">
        <v>0.0307</v>
      </c>
      <c r="AY5" s="8" t="n">
        <v>17</v>
      </c>
      <c r="AZ5" s="8" t="n">
        <v>7</v>
      </c>
      <c r="BA5" s="8" t="n">
        <v>3</v>
      </c>
      <c r="BB5" s="8" t="n">
        <v>10</v>
      </c>
      <c r="BC5" s="7" t="n">
        <v>6.01</v>
      </c>
      <c r="BD5" s="7" t="n">
        <f aca="false">IFERROR(BB5-BC5,"")</f>
        <v>3.99</v>
      </c>
      <c r="BE5" s="9" t="n">
        <f aca="false">IFERROR(BB5/AH5,"")</f>
        <v>0.0588235294117647</v>
      </c>
      <c r="BF5" s="6" t="n">
        <v>49.9</v>
      </c>
      <c r="BG5" s="6" t="n">
        <v>39.3</v>
      </c>
      <c r="BH5" s="6" t="n">
        <v>60.5</v>
      </c>
      <c r="BI5" s="7" t="n">
        <v>2.758</v>
      </c>
      <c r="BJ5" s="10" t="n">
        <v>0.2121</v>
      </c>
      <c r="BK5" s="10" t="n">
        <v>0.612903225806452</v>
      </c>
      <c r="BL5" s="7" t="n">
        <v>2.477</v>
      </c>
      <c r="BM5" s="10" t="n">
        <v>0.2266</v>
      </c>
      <c r="BN5" s="10" t="n">
        <v>0.0535</v>
      </c>
      <c r="BO5" s="7" t="n">
        <v>2.4</v>
      </c>
      <c r="BP5" s="10" t="n">
        <v>0.942</v>
      </c>
      <c r="BQ5" s="8" t="n">
        <v>5</v>
      </c>
      <c r="BR5" s="10" t="n">
        <v>-0.0677</v>
      </c>
      <c r="BS5" s="10" t="n">
        <v>0.5204</v>
      </c>
      <c r="BT5" s="6" t="n">
        <v>58.65</v>
      </c>
      <c r="BU5" s="6" t="n">
        <v>39</v>
      </c>
      <c r="BV5" s="7" t="n">
        <v>3.53</v>
      </c>
      <c r="BW5" s="6" t="n">
        <v>28.4</v>
      </c>
      <c r="BX5" s="9" t="n">
        <v>-0.0491</v>
      </c>
      <c r="BY5" s="9" t="n">
        <v>0.1122</v>
      </c>
      <c r="BZ5" s="8" t="n">
        <v>39</v>
      </c>
      <c r="CA5" s="10" t="n">
        <v>0.086</v>
      </c>
      <c r="CB5" s="8" t="n">
        <v>221</v>
      </c>
      <c r="CC5" s="10" t="n">
        <v>0.436</v>
      </c>
      <c r="CD5" s="8" t="n">
        <v>37</v>
      </c>
      <c r="CE5" s="7" t="n">
        <v>0.054</v>
      </c>
      <c r="CF5" s="7" t="n">
        <v>0.053</v>
      </c>
      <c r="CG5" s="4" t="s">
        <v>102</v>
      </c>
      <c r="CH5" s="4"/>
    </row>
    <row r="6" customFormat="false" ht="15" hidden="false" customHeight="false" outlineLevel="0" collapsed="false">
      <c r="A6" s="3" t="n">
        <v>4</v>
      </c>
      <c r="B6" s="4" t="s">
        <v>116</v>
      </c>
      <c r="C6" s="5" t="s">
        <v>99</v>
      </c>
      <c r="D6" s="4" t="s">
        <v>117</v>
      </c>
      <c r="E6" s="4" t="s">
        <v>106</v>
      </c>
      <c r="F6" s="4" t="s">
        <v>99</v>
      </c>
      <c r="G6" s="3" t="n">
        <v>1</v>
      </c>
      <c r="H6" s="6" t="n">
        <v>26.8</v>
      </c>
      <c r="I6" s="3" t="n">
        <v>6</v>
      </c>
      <c r="J6" s="3" t="n">
        <v>6</v>
      </c>
      <c r="K6" s="7" t="n">
        <v>5.64</v>
      </c>
      <c r="L6" s="7" t="n">
        <v>1.23</v>
      </c>
      <c r="M6" s="8" t="n">
        <v>4</v>
      </c>
      <c r="N6" s="8" t="n">
        <v>9</v>
      </c>
      <c r="O6" s="7" t="n">
        <v>5.64</v>
      </c>
      <c r="P6" s="6" t="n">
        <v>99.5</v>
      </c>
      <c r="Q6" s="4" t="s">
        <v>106</v>
      </c>
      <c r="R6" s="8" t="n">
        <v>17</v>
      </c>
      <c r="S6" s="6" t="n">
        <v>324</v>
      </c>
      <c r="T6" s="7" t="n">
        <f aca="false">IFERROR(S6/R6,"")</f>
        <v>19.0588235294118</v>
      </c>
      <c r="U6" s="6" t="n">
        <v>265.5</v>
      </c>
      <c r="V6" s="6" t="n">
        <v>207</v>
      </c>
      <c r="W6" s="8" t="n">
        <v>3</v>
      </c>
      <c r="X6" s="7" t="n">
        <f aca="false">IFERROR(S6/AH6,"")</f>
        <v>1.85142857142857</v>
      </c>
      <c r="Y6" s="9" t="n">
        <f aca="false">IFERROR(S6/AF6,"")</f>
        <v>0.345047923322684</v>
      </c>
      <c r="Z6" s="6" t="n">
        <v>13.7</v>
      </c>
      <c r="AA6" s="6" t="n">
        <v>18</v>
      </c>
      <c r="AB6" s="6" t="n">
        <v>28.34</v>
      </c>
      <c r="AC6" s="10" t="n">
        <v>0.412</v>
      </c>
      <c r="AD6" s="10" t="n">
        <v>0.059</v>
      </c>
      <c r="AE6" s="7" t="n">
        <v>0.607</v>
      </c>
      <c r="AF6" s="8" t="n">
        <v>939</v>
      </c>
      <c r="AG6" s="10" t="n">
        <v>0.852</v>
      </c>
      <c r="AH6" s="8" t="n">
        <v>175</v>
      </c>
      <c r="AI6" s="8" t="n">
        <v>172</v>
      </c>
      <c r="AJ6" s="6" t="n">
        <f aca="false">IFERROR(AI6/R6,"")</f>
        <v>10.1176470588235</v>
      </c>
      <c r="AK6" s="10" t="n">
        <v>0.3127</v>
      </c>
      <c r="AL6" s="10" t="n">
        <v>0.3784</v>
      </c>
      <c r="AM6" s="9" t="n">
        <v>0.7339</v>
      </c>
      <c r="AN6" s="8" t="n">
        <v>117</v>
      </c>
      <c r="AO6" s="10" t="n">
        <f aca="false">IFERROR(AN6/AI6,"")</f>
        <v>0.680232558139535</v>
      </c>
      <c r="AP6" s="8" t="n">
        <v>1401</v>
      </c>
      <c r="AQ6" s="7" t="n">
        <f aca="false">IFERROR(AP6/AI6,"")</f>
        <v>8.1453488372093</v>
      </c>
      <c r="AR6" s="6" t="n">
        <v>8.081</v>
      </c>
      <c r="AS6" s="7" t="n">
        <v>4.872</v>
      </c>
      <c r="AT6" s="7" t="n">
        <v>1.008</v>
      </c>
      <c r="AU6" s="7" t="n">
        <v>2.95000460509691</v>
      </c>
      <c r="AV6" s="7" t="n">
        <v>6.09633540372671</v>
      </c>
      <c r="AW6" s="7" t="n">
        <v>0.344467344587386</v>
      </c>
      <c r="AX6" s="10" t="n">
        <v>0.0581</v>
      </c>
      <c r="AY6" s="8" t="n">
        <v>36</v>
      </c>
      <c r="AZ6" s="8" t="n">
        <v>21</v>
      </c>
      <c r="BA6" s="8" t="n">
        <v>9</v>
      </c>
      <c r="BB6" s="8" t="n">
        <v>11</v>
      </c>
      <c r="BC6" s="7" t="n">
        <v>12.32</v>
      </c>
      <c r="BD6" s="7" t="n">
        <f aca="false">IFERROR(BB6-BC6,"")</f>
        <v>-1.32</v>
      </c>
      <c r="BE6" s="9" t="n">
        <f aca="false">IFERROR(BB6/AH6,"")</f>
        <v>0.0628571428571429</v>
      </c>
      <c r="BF6" s="6" t="n">
        <v>46.7</v>
      </c>
      <c r="BG6" s="6" t="n">
        <v>50</v>
      </c>
      <c r="BH6" s="6" t="n">
        <v>44.8</v>
      </c>
      <c r="BI6" s="7" t="n">
        <v>2.796</v>
      </c>
      <c r="BJ6" s="10" t="n">
        <v>0.1795</v>
      </c>
      <c r="BK6" s="10" t="n">
        <v>0.645161290322581</v>
      </c>
      <c r="BL6" s="7" t="n">
        <v>2.844</v>
      </c>
      <c r="BM6" s="10" t="n">
        <v>0.2646</v>
      </c>
      <c r="BN6" s="10" t="n">
        <v>0.0608</v>
      </c>
      <c r="BO6" s="7" t="n">
        <v>2.297</v>
      </c>
      <c r="BP6" s="10" t="n">
        <v>0.521</v>
      </c>
      <c r="BQ6" s="8" t="n">
        <v>3</v>
      </c>
      <c r="BR6" s="10" t="n">
        <v>-0.0456</v>
      </c>
      <c r="BS6" s="10" t="n">
        <v>0.5469</v>
      </c>
      <c r="BT6" s="6" t="n">
        <v>61.82</v>
      </c>
      <c r="BU6" s="6" t="n">
        <v>38</v>
      </c>
      <c r="BV6" s="7" t="n">
        <v>3.82</v>
      </c>
      <c r="BW6" s="6" t="n">
        <v>28.3</v>
      </c>
      <c r="BX6" s="9" t="n">
        <v>-0.0408</v>
      </c>
      <c r="BY6" s="9" t="n">
        <v>0.1681</v>
      </c>
      <c r="BZ6" s="8" t="n">
        <v>79</v>
      </c>
      <c r="CA6" s="10" t="n">
        <v>0.144</v>
      </c>
      <c r="CB6" s="8" t="n">
        <v>167</v>
      </c>
      <c r="CC6" s="10" t="n">
        <v>0.378</v>
      </c>
      <c r="CD6" s="8" t="n">
        <v>45</v>
      </c>
      <c r="CE6" s="7" t="n">
        <v>0.045</v>
      </c>
      <c r="CF6" s="7" t="n">
        <v>0.001</v>
      </c>
      <c r="CG6" s="4" t="s">
        <v>102</v>
      </c>
      <c r="CH6" s="4"/>
    </row>
    <row r="7" customFormat="false" ht="15" hidden="false" customHeight="false" outlineLevel="0" collapsed="false">
      <c r="A7" s="3" t="n">
        <v>5</v>
      </c>
      <c r="B7" s="4" t="s">
        <v>118</v>
      </c>
      <c r="C7" s="5" t="s">
        <v>99</v>
      </c>
      <c r="D7" s="4" t="s">
        <v>119</v>
      </c>
      <c r="E7" s="4" t="s">
        <v>120</v>
      </c>
      <c r="F7" s="4" t="s">
        <v>99</v>
      </c>
      <c r="G7" s="3" t="n">
        <v>1</v>
      </c>
      <c r="H7" s="6" t="n">
        <v>27.4</v>
      </c>
      <c r="I7" s="3" t="n">
        <v>7</v>
      </c>
      <c r="J7" s="3" t="n">
        <v>14</v>
      </c>
      <c r="K7" s="7" t="n">
        <v>8.7</v>
      </c>
      <c r="L7" s="7" t="n">
        <v>1.63</v>
      </c>
      <c r="M7" s="8" t="n">
        <v>6</v>
      </c>
      <c r="N7" s="8" t="n">
        <v>16</v>
      </c>
      <c r="O7" s="7" t="n">
        <v>8.7</v>
      </c>
      <c r="P7" s="6" t="n">
        <v>99.4</v>
      </c>
      <c r="Q7" s="4" t="s">
        <v>120</v>
      </c>
      <c r="R7" s="8" t="n">
        <v>13</v>
      </c>
      <c r="S7" s="6" t="n">
        <v>200.9</v>
      </c>
      <c r="T7" s="7" t="n">
        <f aca="false">IFERROR(S7/R7,"")</f>
        <v>15.4538461538462</v>
      </c>
      <c r="U7" s="6" t="n">
        <v>163.4</v>
      </c>
      <c r="V7" s="6" t="n">
        <v>125.9</v>
      </c>
      <c r="W7" s="8" t="n">
        <v>22</v>
      </c>
      <c r="X7" s="7" t="n">
        <f aca="false">IFERROR(S7/AH7,"")</f>
        <v>1.70254237288136</v>
      </c>
      <c r="Y7" s="9" t="n">
        <f aca="false">IFERROR(S7/AF7,"")</f>
        <v>0.274453551912568</v>
      </c>
      <c r="Z7" s="6" t="n">
        <v>11.5</v>
      </c>
      <c r="AA7" s="6" t="n">
        <v>17.1</v>
      </c>
      <c r="AB7" s="6" t="n">
        <v>20.56</v>
      </c>
      <c r="AC7" s="10" t="n">
        <v>0.308</v>
      </c>
      <c r="AD7" s="10" t="n">
        <v>0.077</v>
      </c>
      <c r="AE7" s="7" t="n">
        <v>0.35</v>
      </c>
      <c r="AF7" s="8" t="n">
        <v>732</v>
      </c>
      <c r="AG7" s="10" t="n">
        <v>0.729</v>
      </c>
      <c r="AH7" s="8" t="n">
        <v>118</v>
      </c>
      <c r="AI7" s="8" t="n">
        <v>117</v>
      </c>
      <c r="AJ7" s="6" t="n">
        <f aca="false">IFERROR(AI7/R7,"")</f>
        <v>9</v>
      </c>
      <c r="AK7" s="10" t="n">
        <v>0.2527</v>
      </c>
      <c r="AL7" s="10" t="n">
        <v>0.3567</v>
      </c>
      <c r="AM7" s="9" t="n">
        <v>0.6287</v>
      </c>
      <c r="AN7" s="8" t="n">
        <v>75</v>
      </c>
      <c r="AO7" s="10" t="n">
        <f aca="false">IFERROR(AN7/AI7,"")</f>
        <v>0.641025641025641</v>
      </c>
      <c r="AP7" s="8" t="n">
        <v>1077</v>
      </c>
      <c r="AQ7" s="7" t="n">
        <f aca="false">IFERROR(AP7/AI7,"")</f>
        <v>9.2051282051282</v>
      </c>
      <c r="AR7" s="6" t="n">
        <v>11.991</v>
      </c>
      <c r="AS7" s="7" t="n">
        <v>4.307</v>
      </c>
      <c r="AT7" s="7" t="n">
        <v>0.768</v>
      </c>
      <c r="AU7" s="7" t="n">
        <v>2.77854083016514</v>
      </c>
      <c r="AV7" s="7" t="n">
        <v>6.13982608695652</v>
      </c>
      <c r="AW7" s="7" t="n">
        <v>0.497293742491963</v>
      </c>
      <c r="AX7" s="10" t="n">
        <v>0.0684</v>
      </c>
      <c r="AY7" s="8" t="n">
        <v>17</v>
      </c>
      <c r="AZ7" s="8" t="n">
        <v>7</v>
      </c>
      <c r="BA7" s="8" t="n">
        <v>4</v>
      </c>
      <c r="BB7" s="8" t="n">
        <v>3</v>
      </c>
      <c r="BC7" s="7" t="n">
        <v>6.13</v>
      </c>
      <c r="BD7" s="7" t="n">
        <f aca="false">IFERROR(BB7-BC7,"")</f>
        <v>-3.13</v>
      </c>
      <c r="BE7" s="9" t="n">
        <f aca="false">IFERROR(BB7/AH7,"")</f>
        <v>0.0254237288135593</v>
      </c>
      <c r="BF7" s="6" t="n">
        <v>65.1</v>
      </c>
      <c r="BG7" s="6" t="n">
        <v>61.6</v>
      </c>
      <c r="BH7" s="6" t="n">
        <v>62.2</v>
      </c>
      <c r="BI7" s="7" t="n">
        <v>3.074</v>
      </c>
      <c r="BJ7" s="10" t="n">
        <v>0.1352</v>
      </c>
      <c r="BK7" s="10" t="n">
        <v>0.705882352941177</v>
      </c>
      <c r="BL7" s="7" t="n">
        <v>2.563</v>
      </c>
      <c r="BM7" s="10" t="n">
        <v>0.2356</v>
      </c>
      <c r="BN7" s="10" t="n">
        <v>0.044</v>
      </c>
      <c r="BO7" s="7" t="n">
        <v>2.396</v>
      </c>
      <c r="BP7" s="10" t="n">
        <v>0.848</v>
      </c>
      <c r="BQ7" s="8" t="n">
        <v>5</v>
      </c>
      <c r="BR7" s="10" t="n">
        <v>-0.0098</v>
      </c>
      <c r="BS7" s="10" t="n">
        <v>0.5628</v>
      </c>
      <c r="BT7" s="6" t="n">
        <v>64.94</v>
      </c>
      <c r="BU7" s="6" t="n">
        <v>36</v>
      </c>
      <c r="BV7" s="7" t="n">
        <v>3.82</v>
      </c>
      <c r="BW7" s="6" t="n">
        <v>27.7</v>
      </c>
      <c r="BX7" s="9" t="n">
        <v>0.005</v>
      </c>
      <c r="BY7" s="9" t="n">
        <v>0.1615</v>
      </c>
      <c r="BZ7" s="8" t="n">
        <v>34</v>
      </c>
      <c r="CA7" s="10" t="n">
        <v>0.056</v>
      </c>
      <c r="CB7" s="8" t="n">
        <v>0</v>
      </c>
      <c r="CC7" s="10" t="n">
        <v>0</v>
      </c>
      <c r="CD7" s="8" t="n">
        <v>4</v>
      </c>
      <c r="CE7" s="7" t="n">
        <v>-0.752</v>
      </c>
      <c r="CF7" s="7" t="n">
        <v>-0.226</v>
      </c>
      <c r="CG7" s="4" t="s">
        <v>121</v>
      </c>
      <c r="CH7" s="4"/>
    </row>
    <row r="8" customFormat="false" ht="15" hidden="false" customHeight="false" outlineLevel="0" collapsed="false">
      <c r="A8" s="3" t="n">
        <v>6</v>
      </c>
      <c r="B8" s="4" t="s">
        <v>125</v>
      </c>
      <c r="C8" s="5" t="s">
        <v>99</v>
      </c>
      <c r="D8" s="4" t="s">
        <v>126</v>
      </c>
      <c r="E8" s="4" t="s">
        <v>127</v>
      </c>
      <c r="F8" s="4" t="s">
        <v>99</v>
      </c>
      <c r="G8" s="3" t="n">
        <v>1</v>
      </c>
      <c r="H8" s="6" t="n">
        <v>27.2</v>
      </c>
      <c r="I8" s="3" t="n">
        <v>7</v>
      </c>
      <c r="J8" s="3" t="n">
        <v>6</v>
      </c>
      <c r="K8" s="7" t="n">
        <v>9.58</v>
      </c>
      <c r="L8" s="7" t="n">
        <v>2.63</v>
      </c>
      <c r="M8" s="8" t="n">
        <v>5</v>
      </c>
      <c r="N8" s="8" t="n">
        <v>20</v>
      </c>
      <c r="O8" s="7" t="n">
        <v>9.58</v>
      </c>
      <c r="P8" s="6" t="n">
        <v>99.4</v>
      </c>
      <c r="Q8" s="4" t="s">
        <v>127</v>
      </c>
      <c r="R8" s="8" t="n">
        <v>17</v>
      </c>
      <c r="S8" s="6" t="n">
        <v>201.5</v>
      </c>
      <c r="T8" s="7" t="n">
        <f aca="false">IFERROR(S8/R8,"")</f>
        <v>11.8529411764706</v>
      </c>
      <c r="U8" s="6" t="n">
        <v>159.5</v>
      </c>
      <c r="V8" s="6" t="n">
        <v>117.5</v>
      </c>
      <c r="W8" s="8" t="n">
        <v>21</v>
      </c>
      <c r="X8" s="7" t="n">
        <f aca="false">IFERROR(S8/AH8,"")</f>
        <v>1.40909090909091</v>
      </c>
      <c r="Y8" s="9" t="n">
        <f aca="false">IFERROR(S8/AF8,"")</f>
        <v>0.21413390010627</v>
      </c>
      <c r="Z8" s="6" t="n">
        <v>7.7</v>
      </c>
      <c r="AA8" s="6" t="n">
        <v>12.5</v>
      </c>
      <c r="AB8" s="6" t="n">
        <v>17.72</v>
      </c>
      <c r="AC8" s="10" t="n">
        <v>0.176</v>
      </c>
      <c r="AD8" s="10" t="n">
        <v>0</v>
      </c>
      <c r="AE8" s="7" t="n">
        <v>0.463</v>
      </c>
      <c r="AF8" s="8" t="n">
        <v>941</v>
      </c>
      <c r="AG8" s="10" t="n">
        <v>0.942</v>
      </c>
      <c r="AH8" s="8" t="n">
        <v>143</v>
      </c>
      <c r="AI8" s="8" t="n">
        <v>141</v>
      </c>
      <c r="AJ8" s="6" t="n">
        <f aca="false">IFERROR(AI8/R8,"")</f>
        <v>8.29411764705882</v>
      </c>
      <c r="AK8" s="10" t="n">
        <v>0.3013</v>
      </c>
      <c r="AL8" s="10" t="n">
        <v>0.3859</v>
      </c>
      <c r="AM8" s="9" t="n">
        <v>0.7221</v>
      </c>
      <c r="AN8" s="8" t="n">
        <v>84</v>
      </c>
      <c r="AO8" s="10" t="n">
        <f aca="false">IFERROR(AN8/AI8,"")</f>
        <v>0.595744680851064</v>
      </c>
      <c r="AP8" s="8" t="n">
        <v>1048</v>
      </c>
      <c r="AQ8" s="7" t="n">
        <f aca="false">IFERROR(AP8/AI8,"")</f>
        <v>7.43262411347518</v>
      </c>
      <c r="AR8" s="6" t="n">
        <v>10.199</v>
      </c>
      <c r="AS8" s="7" t="n">
        <v>5.369</v>
      </c>
      <c r="AT8" s="7" t="n">
        <v>0.729</v>
      </c>
      <c r="AU8" s="7" t="n">
        <v>3.23303550437762</v>
      </c>
      <c r="AV8" s="7" t="n">
        <v>5.84856060606061</v>
      </c>
      <c r="AW8" s="7" t="n">
        <v>0.778681667836201</v>
      </c>
      <c r="AX8" s="10" t="n">
        <v>0.0213</v>
      </c>
      <c r="AY8" s="8" t="n">
        <v>18</v>
      </c>
      <c r="AZ8" s="8" t="n">
        <v>10</v>
      </c>
      <c r="BA8" s="8" t="n">
        <v>5</v>
      </c>
      <c r="BB8" s="8" t="n">
        <v>2</v>
      </c>
      <c r="BC8" s="7" t="n">
        <v>7.03</v>
      </c>
      <c r="BD8" s="7" t="n">
        <f aca="false">IFERROR(BB8-BC8,"")</f>
        <v>-5.03</v>
      </c>
      <c r="BE8" s="9" t="n">
        <f aca="false">IFERROR(BB8/AH8,"")</f>
        <v>0.013986013986014</v>
      </c>
      <c r="BF8" s="6" t="n">
        <v>36</v>
      </c>
      <c r="BG8" s="6" t="n">
        <v>51.8</v>
      </c>
      <c r="BH8" s="6" t="n">
        <v>26.2</v>
      </c>
      <c r="BI8" s="7" t="n">
        <v>2.961</v>
      </c>
      <c r="BJ8" s="10" t="n">
        <v>0.1751</v>
      </c>
      <c r="BK8" s="10" t="n">
        <v>0.7</v>
      </c>
      <c r="BL8" s="7" t="n">
        <v>2.441</v>
      </c>
      <c r="BM8" s="10" t="n">
        <v>0.3037</v>
      </c>
      <c r="BN8" s="10" t="n">
        <v>0.1028</v>
      </c>
      <c r="BO8" s="7" t="n">
        <v>2.429</v>
      </c>
      <c r="BP8" s="10" t="n">
        <v>0.819</v>
      </c>
      <c r="BQ8" s="8" t="n">
        <v>5</v>
      </c>
      <c r="BR8" s="10" t="n">
        <v>-0.012</v>
      </c>
      <c r="BS8" s="10" t="n">
        <v>0.5369</v>
      </c>
      <c r="BT8" s="6" t="n">
        <v>55.47</v>
      </c>
      <c r="BU8" s="6" t="n">
        <v>39</v>
      </c>
      <c r="BV8" s="7" t="n">
        <v>3.12</v>
      </c>
      <c r="BW8" s="6" t="n">
        <v>20.2</v>
      </c>
      <c r="BX8" s="9" t="n">
        <v>-0.0149</v>
      </c>
      <c r="BY8" s="9" t="n">
        <v>-0.1883</v>
      </c>
      <c r="BZ8" s="8" t="n">
        <v>82</v>
      </c>
      <c r="CA8" s="10" t="n">
        <v>0.175</v>
      </c>
      <c r="CB8" s="8" t="n">
        <v>24</v>
      </c>
      <c r="CC8" s="10" t="n">
        <v>0.059</v>
      </c>
      <c r="CD8" s="8" t="n">
        <v>17</v>
      </c>
      <c r="CE8" s="7" t="n">
        <v>-0.673</v>
      </c>
      <c r="CF8" s="7" t="n">
        <v>-1.155</v>
      </c>
      <c r="CG8" s="4" t="s">
        <v>121</v>
      </c>
      <c r="CH8" s="4"/>
    </row>
    <row r="9" customFormat="false" ht="15" hidden="false" customHeight="false" outlineLevel="0" collapsed="false">
      <c r="A9" s="3" t="n">
        <v>7</v>
      </c>
      <c r="B9" s="4" t="s">
        <v>131</v>
      </c>
      <c r="C9" s="5" t="s">
        <v>99</v>
      </c>
      <c r="D9" s="4" t="s">
        <v>132</v>
      </c>
      <c r="E9" s="4" t="s">
        <v>112</v>
      </c>
      <c r="F9" s="4" t="s">
        <v>99</v>
      </c>
      <c r="G9" s="3" t="n">
        <v>1</v>
      </c>
      <c r="H9" s="6" t="n">
        <v>25.1</v>
      </c>
      <c r="I9" s="3" t="n">
        <v>5</v>
      </c>
      <c r="J9" s="3" t="n">
        <v>11</v>
      </c>
      <c r="K9" s="7" t="n">
        <v>12.35</v>
      </c>
      <c r="L9" s="7" t="n">
        <v>3.39</v>
      </c>
      <c r="M9" s="8" t="n">
        <v>8</v>
      </c>
      <c r="N9" s="8" t="n">
        <v>26</v>
      </c>
      <c r="O9" s="7" t="n">
        <v>12.35</v>
      </c>
      <c r="P9" s="6" t="n">
        <v>99.1</v>
      </c>
      <c r="Q9" s="4" t="s">
        <v>112</v>
      </c>
      <c r="R9" s="8" t="n">
        <v>12</v>
      </c>
      <c r="S9" s="6" t="n">
        <v>201.9</v>
      </c>
      <c r="T9" s="7" t="n">
        <f aca="false">IFERROR(S9/R9,"")</f>
        <v>16.825</v>
      </c>
      <c r="U9" s="6" t="n">
        <v>167.9</v>
      </c>
      <c r="V9" s="6" t="n">
        <v>133.9</v>
      </c>
      <c r="W9" s="8" t="n">
        <v>19</v>
      </c>
      <c r="X9" s="7" t="n">
        <f aca="false">IFERROR(S9/AH9,"")</f>
        <v>1.80267857142857</v>
      </c>
      <c r="Y9" s="9" t="n">
        <f aca="false">IFERROR(S9/AF9,"")</f>
        <v>0.284767277856135</v>
      </c>
      <c r="Z9" s="6" t="n">
        <v>7.62</v>
      </c>
      <c r="AA9" s="6" t="n">
        <v>15.65</v>
      </c>
      <c r="AB9" s="6" t="n">
        <v>27.38</v>
      </c>
      <c r="AC9" s="10" t="n">
        <v>0.5</v>
      </c>
      <c r="AD9" s="10" t="n">
        <v>0.083</v>
      </c>
      <c r="AE9" s="7" t="n">
        <v>0.732</v>
      </c>
      <c r="AF9" s="8" t="n">
        <v>709</v>
      </c>
      <c r="AG9" s="10" t="n">
        <v>0.907</v>
      </c>
      <c r="AH9" s="8" t="n">
        <v>112</v>
      </c>
      <c r="AI9" s="8" t="n">
        <v>112</v>
      </c>
      <c r="AJ9" s="6" t="n">
        <f aca="false">IFERROR(AI9/R9,"")</f>
        <v>9.33333333333333</v>
      </c>
      <c r="AK9" s="10" t="n">
        <v>0.3035</v>
      </c>
      <c r="AL9" s="10" t="n">
        <v>0.4014</v>
      </c>
      <c r="AM9" s="9" t="n">
        <v>0.7362</v>
      </c>
      <c r="AN9" s="8" t="n">
        <v>68</v>
      </c>
      <c r="AO9" s="10" t="n">
        <f aca="false">IFERROR(AN9/AI9,"")</f>
        <v>0.607142857142857</v>
      </c>
      <c r="AP9" s="8" t="n">
        <v>919</v>
      </c>
      <c r="AQ9" s="7" t="n">
        <f aca="false">IFERROR(AP9/AI9,"")</f>
        <v>8.20535714285714</v>
      </c>
      <c r="AR9" s="6" t="n">
        <v>10.902</v>
      </c>
      <c r="AS9" s="7" t="n">
        <v>3.368</v>
      </c>
      <c r="AT9" s="7" t="n">
        <v>0.753</v>
      </c>
      <c r="AU9" s="7" t="n">
        <v>2.65906762866908</v>
      </c>
      <c r="AV9" s="7" t="n">
        <v>5.78305555555556</v>
      </c>
      <c r="AW9" s="7" t="n">
        <v>0.644629873771899</v>
      </c>
      <c r="AX9" s="10" t="n">
        <v>0.0089</v>
      </c>
      <c r="AY9" s="8" t="n">
        <v>15</v>
      </c>
      <c r="AZ9" s="8" t="n">
        <v>8</v>
      </c>
      <c r="BA9" s="8" t="n">
        <v>5</v>
      </c>
      <c r="BB9" s="8" t="n">
        <v>7</v>
      </c>
      <c r="BC9" s="7" t="n">
        <v>6.14</v>
      </c>
      <c r="BD9" s="7" t="n">
        <f aca="false">IFERROR(BB9-BC9,"")</f>
        <v>0.86</v>
      </c>
      <c r="BE9" s="9" t="n">
        <f aca="false">IFERROR(BB9/AH9,"")</f>
        <v>0.0625</v>
      </c>
      <c r="BF9" s="6" t="n">
        <v>62.4</v>
      </c>
      <c r="BG9" s="6" t="n">
        <v>52.7</v>
      </c>
      <c r="BH9" s="6" t="n">
        <v>66.9</v>
      </c>
      <c r="BI9" s="7" t="n">
        <v>3.071</v>
      </c>
      <c r="BJ9" s="10" t="n">
        <v>0.1627</v>
      </c>
      <c r="BK9" s="10" t="n">
        <v>0.523809523809524</v>
      </c>
      <c r="BL9" s="7" t="n">
        <v>2.522</v>
      </c>
      <c r="BM9" s="10" t="n">
        <v>0.2037</v>
      </c>
      <c r="BN9" s="10" t="n">
        <v>0.0494</v>
      </c>
      <c r="BO9" s="7" t="n">
        <v>2.4</v>
      </c>
      <c r="BP9" s="10" t="n">
        <v>0.798</v>
      </c>
      <c r="BQ9" s="8" t="n">
        <v>4</v>
      </c>
      <c r="BR9" s="10" t="n">
        <v>-0.0621</v>
      </c>
      <c r="BS9" s="10" t="n">
        <v>0.549</v>
      </c>
      <c r="BT9" s="6" t="n">
        <v>60.94</v>
      </c>
      <c r="BU9" s="6" t="n">
        <v>38</v>
      </c>
      <c r="BV9" s="7" t="n">
        <v>3.12</v>
      </c>
      <c r="BW9" s="6" t="n">
        <v>20.8</v>
      </c>
      <c r="BX9" s="9" t="n">
        <v>-0.0314</v>
      </c>
      <c r="BY9" s="9" t="n">
        <v>-0.0132</v>
      </c>
      <c r="BZ9" s="8" t="n">
        <v>151</v>
      </c>
      <c r="CA9" s="10" t="n">
        <v>0.291</v>
      </c>
      <c r="CB9" s="8" t="n">
        <v>160</v>
      </c>
      <c r="CC9" s="10" t="n">
        <v>0.335</v>
      </c>
      <c r="CD9" s="8" t="n">
        <v>49</v>
      </c>
      <c r="CE9" s="7" t="n">
        <v>-0.55</v>
      </c>
      <c r="CF9" s="7" t="n">
        <v>-0.024</v>
      </c>
      <c r="CG9" s="4" t="s">
        <v>121</v>
      </c>
      <c r="CH9" s="4"/>
    </row>
    <row r="10" customFormat="false" ht="15" hidden="false" customHeight="false" outlineLevel="0" collapsed="false">
      <c r="A10" s="3" t="n">
        <v>8</v>
      </c>
      <c r="B10" s="4" t="s">
        <v>133</v>
      </c>
      <c r="C10" s="5" t="s">
        <v>99</v>
      </c>
      <c r="D10" s="4" t="s">
        <v>134</v>
      </c>
      <c r="E10" s="4" t="s">
        <v>135</v>
      </c>
      <c r="F10" s="4" t="s">
        <v>99</v>
      </c>
      <c r="G10" s="3" t="n">
        <v>1</v>
      </c>
      <c r="H10" s="6" t="n">
        <v>29.1</v>
      </c>
      <c r="I10" s="3" t="n">
        <v>8</v>
      </c>
      <c r="J10" s="3" t="n">
        <v>11</v>
      </c>
      <c r="K10" s="7" t="n">
        <v>14.71</v>
      </c>
      <c r="L10" s="7" t="n">
        <v>5.48</v>
      </c>
      <c r="M10" s="8" t="n">
        <v>6</v>
      </c>
      <c r="N10" s="8" t="n">
        <v>35</v>
      </c>
      <c r="O10" s="7" t="n">
        <v>14.71</v>
      </c>
      <c r="P10" s="6" t="n">
        <v>99.3</v>
      </c>
      <c r="Q10" s="4" t="s">
        <v>136</v>
      </c>
      <c r="R10" s="8" t="n">
        <v>15</v>
      </c>
      <c r="S10" s="6" t="n">
        <v>220.3</v>
      </c>
      <c r="T10" s="7" t="n">
        <f aca="false">IFERROR(S10/R10,"")</f>
        <v>14.6866666666667</v>
      </c>
      <c r="U10" s="6" t="n">
        <v>181.3</v>
      </c>
      <c r="V10" s="6" t="n">
        <v>142.3</v>
      </c>
      <c r="W10" s="8" t="n">
        <v>11</v>
      </c>
      <c r="X10" s="7" t="n">
        <f aca="false">IFERROR(S10/AH10,"")</f>
        <v>1.82066115702479</v>
      </c>
      <c r="Y10" s="9" t="n">
        <f aca="false">IFERROR(S10/AF10,"")</f>
        <v>0.261328588374852</v>
      </c>
      <c r="Z10" s="6" t="n">
        <v>8.5</v>
      </c>
      <c r="AA10" s="6" t="n">
        <v>12.1</v>
      </c>
      <c r="AB10" s="6" t="n">
        <v>24.79</v>
      </c>
      <c r="AC10" s="10" t="n">
        <v>0.267</v>
      </c>
      <c r="AD10" s="10" t="n">
        <v>0.067</v>
      </c>
      <c r="AE10" s="7" t="n">
        <v>0.806</v>
      </c>
      <c r="AF10" s="8" t="n">
        <v>843</v>
      </c>
      <c r="AG10" s="10" t="n">
        <v>0.907</v>
      </c>
      <c r="AH10" s="8" t="n">
        <v>121</v>
      </c>
      <c r="AI10" s="8" t="n">
        <v>121</v>
      </c>
      <c r="AJ10" s="6" t="n">
        <f aca="false">IFERROR(AI10/R10,"")</f>
        <v>8.06666666666667</v>
      </c>
      <c r="AK10" s="10" t="n">
        <v>0.2951</v>
      </c>
      <c r="AL10" s="10" t="n">
        <v>0.3815</v>
      </c>
      <c r="AM10" s="9" t="n">
        <v>0.7097</v>
      </c>
      <c r="AN10" s="8" t="n">
        <v>78</v>
      </c>
      <c r="AO10" s="10" t="n">
        <f aca="false">IFERROR(AN10/AI10,"")</f>
        <v>0.644628099173554</v>
      </c>
      <c r="AP10" s="8" t="n">
        <v>1003</v>
      </c>
      <c r="AQ10" s="7" t="n">
        <f aca="false">IFERROR(AP10/AI10,"")</f>
        <v>8.28925619834711</v>
      </c>
      <c r="AR10" s="6" t="n">
        <v>11.777</v>
      </c>
      <c r="AS10" s="7" t="n">
        <v>3.436</v>
      </c>
      <c r="AT10" s="7" t="n">
        <v>0.704</v>
      </c>
      <c r="AU10" s="7" t="n">
        <v>2.24433043595344</v>
      </c>
      <c r="AV10" s="7" t="n">
        <v>5.74058823529412</v>
      </c>
      <c r="AW10" s="7" t="n">
        <v>1.06005524611829</v>
      </c>
      <c r="AX10" s="10" t="n">
        <v>0.0083</v>
      </c>
      <c r="AY10" s="8" t="n">
        <v>13</v>
      </c>
      <c r="AZ10" s="8" t="n">
        <v>5</v>
      </c>
      <c r="BA10" s="8" t="n">
        <v>2</v>
      </c>
      <c r="BB10" s="8" t="n">
        <v>7</v>
      </c>
      <c r="BC10" s="7" t="n">
        <v>4.61</v>
      </c>
      <c r="BD10" s="7" t="n">
        <f aca="false">IFERROR(BB10-BC10,"")</f>
        <v>2.39</v>
      </c>
      <c r="BE10" s="9" t="n">
        <f aca="false">IFERROR(BB10/AH10,"")</f>
        <v>0.0578512396694215</v>
      </c>
      <c r="BF10" s="6" t="n">
        <v>41.6</v>
      </c>
      <c r="BG10" s="6" t="n">
        <v>43.3</v>
      </c>
      <c r="BH10" s="6" t="n">
        <v>43.5</v>
      </c>
      <c r="BI10" s="7" t="n">
        <v>2.802</v>
      </c>
      <c r="BJ10" s="10" t="n">
        <v>0.1883</v>
      </c>
      <c r="BK10" s="10" t="n">
        <v>0.575757575757576</v>
      </c>
      <c r="BL10" s="7" t="n">
        <v>2.561</v>
      </c>
      <c r="BM10" s="10" t="n">
        <v>0.261</v>
      </c>
      <c r="BN10" s="10" t="n">
        <v>0.0789</v>
      </c>
      <c r="BO10" s="7" t="n">
        <v>2.406</v>
      </c>
      <c r="BP10" s="10" t="n">
        <v>0.533</v>
      </c>
      <c r="BQ10" s="8" t="n">
        <v>3</v>
      </c>
      <c r="BR10" s="10" t="n">
        <v>0.0242</v>
      </c>
      <c r="BS10" s="10" t="n">
        <v>0.5691</v>
      </c>
      <c r="BT10" s="6" t="n">
        <v>59.82</v>
      </c>
      <c r="BU10" s="6" t="n">
        <v>38</v>
      </c>
      <c r="BV10" s="7" t="n">
        <v>3.76</v>
      </c>
      <c r="BW10" s="6" t="n">
        <v>28.8</v>
      </c>
      <c r="BX10" s="9" t="n">
        <v>0.0077</v>
      </c>
      <c r="BY10" s="9" t="n">
        <v>0.2873</v>
      </c>
      <c r="BZ10" s="8" t="n">
        <v>128</v>
      </c>
      <c r="CA10" s="10" t="n">
        <v>0.266</v>
      </c>
      <c r="CB10" s="8" t="n">
        <v>10</v>
      </c>
      <c r="CC10" s="10" t="n">
        <v>0.02</v>
      </c>
      <c r="CD10" s="8" t="n">
        <v>17</v>
      </c>
      <c r="CE10" s="7" t="n">
        <v>-0.164</v>
      </c>
      <c r="CF10" s="7" t="n">
        <v>-0.208</v>
      </c>
      <c r="CG10" s="4" t="s">
        <v>102</v>
      </c>
      <c r="CH10" s="4"/>
    </row>
    <row r="11" customFormat="false" ht="15" hidden="false" customHeight="false" outlineLevel="0" collapsed="false">
      <c r="A11" s="3" t="n">
        <v>9</v>
      </c>
      <c r="B11" s="4" t="s">
        <v>137</v>
      </c>
      <c r="C11" s="5" t="s">
        <v>99</v>
      </c>
      <c r="D11" s="4" t="s">
        <v>138</v>
      </c>
      <c r="E11" s="4" t="s">
        <v>139</v>
      </c>
      <c r="F11" s="4" t="s">
        <v>99</v>
      </c>
      <c r="G11" s="3" t="n">
        <v>1</v>
      </c>
      <c r="H11" s="6" t="n">
        <v>27.4</v>
      </c>
      <c r="I11" s="3" t="n">
        <v>6</v>
      </c>
      <c r="J11" s="3" t="n">
        <v>8</v>
      </c>
      <c r="K11" s="7" t="n">
        <v>16.37</v>
      </c>
      <c r="L11" s="7" t="n">
        <v>4.14</v>
      </c>
      <c r="M11" s="8" t="n">
        <v>11</v>
      </c>
      <c r="N11" s="8" t="n">
        <v>36</v>
      </c>
      <c r="O11" s="7" t="n">
        <v>16.37</v>
      </c>
      <c r="P11" s="6" t="n">
        <v>99.4</v>
      </c>
      <c r="Q11" s="4" t="s">
        <v>139</v>
      </c>
      <c r="R11" s="8" t="n">
        <v>15</v>
      </c>
      <c r="S11" s="6" t="n">
        <v>226.2</v>
      </c>
      <c r="T11" s="7" t="n">
        <f aca="false">IFERROR(S11/R11,"")</f>
        <v>15.08</v>
      </c>
      <c r="U11" s="6" t="n">
        <v>190.7</v>
      </c>
      <c r="V11" s="6" t="n">
        <v>155.2</v>
      </c>
      <c r="W11" s="8" t="n">
        <v>8</v>
      </c>
      <c r="X11" s="7" t="n">
        <f aca="false">IFERROR(S11/AH11,"")</f>
        <v>1.85409836065574</v>
      </c>
      <c r="Y11" s="9" t="n">
        <f aca="false">IFERROR(S11/AF11,"")</f>
        <v>0.290745501285347</v>
      </c>
      <c r="Z11" s="6" t="n">
        <v>9.3</v>
      </c>
      <c r="AA11" s="6" t="n">
        <v>14.5</v>
      </c>
      <c r="AB11" s="6" t="n">
        <v>22.58</v>
      </c>
      <c r="AC11" s="10" t="n">
        <v>0.333</v>
      </c>
      <c r="AD11" s="10" t="n">
        <v>0</v>
      </c>
      <c r="AE11" s="7" t="n">
        <v>0.448</v>
      </c>
      <c r="AF11" s="8" t="n">
        <v>778</v>
      </c>
      <c r="AG11" s="10" t="n">
        <v>0.772</v>
      </c>
      <c r="AH11" s="8" t="n">
        <v>122</v>
      </c>
      <c r="AI11" s="8" t="n">
        <v>120</v>
      </c>
      <c r="AJ11" s="6" t="n">
        <f aca="false">IFERROR(AI11/R11,"")</f>
        <v>8</v>
      </c>
      <c r="AK11" s="10" t="n">
        <v>0.2464</v>
      </c>
      <c r="AL11" s="10" t="n">
        <v>0.3732</v>
      </c>
      <c r="AM11" s="9" t="n">
        <v>0.6308</v>
      </c>
      <c r="AN11" s="8" t="n">
        <v>71</v>
      </c>
      <c r="AO11" s="10" t="n">
        <f aca="false">IFERROR(AN11/AI11,"")</f>
        <v>0.591666666666667</v>
      </c>
      <c r="AP11" s="8" t="n">
        <v>1117</v>
      </c>
      <c r="AQ11" s="7" t="n">
        <f aca="false">IFERROR(AP11/AI11,"")</f>
        <v>9.30833333333333</v>
      </c>
      <c r="AR11" s="6" t="n">
        <v>12.742</v>
      </c>
      <c r="AS11" s="7" t="n">
        <v>4.563</v>
      </c>
      <c r="AT11" s="7" t="n">
        <v>0.731</v>
      </c>
      <c r="AU11" s="7" t="n">
        <v>2.31316660313172</v>
      </c>
      <c r="AV11" s="7" t="n">
        <v>4.87213675213675</v>
      </c>
      <c r="AW11" s="7" t="n">
        <v>1.68816949176868</v>
      </c>
      <c r="AX11" s="10" t="n">
        <v>0.0083</v>
      </c>
      <c r="AY11" s="8" t="n">
        <v>19</v>
      </c>
      <c r="AZ11" s="8" t="n">
        <v>10</v>
      </c>
      <c r="BA11" s="8" t="n">
        <v>7</v>
      </c>
      <c r="BB11" s="8" t="n">
        <v>7</v>
      </c>
      <c r="BC11" s="7" t="n">
        <v>6.88</v>
      </c>
      <c r="BD11" s="7" t="n">
        <f aca="false">IFERROR(BB11-BC11,"")</f>
        <v>0.12</v>
      </c>
      <c r="BE11" s="9" t="n">
        <f aca="false">IFERROR(BB11/AH11,"")</f>
        <v>0.0573770491803279</v>
      </c>
      <c r="BF11" s="6" t="n">
        <v>45.8</v>
      </c>
      <c r="BG11" s="6" t="n">
        <v>34.1</v>
      </c>
      <c r="BH11" s="6" t="n">
        <v>59.3</v>
      </c>
      <c r="BI11" s="7" t="n">
        <v>2.812</v>
      </c>
      <c r="BJ11" s="10" t="n">
        <v>0.1937</v>
      </c>
      <c r="BK11" s="10" t="n">
        <v>0.485714285714286</v>
      </c>
      <c r="BL11" s="7" t="n">
        <v>2.099</v>
      </c>
      <c r="BM11" s="10" t="n">
        <v>0.2216</v>
      </c>
      <c r="BN11" s="10" t="n">
        <v>0.0526</v>
      </c>
      <c r="BO11" s="7" t="n">
        <v>2.345</v>
      </c>
      <c r="BP11" s="10" t="n">
        <v>0.713</v>
      </c>
      <c r="BQ11" s="8" t="n">
        <v>2</v>
      </c>
      <c r="BR11" s="10" t="n">
        <v>-0.0098</v>
      </c>
      <c r="BS11" s="10" t="n">
        <v>0.5638</v>
      </c>
      <c r="BT11" s="6" t="n">
        <v>63.41</v>
      </c>
      <c r="BU11" s="6" t="n">
        <v>38</v>
      </c>
      <c r="BV11" s="7" t="n">
        <v>3.41</v>
      </c>
      <c r="BW11" s="6" t="n">
        <v>23.8</v>
      </c>
      <c r="BX11" s="9" t="n">
        <v>-0.0779</v>
      </c>
      <c r="BY11" s="9" t="n">
        <v>0.036</v>
      </c>
      <c r="BZ11" s="8" t="n">
        <v>82</v>
      </c>
      <c r="CA11" s="10" t="n">
        <v>0.148</v>
      </c>
      <c r="CB11" s="8" t="n">
        <v>21</v>
      </c>
      <c r="CC11" s="10" t="n">
        <v>0.044</v>
      </c>
      <c r="CD11" s="8" t="n">
        <v>18</v>
      </c>
      <c r="CE11" s="7" t="n">
        <v>0.003</v>
      </c>
      <c r="CF11" s="7" t="n">
        <v>-0.129</v>
      </c>
      <c r="CG11" s="4" t="s">
        <v>102</v>
      </c>
      <c r="CH11" s="4"/>
    </row>
    <row r="12" customFormat="false" ht="15" hidden="false" customHeight="false" outlineLevel="0" collapsed="false">
      <c r="A12" s="3" t="n">
        <v>10</v>
      </c>
      <c r="B12" s="4" t="s">
        <v>152</v>
      </c>
      <c r="C12" s="5" t="s">
        <v>99</v>
      </c>
      <c r="D12" s="4" t="s">
        <v>153</v>
      </c>
      <c r="E12" s="4" t="s">
        <v>120</v>
      </c>
      <c r="F12" s="4" t="s">
        <v>99</v>
      </c>
      <c r="G12" s="3" t="n">
        <v>2</v>
      </c>
      <c r="H12" s="6" t="n">
        <v>25.5</v>
      </c>
      <c r="I12" s="3" t="n">
        <v>5</v>
      </c>
      <c r="J12" s="3" t="n">
        <v>14</v>
      </c>
      <c r="K12" s="7" t="n">
        <v>19.88</v>
      </c>
      <c r="L12" s="7" t="n">
        <v>6.22</v>
      </c>
      <c r="M12" s="8" t="n">
        <v>12</v>
      </c>
      <c r="N12" s="8" t="n">
        <v>51</v>
      </c>
      <c r="O12" s="7" t="n">
        <v>19.88</v>
      </c>
      <c r="P12" s="6" t="n">
        <v>99.3</v>
      </c>
      <c r="Q12" s="4" t="s">
        <v>120</v>
      </c>
      <c r="R12" s="8" t="n">
        <v>17</v>
      </c>
      <c r="S12" s="6" t="n">
        <v>291.9</v>
      </c>
      <c r="T12" s="7" t="n">
        <f aca="false">IFERROR(S12/R12,"")</f>
        <v>17.1705882352941</v>
      </c>
      <c r="U12" s="6" t="n">
        <v>245.4</v>
      </c>
      <c r="V12" s="6" t="n">
        <v>198.9</v>
      </c>
      <c r="W12" s="8" t="n">
        <v>5</v>
      </c>
      <c r="X12" s="7" t="n">
        <f aca="false">IFERROR(S12/AH12,"")</f>
        <v>2.13065693430657</v>
      </c>
      <c r="Y12" s="9" t="n">
        <f aca="false">IFERROR(S12/AF12,"")</f>
        <v>0.30154958677686</v>
      </c>
      <c r="Z12" s="6" t="n">
        <v>11.8</v>
      </c>
      <c r="AA12" s="6" t="n">
        <v>14.8</v>
      </c>
      <c r="AB12" s="6" t="n">
        <v>29.52</v>
      </c>
      <c r="AC12" s="10" t="n">
        <v>0.294</v>
      </c>
      <c r="AD12" s="10" t="n">
        <v>0</v>
      </c>
      <c r="AE12" s="7" t="n">
        <v>0.652</v>
      </c>
      <c r="AF12" s="8" t="n">
        <v>968</v>
      </c>
      <c r="AG12" s="10" t="n">
        <v>0.811</v>
      </c>
      <c r="AH12" s="8" t="n">
        <v>137</v>
      </c>
      <c r="AI12" s="8" t="n">
        <v>137</v>
      </c>
      <c r="AJ12" s="6" t="n">
        <f aca="false">IFERROR(AI12/R12,"")</f>
        <v>8.05882352941176</v>
      </c>
      <c r="AK12" s="10" t="n">
        <v>0.2257</v>
      </c>
      <c r="AL12" s="10" t="n">
        <v>0.3141</v>
      </c>
      <c r="AM12" s="9" t="n">
        <v>0.5584</v>
      </c>
      <c r="AN12" s="8" t="n">
        <v>93</v>
      </c>
      <c r="AO12" s="10" t="n">
        <f aca="false">IFERROR(AN12/AI12,"")</f>
        <v>0.678832116788321</v>
      </c>
      <c r="AP12" s="8" t="n">
        <v>1429</v>
      </c>
      <c r="AQ12" s="7" t="n">
        <f aca="false">IFERROR(AP12/AI12,"")</f>
        <v>10.4306569343066</v>
      </c>
      <c r="AR12" s="6" t="n">
        <v>11.292</v>
      </c>
      <c r="AS12" s="7" t="n">
        <v>5.151</v>
      </c>
      <c r="AT12" s="7" t="n">
        <v>0.924</v>
      </c>
      <c r="AU12" s="7" t="n">
        <v>2.31222774710587</v>
      </c>
      <c r="AV12" s="7" t="n">
        <v>5.17138686131387</v>
      </c>
      <c r="AW12" s="7" t="n">
        <v>2.15865070219917</v>
      </c>
      <c r="AX12" s="10" t="n">
        <v>0.0292</v>
      </c>
      <c r="AY12" s="8" t="n">
        <v>23</v>
      </c>
      <c r="AZ12" s="8" t="n">
        <v>10</v>
      </c>
      <c r="BA12" s="8" t="n">
        <v>6</v>
      </c>
      <c r="BB12" s="8" t="n">
        <v>9</v>
      </c>
      <c r="BC12" s="7" t="n">
        <v>8.14</v>
      </c>
      <c r="BD12" s="7" t="n">
        <f aca="false">IFERROR(BB12-BC12,"")</f>
        <v>0.859999999999999</v>
      </c>
      <c r="BE12" s="9" t="n">
        <f aca="false">IFERROR(BB12/AH12,"")</f>
        <v>0.0656934306569343</v>
      </c>
      <c r="BF12" s="6" t="n">
        <v>65.1</v>
      </c>
      <c r="BG12" s="6" t="n">
        <v>61.6</v>
      </c>
      <c r="BH12" s="6" t="n">
        <v>62.2</v>
      </c>
      <c r="BI12" s="7" t="n">
        <v>3.074</v>
      </c>
      <c r="BJ12" s="10" t="n">
        <v>0.1352</v>
      </c>
      <c r="BK12" s="10" t="n">
        <v>0.705882352941177</v>
      </c>
      <c r="BL12" s="7" t="n">
        <v>2.563</v>
      </c>
      <c r="BM12" s="10" t="n">
        <v>0.2356</v>
      </c>
      <c r="BN12" s="10" t="n">
        <v>0.044</v>
      </c>
      <c r="BO12" s="7" t="n">
        <v>2.396</v>
      </c>
      <c r="BP12" s="10" t="n">
        <v>0.848</v>
      </c>
      <c r="BQ12" s="8" t="n">
        <v>5</v>
      </c>
      <c r="BR12" s="10" t="n">
        <v>-0.0098</v>
      </c>
      <c r="BS12" s="10" t="n">
        <v>0.5628</v>
      </c>
      <c r="BT12" s="6" t="n">
        <v>64.94</v>
      </c>
      <c r="BU12" s="6" t="n">
        <v>36</v>
      </c>
      <c r="BV12" s="7" t="n">
        <v>3.82</v>
      </c>
      <c r="BW12" s="6" t="n">
        <v>27.7</v>
      </c>
      <c r="BX12" s="9" t="n">
        <v>0.005</v>
      </c>
      <c r="BY12" s="9" t="n">
        <v>0.1615</v>
      </c>
      <c r="BZ12" s="8" t="n">
        <v>34</v>
      </c>
      <c r="CA12" s="10" t="n">
        <v>0.056</v>
      </c>
      <c r="CB12" s="8" t="n">
        <v>0</v>
      </c>
      <c r="CC12" s="10" t="n">
        <v>0</v>
      </c>
      <c r="CD12" s="8" t="n">
        <v>4</v>
      </c>
      <c r="CE12" s="7" t="n">
        <v>0.17</v>
      </c>
      <c r="CF12" s="7" t="n">
        <v>0.126</v>
      </c>
      <c r="CG12" s="4" t="s">
        <v>102</v>
      </c>
      <c r="CH12" s="4"/>
    </row>
    <row r="13" customFormat="false" ht="15" hidden="false" customHeight="false" outlineLevel="0" collapsed="false">
      <c r="A13" s="3" t="n">
        <v>11</v>
      </c>
      <c r="B13" s="4" t="s">
        <v>156</v>
      </c>
      <c r="C13" s="5" t="s">
        <v>99</v>
      </c>
      <c r="D13" s="4" t="s">
        <v>157</v>
      </c>
      <c r="E13" s="4" t="s">
        <v>158</v>
      </c>
      <c r="F13" s="4" t="s">
        <v>99</v>
      </c>
      <c r="G13" s="3" t="n">
        <v>1</v>
      </c>
      <c r="H13" s="6" t="n">
        <v>26.1</v>
      </c>
      <c r="I13" s="3" t="n">
        <v>5</v>
      </c>
      <c r="J13" s="3" t="n">
        <v>8</v>
      </c>
      <c r="K13" s="7" t="n">
        <v>20.57</v>
      </c>
      <c r="L13" s="7" t="n">
        <v>7.04</v>
      </c>
      <c r="M13" s="8" t="n">
        <v>11</v>
      </c>
      <c r="N13" s="8" t="n">
        <v>51</v>
      </c>
      <c r="O13" s="7" t="n">
        <v>20.57</v>
      </c>
      <c r="P13" s="6" t="n">
        <v>98</v>
      </c>
      <c r="Q13" s="4" t="s">
        <v>158</v>
      </c>
      <c r="R13" s="8" t="n">
        <v>16</v>
      </c>
      <c r="S13" s="6" t="n">
        <v>268</v>
      </c>
      <c r="T13" s="7" t="n">
        <f aca="false">IFERROR(S13/R13,"")</f>
        <v>16.75</v>
      </c>
      <c r="U13" s="6" t="n">
        <v>218</v>
      </c>
      <c r="V13" s="6" t="n">
        <v>168</v>
      </c>
      <c r="W13" s="8" t="n">
        <v>6</v>
      </c>
      <c r="X13" s="7" t="n">
        <f aca="false">IFERROR(S13/AH13,"")</f>
        <v>1.70700636942675</v>
      </c>
      <c r="Y13" s="9" t="n">
        <f aca="false">IFERROR(S13/AF13,"")</f>
        <v>0.302142051860203</v>
      </c>
      <c r="Z13" s="6" t="n">
        <v>12.15</v>
      </c>
      <c r="AA13" s="6" t="n">
        <v>15.2</v>
      </c>
      <c r="AB13" s="6" t="n">
        <v>24.78</v>
      </c>
      <c r="AC13" s="10" t="n">
        <v>0.312</v>
      </c>
      <c r="AD13" s="10" t="n">
        <v>0</v>
      </c>
      <c r="AE13" s="7" t="n">
        <v>0.521</v>
      </c>
      <c r="AF13" s="8" t="n">
        <v>887</v>
      </c>
      <c r="AG13" s="10" t="n">
        <v>0.843</v>
      </c>
      <c r="AH13" s="8" t="n">
        <v>157</v>
      </c>
      <c r="AI13" s="8" t="n">
        <v>156</v>
      </c>
      <c r="AJ13" s="6" t="n">
        <f aca="false">IFERROR(AI13/R13,"")</f>
        <v>9.75</v>
      </c>
      <c r="AK13" s="10" t="n">
        <v>0.2938</v>
      </c>
      <c r="AL13" s="10" t="n">
        <v>0.4183</v>
      </c>
      <c r="AM13" s="9" t="n">
        <v>0.7335</v>
      </c>
      <c r="AN13" s="8" t="n">
        <v>100</v>
      </c>
      <c r="AO13" s="10" t="n">
        <f aca="false">IFERROR(AN13/AI13,"")</f>
        <v>0.641025641025641</v>
      </c>
      <c r="AP13" s="8" t="n">
        <v>1163</v>
      </c>
      <c r="AQ13" s="7" t="n">
        <f aca="false">IFERROR(AP13/AI13,"")</f>
        <v>7.45512820512821</v>
      </c>
      <c r="AR13" s="6" t="n">
        <v>11.801</v>
      </c>
      <c r="AS13" s="7" t="n">
        <v>2.89</v>
      </c>
      <c r="AT13" s="7" t="n">
        <v>0.632</v>
      </c>
      <c r="AU13" s="7" t="n">
        <v>2.94506151110989</v>
      </c>
      <c r="AV13" s="7" t="n">
        <v>6.80913333333333</v>
      </c>
      <c r="AW13" s="7" t="n">
        <v>-0.52113267908365</v>
      </c>
      <c r="AX13" s="10" t="n">
        <v>0.0321</v>
      </c>
      <c r="AY13" s="8" t="n">
        <v>15</v>
      </c>
      <c r="AZ13" s="8" t="n">
        <v>4</v>
      </c>
      <c r="BA13" s="8" t="n">
        <v>2</v>
      </c>
      <c r="BB13" s="8" t="n">
        <v>9</v>
      </c>
      <c r="BC13" s="7" t="n">
        <v>5.85</v>
      </c>
      <c r="BD13" s="7" t="n">
        <f aca="false">IFERROR(BB13-BC13,"")</f>
        <v>3.15</v>
      </c>
      <c r="BE13" s="9" t="n">
        <f aca="false">IFERROR(BB13/AH13,"")</f>
        <v>0.0573248407643312</v>
      </c>
      <c r="BF13" s="6" t="n">
        <v>41.9</v>
      </c>
      <c r="BG13" s="6" t="n">
        <v>42.4</v>
      </c>
      <c r="BH13" s="6" t="n">
        <v>44.9</v>
      </c>
      <c r="BI13" s="7" t="n">
        <v>2.883</v>
      </c>
      <c r="BJ13" s="10" t="n">
        <v>0.1505</v>
      </c>
      <c r="BK13" s="10" t="n">
        <v>0.55</v>
      </c>
      <c r="BL13" s="7" t="n">
        <v>2.057</v>
      </c>
      <c r="BM13" s="10" t="n">
        <v>0.2132</v>
      </c>
      <c r="BN13" s="10" t="n">
        <v>0.0763</v>
      </c>
      <c r="BO13" s="7" t="n">
        <v>2.2</v>
      </c>
      <c r="BP13" s="10" t="n">
        <v>0.784</v>
      </c>
      <c r="BQ13" s="8" t="n">
        <v>4</v>
      </c>
      <c r="BR13" s="10" t="n">
        <v>-0.0301</v>
      </c>
      <c r="BS13" s="10" t="n">
        <v>0.5383</v>
      </c>
      <c r="BT13" s="6" t="n">
        <v>62.59</v>
      </c>
      <c r="BU13" s="6" t="n">
        <v>35</v>
      </c>
      <c r="BV13" s="7" t="n">
        <v>2.82</v>
      </c>
      <c r="BW13" s="6" t="n">
        <v>18</v>
      </c>
      <c r="BX13" s="9" t="n">
        <v>-0.1008</v>
      </c>
      <c r="BY13" s="9" t="n">
        <v>-0.0795</v>
      </c>
      <c r="BZ13" s="8" t="n">
        <v>127</v>
      </c>
      <c r="CA13" s="10" t="n">
        <v>0.225</v>
      </c>
      <c r="CB13" s="8" t="n">
        <v>21</v>
      </c>
      <c r="CC13" s="10" t="n">
        <v>0.048</v>
      </c>
      <c r="CD13" s="8" t="n">
        <v>15</v>
      </c>
      <c r="CE13" s="7" t="n">
        <v>0.162</v>
      </c>
      <c r="CF13" s="7" t="n">
        <v>0.074</v>
      </c>
      <c r="CG13" s="4" t="s">
        <v>102</v>
      </c>
      <c r="CH13" s="4"/>
    </row>
    <row r="14" customFormat="false" ht="15" hidden="false" customHeight="false" outlineLevel="0" collapsed="false">
      <c r="A14" s="3" t="n">
        <v>12</v>
      </c>
      <c r="B14" s="4" t="s">
        <v>162</v>
      </c>
      <c r="C14" s="5" t="s">
        <v>99</v>
      </c>
      <c r="D14" s="4" t="s">
        <v>163</v>
      </c>
      <c r="E14" s="4" t="s">
        <v>164</v>
      </c>
      <c r="F14" s="4" t="s">
        <v>99</v>
      </c>
      <c r="G14" s="3" t="n">
        <v>1</v>
      </c>
      <c r="H14" s="6" t="n">
        <v>26.3</v>
      </c>
      <c r="I14" s="3" t="n">
        <v>4</v>
      </c>
      <c r="J14" s="3" t="n">
        <v>5</v>
      </c>
      <c r="K14" s="7" t="n">
        <v>22.15</v>
      </c>
      <c r="L14" s="7" t="n">
        <v>9.15</v>
      </c>
      <c r="M14" s="8" t="n">
        <v>8</v>
      </c>
      <c r="N14" s="8" t="n">
        <v>48</v>
      </c>
      <c r="O14" s="7" t="n">
        <v>22.15</v>
      </c>
      <c r="P14" s="6" t="n">
        <v>98.4</v>
      </c>
      <c r="Q14" s="4" t="s">
        <v>164</v>
      </c>
      <c r="R14" s="8" t="n">
        <v>8</v>
      </c>
      <c r="S14" s="6" t="n">
        <v>150.1</v>
      </c>
      <c r="T14" s="7" t="n">
        <f aca="false">IFERROR(S14/R14,"")</f>
        <v>18.7625</v>
      </c>
      <c r="U14" s="6" t="n">
        <v>123.6</v>
      </c>
      <c r="V14" s="6" t="n">
        <v>97.1</v>
      </c>
      <c r="W14" s="8" t="n">
        <v>40</v>
      </c>
      <c r="X14" s="7" t="n">
        <f aca="false">IFERROR(S14/AH14,"")</f>
        <v>1.80843373493976</v>
      </c>
      <c r="Y14" s="9" t="n">
        <f aca="false">IFERROR(S14/AF14,"")</f>
        <v>0.361686746987952</v>
      </c>
      <c r="Z14" s="6" t="n">
        <v>11.53</v>
      </c>
      <c r="AA14" s="6" t="n">
        <v>20.9</v>
      </c>
      <c r="AB14" s="6" t="n">
        <v>25.43</v>
      </c>
      <c r="AC14" s="10" t="n">
        <v>0.625</v>
      </c>
      <c r="AD14" s="10" t="n">
        <v>0</v>
      </c>
      <c r="AE14" s="7" t="n">
        <v>0.388</v>
      </c>
      <c r="AF14" s="8" t="n">
        <v>415</v>
      </c>
      <c r="AG14" s="10" t="n">
        <v>0.749</v>
      </c>
      <c r="AH14" s="8" t="n">
        <v>83</v>
      </c>
      <c r="AI14" s="8" t="n">
        <v>78</v>
      </c>
      <c r="AJ14" s="6" t="n">
        <f aca="false">IFERROR(AI14/R14,"")</f>
        <v>9.75</v>
      </c>
      <c r="AK14" s="10" t="n">
        <v>0.2868</v>
      </c>
      <c r="AL14" s="10" t="n">
        <v>0.1523</v>
      </c>
      <c r="AM14" s="9" t="n">
        <v>0.5368</v>
      </c>
      <c r="AN14" s="8" t="n">
        <v>53</v>
      </c>
      <c r="AO14" s="10" t="n">
        <f aca="false">IFERROR(AN14/AI14,"")</f>
        <v>0.67948717948718</v>
      </c>
      <c r="AP14" s="8" t="n">
        <v>571</v>
      </c>
      <c r="AQ14" s="7" t="n">
        <f aca="false">IFERROR(AP14/AI14,"")</f>
        <v>7.32051282051282</v>
      </c>
      <c r="AR14" s="6" t="n">
        <v>4.333</v>
      </c>
      <c r="AS14" s="7" t="n">
        <v>7.811</v>
      </c>
      <c r="AT14" s="7" t="n">
        <v>1.689</v>
      </c>
      <c r="AU14" s="7" t="n">
        <v>3.59544145694787</v>
      </c>
      <c r="AV14" s="7" t="n">
        <v>6.31058823529412</v>
      </c>
      <c r="AW14" s="7" t="n">
        <v>0.6166205115972</v>
      </c>
      <c r="AX14" s="10" t="n">
        <v>0.0641</v>
      </c>
      <c r="AY14" s="8" t="n">
        <v>21</v>
      </c>
      <c r="AZ14" s="8" t="n">
        <v>17</v>
      </c>
      <c r="BA14" s="8" t="n">
        <v>9</v>
      </c>
      <c r="BB14" s="8" t="n">
        <v>6</v>
      </c>
      <c r="BC14" s="7" t="n">
        <v>7.54</v>
      </c>
      <c r="BD14" s="7" t="n">
        <f aca="false">IFERROR(BB14-BC14,"")</f>
        <v>-1.54</v>
      </c>
      <c r="BE14" s="9" t="n">
        <f aca="false">IFERROR(BB14/AH14,"")</f>
        <v>0.072289156626506</v>
      </c>
      <c r="BF14" s="6" t="n">
        <v>50.1</v>
      </c>
      <c r="BG14" s="6" t="n">
        <v>66.2</v>
      </c>
      <c r="BH14" s="6" t="n">
        <v>34</v>
      </c>
      <c r="BI14" s="7" t="n">
        <v>3.062</v>
      </c>
      <c r="BJ14" s="10" t="n">
        <v>0.1258</v>
      </c>
      <c r="BK14" s="10" t="n">
        <v>0.8125</v>
      </c>
      <c r="BL14" s="7" t="n">
        <v>2.623</v>
      </c>
      <c r="BM14" s="10" t="n">
        <v>0.2877</v>
      </c>
      <c r="BN14" s="10" t="n">
        <v>0.0659</v>
      </c>
      <c r="BO14" s="7" t="n">
        <v>2.212</v>
      </c>
      <c r="BP14" s="10" t="n">
        <v>0.864</v>
      </c>
      <c r="BQ14" s="8" t="n">
        <v>5</v>
      </c>
      <c r="BR14" s="10" t="n">
        <v>0.0395</v>
      </c>
      <c r="BS14" s="10" t="n">
        <v>0.5721</v>
      </c>
      <c r="BT14" s="6" t="n">
        <v>61.65</v>
      </c>
      <c r="BU14" s="6" t="n">
        <v>38</v>
      </c>
      <c r="BV14" s="7" t="n">
        <v>3.71</v>
      </c>
      <c r="BW14" s="6" t="n">
        <v>21.3</v>
      </c>
      <c r="BX14" s="9" t="n">
        <v>0.0273</v>
      </c>
      <c r="BY14" s="9" t="n">
        <v>0.0399</v>
      </c>
      <c r="BZ14" s="8" t="n">
        <v>147</v>
      </c>
      <c r="CA14" s="10" t="n">
        <v>0.268</v>
      </c>
      <c r="CB14" s="8" t="n">
        <v>129</v>
      </c>
      <c r="CC14" s="10" t="n">
        <v>0.3</v>
      </c>
      <c r="CD14" s="8" t="n">
        <v>43</v>
      </c>
      <c r="CE14" s="7" t="n">
        <v>-1.293</v>
      </c>
      <c r="CF14" s="7" t="n">
        <v>0.241</v>
      </c>
      <c r="CG14" s="4" t="s">
        <v>165</v>
      </c>
      <c r="CH14" s="4"/>
    </row>
    <row r="15" customFormat="false" ht="15" hidden="false" customHeight="false" outlineLevel="0" collapsed="false">
      <c r="A15" s="3" t="n">
        <v>13</v>
      </c>
      <c r="B15" s="4" t="s">
        <v>166</v>
      </c>
      <c r="C15" s="5" t="s">
        <v>99</v>
      </c>
      <c r="D15" s="4" t="s">
        <v>167</v>
      </c>
      <c r="E15" s="4" t="s">
        <v>136</v>
      </c>
      <c r="F15" s="4" t="s">
        <v>99</v>
      </c>
      <c r="G15" s="3" t="n">
        <v>1</v>
      </c>
      <c r="H15" s="6" t="n">
        <v>27.8</v>
      </c>
      <c r="I15" s="3" t="n">
        <v>6</v>
      </c>
      <c r="J15" s="3" t="n">
        <v>10</v>
      </c>
      <c r="K15" s="7" t="n">
        <v>23.99</v>
      </c>
      <c r="L15" s="7" t="n">
        <v>7.6</v>
      </c>
      <c r="M15" s="8" t="n">
        <v>11</v>
      </c>
      <c r="N15" s="8" t="n">
        <v>48</v>
      </c>
      <c r="O15" s="7" t="n">
        <v>23.99</v>
      </c>
      <c r="P15" s="6" t="n">
        <v>97.9</v>
      </c>
      <c r="Q15" s="4" t="s">
        <v>136</v>
      </c>
      <c r="R15" s="8" t="n">
        <v>17</v>
      </c>
      <c r="S15" s="6" t="n">
        <v>201.8</v>
      </c>
      <c r="T15" s="7" t="n">
        <f aca="false">IFERROR(S15/R15,"")</f>
        <v>11.8705882352941</v>
      </c>
      <c r="U15" s="6" t="n">
        <v>163.3</v>
      </c>
      <c r="V15" s="6" t="n">
        <v>124.8</v>
      </c>
      <c r="W15" s="8" t="n">
        <v>20</v>
      </c>
      <c r="X15" s="7" t="n">
        <f aca="false">IFERROR(S15/AH15,"")</f>
        <v>1.7858407079646</v>
      </c>
      <c r="Y15" s="9" t="n">
        <f aca="false">IFERROR(S15/AF15,"")</f>
        <v>0.227252252252252</v>
      </c>
      <c r="Z15" s="6" t="n">
        <v>7</v>
      </c>
      <c r="AA15" s="6" t="n">
        <v>9.3</v>
      </c>
      <c r="AB15" s="6" t="n">
        <v>18.4</v>
      </c>
      <c r="AC15" s="10" t="n">
        <v>0.176</v>
      </c>
      <c r="AD15" s="10" t="n">
        <v>0.059</v>
      </c>
      <c r="AE15" s="7" t="n">
        <v>0.839</v>
      </c>
      <c r="AF15" s="8" t="n">
        <v>888</v>
      </c>
      <c r="AG15" s="10" t="n">
        <v>0.844</v>
      </c>
      <c r="AH15" s="8" t="n">
        <v>113</v>
      </c>
      <c r="AI15" s="8" t="n">
        <v>113</v>
      </c>
      <c r="AJ15" s="6" t="n">
        <f aca="false">IFERROR(AI15/R15,"")</f>
        <v>6.64705882352941</v>
      </c>
      <c r="AK15" s="10" t="n">
        <v>0.2435</v>
      </c>
      <c r="AL15" s="10" t="n">
        <v>0.3217</v>
      </c>
      <c r="AM15" s="9" t="n">
        <v>0.5904</v>
      </c>
      <c r="AN15" s="8" t="n">
        <v>77</v>
      </c>
      <c r="AO15" s="10" t="n">
        <f aca="false">IFERROR(AN15/AI15,"")</f>
        <v>0.68141592920354</v>
      </c>
      <c r="AP15" s="8" t="n">
        <v>1008</v>
      </c>
      <c r="AQ15" s="7" t="n">
        <f aca="false">IFERROR(AP15/AI15,"")</f>
        <v>8.92035398230089</v>
      </c>
      <c r="AR15" s="6" t="n">
        <v>11.991</v>
      </c>
      <c r="AS15" s="7" t="n">
        <v>3.805</v>
      </c>
      <c r="AT15" s="7" t="n">
        <v>0.744</v>
      </c>
      <c r="AU15" s="7" t="n">
        <v>2.82183284965729</v>
      </c>
      <c r="AV15" s="7" t="n">
        <v>6.36339805825243</v>
      </c>
      <c r="AW15" s="7" t="n">
        <v>-0.117766696003175</v>
      </c>
      <c r="AX15" s="10" t="n">
        <v>0.0265</v>
      </c>
      <c r="AY15" s="8" t="n">
        <v>11</v>
      </c>
      <c r="AZ15" s="8" t="n">
        <v>3</v>
      </c>
      <c r="BA15" s="8" t="n">
        <v>2</v>
      </c>
      <c r="BB15" s="8" t="n">
        <v>4</v>
      </c>
      <c r="BC15" s="7" t="n">
        <v>3.84</v>
      </c>
      <c r="BD15" s="7" t="n">
        <f aca="false">IFERROR(BB15-BC15,"")</f>
        <v>0.16</v>
      </c>
      <c r="BE15" s="9" t="n">
        <f aca="false">IFERROR(BB15/AH15,"")</f>
        <v>0.0353982300884956</v>
      </c>
      <c r="BF15" s="6" t="n">
        <v>48.2</v>
      </c>
      <c r="BG15" s="6" t="n">
        <v>35.6</v>
      </c>
      <c r="BH15" s="6" t="n">
        <v>61.6</v>
      </c>
      <c r="BI15" s="7" t="n">
        <v>2.749</v>
      </c>
      <c r="BJ15" s="10" t="n">
        <v>0.2192</v>
      </c>
      <c r="BK15" s="10" t="n">
        <v>0.466666666666667</v>
      </c>
      <c r="BL15" s="7" t="n">
        <v>2.6</v>
      </c>
      <c r="BM15" s="10" t="n">
        <v>0.2334</v>
      </c>
      <c r="BN15" s="10" t="n">
        <v>0.0577</v>
      </c>
      <c r="BO15" s="7" t="n">
        <v>2.491</v>
      </c>
      <c r="BP15" s="10" t="n">
        <v>0.909</v>
      </c>
      <c r="BQ15" s="8" t="n">
        <v>5</v>
      </c>
      <c r="BR15" s="10" t="n">
        <v>-0.0248</v>
      </c>
      <c r="BS15" s="10" t="n">
        <v>0.5347</v>
      </c>
      <c r="BT15" s="6" t="n">
        <v>58.53</v>
      </c>
      <c r="BU15" s="6" t="n">
        <v>39</v>
      </c>
      <c r="BV15" s="7" t="n">
        <v>2.76</v>
      </c>
      <c r="BW15" s="6" t="n">
        <v>22.3</v>
      </c>
      <c r="BX15" s="9" t="n">
        <v>0.0054</v>
      </c>
      <c r="BY15" s="9" t="n">
        <v>0.0436</v>
      </c>
      <c r="BZ15" s="8" t="n">
        <v>175</v>
      </c>
      <c r="CA15" s="10" t="n">
        <v>0.377</v>
      </c>
      <c r="CB15" s="8" t="n">
        <v>12</v>
      </c>
      <c r="CC15" s="10" t="n">
        <v>0.025</v>
      </c>
      <c r="CD15" s="8" t="n">
        <v>23</v>
      </c>
      <c r="CE15" s="7" t="n">
        <v>-0.381</v>
      </c>
      <c r="CF15" s="7" t="n">
        <v>-0.863</v>
      </c>
      <c r="CG15" s="4" t="s">
        <v>121</v>
      </c>
      <c r="CH15" s="4"/>
    </row>
    <row r="16" customFormat="false" ht="15" hidden="false" customHeight="false" outlineLevel="0" collapsed="false">
      <c r="A16" s="3" t="n">
        <v>14</v>
      </c>
      <c r="B16" s="4" t="s">
        <v>176</v>
      </c>
      <c r="C16" s="5" t="s">
        <v>99</v>
      </c>
      <c r="D16" s="4" t="s">
        <v>177</v>
      </c>
      <c r="E16" s="4" t="s">
        <v>178</v>
      </c>
      <c r="F16" s="4" t="s">
        <v>99</v>
      </c>
      <c r="G16" s="3" t="n">
        <v>1</v>
      </c>
      <c r="H16" s="6" t="n">
        <v>23.1</v>
      </c>
      <c r="I16" s="3" t="n">
        <v>3</v>
      </c>
      <c r="J16" s="3" t="n">
        <v>8</v>
      </c>
      <c r="K16" s="7" t="n">
        <v>28.55</v>
      </c>
      <c r="L16" s="7" t="n">
        <v>11.16</v>
      </c>
      <c r="M16" s="8" t="n">
        <v>8</v>
      </c>
      <c r="N16" s="8" t="n">
        <v>60</v>
      </c>
      <c r="O16" s="7" t="n">
        <v>28.55</v>
      </c>
      <c r="P16" s="6" t="n">
        <v>98.4</v>
      </c>
      <c r="Q16" s="4" t="s">
        <v>178</v>
      </c>
      <c r="R16" s="8" t="n">
        <v>4</v>
      </c>
      <c r="S16" s="6" t="n">
        <v>57.1</v>
      </c>
      <c r="T16" s="7" t="n">
        <f aca="false">IFERROR(S16/R16,"")</f>
        <v>14.275</v>
      </c>
      <c r="U16" s="6" t="n">
        <v>48.1</v>
      </c>
      <c r="V16" s="6" t="n">
        <v>39.1</v>
      </c>
      <c r="W16" s="8" t="n">
        <v>79</v>
      </c>
      <c r="X16" s="7" t="n">
        <f aca="false">IFERROR(S16/AH16,"")</f>
        <v>1.63142857142857</v>
      </c>
      <c r="Y16" s="9" t="n">
        <f aca="false">IFERROR(S16/AF16,"")</f>
        <v>0.264351851851852</v>
      </c>
      <c r="Z16" s="6" t="n">
        <v>3.82</v>
      </c>
      <c r="AA16" s="6" t="n">
        <v>8.05</v>
      </c>
      <c r="AB16" s="6" t="n">
        <v>26.18</v>
      </c>
      <c r="AC16" s="10" t="n">
        <v>0.25</v>
      </c>
      <c r="AD16" s="10" t="n">
        <v>0</v>
      </c>
      <c r="AE16" s="7" t="n">
        <v>2.002</v>
      </c>
      <c r="AF16" s="8" t="n">
        <v>216</v>
      </c>
      <c r="AG16" s="10" t="n">
        <v>0.795</v>
      </c>
      <c r="AH16" s="8" t="n">
        <v>35</v>
      </c>
      <c r="AI16" s="8" t="n">
        <v>35</v>
      </c>
      <c r="AJ16" s="6" t="n">
        <f aca="false">IFERROR(AI16/R16,"")</f>
        <v>8.75</v>
      </c>
      <c r="AK16" s="10" t="n">
        <v>0.2869</v>
      </c>
      <c r="AL16" s="10" t="n">
        <v>0.5144</v>
      </c>
      <c r="AM16" s="9" t="n">
        <v>0.7904</v>
      </c>
      <c r="AN16" s="8" t="n">
        <v>18</v>
      </c>
      <c r="AO16" s="10" t="n">
        <f aca="false">IFERROR(AN16/AI16,"")</f>
        <v>0.514285714285714</v>
      </c>
      <c r="AP16" s="8" t="n">
        <v>271</v>
      </c>
      <c r="AQ16" s="7" t="n">
        <f aca="false">IFERROR(AP16/AI16,"")</f>
        <v>7.74285714285714</v>
      </c>
      <c r="AR16" s="6" t="n">
        <v>15.857</v>
      </c>
      <c r="AS16" s="7" t="n">
        <v>2.889</v>
      </c>
      <c r="AT16" s="7" t="n">
        <v>0.488</v>
      </c>
      <c r="AU16" s="7"/>
      <c r="AV16" s="7"/>
      <c r="AW16" s="7"/>
      <c r="AX16" s="10" t="n">
        <v>0.0286</v>
      </c>
      <c r="AY16" s="8" t="n">
        <v>4</v>
      </c>
      <c r="AZ16" s="8" t="n">
        <v>3</v>
      </c>
      <c r="BA16" s="8" t="n">
        <v>2</v>
      </c>
      <c r="BB16" s="8" t="n">
        <v>2</v>
      </c>
      <c r="BC16" s="7" t="n">
        <v>1.92</v>
      </c>
      <c r="BD16" s="7" t="n">
        <f aca="false">IFERROR(BB16-BC16,"")</f>
        <v>0.0800000000000001</v>
      </c>
      <c r="BE16" s="9" t="n">
        <f aca="false">IFERROR(BB16/AH16,"")</f>
        <v>0.0571428571428571</v>
      </c>
      <c r="BF16" s="6" t="n">
        <v>45.9</v>
      </c>
      <c r="BG16" s="6" t="n">
        <v>56.8</v>
      </c>
      <c r="BH16" s="6" t="n">
        <v>36.8</v>
      </c>
      <c r="BI16" s="7" t="n">
        <v>2.974</v>
      </c>
      <c r="BJ16" s="10" t="n">
        <v>0.1475</v>
      </c>
      <c r="BK16" s="10" t="n">
        <v>0.625</v>
      </c>
      <c r="BL16" s="7" t="n">
        <v>2.714</v>
      </c>
      <c r="BM16" s="10" t="n">
        <v>0.2947</v>
      </c>
      <c r="BN16" s="10" t="n">
        <v>0.076</v>
      </c>
      <c r="BO16" s="7" t="n">
        <v>2.388</v>
      </c>
      <c r="BP16" s="10" t="n">
        <v>0.723</v>
      </c>
      <c r="BQ16" s="8" t="n">
        <v>4</v>
      </c>
      <c r="BR16" s="10" t="n">
        <v>-0.0466</v>
      </c>
      <c r="BS16" s="10" t="n">
        <v>0.494</v>
      </c>
      <c r="BT16" s="6" t="n">
        <v>63.47</v>
      </c>
      <c r="BU16" s="6" t="n">
        <v>36</v>
      </c>
      <c r="BV16" s="7" t="n">
        <v>3.59</v>
      </c>
      <c r="BW16" s="6" t="n">
        <v>22.4</v>
      </c>
      <c r="BX16" s="9" t="n">
        <v>0.0356</v>
      </c>
      <c r="BY16" s="9" t="n">
        <v>-0.008</v>
      </c>
      <c r="BZ16" s="8" t="n">
        <v>177</v>
      </c>
      <c r="CA16" s="10" t="n">
        <v>0.352</v>
      </c>
      <c r="CB16" s="8" t="n">
        <v>3</v>
      </c>
      <c r="CC16" s="10" t="n">
        <v>0.006</v>
      </c>
      <c r="CD16" s="8" t="n">
        <v>21</v>
      </c>
      <c r="CE16" s="7" t="n">
        <v>-2.931</v>
      </c>
      <c r="CF16" s="7" t="n">
        <v>-0.083</v>
      </c>
      <c r="CG16" s="4" t="s">
        <v>165</v>
      </c>
      <c r="CH16" s="4"/>
    </row>
    <row r="17" customFormat="false" ht="15" hidden="false" customHeight="false" outlineLevel="0" collapsed="false">
      <c r="A17" s="3" t="n">
        <v>15</v>
      </c>
      <c r="B17" s="4" t="s">
        <v>181</v>
      </c>
      <c r="C17" s="5" t="s">
        <v>99</v>
      </c>
      <c r="D17" s="4" t="s">
        <v>182</v>
      </c>
      <c r="E17" s="4" t="s">
        <v>183</v>
      </c>
      <c r="F17" s="4" t="s">
        <v>99</v>
      </c>
      <c r="G17" s="3" t="n">
        <v>1</v>
      </c>
      <c r="H17" s="6" t="n">
        <v>25.9</v>
      </c>
      <c r="I17" s="3" t="n">
        <v>4</v>
      </c>
      <c r="J17" s="3" t="n">
        <v>13</v>
      </c>
      <c r="K17" s="7" t="n">
        <v>29.37</v>
      </c>
      <c r="L17" s="7" t="n">
        <v>7.59</v>
      </c>
      <c r="M17" s="8" t="n">
        <v>12</v>
      </c>
      <c r="N17" s="8" t="n">
        <v>44</v>
      </c>
      <c r="O17" s="7" t="n">
        <v>29.37</v>
      </c>
      <c r="P17" s="6" t="n">
        <v>97.6</v>
      </c>
      <c r="Q17" s="4" t="s">
        <v>183</v>
      </c>
      <c r="R17" s="8" t="n">
        <v>17</v>
      </c>
      <c r="S17" s="6" t="n">
        <v>243.3</v>
      </c>
      <c r="T17" s="7" t="n">
        <f aca="false">IFERROR(S17/R17,"")</f>
        <v>14.3117647058824</v>
      </c>
      <c r="U17" s="6" t="n">
        <v>200.3</v>
      </c>
      <c r="V17" s="6" t="n">
        <v>157.3</v>
      </c>
      <c r="W17" s="8" t="n">
        <v>7</v>
      </c>
      <c r="X17" s="7" t="n">
        <f aca="false">IFERROR(S17/AH17,"")</f>
        <v>1.90078125</v>
      </c>
      <c r="Y17" s="9" t="n">
        <f aca="false">IFERROR(S17/AF17,"")</f>
        <v>0.277107061503417</v>
      </c>
      <c r="Z17" s="6" t="n">
        <v>11.4</v>
      </c>
      <c r="AA17" s="6" t="n">
        <v>13</v>
      </c>
      <c r="AB17" s="6" t="n">
        <v>20.96</v>
      </c>
      <c r="AC17" s="10" t="n">
        <v>0.235</v>
      </c>
      <c r="AD17" s="10" t="n">
        <v>0.059</v>
      </c>
      <c r="AE17" s="7" t="n">
        <v>0.576</v>
      </c>
      <c r="AF17" s="8" t="n">
        <v>878</v>
      </c>
      <c r="AG17" s="10" t="n">
        <v>0.865</v>
      </c>
      <c r="AH17" s="8" t="n">
        <v>128</v>
      </c>
      <c r="AI17" s="8" t="n">
        <v>118</v>
      </c>
      <c r="AJ17" s="6" t="n">
        <f aca="false">IFERROR(AI17/R17,"")</f>
        <v>6.94117647058824</v>
      </c>
      <c r="AK17" s="10" t="n">
        <v>0.2899</v>
      </c>
      <c r="AL17" s="10" t="n">
        <v>0.3566</v>
      </c>
      <c r="AM17" s="9" t="n">
        <v>0.6845</v>
      </c>
      <c r="AN17" s="8" t="n">
        <v>86</v>
      </c>
      <c r="AO17" s="10" t="n">
        <f aca="false">IFERROR(AN17/AI17,"")</f>
        <v>0.728813559322034</v>
      </c>
      <c r="AP17" s="8" t="n">
        <v>1211</v>
      </c>
      <c r="AQ17" s="7" t="n">
        <f aca="false">IFERROR(AP17/AI17,"")</f>
        <v>10.2627118644068</v>
      </c>
      <c r="AR17" s="6" t="n">
        <v>10.203</v>
      </c>
      <c r="AS17" s="7" t="n">
        <v>5.326</v>
      </c>
      <c r="AT17" s="7" t="n">
        <v>1.006</v>
      </c>
      <c r="AU17" s="7" t="n">
        <v>3.57967755734189</v>
      </c>
      <c r="AV17" s="7" t="n">
        <v>6.45445454545455</v>
      </c>
      <c r="AW17" s="7" t="n">
        <v>0.195902509796348</v>
      </c>
      <c r="AX17" s="10" t="n">
        <v>0.0593</v>
      </c>
      <c r="AY17" s="8" t="n">
        <v>12</v>
      </c>
      <c r="AZ17" s="8" t="n">
        <v>5</v>
      </c>
      <c r="BA17" s="8" t="n">
        <v>1</v>
      </c>
      <c r="BB17" s="8" t="n">
        <v>6</v>
      </c>
      <c r="BC17" s="7" t="n">
        <v>4.19</v>
      </c>
      <c r="BD17" s="7" t="n">
        <f aca="false">IFERROR(BB17-BC17,"")</f>
        <v>1.81</v>
      </c>
      <c r="BE17" s="9" t="n">
        <f aca="false">IFERROR(BB17/AH17,"")</f>
        <v>0.046875</v>
      </c>
      <c r="BF17" s="6" t="n">
        <v>53.2</v>
      </c>
      <c r="BG17" s="6" t="n">
        <v>64.1</v>
      </c>
      <c r="BH17" s="6" t="n">
        <v>41</v>
      </c>
      <c r="BI17" s="7" t="n">
        <v>3.032</v>
      </c>
      <c r="BJ17" s="10" t="n">
        <v>0.1574</v>
      </c>
      <c r="BK17" s="10" t="n">
        <v>0.648648648648649</v>
      </c>
      <c r="BL17" s="7" t="n">
        <v>3.144</v>
      </c>
      <c r="BM17" s="10" t="n">
        <v>0.2725</v>
      </c>
      <c r="BN17" s="10" t="n">
        <v>0.0849</v>
      </c>
      <c r="BO17" s="7" t="n">
        <v>2.454</v>
      </c>
      <c r="BP17" s="10" t="n">
        <v>0.572</v>
      </c>
      <c r="BQ17" s="8" t="n">
        <v>2</v>
      </c>
      <c r="BR17" s="10" t="n">
        <v>-0.0884</v>
      </c>
      <c r="BS17" s="10" t="n">
        <v>0.4667</v>
      </c>
      <c r="BT17" s="6" t="n">
        <v>56.24</v>
      </c>
      <c r="BU17" s="6" t="n">
        <v>39</v>
      </c>
      <c r="BV17" s="7" t="n">
        <v>3.59</v>
      </c>
      <c r="BW17" s="6" t="n">
        <v>24.9</v>
      </c>
      <c r="BX17" s="9" t="n">
        <v>0.0996</v>
      </c>
      <c r="BY17" s="9" t="n">
        <v>-0.035</v>
      </c>
      <c r="BZ17" s="8" t="n">
        <v>75</v>
      </c>
      <c r="CA17" s="10" t="n">
        <v>0.184</v>
      </c>
      <c r="CB17" s="8" t="n">
        <v>64</v>
      </c>
      <c r="CC17" s="10" t="n">
        <v>0.126</v>
      </c>
      <c r="CD17" s="8" t="n">
        <v>26</v>
      </c>
      <c r="CE17" s="7" t="n">
        <v>0.26</v>
      </c>
      <c r="CF17" s="7" t="n">
        <v>-0.004</v>
      </c>
      <c r="CG17" s="4" t="s">
        <v>102</v>
      </c>
      <c r="CH17" s="4"/>
    </row>
    <row r="18" customFormat="false" ht="15" hidden="false" customHeight="false" outlineLevel="0" collapsed="false">
      <c r="A18" s="3" t="n">
        <v>16</v>
      </c>
      <c r="B18" s="4" t="s">
        <v>184</v>
      </c>
      <c r="C18" s="5" t="s">
        <v>99</v>
      </c>
      <c r="D18" s="4" t="s">
        <v>185</v>
      </c>
      <c r="E18" s="4" t="s">
        <v>186</v>
      </c>
      <c r="F18" s="4" t="s">
        <v>99</v>
      </c>
      <c r="G18" s="3" t="n">
        <v>1</v>
      </c>
      <c r="H18" s="6" t="n">
        <v>26.1</v>
      </c>
      <c r="I18" s="3" t="n">
        <v>5</v>
      </c>
      <c r="J18" s="3" t="n">
        <v>13</v>
      </c>
      <c r="K18" s="7" t="n">
        <v>30.29</v>
      </c>
      <c r="L18" s="7" t="n">
        <v>6.99</v>
      </c>
      <c r="M18" s="8" t="n">
        <v>15</v>
      </c>
      <c r="N18" s="8" t="n">
        <v>46</v>
      </c>
      <c r="O18" s="7" t="n">
        <v>30.29</v>
      </c>
      <c r="P18" s="6" t="n">
        <v>96.6</v>
      </c>
      <c r="Q18" s="4" t="s">
        <v>186</v>
      </c>
      <c r="R18" s="8" t="n">
        <v>7</v>
      </c>
      <c r="S18" s="6" t="n">
        <v>99.5</v>
      </c>
      <c r="T18" s="7" t="n">
        <f aca="false">IFERROR(S18/R18,"")</f>
        <v>14.2142857142857</v>
      </c>
      <c r="U18" s="6" t="n">
        <v>81.5</v>
      </c>
      <c r="V18" s="6" t="n">
        <v>63.5</v>
      </c>
      <c r="W18" s="8" t="n">
        <v>60</v>
      </c>
      <c r="X18" s="7" t="n">
        <f aca="false">IFERROR(S18/AH18,"")</f>
        <v>1.6864406779661</v>
      </c>
      <c r="Y18" s="9" t="n">
        <f aca="false">IFERROR(S18/AF18,"")</f>
        <v>0.259791122715405</v>
      </c>
      <c r="Z18" s="6" t="n">
        <v>6.65</v>
      </c>
      <c r="AA18" s="6" t="n">
        <v>19.1</v>
      </c>
      <c r="AB18" s="6" t="n">
        <v>22.69</v>
      </c>
      <c r="AC18" s="10" t="n">
        <v>0.571</v>
      </c>
      <c r="AD18" s="10" t="n">
        <v>0.143</v>
      </c>
      <c r="AE18" s="7" t="n">
        <v>0.506</v>
      </c>
      <c r="AF18" s="8" t="n">
        <v>383</v>
      </c>
      <c r="AG18" s="10" t="n">
        <v>0.87</v>
      </c>
      <c r="AH18" s="8" t="n">
        <v>59</v>
      </c>
      <c r="AI18" s="8" t="n">
        <v>59</v>
      </c>
      <c r="AJ18" s="6" t="n">
        <f aca="false">IFERROR(AI18/R18,"")</f>
        <v>8.42857142857143</v>
      </c>
      <c r="AK18" s="10" t="n">
        <v>0.3371</v>
      </c>
      <c r="AL18" s="10" t="n">
        <v>0.485</v>
      </c>
      <c r="AM18" s="9" t="n">
        <v>0.8452</v>
      </c>
      <c r="AN18" s="8" t="n">
        <v>36</v>
      </c>
      <c r="AO18" s="10" t="n">
        <f aca="false">IFERROR(AN18/AI18,"")</f>
        <v>0.610169491525424</v>
      </c>
      <c r="AP18" s="8" t="n">
        <v>395</v>
      </c>
      <c r="AQ18" s="7" t="n">
        <f aca="false">IFERROR(AP18/AI18,"")</f>
        <v>6.69491525423729</v>
      </c>
      <c r="AR18" s="6" t="n">
        <v>9.068</v>
      </c>
      <c r="AS18" s="7" t="n">
        <v>2.778</v>
      </c>
      <c r="AT18" s="7" t="n">
        <v>0.738</v>
      </c>
      <c r="AU18" s="7" t="n">
        <v>3.05797517007371</v>
      </c>
      <c r="AV18" s="7" t="n">
        <v>6.48491228070175</v>
      </c>
      <c r="AW18" s="7" t="n">
        <v>-0.0267561304368011</v>
      </c>
      <c r="AX18" s="10" t="n">
        <v>0.0508</v>
      </c>
      <c r="AY18" s="8" t="n">
        <v>4</v>
      </c>
      <c r="AZ18" s="8" t="n">
        <v>1</v>
      </c>
      <c r="BA18" s="8" t="n">
        <v>0</v>
      </c>
      <c r="BB18" s="8" t="n">
        <v>4</v>
      </c>
      <c r="BC18" s="7" t="n">
        <v>1.46</v>
      </c>
      <c r="BD18" s="7" t="n">
        <f aca="false">IFERROR(BB18-BC18,"")</f>
        <v>2.54</v>
      </c>
      <c r="BE18" s="9" t="n">
        <f aca="false">IFERROR(BB18/AH18,"")</f>
        <v>0.0677966101694915</v>
      </c>
      <c r="BF18" s="6" t="n">
        <v>38.6</v>
      </c>
      <c r="BG18" s="6" t="n">
        <v>56.3</v>
      </c>
      <c r="BH18" s="6" t="n">
        <v>25.8</v>
      </c>
      <c r="BI18" s="7" t="n">
        <v>2.892</v>
      </c>
      <c r="BJ18" s="10" t="n">
        <v>0.1813</v>
      </c>
      <c r="BK18" s="10" t="n">
        <v>0.739130434782609</v>
      </c>
      <c r="BL18" s="7" t="n">
        <v>2.899</v>
      </c>
      <c r="BM18" s="10" t="n">
        <v>0.3117</v>
      </c>
      <c r="BN18" s="10" t="n">
        <v>0.0989</v>
      </c>
      <c r="BO18" s="7" t="n">
        <v>2.423</v>
      </c>
      <c r="BP18" s="10" t="n">
        <v>0.808</v>
      </c>
      <c r="BQ18" s="8" t="n">
        <v>3</v>
      </c>
      <c r="BR18" s="10" t="n">
        <v>-0.0877</v>
      </c>
      <c r="BS18" s="10" t="n">
        <v>0.4319</v>
      </c>
      <c r="BT18" s="6" t="n">
        <v>59.35</v>
      </c>
      <c r="BU18" s="6" t="n">
        <v>38</v>
      </c>
      <c r="BV18" s="7" t="n">
        <v>2.47</v>
      </c>
      <c r="BW18" s="6" t="n">
        <v>17.6</v>
      </c>
      <c r="BX18" s="9" t="n">
        <v>-0.061</v>
      </c>
      <c r="BY18" s="9" t="n">
        <v>-0.1799</v>
      </c>
      <c r="BZ18" s="8" t="n">
        <v>76</v>
      </c>
      <c r="CA18" s="10" t="n">
        <v>0.161</v>
      </c>
      <c r="CB18" s="8" t="n">
        <v>117</v>
      </c>
      <c r="CC18" s="10" t="n">
        <v>0.257</v>
      </c>
      <c r="CD18" s="8" t="n">
        <v>27</v>
      </c>
      <c r="CE18" s="7" t="n">
        <v>-2.027</v>
      </c>
      <c r="CF18" s="7" t="n">
        <v>-0.056</v>
      </c>
      <c r="CG18" s="4" t="s">
        <v>165</v>
      </c>
      <c r="CH18" s="4"/>
    </row>
    <row r="19" customFormat="false" ht="15" hidden="false" customHeight="false" outlineLevel="0" collapsed="false">
      <c r="A19" s="3" t="n">
        <v>17</v>
      </c>
      <c r="B19" s="4" t="s">
        <v>189</v>
      </c>
      <c r="C19" s="5" t="s">
        <v>99</v>
      </c>
      <c r="D19" s="4" t="s">
        <v>190</v>
      </c>
      <c r="E19" s="4" t="s">
        <v>191</v>
      </c>
      <c r="F19" s="4" t="s">
        <v>99</v>
      </c>
      <c r="G19" s="3" t="n">
        <v>1</v>
      </c>
      <c r="H19" s="6" t="n">
        <v>23.4</v>
      </c>
      <c r="I19" s="3" t="n">
        <v>2</v>
      </c>
      <c r="J19" s="3" t="n">
        <v>5</v>
      </c>
      <c r="K19" s="7" t="n">
        <v>33.7</v>
      </c>
      <c r="L19" s="7" t="n">
        <v>7.48</v>
      </c>
      <c r="M19" s="8" t="n">
        <v>14</v>
      </c>
      <c r="N19" s="8" t="n">
        <v>46</v>
      </c>
      <c r="O19" s="7" t="n">
        <v>33.7</v>
      </c>
      <c r="P19" s="6" t="n">
        <v>97.7</v>
      </c>
      <c r="Q19" s="4" t="s">
        <v>191</v>
      </c>
      <c r="R19" s="8" t="n">
        <v>17</v>
      </c>
      <c r="S19" s="6" t="n">
        <v>213.4</v>
      </c>
      <c r="T19" s="7" t="n">
        <f aca="false">IFERROR(S19/R19,"")</f>
        <v>12.5529411764706</v>
      </c>
      <c r="U19" s="6" t="n">
        <v>178.4</v>
      </c>
      <c r="V19" s="6" t="n">
        <v>143.4</v>
      </c>
      <c r="W19" s="8" t="n">
        <v>15</v>
      </c>
      <c r="X19" s="7" t="n">
        <f aca="false">IFERROR(S19/AH19,"")</f>
        <v>1.74918032786885</v>
      </c>
      <c r="Y19" s="9" t="n">
        <f aca="false">IFERROR(S19/AF19,"")</f>
        <v>0.230702702702703</v>
      </c>
      <c r="Z19" s="6" t="n">
        <v>8.6</v>
      </c>
      <c r="AA19" s="6" t="n">
        <v>11.5</v>
      </c>
      <c r="AB19" s="6" t="n">
        <v>17.5</v>
      </c>
      <c r="AC19" s="10" t="n">
        <v>0.118</v>
      </c>
      <c r="AD19" s="10" t="n">
        <v>0.059</v>
      </c>
      <c r="AE19" s="7" t="n">
        <v>0.615</v>
      </c>
      <c r="AF19" s="8" t="n">
        <v>925</v>
      </c>
      <c r="AG19" s="10" t="n">
        <v>0.872</v>
      </c>
      <c r="AH19" s="8" t="n">
        <v>122</v>
      </c>
      <c r="AI19" s="8" t="n">
        <v>122</v>
      </c>
      <c r="AJ19" s="6" t="n">
        <f aca="false">IFERROR(AI19/R19,"")</f>
        <v>7.17647058823529</v>
      </c>
      <c r="AK19" s="10" t="n">
        <v>0.2542</v>
      </c>
      <c r="AL19" s="10" t="n">
        <v>0.4326</v>
      </c>
      <c r="AM19" s="9" t="n">
        <v>0.6841</v>
      </c>
      <c r="AN19" s="8" t="n">
        <v>70</v>
      </c>
      <c r="AO19" s="10" t="n">
        <f aca="false">IFERROR(AN19/AI19,"")</f>
        <v>0.573770491803279</v>
      </c>
      <c r="AP19" s="8" t="n">
        <v>1014</v>
      </c>
      <c r="AQ19" s="7" t="n">
        <f aca="false">IFERROR(AP19/AI19,"")</f>
        <v>8.31147540983607</v>
      </c>
      <c r="AR19" s="6" t="n">
        <v>11.557</v>
      </c>
      <c r="AS19" s="7" t="n">
        <v>3.843</v>
      </c>
      <c r="AT19" s="7" t="n">
        <v>0.719</v>
      </c>
      <c r="AU19" s="7" t="n">
        <v>2.69365976951954</v>
      </c>
      <c r="AV19" s="7" t="n">
        <v>5.72428571428572</v>
      </c>
      <c r="AW19" s="7" t="n">
        <v>0.104949946695028</v>
      </c>
      <c r="AX19" s="10" t="n">
        <v>0.0656</v>
      </c>
      <c r="AY19" s="8" t="n">
        <v>15</v>
      </c>
      <c r="AZ19" s="8" t="n">
        <v>6</v>
      </c>
      <c r="BA19" s="8" t="n">
        <v>3</v>
      </c>
      <c r="BB19" s="8" t="n">
        <v>7</v>
      </c>
      <c r="BC19" s="7" t="n">
        <v>5.59</v>
      </c>
      <c r="BD19" s="7" t="n">
        <f aca="false">IFERROR(BB19-BC19,"")</f>
        <v>1.41</v>
      </c>
      <c r="BE19" s="9" t="n">
        <f aca="false">IFERROR(BB19/AH19,"")</f>
        <v>0.0573770491803279</v>
      </c>
      <c r="BF19" s="6" t="n">
        <v>56.6</v>
      </c>
      <c r="BG19" s="6" t="n">
        <v>63.1</v>
      </c>
      <c r="BH19" s="6" t="n">
        <v>47.3</v>
      </c>
      <c r="BI19" s="7" t="n">
        <v>3.179</v>
      </c>
      <c r="BJ19" s="10" t="n">
        <v>0.1391</v>
      </c>
      <c r="BK19" s="10" t="n">
        <v>0.689655172413793</v>
      </c>
      <c r="BL19" s="7" t="n">
        <v>2.49</v>
      </c>
      <c r="BM19" s="10" t="n">
        <v>0.2718</v>
      </c>
      <c r="BN19" s="10" t="n">
        <v>0.0629</v>
      </c>
      <c r="BO19" s="7" t="n">
        <v>2.4</v>
      </c>
      <c r="BP19" s="10" t="n">
        <v>0.596</v>
      </c>
      <c r="BQ19" s="8" t="n">
        <v>3</v>
      </c>
      <c r="BR19" s="10" t="n">
        <v>-0.061</v>
      </c>
      <c r="BS19" s="10" t="n">
        <v>0.5106</v>
      </c>
      <c r="BT19" s="6" t="n">
        <v>58.59</v>
      </c>
      <c r="BU19" s="6" t="n">
        <v>39</v>
      </c>
      <c r="BV19" s="7" t="n">
        <v>2.82</v>
      </c>
      <c r="BW19" s="6" t="n">
        <v>18.3</v>
      </c>
      <c r="BX19" s="9" t="n">
        <v>-0.0262</v>
      </c>
      <c r="BY19" s="9" t="n">
        <v>-0.0498</v>
      </c>
      <c r="BZ19" s="8" t="n">
        <v>50</v>
      </c>
      <c r="CA19" s="10" t="n">
        <v>0.104</v>
      </c>
      <c r="CB19" s="8" t="n">
        <v>242</v>
      </c>
      <c r="CC19" s="10" t="n">
        <v>0.525</v>
      </c>
      <c r="CD19" s="8" t="n">
        <v>40</v>
      </c>
      <c r="CE19" s="7" t="n">
        <v>-0.02</v>
      </c>
      <c r="CF19" s="7" t="n">
        <v>-0.415</v>
      </c>
      <c r="CG19" s="4" t="s">
        <v>102</v>
      </c>
      <c r="CH19" s="4"/>
    </row>
    <row r="20" customFormat="false" ht="15" hidden="false" customHeight="false" outlineLevel="0" collapsed="false">
      <c r="A20" s="3" t="n">
        <v>18</v>
      </c>
      <c r="B20" s="4" t="s">
        <v>192</v>
      </c>
      <c r="C20" s="5" t="s">
        <v>99</v>
      </c>
      <c r="D20" s="4" t="s">
        <v>193</v>
      </c>
      <c r="E20" s="4" t="s">
        <v>101</v>
      </c>
      <c r="F20" s="4" t="s">
        <v>99</v>
      </c>
      <c r="G20" s="3" t="n">
        <v>2</v>
      </c>
      <c r="H20" s="6" t="n">
        <v>27.6</v>
      </c>
      <c r="I20" s="3" t="n">
        <v>7</v>
      </c>
      <c r="J20" s="3" t="n">
        <v>6</v>
      </c>
      <c r="K20" s="7" t="n">
        <v>34.77</v>
      </c>
      <c r="L20" s="7" t="n">
        <v>7.37</v>
      </c>
      <c r="M20" s="8" t="n">
        <v>19</v>
      </c>
      <c r="N20" s="8" t="n">
        <v>52</v>
      </c>
      <c r="O20" s="7" t="n">
        <v>34.77</v>
      </c>
      <c r="P20" s="6" t="n">
        <v>96.9</v>
      </c>
      <c r="Q20" s="4" t="s">
        <v>101</v>
      </c>
      <c r="R20" s="8" t="n">
        <v>15</v>
      </c>
      <c r="S20" s="6" t="n">
        <v>211.6</v>
      </c>
      <c r="T20" s="7" t="n">
        <f aca="false">IFERROR(S20/R20,"")</f>
        <v>14.1066666666667</v>
      </c>
      <c r="U20" s="6" t="n">
        <v>182.1</v>
      </c>
      <c r="V20" s="6" t="n">
        <v>152.6</v>
      </c>
      <c r="W20" s="8" t="n">
        <v>16</v>
      </c>
      <c r="X20" s="7" t="n">
        <f aca="false">IFERROR(S20/AH20,"")</f>
        <v>2.15918367346939</v>
      </c>
      <c r="Y20" s="9" t="n">
        <f aca="false">IFERROR(S20/AF20,"")</f>
        <v>0.275162548764629</v>
      </c>
      <c r="Z20" s="6" t="n">
        <v>9</v>
      </c>
      <c r="AA20" s="6" t="n">
        <v>11.4</v>
      </c>
      <c r="AB20" s="6" t="n">
        <v>21.31</v>
      </c>
      <c r="AC20" s="10" t="n">
        <v>0.267</v>
      </c>
      <c r="AD20" s="10" t="n">
        <v>0</v>
      </c>
      <c r="AE20" s="7" t="n">
        <v>0.722</v>
      </c>
      <c r="AF20" s="8" t="n">
        <v>769</v>
      </c>
      <c r="AG20" s="10" t="n">
        <v>0.809</v>
      </c>
      <c r="AH20" s="8" t="n">
        <v>98</v>
      </c>
      <c r="AI20" s="8" t="n">
        <v>98</v>
      </c>
      <c r="AJ20" s="6" t="n">
        <f aca="false">IFERROR(AI20/R20,"")</f>
        <v>6.53333333333333</v>
      </c>
      <c r="AK20" s="10" t="n">
        <v>0.1856</v>
      </c>
      <c r="AL20" s="10" t="n">
        <v>0.3361</v>
      </c>
      <c r="AM20" s="9" t="n">
        <v>0.5137</v>
      </c>
      <c r="AN20" s="8" t="n">
        <v>59</v>
      </c>
      <c r="AO20" s="10" t="n">
        <f aca="false">IFERROR(AN20/AI20,"")</f>
        <v>0.602040816326531</v>
      </c>
      <c r="AP20" s="8" t="n">
        <v>846</v>
      </c>
      <c r="AQ20" s="7" t="n">
        <f aca="false">IFERROR(AP20/AI20,"")</f>
        <v>8.63265306122449</v>
      </c>
      <c r="AR20" s="6" t="n">
        <v>13.408</v>
      </c>
      <c r="AS20" s="7" t="n">
        <v>2.814</v>
      </c>
      <c r="AT20" s="7" t="n">
        <v>0.644</v>
      </c>
      <c r="AU20" s="7" t="n">
        <v>1.83289897084396</v>
      </c>
      <c r="AV20" s="7" t="n">
        <v>5.22721649484536</v>
      </c>
      <c r="AW20" s="7" t="n">
        <v>0.382112297101687</v>
      </c>
      <c r="AX20" s="10" t="n">
        <v>0.0204</v>
      </c>
      <c r="AY20" s="8" t="n">
        <v>15</v>
      </c>
      <c r="AZ20" s="8" t="n">
        <v>7</v>
      </c>
      <c r="BA20" s="8" t="n">
        <v>4</v>
      </c>
      <c r="BB20" s="8" t="n">
        <v>11</v>
      </c>
      <c r="BC20" s="7" t="n">
        <v>6.06</v>
      </c>
      <c r="BD20" s="7" t="n">
        <f aca="false">IFERROR(BB20-BC20,"")</f>
        <v>4.94</v>
      </c>
      <c r="BE20" s="9" t="n">
        <f aca="false">IFERROR(BB20/AH20,"")</f>
        <v>0.112244897959184</v>
      </c>
      <c r="BF20" s="6" t="n">
        <v>60.4</v>
      </c>
      <c r="BG20" s="6" t="n">
        <v>63.4</v>
      </c>
      <c r="BH20" s="6" t="n">
        <v>53</v>
      </c>
      <c r="BI20" s="7" t="n">
        <v>3.212</v>
      </c>
      <c r="BJ20" s="10" t="n">
        <v>0.1072</v>
      </c>
      <c r="BK20" s="10" t="n">
        <v>0.657142857142857</v>
      </c>
      <c r="BL20" s="7" t="n">
        <v>2.249</v>
      </c>
      <c r="BM20" s="10" t="n">
        <v>0.2234</v>
      </c>
      <c r="BN20" s="10" t="n">
        <v>0.0527</v>
      </c>
      <c r="BO20" s="7" t="n">
        <v>2.22</v>
      </c>
      <c r="BP20" s="10" t="n">
        <v>0.996</v>
      </c>
      <c r="BQ20" s="8" t="n">
        <v>5</v>
      </c>
      <c r="BR20" s="10" t="n">
        <v>0.0172</v>
      </c>
      <c r="BS20" s="10" t="n">
        <v>0.6322</v>
      </c>
      <c r="BT20" s="6" t="n">
        <v>61.71</v>
      </c>
      <c r="BU20" s="6" t="n">
        <v>38</v>
      </c>
      <c r="BV20" s="7" t="n">
        <v>3.29</v>
      </c>
      <c r="BW20" s="6" t="n">
        <v>24.4</v>
      </c>
      <c r="BX20" s="9" t="n">
        <v>0.0246</v>
      </c>
      <c r="BY20" s="9" t="n">
        <v>-0.0266</v>
      </c>
      <c r="BZ20" s="8" t="n">
        <v>41</v>
      </c>
      <c r="CA20" s="10" t="n">
        <v>0.067</v>
      </c>
      <c r="CB20" s="8" t="n">
        <v>9</v>
      </c>
      <c r="CC20" s="10" t="n">
        <v>0.024</v>
      </c>
      <c r="CD20" s="8" t="n">
        <v>6</v>
      </c>
      <c r="CE20" s="7" t="n">
        <v>-0.028</v>
      </c>
      <c r="CF20" s="7" t="n">
        <v>-0.029</v>
      </c>
      <c r="CG20" s="4" t="s">
        <v>102</v>
      </c>
      <c r="CH20" s="4"/>
    </row>
    <row r="21" customFormat="false" ht="15" hidden="false" customHeight="false" outlineLevel="0" collapsed="false">
      <c r="A21" s="3" t="n">
        <v>19</v>
      </c>
      <c r="B21" s="4" t="s">
        <v>194</v>
      </c>
      <c r="C21" s="5" t="s">
        <v>99</v>
      </c>
      <c r="D21" s="4" t="s">
        <v>195</v>
      </c>
      <c r="E21" s="4" t="s">
        <v>170</v>
      </c>
      <c r="F21" s="4" t="s">
        <v>99</v>
      </c>
      <c r="G21" s="3" t="n">
        <v>1</v>
      </c>
      <c r="H21" s="6" t="n">
        <v>24.8</v>
      </c>
      <c r="I21" s="3" t="n">
        <v>3</v>
      </c>
      <c r="J21" s="3" t="n">
        <v>7</v>
      </c>
      <c r="K21" s="7" t="n">
        <v>35.74</v>
      </c>
      <c r="L21" s="7" t="n">
        <v>6.91</v>
      </c>
      <c r="M21" s="8" t="n">
        <v>14</v>
      </c>
      <c r="N21" s="8" t="n">
        <v>48</v>
      </c>
      <c r="O21" s="7" t="n">
        <v>35.74</v>
      </c>
      <c r="P21" s="6" t="n">
        <v>96</v>
      </c>
      <c r="Q21" s="4" t="s">
        <v>170</v>
      </c>
      <c r="R21" s="8" t="n">
        <v>16</v>
      </c>
      <c r="S21" s="6" t="n">
        <v>180.9</v>
      </c>
      <c r="T21" s="7" t="n">
        <f aca="false">IFERROR(S21/R21,"")</f>
        <v>11.30625</v>
      </c>
      <c r="U21" s="6" t="n">
        <v>147.9</v>
      </c>
      <c r="V21" s="6" t="n">
        <v>114.9</v>
      </c>
      <c r="W21" s="8" t="n">
        <v>30</v>
      </c>
      <c r="X21" s="7" t="n">
        <f aca="false">IFERROR(S21/AH21,"")</f>
        <v>1.70660377358491</v>
      </c>
      <c r="Y21" s="9" t="n">
        <f aca="false">IFERROR(S21/AF21,"")</f>
        <v>0.216129032258065</v>
      </c>
      <c r="Z21" s="6" t="n">
        <v>4.25</v>
      </c>
      <c r="AA21" s="6" t="n">
        <v>11.6</v>
      </c>
      <c r="AB21" s="6" t="n">
        <v>19.45</v>
      </c>
      <c r="AC21" s="10" t="n">
        <v>0.188</v>
      </c>
      <c r="AD21" s="10" t="n">
        <v>0</v>
      </c>
      <c r="AE21" s="7" t="n">
        <v>0.591</v>
      </c>
      <c r="AF21" s="8" t="n">
        <v>837</v>
      </c>
      <c r="AG21" s="10" t="n">
        <v>0.775</v>
      </c>
      <c r="AH21" s="8" t="n">
        <v>106</v>
      </c>
      <c r="AI21" s="8" t="n">
        <v>106</v>
      </c>
      <c r="AJ21" s="6" t="n">
        <f aca="false">IFERROR(AI21/R21,"")</f>
        <v>6.625</v>
      </c>
      <c r="AK21" s="10" t="n">
        <v>0.2095</v>
      </c>
      <c r="AL21" s="10" t="n">
        <v>0.2592</v>
      </c>
      <c r="AM21" s="9" t="n">
        <v>0.4957</v>
      </c>
      <c r="AN21" s="8" t="n">
        <v>66</v>
      </c>
      <c r="AO21" s="10" t="n">
        <f aca="false">IFERROR(AN21/AI21,"")</f>
        <v>0.622641509433962</v>
      </c>
      <c r="AP21" s="8" t="n">
        <v>789</v>
      </c>
      <c r="AQ21" s="7" t="n">
        <f aca="false">IFERROR(AP21/AI21,"")</f>
        <v>7.4433962264151</v>
      </c>
      <c r="AR21" s="6" t="n">
        <v>9.868</v>
      </c>
      <c r="AS21" s="7" t="n">
        <v>4.697</v>
      </c>
      <c r="AT21" s="7" t="n">
        <v>0.754</v>
      </c>
      <c r="AU21" s="7" t="n">
        <v>3.26484209158479</v>
      </c>
      <c r="AV21" s="7" t="n">
        <v>5.79572815533981</v>
      </c>
      <c r="AW21" s="7" t="n">
        <v>1.00853801908532</v>
      </c>
      <c r="AX21" s="10" t="n">
        <v>0.0566</v>
      </c>
      <c r="AY21" s="8" t="n">
        <v>15</v>
      </c>
      <c r="AZ21" s="8" t="n">
        <v>6</v>
      </c>
      <c r="BA21" s="8" t="n">
        <v>4</v>
      </c>
      <c r="BB21" s="8" t="n">
        <v>6</v>
      </c>
      <c r="BC21" s="7" t="n">
        <v>5.71</v>
      </c>
      <c r="BD21" s="7" t="n">
        <f aca="false">IFERROR(BB21-BC21,"")</f>
        <v>0.29</v>
      </c>
      <c r="BE21" s="9" t="n">
        <f aca="false">IFERROR(BB21/AH21,"")</f>
        <v>0.0566037735849057</v>
      </c>
      <c r="BF21" s="6" t="n">
        <v>26.9</v>
      </c>
      <c r="BG21" s="6" t="n">
        <v>40.7</v>
      </c>
      <c r="BH21" s="6" t="n">
        <v>23</v>
      </c>
      <c r="BI21" s="7" t="n">
        <v>2.77</v>
      </c>
      <c r="BJ21" s="10" t="n">
        <v>0.2195</v>
      </c>
      <c r="BK21" s="10" t="n">
        <v>0.611111111111111</v>
      </c>
      <c r="BL21" s="7" t="n">
        <v>2.614</v>
      </c>
      <c r="BM21" s="10" t="n">
        <v>0.3427</v>
      </c>
      <c r="BN21" s="10" t="n">
        <v>0.0832</v>
      </c>
      <c r="BO21" s="7" t="n">
        <v>2.37</v>
      </c>
      <c r="BP21" s="10" t="n">
        <v>0.205</v>
      </c>
      <c r="BQ21" s="8" t="n">
        <v>1</v>
      </c>
      <c r="BR21" s="10" t="n">
        <v>0.0064</v>
      </c>
      <c r="BS21" s="10" t="n">
        <v>0.579</v>
      </c>
      <c r="BT21" s="6" t="n">
        <v>63.53</v>
      </c>
      <c r="BU21" s="6" t="n">
        <v>39</v>
      </c>
      <c r="BV21" s="7" t="n">
        <v>3.47</v>
      </c>
      <c r="BW21" s="6" t="n">
        <v>21.6</v>
      </c>
      <c r="BX21" s="9" t="n">
        <v>0.0187</v>
      </c>
      <c r="BY21" s="9" t="n">
        <v>-0.0542</v>
      </c>
      <c r="BZ21" s="8" t="n">
        <v>15</v>
      </c>
      <c r="CA21" s="10" t="n">
        <v>0.028</v>
      </c>
      <c r="CB21" s="8" t="n">
        <v>23</v>
      </c>
      <c r="CC21" s="10" t="n">
        <v>0.049</v>
      </c>
      <c r="CD21" s="8" t="n">
        <v>2</v>
      </c>
      <c r="CE21" s="7" t="n">
        <v>-0.607</v>
      </c>
      <c r="CF21" s="7" t="n">
        <v>-0.958</v>
      </c>
      <c r="CG21" s="4" t="s">
        <v>121</v>
      </c>
      <c r="CH21" s="4"/>
    </row>
    <row r="22" customFormat="false" ht="15" hidden="false" customHeight="false" outlineLevel="0" collapsed="false">
      <c r="A22" s="3" t="n">
        <v>20</v>
      </c>
      <c r="B22" s="4" t="s">
        <v>196</v>
      </c>
      <c r="C22" s="5" t="s">
        <v>99</v>
      </c>
      <c r="D22" s="4" t="s">
        <v>197</v>
      </c>
      <c r="E22" s="4" t="s">
        <v>198</v>
      </c>
      <c r="F22" s="4" t="s">
        <v>99</v>
      </c>
      <c r="G22" s="3" t="n">
        <v>1</v>
      </c>
      <c r="H22" s="6" t="n">
        <v>23.8</v>
      </c>
      <c r="I22" s="3" t="n">
        <v>2</v>
      </c>
      <c r="J22" s="3" t="n">
        <v>10</v>
      </c>
      <c r="K22" s="7" t="n">
        <v>37.67</v>
      </c>
      <c r="L22" s="7" t="n">
        <v>7.99</v>
      </c>
      <c r="M22" s="8" t="n">
        <v>14</v>
      </c>
      <c r="N22" s="8" t="n">
        <v>55</v>
      </c>
      <c r="O22" s="7" t="n">
        <v>37.67</v>
      </c>
      <c r="P22" s="6" t="n">
        <v>96.8</v>
      </c>
      <c r="Q22" s="4" t="s">
        <v>198</v>
      </c>
      <c r="R22" s="8" t="n">
        <v>17</v>
      </c>
      <c r="S22" s="6" t="n">
        <v>195.7</v>
      </c>
      <c r="T22" s="7" t="n">
        <f aca="false">IFERROR(S22/R22,"")</f>
        <v>11.5117647058824</v>
      </c>
      <c r="U22" s="6" t="n">
        <v>164.2</v>
      </c>
      <c r="V22" s="6" t="n">
        <v>132.7</v>
      </c>
      <c r="W22" s="8" t="n">
        <v>23</v>
      </c>
      <c r="X22" s="7" t="n">
        <f aca="false">IFERROR(S22/AH22,"")</f>
        <v>1.51705426356589</v>
      </c>
      <c r="Y22" s="9" t="n">
        <f aca="false">IFERROR(S22/AF22,"")</f>
        <v>0.220880361173815</v>
      </c>
      <c r="Z22" s="6" t="n">
        <v>5</v>
      </c>
      <c r="AA22" s="6" t="n">
        <v>9</v>
      </c>
      <c r="AB22" s="6" t="n">
        <v>22.14</v>
      </c>
      <c r="AC22" s="10" t="n">
        <v>0.235</v>
      </c>
      <c r="AD22" s="10" t="n">
        <v>0</v>
      </c>
      <c r="AE22" s="7" t="n">
        <v>0.936</v>
      </c>
      <c r="AF22" s="8" t="n">
        <v>886</v>
      </c>
      <c r="AG22" s="10" t="n">
        <v>0.776</v>
      </c>
      <c r="AH22" s="8" t="n">
        <v>129</v>
      </c>
      <c r="AI22" s="8" t="n">
        <v>127</v>
      </c>
      <c r="AJ22" s="6" t="n">
        <f aca="false">IFERROR(AI22/R22,"")</f>
        <v>7.47058823529412</v>
      </c>
      <c r="AK22" s="10" t="n">
        <v>0.2348</v>
      </c>
      <c r="AL22" s="10" t="n">
        <v>0.3625</v>
      </c>
      <c r="AM22" s="9" t="n">
        <v>0.606</v>
      </c>
      <c r="AN22" s="8" t="n">
        <v>63</v>
      </c>
      <c r="AO22" s="10" t="n">
        <f aca="false">IFERROR(AN22/AI22,"")</f>
        <v>0.496062992125984</v>
      </c>
      <c r="AP22" s="8" t="n">
        <v>938</v>
      </c>
      <c r="AQ22" s="7" t="n">
        <f aca="false">IFERROR(AP22/AI22,"")</f>
        <v>7.38582677165354</v>
      </c>
      <c r="AR22" s="6" t="n">
        <v>12.378</v>
      </c>
      <c r="AS22" s="7" t="n">
        <v>5.317</v>
      </c>
      <c r="AT22" s="7" t="n">
        <v>0.597</v>
      </c>
      <c r="AU22" s="7" t="n">
        <v>2.58266381761159</v>
      </c>
      <c r="AV22" s="7" t="n">
        <v>6.22984</v>
      </c>
      <c r="AW22" s="7" t="n">
        <v>0.680138021406879</v>
      </c>
      <c r="AX22" s="10" t="n">
        <v>0.0709</v>
      </c>
      <c r="AY22" s="8" t="n">
        <v>14</v>
      </c>
      <c r="AZ22" s="8" t="n">
        <v>4</v>
      </c>
      <c r="BA22" s="8" t="n">
        <v>2</v>
      </c>
      <c r="BB22" s="8" t="n">
        <v>6</v>
      </c>
      <c r="BC22" s="7" t="n">
        <v>4.58</v>
      </c>
      <c r="BD22" s="7" t="n">
        <f aca="false">IFERROR(BB22-BC22,"")</f>
        <v>1.42</v>
      </c>
      <c r="BE22" s="9" t="n">
        <f aca="false">IFERROR(BB22/AH22,"")</f>
        <v>0.0465116279069767</v>
      </c>
      <c r="BF22" s="6" t="n">
        <v>57.4</v>
      </c>
      <c r="BG22" s="6" t="n">
        <v>46.3</v>
      </c>
      <c r="BH22" s="6" t="n">
        <v>65.4</v>
      </c>
      <c r="BI22" s="7" t="n">
        <v>2.736</v>
      </c>
      <c r="BJ22" s="10" t="n">
        <v>0.1938</v>
      </c>
      <c r="BK22" s="10" t="n">
        <v>0.708333333333333</v>
      </c>
      <c r="BL22" s="7" t="n">
        <v>2.699</v>
      </c>
      <c r="BM22" s="10" t="n">
        <v>0.172</v>
      </c>
      <c r="BN22" s="10" t="n">
        <v>0.0571</v>
      </c>
      <c r="BO22" s="7" t="n">
        <v>2.292</v>
      </c>
      <c r="BP22" s="10" t="n">
        <v>0.791</v>
      </c>
      <c r="BQ22" s="8" t="n">
        <v>4</v>
      </c>
      <c r="BR22" s="10" t="n">
        <v>-0.0347</v>
      </c>
      <c r="BS22" s="10" t="n">
        <v>0.5148</v>
      </c>
      <c r="BT22" s="6" t="n">
        <v>62.65</v>
      </c>
      <c r="BU22" s="6" t="n">
        <v>41</v>
      </c>
      <c r="BV22" s="7" t="n">
        <v>3.12</v>
      </c>
      <c r="BW22" s="6" t="n">
        <v>22.4</v>
      </c>
      <c r="BX22" s="9" t="n">
        <v>0.0138</v>
      </c>
      <c r="BY22" s="9" t="n">
        <v>-0.0264</v>
      </c>
      <c r="BZ22" s="8" t="n">
        <v>111</v>
      </c>
      <c r="CA22" s="10" t="n">
        <v>0.205</v>
      </c>
      <c r="CB22" s="8" t="n">
        <v>138</v>
      </c>
      <c r="CC22" s="10" t="n">
        <v>0.292</v>
      </c>
      <c r="CD22" s="8" t="n">
        <v>38</v>
      </c>
      <c r="CE22" s="7" t="n">
        <v>-0.264</v>
      </c>
      <c r="CF22" s="7" t="n">
        <v>-0.834</v>
      </c>
      <c r="CG22" s="4" t="s">
        <v>102</v>
      </c>
      <c r="CH22" s="4"/>
    </row>
    <row r="23" customFormat="false" ht="15" hidden="false" customHeight="false" outlineLevel="0" collapsed="false">
      <c r="A23" s="3" t="n">
        <v>21</v>
      </c>
      <c r="B23" s="4" t="s">
        <v>207</v>
      </c>
      <c r="C23" s="5" t="s">
        <v>99</v>
      </c>
      <c r="D23" s="4" t="s">
        <v>208</v>
      </c>
      <c r="E23" s="4" t="s">
        <v>209</v>
      </c>
      <c r="F23" s="4" t="s">
        <v>99</v>
      </c>
      <c r="G23" s="3" t="n">
        <v>2</v>
      </c>
      <c r="H23" s="6" t="n">
        <v>27.7</v>
      </c>
      <c r="I23" s="3" t="n">
        <v>6</v>
      </c>
      <c r="J23" s="3" t="n">
        <v>10</v>
      </c>
      <c r="K23" s="7" t="n">
        <v>38.17</v>
      </c>
      <c r="L23" s="7" t="n">
        <v>7.48</v>
      </c>
      <c r="M23" s="8" t="n">
        <v>18</v>
      </c>
      <c r="N23" s="8" t="n">
        <v>59</v>
      </c>
      <c r="O23" s="7" t="n">
        <v>38.17</v>
      </c>
      <c r="P23" s="6" t="n">
        <v>95.7</v>
      </c>
      <c r="Q23" s="4" t="s">
        <v>161</v>
      </c>
      <c r="R23" s="8" t="n">
        <v>16</v>
      </c>
      <c r="S23" s="6" t="n">
        <v>194.12</v>
      </c>
      <c r="T23" s="7" t="n">
        <f aca="false">IFERROR(S23/R23,"")</f>
        <v>12.1325</v>
      </c>
      <c r="U23" s="6" t="n">
        <v>162.12</v>
      </c>
      <c r="V23" s="6" t="n">
        <v>130.12</v>
      </c>
      <c r="W23" s="8" t="n">
        <v>24</v>
      </c>
      <c r="X23" s="7" t="n">
        <f aca="false">IFERROR(S23/AH23,"")</f>
        <v>1.90313725490196</v>
      </c>
      <c r="Y23" s="9" t="n">
        <f aca="false">IFERROR(S23/AF23,"")</f>
        <v>0.268864265927978</v>
      </c>
      <c r="Z23" s="6" t="n">
        <v>7</v>
      </c>
      <c r="AA23" s="6" t="n">
        <v>13.2</v>
      </c>
      <c r="AB23" s="6" t="n">
        <v>19.08</v>
      </c>
      <c r="AC23" s="10" t="n">
        <v>0.188</v>
      </c>
      <c r="AD23" s="10" t="n">
        <v>0.062</v>
      </c>
      <c r="AE23" s="7" t="n">
        <v>0.521</v>
      </c>
      <c r="AF23" s="8" t="n">
        <v>722</v>
      </c>
      <c r="AG23" s="10" t="n">
        <v>0.776</v>
      </c>
      <c r="AH23" s="8" t="n">
        <v>102</v>
      </c>
      <c r="AI23" s="8" t="n">
        <v>100</v>
      </c>
      <c r="AJ23" s="6" t="n">
        <f aca="false">IFERROR(AI23/R23,"")</f>
        <v>6.25</v>
      </c>
      <c r="AK23" s="10" t="n">
        <v>0.2283</v>
      </c>
      <c r="AL23" s="10" t="n">
        <v>0.417</v>
      </c>
      <c r="AM23" s="9" t="n">
        <v>0.6344</v>
      </c>
      <c r="AN23" s="8" t="n">
        <v>64</v>
      </c>
      <c r="AO23" s="10" t="n">
        <f aca="false">IFERROR(AN23/AI23,"")</f>
        <v>0.64</v>
      </c>
      <c r="AP23" s="8" t="n">
        <v>910</v>
      </c>
      <c r="AQ23" s="7" t="n">
        <f aca="false">IFERROR(AP23/AI23,"")</f>
        <v>9.1</v>
      </c>
      <c r="AR23" s="6" t="n">
        <v>13.06</v>
      </c>
      <c r="AS23" s="7" t="n">
        <v>3.562</v>
      </c>
      <c r="AT23" s="7" t="n">
        <v>0.697</v>
      </c>
      <c r="AU23" s="7" t="n">
        <v>2.73433420229969</v>
      </c>
      <c r="AV23" s="7" t="n">
        <v>6.18673469387755</v>
      </c>
      <c r="AW23" s="7" t="n">
        <v>0.145745365037632</v>
      </c>
      <c r="AX23" s="10" t="n">
        <v>0.04</v>
      </c>
      <c r="AY23" s="8" t="n">
        <v>11</v>
      </c>
      <c r="AZ23" s="8" t="n">
        <v>5</v>
      </c>
      <c r="BA23" s="8" t="n">
        <v>4</v>
      </c>
      <c r="BB23" s="8" t="n">
        <v>6</v>
      </c>
      <c r="BC23" s="7" t="n">
        <v>4.3</v>
      </c>
      <c r="BD23" s="7" t="n">
        <f aca="false">IFERROR(BB23-BC23,"")</f>
        <v>1.7</v>
      </c>
      <c r="BE23" s="9" t="n">
        <f aca="false">IFERROR(BB23/AH23,"")</f>
        <v>0.0588235294117647</v>
      </c>
      <c r="BF23" s="6" t="n">
        <v>63.2</v>
      </c>
      <c r="BG23" s="6" t="n">
        <v>50</v>
      </c>
      <c r="BH23" s="6" t="n">
        <v>70.8</v>
      </c>
      <c r="BI23" s="7" t="n">
        <v>2.952</v>
      </c>
      <c r="BJ23" s="10" t="n">
        <v>0.1682</v>
      </c>
      <c r="BK23" s="10" t="n">
        <v>0.551724137931035</v>
      </c>
      <c r="BL23" s="7" t="n">
        <v>2.592</v>
      </c>
      <c r="BM23" s="10" t="n">
        <v>0.2088</v>
      </c>
      <c r="BN23" s="10" t="n">
        <v>0.037</v>
      </c>
      <c r="BO23" s="7" t="n">
        <v>2.401</v>
      </c>
      <c r="BP23" s="10" t="n">
        <v>0.999</v>
      </c>
      <c r="BQ23" s="8" t="n">
        <v>5</v>
      </c>
      <c r="BR23" s="10" t="n">
        <v>0.0157</v>
      </c>
      <c r="BS23" s="10" t="n">
        <v>0.59</v>
      </c>
      <c r="BT23" s="6" t="n">
        <v>63.47</v>
      </c>
      <c r="BU23" s="6" t="n">
        <v>38</v>
      </c>
      <c r="BV23" s="7" t="n">
        <v>3.47</v>
      </c>
      <c r="BW23" s="6" t="n">
        <v>23.6</v>
      </c>
      <c r="BX23" s="9" t="n">
        <v>0.0004</v>
      </c>
      <c r="BY23" s="9" t="n">
        <v>0.0835</v>
      </c>
      <c r="BZ23" s="8" t="n">
        <v>4</v>
      </c>
      <c r="CA23" s="10" t="n">
        <v>0.007</v>
      </c>
      <c r="CB23" s="8" t="n">
        <v>0</v>
      </c>
      <c r="CC23" s="10" t="n">
        <v>0</v>
      </c>
      <c r="CD23" s="8" t="n">
        <v>1</v>
      </c>
      <c r="CE23" s="7" t="n">
        <v>-0.273</v>
      </c>
      <c r="CF23" s="7" t="n">
        <v>-0.492</v>
      </c>
      <c r="CG23" s="4" t="s">
        <v>102</v>
      </c>
      <c r="CH23" s="4"/>
    </row>
    <row r="24" customFormat="false" ht="15" hidden="false" customHeight="false" outlineLevel="0" collapsed="false">
      <c r="A24" s="3" t="n">
        <v>22</v>
      </c>
      <c r="B24" s="4" t="s">
        <v>219</v>
      </c>
      <c r="C24" s="5" t="s">
        <v>99</v>
      </c>
      <c r="D24" s="4" t="s">
        <v>220</v>
      </c>
      <c r="E24" s="4" t="s">
        <v>221</v>
      </c>
      <c r="F24" s="4" t="s">
        <v>99</v>
      </c>
      <c r="G24" s="3" t="n">
        <v>1</v>
      </c>
      <c r="H24" s="6" t="n">
        <v>30.9</v>
      </c>
      <c r="I24" s="3" t="n">
        <v>8</v>
      </c>
      <c r="J24" s="3" t="n">
        <v>7</v>
      </c>
      <c r="K24" s="7" t="n">
        <v>44.65</v>
      </c>
      <c r="L24" s="7" t="n">
        <v>5.89</v>
      </c>
      <c r="M24" s="8" t="n">
        <v>26</v>
      </c>
      <c r="N24" s="8" t="n">
        <v>68</v>
      </c>
      <c r="O24" s="7" t="n">
        <v>44.65</v>
      </c>
      <c r="P24" s="6" t="n">
        <v>93.9</v>
      </c>
      <c r="Q24" s="4" t="s">
        <v>221</v>
      </c>
      <c r="R24" s="8" t="n">
        <v>10</v>
      </c>
      <c r="S24" s="6" t="n">
        <v>114.2</v>
      </c>
      <c r="T24" s="7" t="n">
        <f aca="false">IFERROR(S24/R24,"")</f>
        <v>11.42</v>
      </c>
      <c r="U24" s="6" t="n">
        <v>95.2</v>
      </c>
      <c r="V24" s="6" t="n">
        <v>76.2</v>
      </c>
      <c r="W24" s="8" t="n">
        <v>55</v>
      </c>
      <c r="X24" s="7" t="n">
        <f aca="false">IFERROR(S24/AH24,"")</f>
        <v>1.90333333333333</v>
      </c>
      <c r="Y24" s="9" t="n">
        <f aca="false">IFERROR(S24/AF24,"")</f>
        <v>0.263741339491917</v>
      </c>
      <c r="Z24" s="6" t="n">
        <v>8.65</v>
      </c>
      <c r="AA24" s="6" t="n">
        <v>10.1</v>
      </c>
      <c r="AB24" s="6" t="n">
        <v>15.38</v>
      </c>
      <c r="AC24" s="10" t="n">
        <v>0.1</v>
      </c>
      <c r="AD24" s="10" t="n">
        <v>0</v>
      </c>
      <c r="AE24" s="7" t="n">
        <v>0.505</v>
      </c>
      <c r="AF24" s="8" t="n">
        <v>433</v>
      </c>
      <c r="AG24" s="10" t="n">
        <v>0.704</v>
      </c>
      <c r="AH24" s="8" t="n">
        <v>60</v>
      </c>
      <c r="AI24" s="8" t="n">
        <v>60</v>
      </c>
      <c r="AJ24" s="6" t="n">
        <f aca="false">IFERROR(AI24/R24,"")</f>
        <v>6</v>
      </c>
      <c r="AK24" s="10" t="n">
        <v>0.2326</v>
      </c>
      <c r="AL24" s="10" t="n">
        <v>0.3919</v>
      </c>
      <c r="AM24" s="9" t="n">
        <v>0.6232</v>
      </c>
      <c r="AN24" s="8" t="n">
        <v>38</v>
      </c>
      <c r="AO24" s="10" t="n">
        <f aca="false">IFERROR(AN24/AI24,"")</f>
        <v>0.633333333333333</v>
      </c>
      <c r="AP24" s="8" t="n">
        <v>582</v>
      </c>
      <c r="AQ24" s="7" t="n">
        <f aca="false">IFERROR(AP24/AI24,"")</f>
        <v>9.7</v>
      </c>
      <c r="AR24" s="6" t="n">
        <v>13.983</v>
      </c>
      <c r="AS24" s="7" t="n">
        <v>2.447</v>
      </c>
      <c r="AT24" s="7" t="n">
        <v>0.694</v>
      </c>
      <c r="AU24" s="7" t="n">
        <v>2.37805308909099</v>
      </c>
      <c r="AV24" s="7" t="n">
        <v>6.69183333333333</v>
      </c>
      <c r="AW24" s="7" t="n">
        <v>0.0836003990610936</v>
      </c>
      <c r="AX24" s="10" t="n">
        <v>0.0167</v>
      </c>
      <c r="AY24" s="8" t="n">
        <v>8</v>
      </c>
      <c r="AZ24" s="8" t="n">
        <v>3</v>
      </c>
      <c r="BA24" s="8" t="n">
        <v>3</v>
      </c>
      <c r="BB24" s="8" t="n">
        <v>3</v>
      </c>
      <c r="BC24" s="7" t="n">
        <v>2.77</v>
      </c>
      <c r="BD24" s="7" t="n">
        <f aca="false">IFERROR(BB24-BC24,"")</f>
        <v>0.23</v>
      </c>
      <c r="BE24" s="9" t="n">
        <f aca="false">IFERROR(BB24/AH24,"")</f>
        <v>0.05</v>
      </c>
      <c r="BF24" s="6" t="n">
        <v>54.8</v>
      </c>
      <c r="BG24" s="6" t="n">
        <v>50.7</v>
      </c>
      <c r="BH24" s="6" t="n">
        <v>56.8</v>
      </c>
      <c r="BI24" s="7" t="n">
        <v>2.998</v>
      </c>
      <c r="BJ24" s="10" t="n">
        <v>0.1651</v>
      </c>
      <c r="BK24" s="10" t="n">
        <v>0.548387096774194</v>
      </c>
      <c r="BL24" s="7" t="n">
        <v>2.512</v>
      </c>
      <c r="BM24" s="10" t="n">
        <v>0.2217</v>
      </c>
      <c r="BN24" s="10" t="n">
        <v>0.0606</v>
      </c>
      <c r="BO24" s="7" t="n">
        <v>2.36</v>
      </c>
      <c r="BP24" s="10" t="n">
        <v>0.706</v>
      </c>
      <c r="BQ24" s="8" t="n">
        <v>4</v>
      </c>
      <c r="BR24" s="10" t="n">
        <v>-0.0427</v>
      </c>
      <c r="BS24" s="10" t="n">
        <v>0.4747</v>
      </c>
      <c r="BT24" s="6" t="n">
        <v>57.59</v>
      </c>
      <c r="BU24" s="6" t="n">
        <v>38</v>
      </c>
      <c r="BV24" s="7" t="n">
        <v>2.94</v>
      </c>
      <c r="BW24" s="6" t="n">
        <v>20.9</v>
      </c>
      <c r="BX24" s="9" t="n">
        <v>0.0192</v>
      </c>
      <c r="BY24" s="9" t="n">
        <v>-0.0055</v>
      </c>
      <c r="BZ24" s="8" t="n">
        <v>138</v>
      </c>
      <c r="CA24" s="10" t="n">
        <v>0.319</v>
      </c>
      <c r="CB24" s="8" t="n">
        <v>142</v>
      </c>
      <c r="CC24" s="10" t="n">
        <v>0.293</v>
      </c>
      <c r="CD24" s="8" t="n">
        <v>56</v>
      </c>
      <c r="CE24" s="7" t="n">
        <v>-1.596</v>
      </c>
      <c r="CF24" s="7" t="n">
        <v>-0.807</v>
      </c>
      <c r="CG24" s="4" t="s">
        <v>165</v>
      </c>
      <c r="CH24" s="4"/>
    </row>
    <row r="25" customFormat="false" ht="15" hidden="false" customHeight="false" outlineLevel="0" collapsed="false">
      <c r="A25" s="3" t="n">
        <v>23</v>
      </c>
      <c r="B25" s="4" t="s">
        <v>226</v>
      </c>
      <c r="C25" s="5" t="s">
        <v>99</v>
      </c>
      <c r="D25" s="4" t="s">
        <v>227</v>
      </c>
      <c r="E25" s="4" t="s">
        <v>203</v>
      </c>
      <c r="F25" s="4" t="s">
        <v>99</v>
      </c>
      <c r="G25" s="3" t="n">
        <v>2</v>
      </c>
      <c r="H25" s="6" t="n">
        <v>22.7</v>
      </c>
      <c r="I25" s="3" t="n">
        <v>2</v>
      </c>
      <c r="J25" s="3" t="n">
        <v>10</v>
      </c>
      <c r="K25" s="7" t="n">
        <v>46.29</v>
      </c>
      <c r="L25" s="7" t="n">
        <v>7.39</v>
      </c>
      <c r="M25" s="8" t="n">
        <v>28</v>
      </c>
      <c r="N25" s="8" t="n">
        <v>83</v>
      </c>
      <c r="O25" s="7" t="n">
        <v>46.29</v>
      </c>
      <c r="P25" s="6" t="n">
        <v>93.2</v>
      </c>
      <c r="Q25" s="4" t="s">
        <v>203</v>
      </c>
      <c r="R25" s="8" t="n">
        <v>15</v>
      </c>
      <c r="S25" s="6" t="n">
        <v>127.9</v>
      </c>
      <c r="T25" s="7" t="n">
        <f aca="false">IFERROR(S25/R25,"")</f>
        <v>8.52666666666667</v>
      </c>
      <c r="U25" s="6" t="n">
        <v>104.4</v>
      </c>
      <c r="V25" s="6" t="n">
        <v>80.9</v>
      </c>
      <c r="W25" s="8" t="n">
        <v>48</v>
      </c>
      <c r="X25" s="7" t="n">
        <f aca="false">IFERROR(S25/AH25,"")</f>
        <v>1.93787878787879</v>
      </c>
      <c r="Y25" s="9" t="n">
        <f aca="false">IFERROR(S25/AF25,"")</f>
        <v>0.3181592039801</v>
      </c>
      <c r="Z25" s="6" t="n">
        <v>2.35</v>
      </c>
      <c r="AA25" s="6" t="n">
        <v>7.6</v>
      </c>
      <c r="AB25" s="6" t="n">
        <v>14.06</v>
      </c>
      <c r="AC25" s="10" t="n">
        <v>0.133</v>
      </c>
      <c r="AD25" s="10" t="n">
        <v>0.267</v>
      </c>
      <c r="AE25" s="7" t="n">
        <v>0.992</v>
      </c>
      <c r="AF25" s="8" t="n">
        <v>402</v>
      </c>
      <c r="AG25" s="10" t="n">
        <v>0.397</v>
      </c>
      <c r="AH25" s="8" t="n">
        <v>66</v>
      </c>
      <c r="AI25" s="8" t="n">
        <v>60</v>
      </c>
      <c r="AJ25" s="6" t="n">
        <f aca="false">IFERROR(AI25/R25,"")</f>
        <v>4</v>
      </c>
      <c r="AK25" s="10" t="n">
        <v>0.1279</v>
      </c>
      <c r="AL25" s="10" t="n">
        <v>0.1152</v>
      </c>
      <c r="AM25" s="9" t="n">
        <v>0.2725</v>
      </c>
      <c r="AN25" s="8" t="n">
        <v>47</v>
      </c>
      <c r="AO25" s="10" t="n">
        <f aca="false">IFERROR(AN25/AI25,"")</f>
        <v>0.783333333333333</v>
      </c>
      <c r="AP25" s="8" t="n">
        <v>652</v>
      </c>
      <c r="AQ25" s="7" t="n">
        <f aca="false">IFERROR(AP25/AI25,"")</f>
        <v>10.8666666666667</v>
      </c>
      <c r="AR25" s="6" t="n">
        <v>7.667</v>
      </c>
      <c r="AS25" s="7" t="n">
        <v>7.106</v>
      </c>
      <c r="AT25" s="7" t="n">
        <v>1.417</v>
      </c>
      <c r="AU25" s="7" t="n">
        <v>4.63045457645756</v>
      </c>
      <c r="AV25" s="7" t="n">
        <v>7.42519230769231</v>
      </c>
      <c r="AW25" s="7" t="n">
        <v>0.926781505824081</v>
      </c>
      <c r="AX25" s="10" t="n">
        <v>0.0667</v>
      </c>
      <c r="AY25" s="8" t="n">
        <v>4</v>
      </c>
      <c r="AZ25" s="8" t="n">
        <v>0</v>
      </c>
      <c r="BA25" s="8" t="n">
        <v>0</v>
      </c>
      <c r="BB25" s="8" t="n">
        <v>2</v>
      </c>
      <c r="BC25" s="7" t="n">
        <v>1.55</v>
      </c>
      <c r="BD25" s="7" t="n">
        <f aca="false">IFERROR(BB25-BC25,"")</f>
        <v>0.45</v>
      </c>
      <c r="BE25" s="9" t="n">
        <f aca="false">IFERROR(BB25/AH25,"")</f>
        <v>0.0303030303030303</v>
      </c>
      <c r="BF25" s="6" t="n">
        <v>76.3</v>
      </c>
      <c r="BG25" s="6" t="n">
        <v>80.3</v>
      </c>
      <c r="BH25" s="6" t="n">
        <v>61.1</v>
      </c>
      <c r="BI25" s="7" t="n">
        <v>3.337</v>
      </c>
      <c r="BJ25" s="10" t="n">
        <v>0.1354</v>
      </c>
      <c r="BK25" s="10" t="n">
        <v>0.794117647058824</v>
      </c>
      <c r="BL25" s="7" t="n">
        <v>3.125</v>
      </c>
      <c r="BM25" s="10" t="n">
        <v>0.2787</v>
      </c>
      <c r="BN25" s="10" t="n">
        <v>0.0358</v>
      </c>
      <c r="BO25" s="7" t="n">
        <v>2.496</v>
      </c>
      <c r="BP25" s="10" t="n">
        <v>0.802</v>
      </c>
      <c r="BQ25" s="8" t="n">
        <v>4</v>
      </c>
      <c r="BR25" s="10" t="n">
        <v>-0.039</v>
      </c>
      <c r="BS25" s="10" t="n">
        <v>0.5233</v>
      </c>
      <c r="BT25" s="6" t="n">
        <v>64.47</v>
      </c>
      <c r="BU25" s="6" t="n">
        <v>37</v>
      </c>
      <c r="BV25" s="7" t="n">
        <v>3.41</v>
      </c>
      <c r="BW25" s="6" t="n">
        <v>25.9</v>
      </c>
      <c r="BX25" s="9" t="n">
        <v>0.0786</v>
      </c>
      <c r="BY25" s="9" t="n">
        <v>0.0802</v>
      </c>
      <c r="BZ25" s="8" t="n">
        <v>161</v>
      </c>
      <c r="CA25" s="10" t="n">
        <v>0.303</v>
      </c>
      <c r="CB25" s="8" t="n">
        <v>20</v>
      </c>
      <c r="CC25" s="10" t="n">
        <v>0.04</v>
      </c>
      <c r="CD25" s="8" t="n">
        <v>26</v>
      </c>
      <c r="CE25" s="7" t="n">
        <v>-1.254</v>
      </c>
      <c r="CF25" s="7" t="n">
        <v>-1.648</v>
      </c>
      <c r="CG25" s="4" t="s">
        <v>165</v>
      </c>
      <c r="CH25" s="4"/>
    </row>
    <row r="26" customFormat="false" ht="15" hidden="false" customHeight="false" outlineLevel="0" collapsed="false">
      <c r="A26" s="3" t="n">
        <v>24</v>
      </c>
      <c r="B26" s="4" t="s">
        <v>230</v>
      </c>
      <c r="C26" s="5" t="s">
        <v>99</v>
      </c>
      <c r="D26" s="4" t="s">
        <v>231</v>
      </c>
      <c r="E26" s="4" t="s">
        <v>109</v>
      </c>
      <c r="F26" s="4" t="s">
        <v>99</v>
      </c>
      <c r="G26" s="3" t="n">
        <v>2</v>
      </c>
      <c r="H26" s="6" t="n">
        <v>33.6</v>
      </c>
      <c r="I26" s="3" t="n">
        <v>13</v>
      </c>
      <c r="J26" s="3" t="n">
        <v>11</v>
      </c>
      <c r="K26" s="7" t="n">
        <v>50.67</v>
      </c>
      <c r="L26" s="7" t="n">
        <v>8.08</v>
      </c>
      <c r="M26" s="8" t="n">
        <v>36</v>
      </c>
      <c r="N26" s="8" t="n">
        <v>81</v>
      </c>
      <c r="O26" s="7" t="n">
        <v>50.67</v>
      </c>
      <c r="P26" s="6" t="n">
        <v>96.1</v>
      </c>
      <c r="Q26" s="4" t="s">
        <v>109</v>
      </c>
      <c r="R26" s="8" t="n">
        <v>14</v>
      </c>
      <c r="S26" s="6" t="n">
        <v>222.9</v>
      </c>
      <c r="T26" s="7" t="n">
        <f aca="false">IFERROR(S26/R26,"")</f>
        <v>15.9214285714286</v>
      </c>
      <c r="U26" s="6" t="n">
        <v>192.9</v>
      </c>
      <c r="V26" s="6" t="n">
        <v>162.9</v>
      </c>
      <c r="W26" s="8" t="n">
        <v>9</v>
      </c>
      <c r="X26" s="7" t="n">
        <f aca="false">IFERROR(S26/AH26,"")</f>
        <v>1.95526315789474</v>
      </c>
      <c r="Y26" s="9" t="n">
        <f aca="false">IFERROR(S26/AF26,"")</f>
        <v>0.351023622047244</v>
      </c>
      <c r="Z26" s="6" t="n">
        <v>9.6</v>
      </c>
      <c r="AA26" s="6" t="n">
        <v>15.1</v>
      </c>
      <c r="AB26" s="6" t="n">
        <v>23.01</v>
      </c>
      <c r="AC26" s="10" t="n">
        <v>0.429</v>
      </c>
      <c r="AD26" s="10" t="n">
        <v>0</v>
      </c>
      <c r="AE26" s="7" t="n">
        <v>0.453</v>
      </c>
      <c r="AF26" s="8" t="n">
        <v>635</v>
      </c>
      <c r="AG26" s="10" t="n">
        <v>0.714</v>
      </c>
      <c r="AH26" s="8" t="n">
        <v>114</v>
      </c>
      <c r="AI26" s="8" t="n">
        <v>114</v>
      </c>
      <c r="AJ26" s="6" t="n">
        <f aca="false">IFERROR(AI26/R26,"")</f>
        <v>8.14285714285714</v>
      </c>
      <c r="AK26" s="10" t="n">
        <v>0.2478</v>
      </c>
      <c r="AL26" s="10" t="n">
        <v>0.3487</v>
      </c>
      <c r="AM26" s="9" t="n">
        <v>0.6158</v>
      </c>
      <c r="AN26" s="8" t="n">
        <v>60</v>
      </c>
      <c r="AO26" s="10" t="n">
        <f aca="false">IFERROR(AN26/AI26,"")</f>
        <v>0.526315789473684</v>
      </c>
      <c r="AP26" s="8" t="n">
        <v>789</v>
      </c>
      <c r="AQ26" s="7" t="n">
        <f aca="false">IFERROR(AP26/AI26,"")</f>
        <v>6.92105263157895</v>
      </c>
      <c r="AR26" s="6" t="n">
        <v>12.667</v>
      </c>
      <c r="AS26" s="7" t="n">
        <v>1.95</v>
      </c>
      <c r="AT26" s="7" t="n">
        <v>0.546</v>
      </c>
      <c r="AU26" s="7" t="n">
        <v>2.16740885275771</v>
      </c>
      <c r="AV26" s="7" t="n">
        <v>5.16159292035398</v>
      </c>
      <c r="AW26" s="7" t="n">
        <v>-0.61022967545809</v>
      </c>
      <c r="AX26" s="10" t="n">
        <v>0.0439</v>
      </c>
      <c r="AY26" s="8" t="n">
        <v>32</v>
      </c>
      <c r="AZ26" s="8" t="n">
        <v>23</v>
      </c>
      <c r="BA26" s="8" t="n">
        <v>16</v>
      </c>
      <c r="BB26" s="8" t="n">
        <v>14</v>
      </c>
      <c r="BC26" s="7" t="n">
        <v>12.58</v>
      </c>
      <c r="BD26" s="7" t="n">
        <f aca="false">IFERROR(BB26-BC26,"")</f>
        <v>1.42</v>
      </c>
      <c r="BE26" s="9" t="n">
        <f aca="false">IFERROR(BB26/AH26,"")</f>
        <v>0.12280701754386</v>
      </c>
      <c r="BF26" s="6" t="n">
        <v>80.4</v>
      </c>
      <c r="BG26" s="6" t="n">
        <v>76.4</v>
      </c>
      <c r="BH26" s="6" t="n">
        <v>71.5</v>
      </c>
      <c r="BI26" s="7" t="n">
        <v>3.462</v>
      </c>
      <c r="BJ26" s="10" t="n">
        <v>0.1266</v>
      </c>
      <c r="BK26" s="10" t="n">
        <v>0.638297872340426</v>
      </c>
      <c r="BL26" s="7" t="n">
        <v>2.811</v>
      </c>
      <c r="BM26" s="10" t="n">
        <v>0.194</v>
      </c>
      <c r="BN26" s="10" t="n">
        <v>0.0424</v>
      </c>
      <c r="BO26" s="7" t="n">
        <v>2.396</v>
      </c>
      <c r="BP26" s="10" t="n">
        <v>0.904</v>
      </c>
      <c r="BQ26" s="8" t="n">
        <v>5</v>
      </c>
      <c r="BR26" s="10" t="n">
        <v>0.0296</v>
      </c>
      <c r="BS26" s="10" t="n">
        <v>0.6185</v>
      </c>
      <c r="BT26" s="6" t="n">
        <v>62.12</v>
      </c>
      <c r="BU26" s="6" t="n">
        <v>37</v>
      </c>
      <c r="BV26" s="7" t="n">
        <v>4.47</v>
      </c>
      <c r="BW26" s="6" t="n">
        <v>30.5</v>
      </c>
      <c r="BX26" s="9" t="n">
        <v>0.0262</v>
      </c>
      <c r="BY26" s="9" t="n">
        <v>0.2292</v>
      </c>
      <c r="BZ26" s="8" t="n">
        <v>15</v>
      </c>
      <c r="CA26" s="10" t="n">
        <v>0.026</v>
      </c>
      <c r="CB26" s="8" t="n">
        <v>0</v>
      </c>
      <c r="CC26" s="10" t="n">
        <v>0</v>
      </c>
      <c r="CD26" s="8" t="n">
        <v>1</v>
      </c>
      <c r="CE26" s="7" t="n">
        <v>0.491</v>
      </c>
      <c r="CF26" s="7" t="n">
        <v>0.49</v>
      </c>
      <c r="CG26" s="4" t="s">
        <v>232</v>
      </c>
      <c r="CH26" s="4"/>
    </row>
    <row r="27" customFormat="false" ht="15" hidden="false" customHeight="false" outlineLevel="0" collapsed="false">
      <c r="A27" s="3" t="n">
        <v>25</v>
      </c>
      <c r="B27" s="4" t="s">
        <v>236</v>
      </c>
      <c r="C27" s="5" t="s">
        <v>99</v>
      </c>
      <c r="D27" s="4" t="s">
        <v>237</v>
      </c>
      <c r="E27" s="4" t="s">
        <v>147</v>
      </c>
      <c r="F27" s="4" t="s">
        <v>99</v>
      </c>
      <c r="G27" s="3" t="n">
        <v>1</v>
      </c>
      <c r="H27" s="6" t="n">
        <v>29.3</v>
      </c>
      <c r="I27" s="3" t="n">
        <v>9</v>
      </c>
      <c r="J27" s="3" t="n">
        <v>7</v>
      </c>
      <c r="K27" s="7" t="n">
        <v>52.14</v>
      </c>
      <c r="L27" s="7" t="n">
        <v>9.31</v>
      </c>
      <c r="M27" s="8" t="n">
        <v>28</v>
      </c>
      <c r="N27" s="8" t="n">
        <v>76</v>
      </c>
      <c r="O27" s="7" t="n">
        <v>52.14</v>
      </c>
      <c r="P27" s="6" t="n">
        <v>92.5</v>
      </c>
      <c r="Q27" s="4" t="s">
        <v>203</v>
      </c>
      <c r="R27" s="8" t="n">
        <v>17</v>
      </c>
      <c r="S27" s="6" t="n">
        <v>172.18</v>
      </c>
      <c r="T27" s="7" t="n">
        <f aca="false">IFERROR(S27/R27,"")</f>
        <v>10.1282352941176</v>
      </c>
      <c r="U27" s="6" t="n">
        <v>147.18</v>
      </c>
      <c r="V27" s="6" t="n">
        <v>122.18</v>
      </c>
      <c r="W27" s="8" t="n">
        <v>34</v>
      </c>
      <c r="X27" s="7" t="n">
        <f aca="false">IFERROR(S27/AH27,"")</f>
        <v>1.7218</v>
      </c>
      <c r="Y27" s="9" t="n">
        <f aca="false">IFERROR(S27/AF27,"")</f>
        <v>0.175873340143003</v>
      </c>
      <c r="Z27" s="6" t="n">
        <v>3.1</v>
      </c>
      <c r="AA27" s="6" t="n">
        <v>8.2</v>
      </c>
      <c r="AB27" s="6" t="n">
        <v>22.5</v>
      </c>
      <c r="AC27" s="10" t="n">
        <v>0.235</v>
      </c>
      <c r="AD27" s="10" t="n">
        <v>0.176</v>
      </c>
      <c r="AE27" s="7" t="n">
        <v>0.999</v>
      </c>
      <c r="AF27" s="8" t="n">
        <v>979</v>
      </c>
      <c r="AG27" s="10" t="n">
        <v>0.848</v>
      </c>
      <c r="AH27" s="8" t="n">
        <v>100</v>
      </c>
      <c r="AI27" s="8" t="n">
        <v>85</v>
      </c>
      <c r="AJ27" s="6" t="n">
        <f aca="false">IFERROR(AI27/R27,"")</f>
        <v>5</v>
      </c>
      <c r="AK27" s="10" t="n">
        <v>0.1598</v>
      </c>
      <c r="AL27" s="10" t="n">
        <v>0.2178</v>
      </c>
      <c r="AM27" s="9" t="n">
        <v>0.3922</v>
      </c>
      <c r="AN27" s="8" t="n">
        <v>50</v>
      </c>
      <c r="AO27" s="10" t="n">
        <f aca="false">IFERROR(AN27/AI27,"")</f>
        <v>0.588235294117647</v>
      </c>
      <c r="AP27" s="8" t="n">
        <v>682</v>
      </c>
      <c r="AQ27" s="7" t="n">
        <f aca="false">IFERROR(AP27/AI27,"")</f>
        <v>8.02352941176471</v>
      </c>
      <c r="AR27" s="6" t="n">
        <v>11.624</v>
      </c>
      <c r="AS27" s="7" t="n">
        <v>4.44</v>
      </c>
      <c r="AT27" s="7" t="n">
        <v>0.69</v>
      </c>
      <c r="AU27" s="7" t="n">
        <v>3.27176519102965</v>
      </c>
      <c r="AV27" s="7" t="n">
        <v>6.81285714285714</v>
      </c>
      <c r="AW27" s="7" t="n">
        <v>0.609919475583935</v>
      </c>
      <c r="AX27" s="10" t="n">
        <v>0.0353</v>
      </c>
      <c r="AY27" s="8" t="n">
        <v>13</v>
      </c>
      <c r="AZ27" s="8" t="n">
        <v>7</v>
      </c>
      <c r="BA27" s="8" t="n">
        <v>5</v>
      </c>
      <c r="BB27" s="8" t="n">
        <v>7</v>
      </c>
      <c r="BC27" s="7" t="n">
        <v>5.38</v>
      </c>
      <c r="BD27" s="7" t="n">
        <f aca="false">IFERROR(BB27-BC27,"")</f>
        <v>1.62</v>
      </c>
      <c r="BE27" s="9" t="n">
        <f aca="false">IFERROR(BB27/AH27,"")</f>
        <v>0.07</v>
      </c>
      <c r="BF27" s="6" t="n">
        <v>73.6</v>
      </c>
      <c r="BG27" s="6" t="n">
        <v>72.8</v>
      </c>
      <c r="BH27" s="6" t="n">
        <v>64.4</v>
      </c>
      <c r="BI27" s="7" t="n">
        <v>3.397</v>
      </c>
      <c r="BJ27" s="10" t="n">
        <v>0.1265</v>
      </c>
      <c r="BK27" s="10" t="n">
        <v>0.540540540540541</v>
      </c>
      <c r="BL27" s="7" t="n">
        <v>2.905</v>
      </c>
      <c r="BM27" s="10" t="n">
        <v>0.2</v>
      </c>
      <c r="BN27" s="10" t="n">
        <v>0.0702</v>
      </c>
      <c r="BO27" s="7" t="n">
        <v>2.507</v>
      </c>
      <c r="BP27" s="10" t="n">
        <v>0.763</v>
      </c>
      <c r="BQ27" s="8" t="n">
        <v>4</v>
      </c>
      <c r="BR27" s="10" t="n">
        <v>-0.0352</v>
      </c>
      <c r="BS27" s="10" t="n">
        <v>0.5028</v>
      </c>
      <c r="BT27" s="6" t="n">
        <v>62.65</v>
      </c>
      <c r="BU27" s="6" t="n">
        <v>40</v>
      </c>
      <c r="BV27" s="7" t="n">
        <v>4</v>
      </c>
      <c r="BW27" s="6" t="n">
        <v>28.3</v>
      </c>
      <c r="BX27" s="9" t="n">
        <v>0.1102</v>
      </c>
      <c r="BY27" s="9" t="n">
        <v>0.1599</v>
      </c>
      <c r="BZ27" s="8" t="n">
        <v>19</v>
      </c>
      <c r="CA27" s="10" t="n">
        <v>0.04</v>
      </c>
      <c r="CB27" s="8" t="n">
        <v>17</v>
      </c>
      <c r="CC27" s="10" t="n">
        <v>0.031</v>
      </c>
      <c r="CD27" s="8" t="n">
        <v>2</v>
      </c>
      <c r="CE27" s="7" t="n">
        <v>-0.569</v>
      </c>
      <c r="CF27" s="7" t="n">
        <v>-1.096</v>
      </c>
      <c r="CG27" s="4" t="s">
        <v>121</v>
      </c>
      <c r="CH27" s="4"/>
    </row>
    <row r="28" customFormat="false" ht="15" hidden="false" customHeight="false" outlineLevel="0" collapsed="false">
      <c r="A28" s="3" t="n">
        <v>26</v>
      </c>
      <c r="B28" s="4" t="s">
        <v>240</v>
      </c>
      <c r="C28" s="5" t="s">
        <v>99</v>
      </c>
      <c r="D28" s="4" t="s">
        <v>241</v>
      </c>
      <c r="E28" s="4" t="s">
        <v>124</v>
      </c>
      <c r="F28" s="4" t="s">
        <v>99</v>
      </c>
      <c r="G28" s="3" t="n">
        <v>1</v>
      </c>
      <c r="H28" s="6" t="n">
        <v>33</v>
      </c>
      <c r="I28" s="3" t="n">
        <v>13</v>
      </c>
      <c r="J28" s="3" t="n">
        <v>8</v>
      </c>
      <c r="K28" s="7" t="n">
        <v>54.06</v>
      </c>
      <c r="L28" s="7" t="n">
        <v>9.53</v>
      </c>
      <c r="M28" s="8" t="n">
        <v>38</v>
      </c>
      <c r="N28" s="8" t="n">
        <v>82</v>
      </c>
      <c r="O28" s="7" t="n">
        <v>54.06</v>
      </c>
      <c r="P28" s="6" t="n">
        <v>90.6</v>
      </c>
      <c r="Q28" s="4" t="s">
        <v>198</v>
      </c>
      <c r="R28" s="8" t="n">
        <v>8</v>
      </c>
      <c r="S28" s="6" t="n">
        <v>84.8</v>
      </c>
      <c r="T28" s="7" t="n">
        <f aca="false">IFERROR(S28/R28,"")</f>
        <v>10.6</v>
      </c>
      <c r="U28" s="6" t="n">
        <v>69.8</v>
      </c>
      <c r="V28" s="6" t="n">
        <v>54.8</v>
      </c>
      <c r="W28" s="8" t="n">
        <v>66</v>
      </c>
      <c r="X28" s="7" t="n">
        <f aca="false">IFERROR(S28/AH28,"")</f>
        <v>1.36774193548387</v>
      </c>
      <c r="Y28" s="9" t="n">
        <f aca="false">IFERROR(S28/AF28,"")</f>
        <v>0.237535014005602</v>
      </c>
      <c r="Z28" s="6" t="n">
        <v>8.93</v>
      </c>
      <c r="AA28" s="6" t="n">
        <v>11.35</v>
      </c>
      <c r="AB28" s="6" t="n">
        <v>14.06</v>
      </c>
      <c r="AC28" s="10" t="n">
        <v>0.125</v>
      </c>
      <c r="AD28" s="10" t="n">
        <v>0.125</v>
      </c>
      <c r="AE28" s="7" t="n">
        <v>0.511</v>
      </c>
      <c r="AF28" s="8" t="n">
        <v>357</v>
      </c>
      <c r="AG28" s="10" t="n">
        <v>0.656</v>
      </c>
      <c r="AH28" s="8" t="n">
        <v>62</v>
      </c>
      <c r="AI28" s="8" t="n">
        <v>62</v>
      </c>
      <c r="AJ28" s="6" t="n">
        <f aca="false">IFERROR(AI28/R28,"")</f>
        <v>7.75</v>
      </c>
      <c r="AK28" s="10" t="n">
        <v>0.2313</v>
      </c>
      <c r="AL28" s="10" t="n">
        <v>0.3523</v>
      </c>
      <c r="AM28" s="9" t="n">
        <v>0.5936</v>
      </c>
      <c r="AN28" s="8" t="n">
        <v>30</v>
      </c>
      <c r="AO28" s="10" t="n">
        <f aca="false">IFERROR(AN28/AI28,"")</f>
        <v>0.483870967741936</v>
      </c>
      <c r="AP28" s="8" t="n">
        <v>368</v>
      </c>
      <c r="AQ28" s="7" t="n">
        <f aca="false">IFERROR(AP28/AI28,"")</f>
        <v>5.93548387096774</v>
      </c>
      <c r="AR28" s="6" t="n">
        <v>13.29</v>
      </c>
      <c r="AS28" s="7" t="n">
        <v>1.233</v>
      </c>
      <c r="AT28" s="7" t="n">
        <v>0.447</v>
      </c>
      <c r="AU28" s="7" t="n">
        <v>1.92025651621461</v>
      </c>
      <c r="AV28" s="7" t="n">
        <v>5.43129032258065</v>
      </c>
      <c r="AW28" s="7" t="n">
        <v>-0.618479592727009</v>
      </c>
      <c r="AX28" s="10" t="n">
        <v>0.0323</v>
      </c>
      <c r="AY28" s="8" t="n">
        <v>9</v>
      </c>
      <c r="AZ28" s="8" t="n">
        <v>5</v>
      </c>
      <c r="BA28" s="8" t="n">
        <v>5</v>
      </c>
      <c r="BB28" s="8" t="n">
        <v>3</v>
      </c>
      <c r="BC28" s="7" t="n">
        <v>3.99</v>
      </c>
      <c r="BD28" s="7" t="n">
        <f aca="false">IFERROR(BB28-BC28,"")</f>
        <v>-0.99</v>
      </c>
      <c r="BE28" s="9" t="n">
        <f aca="false">IFERROR(BB28/AH28,"")</f>
        <v>0.0483870967741936</v>
      </c>
      <c r="BF28" s="6" t="n">
        <v>63.3</v>
      </c>
      <c r="BG28" s="6" t="n">
        <v>46.4</v>
      </c>
      <c r="BH28" s="6" t="n">
        <v>74.5</v>
      </c>
      <c r="BI28" s="7" t="n">
        <v>2.906</v>
      </c>
      <c r="BJ28" s="10" t="n">
        <v>0.1848</v>
      </c>
      <c r="BK28" s="10" t="n">
        <v>0.655172413793103</v>
      </c>
      <c r="BL28" s="7" t="n">
        <v>2.349</v>
      </c>
      <c r="BM28" s="10" t="n">
        <v>0.2125</v>
      </c>
      <c r="BN28" s="10" t="n">
        <v>0.0428</v>
      </c>
      <c r="BO28" s="7" t="n">
        <v>2.547</v>
      </c>
      <c r="BP28" s="10" t="n">
        <v>0.852</v>
      </c>
      <c r="BQ28" s="8" t="n">
        <v>4</v>
      </c>
      <c r="BR28" s="10" t="n">
        <v>-0.0088</v>
      </c>
      <c r="BS28" s="10" t="n">
        <v>0.5521</v>
      </c>
      <c r="BT28" s="6" t="n">
        <v>62.65</v>
      </c>
      <c r="BU28" s="6" t="n">
        <v>38</v>
      </c>
      <c r="BV28" s="7" t="n">
        <v>3.88</v>
      </c>
      <c r="BW28" s="6" t="n">
        <v>25.7</v>
      </c>
      <c r="BX28" s="9" t="n">
        <v>-0.0044</v>
      </c>
      <c r="BY28" s="9" t="n">
        <v>0.1587</v>
      </c>
      <c r="BZ28" s="8" t="n">
        <v>170</v>
      </c>
      <c r="CA28" s="10" t="n">
        <v>0.309</v>
      </c>
      <c r="CB28" s="8" t="n">
        <v>94</v>
      </c>
      <c r="CC28" s="10" t="n">
        <v>0.195</v>
      </c>
      <c r="CD28" s="8" t="n">
        <v>38</v>
      </c>
      <c r="CE28" s="7" t="n">
        <v>-1.936</v>
      </c>
      <c r="CF28" s="7" t="n">
        <v>-0.885</v>
      </c>
      <c r="CG28" s="4" t="s">
        <v>165</v>
      </c>
      <c r="CH28" s="4"/>
    </row>
    <row r="29" customFormat="false" ht="15" hidden="false" customHeight="false" outlineLevel="0" collapsed="false">
      <c r="A29" s="3" t="n">
        <v>27</v>
      </c>
      <c r="B29" s="4" t="s">
        <v>244</v>
      </c>
      <c r="C29" s="5" t="s">
        <v>99</v>
      </c>
      <c r="D29" s="4" t="s">
        <v>245</v>
      </c>
      <c r="E29" s="4" t="s">
        <v>106</v>
      </c>
      <c r="F29" s="4" t="s">
        <v>99</v>
      </c>
      <c r="G29" s="3" t="n">
        <v>2</v>
      </c>
      <c r="H29" s="6" t="n">
        <v>25.4</v>
      </c>
      <c r="I29" s="3" t="n">
        <v>5</v>
      </c>
      <c r="J29" s="3" t="n">
        <v>6</v>
      </c>
      <c r="K29" s="7" t="n">
        <v>56.01</v>
      </c>
      <c r="L29" s="7" t="n">
        <v>9.85</v>
      </c>
      <c r="M29" s="8" t="n">
        <v>42</v>
      </c>
      <c r="N29" s="8" t="n">
        <v>100</v>
      </c>
      <c r="O29" s="7" t="n">
        <v>56.01</v>
      </c>
      <c r="P29" s="6" t="n">
        <v>93.5</v>
      </c>
      <c r="Q29" s="4" t="s">
        <v>106</v>
      </c>
      <c r="R29" s="8" t="n">
        <v>17</v>
      </c>
      <c r="S29" s="6" t="n">
        <v>219.9</v>
      </c>
      <c r="T29" s="7" t="n">
        <f aca="false">IFERROR(S29/R29,"")</f>
        <v>12.9352941176471</v>
      </c>
      <c r="U29" s="6" t="n">
        <v>187.4</v>
      </c>
      <c r="V29" s="6" t="n">
        <v>154.9</v>
      </c>
      <c r="W29" s="8" t="n">
        <v>12</v>
      </c>
      <c r="X29" s="7" t="n">
        <f aca="false">IFERROR(S29/AH29,"")</f>
        <v>2.03611111111111</v>
      </c>
      <c r="Y29" s="9" t="n">
        <f aca="false">IFERROR(S29/AF29,"")</f>
        <v>0.221673387096774</v>
      </c>
      <c r="Z29" s="6" t="n">
        <v>5.7</v>
      </c>
      <c r="AA29" s="6" t="n">
        <v>13.4</v>
      </c>
      <c r="AB29" s="6" t="n">
        <v>22.22</v>
      </c>
      <c r="AC29" s="10" t="n">
        <v>0.412</v>
      </c>
      <c r="AD29" s="10" t="n">
        <v>0.176</v>
      </c>
      <c r="AE29" s="7" t="n">
        <v>0.669</v>
      </c>
      <c r="AF29" s="8" t="n">
        <v>992</v>
      </c>
      <c r="AG29" s="10" t="n">
        <v>0.902</v>
      </c>
      <c r="AH29" s="8" t="n">
        <v>108</v>
      </c>
      <c r="AI29" s="8" t="n">
        <v>102</v>
      </c>
      <c r="AJ29" s="6" t="n">
        <f aca="false">IFERROR(AI29/R29,"")</f>
        <v>6</v>
      </c>
      <c r="AK29" s="10" t="n">
        <v>0.1855</v>
      </c>
      <c r="AL29" s="10" t="n">
        <v>0.3509</v>
      </c>
      <c r="AM29" s="9" t="n">
        <v>0.5239</v>
      </c>
      <c r="AN29" s="8" t="n">
        <v>65</v>
      </c>
      <c r="AO29" s="10" t="n">
        <f aca="false">IFERROR(AN29/AI29,"")</f>
        <v>0.637254901960784</v>
      </c>
      <c r="AP29" s="8" t="n">
        <v>1117</v>
      </c>
      <c r="AQ29" s="7" t="n">
        <f aca="false">IFERROR(AP29/AI29,"")</f>
        <v>10.9509803921569</v>
      </c>
      <c r="AR29" s="6" t="n">
        <v>12.637</v>
      </c>
      <c r="AS29" s="7" t="n">
        <v>6.785</v>
      </c>
      <c r="AT29" s="7" t="n">
        <v>0.867</v>
      </c>
      <c r="AU29" s="7" t="n">
        <v>3.18467772579633</v>
      </c>
      <c r="AV29" s="7" t="n">
        <v>6.05530612244898</v>
      </c>
      <c r="AW29" s="7" t="n">
        <v>1.8409826626013</v>
      </c>
      <c r="AX29" s="10" t="n">
        <v>0.1176</v>
      </c>
      <c r="AY29" s="8" t="n">
        <v>10</v>
      </c>
      <c r="AZ29" s="8" t="n">
        <v>5</v>
      </c>
      <c r="BA29" s="8" t="n">
        <v>1</v>
      </c>
      <c r="BB29" s="8" t="n">
        <v>7</v>
      </c>
      <c r="BC29" s="7" t="n">
        <v>4.16</v>
      </c>
      <c r="BD29" s="7" t="n">
        <f aca="false">IFERROR(BB29-BC29,"")</f>
        <v>2.84</v>
      </c>
      <c r="BE29" s="9" t="n">
        <f aca="false">IFERROR(BB29/AH29,"")</f>
        <v>0.0648148148148148</v>
      </c>
      <c r="BF29" s="6" t="n">
        <v>46.7</v>
      </c>
      <c r="BG29" s="6" t="n">
        <v>50</v>
      </c>
      <c r="BH29" s="6" t="n">
        <v>44.8</v>
      </c>
      <c r="BI29" s="7" t="n">
        <v>2.796</v>
      </c>
      <c r="BJ29" s="10" t="n">
        <v>0.1795</v>
      </c>
      <c r="BK29" s="10" t="n">
        <v>0.645161290322581</v>
      </c>
      <c r="BL29" s="7" t="n">
        <v>2.844</v>
      </c>
      <c r="BM29" s="10" t="n">
        <v>0.2646</v>
      </c>
      <c r="BN29" s="10" t="n">
        <v>0.0608</v>
      </c>
      <c r="BO29" s="7" t="n">
        <v>2.297</v>
      </c>
      <c r="BP29" s="10" t="n">
        <v>0.521</v>
      </c>
      <c r="BQ29" s="8" t="n">
        <v>3</v>
      </c>
      <c r="BR29" s="10" t="n">
        <v>-0.0456</v>
      </c>
      <c r="BS29" s="10" t="n">
        <v>0.5469</v>
      </c>
      <c r="BT29" s="6" t="n">
        <v>61.82</v>
      </c>
      <c r="BU29" s="6" t="n">
        <v>38</v>
      </c>
      <c r="BV29" s="7" t="n">
        <v>3.82</v>
      </c>
      <c r="BW29" s="6" t="n">
        <v>28.3</v>
      </c>
      <c r="BX29" s="9" t="n">
        <v>-0.0408</v>
      </c>
      <c r="BY29" s="9" t="n">
        <v>0.1681</v>
      </c>
      <c r="BZ29" s="8" t="n">
        <v>79</v>
      </c>
      <c r="CA29" s="10" t="n">
        <v>0.144</v>
      </c>
      <c r="CB29" s="8" t="n">
        <v>167</v>
      </c>
      <c r="CC29" s="10" t="n">
        <v>0.378</v>
      </c>
      <c r="CD29" s="8" t="n">
        <v>45</v>
      </c>
      <c r="CE29" s="7" t="n">
        <v>0.466</v>
      </c>
      <c r="CF29" s="7" t="n">
        <v>0.027</v>
      </c>
      <c r="CG29" s="4" t="s">
        <v>232</v>
      </c>
      <c r="CH29" s="4"/>
    </row>
    <row r="30" customFormat="false" ht="15" hidden="false" customHeight="false" outlineLevel="0" collapsed="false">
      <c r="A30" s="3" t="n">
        <v>28</v>
      </c>
      <c r="B30" s="4" t="s">
        <v>246</v>
      </c>
      <c r="C30" s="5" t="s">
        <v>99</v>
      </c>
      <c r="D30" s="4" t="s">
        <v>247</v>
      </c>
      <c r="E30" s="4" t="s">
        <v>218</v>
      </c>
      <c r="F30" s="4" t="s">
        <v>99</v>
      </c>
      <c r="G30" s="3" t="n">
        <v>1</v>
      </c>
      <c r="H30" s="6" t="n">
        <v>27.3</v>
      </c>
      <c r="I30" s="3" t="n">
        <v>5</v>
      </c>
      <c r="J30" s="3" t="n">
        <v>11</v>
      </c>
      <c r="K30" s="7" t="n">
        <v>56.57</v>
      </c>
      <c r="L30" s="7" t="n">
        <v>12.34</v>
      </c>
      <c r="M30" s="8" t="n">
        <v>40</v>
      </c>
      <c r="N30" s="8" t="n">
        <v>115</v>
      </c>
      <c r="O30" s="7" t="n">
        <v>56.57</v>
      </c>
      <c r="P30" s="6" t="n">
        <v>88.9</v>
      </c>
      <c r="Q30" s="4" t="s">
        <v>218</v>
      </c>
      <c r="R30" s="8" t="n">
        <v>10</v>
      </c>
      <c r="S30" s="6" t="n">
        <v>132.4</v>
      </c>
      <c r="T30" s="7" t="n">
        <f aca="false">IFERROR(S30/R30,"")</f>
        <v>13.24</v>
      </c>
      <c r="U30" s="6" t="n">
        <v>114.9</v>
      </c>
      <c r="V30" s="6" t="n">
        <v>97.4</v>
      </c>
      <c r="W30" s="8" t="n">
        <v>45</v>
      </c>
      <c r="X30" s="7" t="n">
        <f aca="false">IFERROR(S30/AH30,"")</f>
        <v>2.36428571428571</v>
      </c>
      <c r="Y30" s="9" t="n">
        <f aca="false">IFERROR(S30/AF30,"")</f>
        <v>0.316746411483254</v>
      </c>
      <c r="Z30" s="6" t="n">
        <v>6.82</v>
      </c>
      <c r="AA30" s="6" t="n">
        <v>11.2</v>
      </c>
      <c r="AB30" s="6" t="n">
        <v>21.7</v>
      </c>
      <c r="AC30" s="10" t="n">
        <v>0.4</v>
      </c>
      <c r="AD30" s="10" t="n">
        <v>0</v>
      </c>
      <c r="AE30" s="7" t="n">
        <v>0.685</v>
      </c>
      <c r="AF30" s="8" t="n">
        <v>418</v>
      </c>
      <c r="AG30" s="10" t="n">
        <v>0.677</v>
      </c>
      <c r="AH30" s="8" t="n">
        <v>56</v>
      </c>
      <c r="AI30" s="8" t="n">
        <v>55</v>
      </c>
      <c r="AJ30" s="6" t="n">
        <f aca="false">IFERROR(AI30/R30,"")</f>
        <v>5.5</v>
      </c>
      <c r="AK30" s="10" t="n">
        <v>0.1923</v>
      </c>
      <c r="AL30" s="10" t="n">
        <v>0.358</v>
      </c>
      <c r="AM30" s="9" t="n">
        <v>0.539</v>
      </c>
      <c r="AN30" s="8" t="n">
        <v>35</v>
      </c>
      <c r="AO30" s="10" t="n">
        <f aca="false">IFERROR(AN30/AI30,"")</f>
        <v>0.636363636363636</v>
      </c>
      <c r="AP30" s="8" t="n">
        <v>611</v>
      </c>
      <c r="AQ30" s="7" t="n">
        <f aca="false">IFERROR(AP30/AI30,"")</f>
        <v>11.1090909090909</v>
      </c>
      <c r="AR30" s="6" t="n">
        <v>17.764</v>
      </c>
      <c r="AS30" s="7" t="n">
        <v>3.371</v>
      </c>
      <c r="AT30" s="7" t="n">
        <v>0.625</v>
      </c>
      <c r="AU30" s="7" t="n">
        <v>2.00446053806061</v>
      </c>
      <c r="AV30" s="7" t="n">
        <v>6.37927272727273</v>
      </c>
      <c r="AW30" s="7" t="n">
        <v>0.744969567726137</v>
      </c>
      <c r="AX30" s="10" t="n">
        <v>0.0182</v>
      </c>
      <c r="AY30" s="8" t="n">
        <v>7</v>
      </c>
      <c r="AZ30" s="8" t="n">
        <v>4</v>
      </c>
      <c r="BA30" s="8" t="n">
        <v>2</v>
      </c>
      <c r="BB30" s="8" t="n">
        <v>6</v>
      </c>
      <c r="BC30" s="7" t="n">
        <v>2.54</v>
      </c>
      <c r="BD30" s="7" t="n">
        <f aca="false">IFERROR(BB30-BC30,"")</f>
        <v>3.46</v>
      </c>
      <c r="BE30" s="9" t="n">
        <f aca="false">IFERROR(BB30/AH30,"")</f>
        <v>0.107142857142857</v>
      </c>
      <c r="BF30" s="6" t="n">
        <v>52.5</v>
      </c>
      <c r="BG30" s="6" t="n">
        <v>45.3</v>
      </c>
      <c r="BH30" s="6" t="n">
        <v>58.7</v>
      </c>
      <c r="BI30" s="7" t="n">
        <v>2.905</v>
      </c>
      <c r="BJ30" s="10" t="n">
        <v>0.1629</v>
      </c>
      <c r="BK30" s="10" t="n">
        <v>0.604651162790698</v>
      </c>
      <c r="BL30" s="7" t="n">
        <v>2.199</v>
      </c>
      <c r="BM30" s="10" t="n">
        <v>0.2454</v>
      </c>
      <c r="BN30" s="10" t="n">
        <v>0.0493</v>
      </c>
      <c r="BO30" s="7" t="n">
        <v>2.41</v>
      </c>
      <c r="BP30" s="10" t="n">
        <v>0.704</v>
      </c>
      <c r="BQ30" s="8" t="n">
        <v>4</v>
      </c>
      <c r="BR30" s="10" t="n">
        <v>-0.0441</v>
      </c>
      <c r="BS30" s="10" t="n">
        <v>0.5063</v>
      </c>
      <c r="BT30" s="6" t="n">
        <v>58.41</v>
      </c>
      <c r="BU30" s="6" t="n">
        <v>39</v>
      </c>
      <c r="BV30" s="7" t="n">
        <v>3.47</v>
      </c>
      <c r="BW30" s="6" t="n">
        <v>23</v>
      </c>
      <c r="BX30" s="9" t="n">
        <v>-0.0102</v>
      </c>
      <c r="BY30" s="9" t="n">
        <v>0.229</v>
      </c>
      <c r="BZ30" s="8" t="n">
        <v>155</v>
      </c>
      <c r="CA30" s="10" t="n">
        <v>0.337</v>
      </c>
      <c r="CB30" s="8" t="n">
        <v>148</v>
      </c>
      <c r="CC30" s="10" t="n">
        <v>0.301</v>
      </c>
      <c r="CD30" s="8" t="n">
        <v>52</v>
      </c>
      <c r="CE30" s="7" t="n">
        <v>-0.945</v>
      </c>
      <c r="CF30" s="7" t="n">
        <v>0.194</v>
      </c>
      <c r="CG30" s="4" t="s">
        <v>121</v>
      </c>
      <c r="CH30" s="4"/>
    </row>
    <row r="31" customFormat="false" ht="15" hidden="false" customHeight="false" outlineLevel="0" collapsed="false">
      <c r="A31" s="3" t="n">
        <v>29</v>
      </c>
      <c r="B31" s="4" t="s">
        <v>252</v>
      </c>
      <c r="C31" s="5" t="s">
        <v>99</v>
      </c>
      <c r="D31" s="4" t="s">
        <v>253</v>
      </c>
      <c r="E31" s="4" t="s">
        <v>203</v>
      </c>
      <c r="F31" s="4" t="s">
        <v>99</v>
      </c>
      <c r="G31" s="3" t="n">
        <v>1</v>
      </c>
      <c r="H31" s="6" t="n">
        <v>24.2</v>
      </c>
      <c r="I31" s="3" t="n">
        <v>3</v>
      </c>
      <c r="J31" s="3" t="n">
        <v>10</v>
      </c>
      <c r="K31" s="7" t="n">
        <v>59.12</v>
      </c>
      <c r="L31" s="7" t="n">
        <v>8.06</v>
      </c>
      <c r="M31" s="8" t="n">
        <v>42</v>
      </c>
      <c r="N31" s="8" t="n">
        <v>82</v>
      </c>
      <c r="O31" s="7" t="n">
        <v>59.12</v>
      </c>
      <c r="P31" s="6" t="n">
        <v>91.9</v>
      </c>
      <c r="Q31" s="4" t="s">
        <v>203</v>
      </c>
      <c r="R31" s="8" t="n">
        <v>12</v>
      </c>
      <c r="S31" s="6" t="n">
        <v>146.1</v>
      </c>
      <c r="T31" s="7" t="n">
        <f aca="false">IFERROR(S31/R31,"")</f>
        <v>12.175</v>
      </c>
      <c r="U31" s="6" t="n">
        <v>124.1</v>
      </c>
      <c r="V31" s="6" t="n">
        <v>102.1</v>
      </c>
      <c r="W31" s="8" t="n">
        <v>41</v>
      </c>
      <c r="X31" s="7" t="n">
        <f aca="false">IFERROR(S31/AH31,"")</f>
        <v>1.62333333333333</v>
      </c>
      <c r="Y31" s="9" t="n">
        <f aca="false">IFERROR(S31/AF31,"")</f>
        <v>0.199317871759891</v>
      </c>
      <c r="Z31" s="6" t="n">
        <v>5.18</v>
      </c>
      <c r="AA31" s="6" t="n">
        <v>11.75</v>
      </c>
      <c r="AB31" s="6" t="n">
        <v>19.17</v>
      </c>
      <c r="AC31" s="10" t="n">
        <v>0.25</v>
      </c>
      <c r="AD31" s="10" t="n">
        <v>0.083</v>
      </c>
      <c r="AE31" s="7" t="n">
        <v>0.781</v>
      </c>
      <c r="AF31" s="8" t="n">
        <v>733</v>
      </c>
      <c r="AG31" s="10" t="n">
        <v>0.881</v>
      </c>
      <c r="AH31" s="8" t="n">
        <v>90</v>
      </c>
      <c r="AI31" s="8" t="n">
        <v>90</v>
      </c>
      <c r="AJ31" s="6" t="n">
        <f aca="false">IFERROR(AI31/R31,"")</f>
        <v>7.5</v>
      </c>
      <c r="AK31" s="10" t="n">
        <v>0.2368</v>
      </c>
      <c r="AL31" s="10" t="n">
        <v>0.3818</v>
      </c>
      <c r="AM31" s="9" t="n">
        <v>0.6225</v>
      </c>
      <c r="AN31" s="8" t="n">
        <v>44</v>
      </c>
      <c r="AO31" s="10" t="n">
        <f aca="false">IFERROR(AN31/AI31,"")</f>
        <v>0.488888888888889</v>
      </c>
      <c r="AP31" s="8" t="n">
        <v>661</v>
      </c>
      <c r="AQ31" s="7" t="n">
        <f aca="false">IFERROR(AP31/AI31,"")</f>
        <v>7.34444444444444</v>
      </c>
      <c r="AR31" s="6" t="n">
        <v>13.911</v>
      </c>
      <c r="AS31" s="7" t="n">
        <v>4.864</v>
      </c>
      <c r="AT31" s="7" t="n">
        <v>0.528</v>
      </c>
      <c r="AU31" s="7" t="n">
        <v>2.98158031007651</v>
      </c>
      <c r="AV31" s="7" t="n">
        <v>6.43952941176471</v>
      </c>
      <c r="AW31" s="7" t="n">
        <v>0.974928948980017</v>
      </c>
      <c r="AX31" s="10" t="n">
        <v>0.0222</v>
      </c>
      <c r="AY31" s="8" t="n">
        <v>12</v>
      </c>
      <c r="AZ31" s="8" t="n">
        <v>5</v>
      </c>
      <c r="BA31" s="8" t="n">
        <v>4</v>
      </c>
      <c r="BB31" s="8" t="n">
        <v>6</v>
      </c>
      <c r="BC31" s="7" t="n">
        <v>4.78</v>
      </c>
      <c r="BD31" s="7" t="n">
        <f aca="false">IFERROR(BB31-BC31,"")</f>
        <v>1.22</v>
      </c>
      <c r="BE31" s="9" t="n">
        <f aca="false">IFERROR(BB31/AH31,"")</f>
        <v>0.0666666666666667</v>
      </c>
      <c r="BF31" s="6" t="n">
        <v>76.3</v>
      </c>
      <c r="BG31" s="6" t="n">
        <v>80.3</v>
      </c>
      <c r="BH31" s="6" t="n">
        <v>61.1</v>
      </c>
      <c r="BI31" s="7" t="n">
        <v>3.337</v>
      </c>
      <c r="BJ31" s="10" t="n">
        <v>0.1354</v>
      </c>
      <c r="BK31" s="10" t="n">
        <v>0.794117647058824</v>
      </c>
      <c r="BL31" s="7" t="n">
        <v>3.125</v>
      </c>
      <c r="BM31" s="10" t="n">
        <v>0.2787</v>
      </c>
      <c r="BN31" s="10" t="n">
        <v>0.0358</v>
      </c>
      <c r="BO31" s="7" t="n">
        <v>2.496</v>
      </c>
      <c r="BP31" s="10" t="n">
        <v>0.802</v>
      </c>
      <c r="BQ31" s="8" t="n">
        <v>4</v>
      </c>
      <c r="BR31" s="10" t="n">
        <v>-0.039</v>
      </c>
      <c r="BS31" s="10" t="n">
        <v>0.5233</v>
      </c>
      <c r="BT31" s="6" t="n">
        <v>64.47</v>
      </c>
      <c r="BU31" s="6" t="n">
        <v>37</v>
      </c>
      <c r="BV31" s="7" t="n">
        <v>3.41</v>
      </c>
      <c r="BW31" s="6" t="n">
        <v>25.9</v>
      </c>
      <c r="BX31" s="9" t="n">
        <v>0.0786</v>
      </c>
      <c r="BY31" s="9" t="n">
        <v>0.0802</v>
      </c>
      <c r="BZ31" s="8" t="n">
        <v>161</v>
      </c>
      <c r="CA31" s="10" t="n">
        <v>0.303</v>
      </c>
      <c r="CB31" s="8" t="n">
        <v>20</v>
      </c>
      <c r="CC31" s="10" t="n">
        <v>0.04</v>
      </c>
      <c r="CD31" s="8" t="n">
        <v>26</v>
      </c>
      <c r="CE31" s="7" t="n">
        <v>-0.734</v>
      </c>
      <c r="CF31" s="7" t="n">
        <v>-0.165</v>
      </c>
      <c r="CG31" s="4" t="s">
        <v>121</v>
      </c>
      <c r="CH31" s="4"/>
    </row>
    <row r="32" customFormat="false" ht="15" hidden="false" customHeight="false" outlineLevel="0" collapsed="false">
      <c r="A32" s="3" t="n">
        <v>30</v>
      </c>
      <c r="B32" s="4" t="s">
        <v>263</v>
      </c>
      <c r="C32" s="5" t="s">
        <v>99</v>
      </c>
      <c r="D32" s="4" t="s">
        <v>264</v>
      </c>
      <c r="E32" s="4" t="s">
        <v>265</v>
      </c>
      <c r="F32" s="4" t="s">
        <v>99</v>
      </c>
      <c r="G32" s="3" t="n">
        <v>1</v>
      </c>
      <c r="H32" s="6" t="n">
        <v>21.6</v>
      </c>
      <c r="I32" s="3" t="n">
        <v>0</v>
      </c>
      <c r="J32" s="3" t="n">
        <v>9</v>
      </c>
      <c r="K32" s="7" t="n">
        <v>65.44</v>
      </c>
      <c r="L32" s="7" t="n">
        <v>18.21</v>
      </c>
      <c r="M32" s="8" t="n">
        <v>45</v>
      </c>
      <c r="N32" s="8" t="n">
        <v>176</v>
      </c>
      <c r="O32" s="7" t="n">
        <v>65.44</v>
      </c>
      <c r="P32" s="6" t="n">
        <v>91.9</v>
      </c>
      <c r="Q32" s="4"/>
      <c r="R32" s="8"/>
      <c r="S32" s="6"/>
      <c r="T32" s="7"/>
      <c r="U32" s="6"/>
      <c r="V32" s="6"/>
      <c r="W32" s="8"/>
      <c r="X32" s="7"/>
      <c r="Y32" s="9"/>
      <c r="Z32" s="6"/>
      <c r="AA32" s="6"/>
      <c r="AB32" s="6"/>
      <c r="AC32" s="10"/>
      <c r="AD32" s="10"/>
      <c r="AE32" s="7"/>
      <c r="AF32" s="8"/>
      <c r="AG32" s="10"/>
      <c r="AH32" s="8"/>
      <c r="AI32" s="8"/>
      <c r="AJ32" s="6"/>
      <c r="AK32" s="10"/>
      <c r="AL32" s="10"/>
      <c r="AM32" s="9"/>
      <c r="AN32" s="8"/>
      <c r="AO32" s="10"/>
      <c r="AP32" s="8"/>
      <c r="AQ32" s="7"/>
      <c r="AR32" s="6"/>
      <c r="AS32" s="7"/>
      <c r="AT32" s="7"/>
      <c r="AU32" s="7"/>
      <c r="AV32" s="7"/>
      <c r="AW32" s="7"/>
      <c r="AX32" s="10"/>
      <c r="AY32" s="8"/>
      <c r="AZ32" s="8"/>
      <c r="BA32" s="8"/>
      <c r="BB32" s="8"/>
      <c r="BC32" s="7"/>
      <c r="BD32" s="7"/>
      <c r="BE32" s="9"/>
      <c r="BF32" s="6" t="n">
        <v>41.1</v>
      </c>
      <c r="BG32" s="6" t="n">
        <v>58.4</v>
      </c>
      <c r="BH32" s="6" t="n">
        <v>27.6</v>
      </c>
      <c r="BI32" s="7" t="n">
        <v>3.085</v>
      </c>
      <c r="BJ32" s="10" t="n">
        <v>0.1549</v>
      </c>
      <c r="BK32" s="10" t="n">
        <v>0.666666666666667</v>
      </c>
      <c r="BL32" s="7" t="n">
        <v>2.54</v>
      </c>
      <c r="BM32" s="10" t="n">
        <v>0.3175</v>
      </c>
      <c r="BN32" s="10" t="n">
        <v>0.0872</v>
      </c>
      <c r="BO32" s="7" t="n">
        <v>2.389</v>
      </c>
      <c r="BP32" s="10" t="n">
        <v>0.527</v>
      </c>
      <c r="BQ32" s="8" t="n">
        <v>3</v>
      </c>
      <c r="BR32" s="10" t="n">
        <v>-0.0385</v>
      </c>
      <c r="BS32" s="10" t="n">
        <v>0.5401</v>
      </c>
      <c r="BT32" s="6" t="n">
        <v>58.53</v>
      </c>
      <c r="BU32" s="6" t="n">
        <v>40</v>
      </c>
      <c r="BV32" s="7" t="n">
        <v>2.06</v>
      </c>
      <c r="BW32" s="6" t="n">
        <v>16.7</v>
      </c>
      <c r="BX32" s="9" t="n">
        <v>-0.0573</v>
      </c>
      <c r="BY32" s="9" t="n">
        <v>-0.2208</v>
      </c>
      <c r="BZ32" s="8" t="n">
        <v>152</v>
      </c>
      <c r="CA32" s="10" t="n">
        <v>0.287</v>
      </c>
      <c r="CB32" s="8" t="n">
        <v>0</v>
      </c>
      <c r="CC32" s="10" t="n">
        <v>0</v>
      </c>
      <c r="CD32" s="8" t="n">
        <v>8</v>
      </c>
      <c r="CE32" s="7"/>
      <c r="CF32" s="7"/>
      <c r="CG32" s="4"/>
      <c r="CH32" s="4" t="s">
        <v>206</v>
      </c>
    </row>
    <row r="33" customFormat="false" ht="15" hidden="false" customHeight="false" outlineLevel="0" collapsed="false">
      <c r="A33" s="3" t="n">
        <v>31</v>
      </c>
      <c r="B33" s="4" t="s">
        <v>268</v>
      </c>
      <c r="C33" s="5" t="s">
        <v>99</v>
      </c>
      <c r="D33" s="4" t="s">
        <v>269</v>
      </c>
      <c r="E33" s="4" t="s">
        <v>235</v>
      </c>
      <c r="F33" s="4" t="s">
        <v>270</v>
      </c>
      <c r="G33" s="3" t="n">
        <v>1</v>
      </c>
      <c r="H33" s="6" t="n">
        <v>24.4</v>
      </c>
      <c r="I33" s="3" t="n">
        <v>4</v>
      </c>
      <c r="J33" s="3" t="n">
        <v>7</v>
      </c>
      <c r="K33" s="7" t="n">
        <v>69.78</v>
      </c>
      <c r="L33" s="7" t="n">
        <v>18.03</v>
      </c>
      <c r="M33" s="8" t="n">
        <v>45</v>
      </c>
      <c r="N33" s="8" t="n">
        <v>126</v>
      </c>
      <c r="O33" s="7" t="n">
        <v>69.78</v>
      </c>
      <c r="P33" s="6" t="n">
        <v>85.6</v>
      </c>
      <c r="Q33" s="4" t="s">
        <v>235</v>
      </c>
      <c r="R33" s="8" t="n">
        <v>16</v>
      </c>
      <c r="S33" s="6" t="n">
        <v>184.7</v>
      </c>
      <c r="T33" s="7" t="n">
        <f aca="false">IFERROR(S33/R33,"")</f>
        <v>11.54375</v>
      </c>
      <c r="U33" s="6" t="n">
        <v>155.7</v>
      </c>
      <c r="V33" s="6" t="n">
        <v>126.7</v>
      </c>
      <c r="W33" s="8" t="n">
        <v>27</v>
      </c>
      <c r="X33" s="7" t="n">
        <f aca="false">IFERROR(S33/AH33,"")</f>
        <v>1.81078431372549</v>
      </c>
      <c r="Y33" s="9" t="n">
        <f aca="false">IFERROR(S33/AF33,"")</f>
        <v>0.27485119047619</v>
      </c>
      <c r="Z33" s="6" t="n">
        <v>5.65</v>
      </c>
      <c r="AA33" s="6" t="n">
        <v>9.9</v>
      </c>
      <c r="AB33" s="6" t="n">
        <v>18.77</v>
      </c>
      <c r="AC33" s="10" t="n">
        <v>0.25</v>
      </c>
      <c r="AD33" s="10" t="n">
        <v>0.062</v>
      </c>
      <c r="AE33" s="7" t="n">
        <v>0.748</v>
      </c>
      <c r="AF33" s="8" t="n">
        <v>672</v>
      </c>
      <c r="AG33" s="10" t="n">
        <v>0.614</v>
      </c>
      <c r="AH33" s="8" t="n">
        <v>102</v>
      </c>
      <c r="AI33" s="8" t="n">
        <v>95</v>
      </c>
      <c r="AJ33" s="6" t="n">
        <f aca="false">IFERROR(AI33/R33,"")</f>
        <v>5.9375</v>
      </c>
      <c r="AK33" s="10" t="n">
        <v>0.1841</v>
      </c>
      <c r="AL33" s="10" t="n">
        <v>0.2611</v>
      </c>
      <c r="AM33" s="9" t="n">
        <v>0.4589</v>
      </c>
      <c r="AN33" s="8" t="n">
        <v>58</v>
      </c>
      <c r="AO33" s="10" t="n">
        <f aca="false">IFERROR(AN33/AI33,"")</f>
        <v>0.610526315789474</v>
      </c>
      <c r="AP33" s="8" t="n">
        <v>847</v>
      </c>
      <c r="AQ33" s="7" t="n">
        <f aca="false">IFERROR(AP33/AI33,"")</f>
        <v>8.91578947368421</v>
      </c>
      <c r="AR33" s="6" t="n">
        <v>12.495</v>
      </c>
      <c r="AS33" s="7" t="n">
        <v>4.569</v>
      </c>
      <c r="AT33" s="7" t="n">
        <v>0.714</v>
      </c>
      <c r="AU33" s="7" t="n">
        <v>2.39095224318154</v>
      </c>
      <c r="AV33" s="7" t="n">
        <v>6.4245652173913</v>
      </c>
      <c r="AW33" s="7" t="n">
        <v>1.73018754269504</v>
      </c>
      <c r="AX33" s="10" t="n">
        <v>0.0737</v>
      </c>
      <c r="AY33" s="8" t="n">
        <v>15</v>
      </c>
      <c r="AZ33" s="8" t="n">
        <v>5</v>
      </c>
      <c r="BA33" s="8" t="n">
        <v>2</v>
      </c>
      <c r="BB33" s="8" t="n">
        <v>5</v>
      </c>
      <c r="BC33" s="7" t="n">
        <v>4.38</v>
      </c>
      <c r="BD33" s="7" t="n">
        <f aca="false">IFERROR(BB33-BC33,"")</f>
        <v>0.62</v>
      </c>
      <c r="BE33" s="9" t="n">
        <f aca="false">IFERROR(BB33/AH33,"")</f>
        <v>0.0490196078431373</v>
      </c>
      <c r="BF33" s="6" t="n">
        <v>44.3</v>
      </c>
      <c r="BG33" s="6" t="n">
        <v>40.2</v>
      </c>
      <c r="BH33" s="6" t="n">
        <v>50.8</v>
      </c>
      <c r="BI33" s="7" t="n">
        <v>2.885</v>
      </c>
      <c r="BJ33" s="10" t="n">
        <v>0.1784</v>
      </c>
      <c r="BK33" s="10" t="n">
        <v>0.5</v>
      </c>
      <c r="BL33" s="7" t="n">
        <v>2.219</v>
      </c>
      <c r="BM33" s="10" t="n">
        <v>0.2504</v>
      </c>
      <c r="BN33" s="10" t="n">
        <v>0.0647</v>
      </c>
      <c r="BO33" s="7" t="n">
        <v>2.395</v>
      </c>
      <c r="BP33" s="10" t="n">
        <v>1</v>
      </c>
      <c r="BQ33" s="8" t="n">
        <v>5</v>
      </c>
      <c r="BR33" s="10" t="n">
        <v>0.0164</v>
      </c>
      <c r="BS33" s="10" t="n">
        <v>0.5756</v>
      </c>
      <c r="BT33" s="6" t="n">
        <v>63.18</v>
      </c>
      <c r="BU33" s="6" t="n">
        <v>40</v>
      </c>
      <c r="BV33" s="7" t="n">
        <v>4.24</v>
      </c>
      <c r="BW33" s="6" t="n">
        <v>27.9</v>
      </c>
      <c r="BX33" s="9" t="n">
        <v>-0.0041</v>
      </c>
      <c r="BY33" s="9" t="n">
        <v>0.0592</v>
      </c>
      <c r="BZ33" s="8" t="n">
        <v>132</v>
      </c>
      <c r="CA33" s="10" t="n">
        <v>0.241</v>
      </c>
      <c r="CB33" s="8" t="n">
        <v>271</v>
      </c>
      <c r="CC33" s="10" t="n">
        <v>0.554</v>
      </c>
      <c r="CD33" s="8" t="n">
        <v>85</v>
      </c>
      <c r="CE33" s="7" t="n">
        <v>-0.05</v>
      </c>
      <c r="CF33" s="7" t="n">
        <v>-0.401</v>
      </c>
      <c r="CG33" s="4" t="s">
        <v>102</v>
      </c>
      <c r="CH33" s="4"/>
    </row>
    <row r="34" customFormat="false" ht="15" hidden="false" customHeight="false" outlineLevel="0" collapsed="false">
      <c r="A34" s="3" t="n">
        <v>32</v>
      </c>
      <c r="B34" s="4" t="s">
        <v>271</v>
      </c>
      <c r="C34" s="5" t="s">
        <v>99</v>
      </c>
      <c r="D34" s="4" t="s">
        <v>272</v>
      </c>
      <c r="E34" s="4" t="s">
        <v>151</v>
      </c>
      <c r="F34" s="4" t="s">
        <v>99</v>
      </c>
      <c r="G34" s="3" t="n">
        <v>1</v>
      </c>
      <c r="H34" s="6" t="n">
        <v>24</v>
      </c>
      <c r="I34" s="3" t="n">
        <v>3</v>
      </c>
      <c r="J34" s="3" t="n">
        <v>14</v>
      </c>
      <c r="K34" s="7" t="n">
        <v>69.8</v>
      </c>
      <c r="L34" s="7" t="n">
        <v>11.64</v>
      </c>
      <c r="M34" s="8" t="n">
        <v>45</v>
      </c>
      <c r="N34" s="8" t="n">
        <v>100</v>
      </c>
      <c r="O34" s="7" t="n">
        <v>69.8</v>
      </c>
      <c r="P34" s="6" t="n">
        <v>88.2</v>
      </c>
      <c r="Q34" s="4" t="s">
        <v>151</v>
      </c>
      <c r="R34" s="8" t="n">
        <v>12</v>
      </c>
      <c r="S34" s="6" t="n">
        <v>127.8</v>
      </c>
      <c r="T34" s="7" t="n">
        <f aca="false">IFERROR(S34/R34,"")</f>
        <v>10.65</v>
      </c>
      <c r="U34" s="6" t="n">
        <v>107.3</v>
      </c>
      <c r="V34" s="6" t="n">
        <v>86.8</v>
      </c>
      <c r="W34" s="8" t="n">
        <v>49</v>
      </c>
      <c r="X34" s="7" t="n">
        <f aca="false">IFERROR(S34/AH34,"")</f>
        <v>1.75068493150685</v>
      </c>
      <c r="Y34" s="9" t="n">
        <f aca="false">IFERROR(S34/AF34,"")</f>
        <v>0.225795053003534</v>
      </c>
      <c r="Z34" s="6" t="n">
        <v>5.08</v>
      </c>
      <c r="AA34" s="6" t="n">
        <v>10.35</v>
      </c>
      <c r="AB34" s="6" t="n">
        <v>18.28</v>
      </c>
      <c r="AC34" s="10" t="n">
        <v>0.167</v>
      </c>
      <c r="AD34" s="10" t="n">
        <v>0.083</v>
      </c>
      <c r="AE34" s="7" t="n">
        <v>0.686</v>
      </c>
      <c r="AF34" s="8" t="n">
        <v>566</v>
      </c>
      <c r="AG34" s="10" t="n">
        <v>0.712</v>
      </c>
      <c r="AH34" s="8" t="n">
        <v>73</v>
      </c>
      <c r="AI34" s="8" t="n">
        <v>73</v>
      </c>
      <c r="AJ34" s="6" t="n">
        <f aca="false">IFERROR(AI34/R34,"")</f>
        <v>6.08333333333333</v>
      </c>
      <c r="AK34" s="10" t="n">
        <v>0.1802</v>
      </c>
      <c r="AL34" s="10" t="n">
        <v>0.3254</v>
      </c>
      <c r="AM34" s="9" t="n">
        <v>0.4981</v>
      </c>
      <c r="AN34" s="8" t="n">
        <v>41</v>
      </c>
      <c r="AO34" s="10" t="n">
        <f aca="false">IFERROR(AN34/AI34,"")</f>
        <v>0.561643835616438</v>
      </c>
      <c r="AP34" s="8" t="n">
        <v>608</v>
      </c>
      <c r="AQ34" s="7" t="n">
        <f aca="false">IFERROR(AP34/AI34,"")</f>
        <v>8.32876712328767</v>
      </c>
      <c r="AR34" s="6" t="n">
        <v>12.959</v>
      </c>
      <c r="AS34" s="7" t="n">
        <v>2.902</v>
      </c>
      <c r="AT34" s="7" t="n">
        <v>0.643</v>
      </c>
      <c r="AU34" s="7" t="n">
        <v>2.4199826142948</v>
      </c>
      <c r="AV34" s="7" t="n">
        <v>4.94194444444444</v>
      </c>
      <c r="AW34" s="7" t="n">
        <v>0.637288525822476</v>
      </c>
      <c r="AX34" s="10" t="n">
        <v>0.0548</v>
      </c>
      <c r="AY34" s="8" t="n">
        <v>10</v>
      </c>
      <c r="AZ34" s="8" t="n">
        <v>5</v>
      </c>
      <c r="BA34" s="8" t="n">
        <v>3</v>
      </c>
      <c r="BB34" s="8" t="n">
        <v>4</v>
      </c>
      <c r="BC34" s="7" t="n">
        <v>3.93</v>
      </c>
      <c r="BD34" s="7" t="n">
        <f aca="false">IFERROR(BB34-BC34,"")</f>
        <v>0.0699999999999998</v>
      </c>
      <c r="BE34" s="9" t="n">
        <f aca="false">IFERROR(BB34/AH34,"")</f>
        <v>0.0547945205479452</v>
      </c>
      <c r="BF34" s="6" t="n">
        <v>36.9</v>
      </c>
      <c r="BG34" s="6" t="n">
        <v>43.8</v>
      </c>
      <c r="BH34" s="6" t="n">
        <v>35.6</v>
      </c>
      <c r="BI34" s="7" t="n">
        <v>2.771</v>
      </c>
      <c r="BJ34" s="10" t="n">
        <v>0.2005</v>
      </c>
      <c r="BK34" s="10" t="n">
        <v>0.65625</v>
      </c>
      <c r="BL34" s="7" t="n">
        <v>2.593</v>
      </c>
      <c r="BM34" s="10" t="n">
        <v>0.282</v>
      </c>
      <c r="BN34" s="10" t="n">
        <v>0.0839</v>
      </c>
      <c r="BO34" s="7" t="n">
        <v>2.373</v>
      </c>
      <c r="BP34" s="10" t="n">
        <v>0.686</v>
      </c>
      <c r="BQ34" s="8" t="n">
        <v>3</v>
      </c>
      <c r="BR34" s="10" t="n">
        <v>0.0399</v>
      </c>
      <c r="BS34" s="10" t="n">
        <v>0.6204</v>
      </c>
      <c r="BT34" s="6" t="n">
        <v>63.18</v>
      </c>
      <c r="BU34" s="6" t="n">
        <v>39</v>
      </c>
      <c r="BV34" s="7" t="n">
        <v>3.59</v>
      </c>
      <c r="BW34" s="6" t="n">
        <v>20.9</v>
      </c>
      <c r="BX34" s="9" t="n">
        <v>-0.0591</v>
      </c>
      <c r="BY34" s="9" t="n">
        <v>0.0023</v>
      </c>
      <c r="BZ34" s="8" t="n">
        <v>106</v>
      </c>
      <c r="CA34" s="10" t="n">
        <v>0.172</v>
      </c>
      <c r="CB34" s="8" t="n">
        <v>173</v>
      </c>
      <c r="CC34" s="10" t="n">
        <v>0.473</v>
      </c>
      <c r="CD34" s="8" t="n">
        <v>41</v>
      </c>
      <c r="CE34" s="7" t="n">
        <v>-0.979</v>
      </c>
      <c r="CF34" s="7" t="n">
        <v>-0.629</v>
      </c>
      <c r="CG34" s="4" t="s">
        <v>121</v>
      </c>
      <c r="CH34" s="4"/>
    </row>
    <row r="35" customFormat="false" ht="15" hidden="false" customHeight="false" outlineLevel="0" collapsed="false">
      <c r="A35" s="3" t="n">
        <v>33</v>
      </c>
      <c r="B35" s="4" t="s">
        <v>287</v>
      </c>
      <c r="C35" s="5" t="s">
        <v>99</v>
      </c>
      <c r="D35" s="4" t="s">
        <v>288</v>
      </c>
      <c r="E35" s="4" t="s">
        <v>235</v>
      </c>
      <c r="F35" s="4" t="s">
        <v>99</v>
      </c>
      <c r="G35" s="3" t="n">
        <v>1</v>
      </c>
      <c r="H35" s="6" t="n">
        <v>23.9</v>
      </c>
      <c r="I35" s="3" t="n">
        <v>3</v>
      </c>
      <c r="J35" s="3" t="n">
        <v>7</v>
      </c>
      <c r="K35" s="7" t="n">
        <v>77.84</v>
      </c>
      <c r="L35" s="7" t="n">
        <v>13</v>
      </c>
      <c r="M35" s="8" t="n">
        <v>48</v>
      </c>
      <c r="N35" s="8" t="n">
        <v>110</v>
      </c>
      <c r="O35" s="7" t="n">
        <v>77.84</v>
      </c>
      <c r="P35" s="6" t="n">
        <v>87.2</v>
      </c>
      <c r="Q35" s="4" t="s">
        <v>235</v>
      </c>
      <c r="R35" s="8" t="n">
        <v>14</v>
      </c>
      <c r="S35" s="6" t="n">
        <v>138.8</v>
      </c>
      <c r="T35" s="7" t="n">
        <f aca="false">IFERROR(S35/R35,"")</f>
        <v>9.91428571428572</v>
      </c>
      <c r="U35" s="6" t="n">
        <v>114.8</v>
      </c>
      <c r="V35" s="6" t="n">
        <v>90.8</v>
      </c>
      <c r="W35" s="8" t="n">
        <v>42</v>
      </c>
      <c r="X35" s="7" t="n">
        <f aca="false">IFERROR(S35/AH35,"")</f>
        <v>1.47659574468085</v>
      </c>
      <c r="Y35" s="9" t="n">
        <f aca="false">IFERROR(S35/AF35,"")</f>
        <v>0.187314439946019</v>
      </c>
      <c r="Z35" s="6" t="n">
        <v>7.6</v>
      </c>
      <c r="AA35" s="6" t="n">
        <v>8.7</v>
      </c>
      <c r="AB35" s="6" t="n">
        <v>12.25</v>
      </c>
      <c r="AC35" s="10" t="n">
        <v>0.071</v>
      </c>
      <c r="AD35" s="10" t="n">
        <v>0</v>
      </c>
      <c r="AE35" s="7" t="n">
        <v>0.576</v>
      </c>
      <c r="AF35" s="8" t="n">
        <v>741</v>
      </c>
      <c r="AG35" s="10" t="n">
        <v>0.776</v>
      </c>
      <c r="AH35" s="8" t="n">
        <v>94</v>
      </c>
      <c r="AI35" s="8" t="n">
        <v>91</v>
      </c>
      <c r="AJ35" s="6" t="n">
        <f aca="false">IFERROR(AI35/R35,"")</f>
        <v>6.5</v>
      </c>
      <c r="AK35" s="10" t="n">
        <v>0.1928</v>
      </c>
      <c r="AL35" s="10" t="n">
        <v>0.3081</v>
      </c>
      <c r="AM35" s="9" t="n">
        <v>0.5049</v>
      </c>
      <c r="AN35" s="8" t="n">
        <v>48</v>
      </c>
      <c r="AO35" s="10" t="n">
        <f aca="false">IFERROR(AN35/AI35,"")</f>
        <v>0.527472527472528</v>
      </c>
      <c r="AP35" s="8" t="n">
        <v>707</v>
      </c>
      <c r="AQ35" s="7" t="n">
        <f aca="false">IFERROR(AP35/AI35,"")</f>
        <v>7.76923076923077</v>
      </c>
      <c r="AR35" s="6" t="n">
        <v>14.451</v>
      </c>
      <c r="AS35" s="7" t="n">
        <v>3.312</v>
      </c>
      <c r="AT35" s="7" t="n">
        <v>0.538</v>
      </c>
      <c r="AU35" s="7" t="n">
        <v>2.6550007311033</v>
      </c>
      <c r="AV35" s="7" t="n">
        <v>5.52325842696629</v>
      </c>
      <c r="AW35" s="7" t="n">
        <v>0.25187264966749</v>
      </c>
      <c r="AX35" s="10" t="n">
        <v>0.1099</v>
      </c>
      <c r="AY35" s="8" t="n">
        <v>8</v>
      </c>
      <c r="AZ35" s="8" t="n">
        <v>6</v>
      </c>
      <c r="BA35" s="8" t="n">
        <v>1</v>
      </c>
      <c r="BB35" s="8" t="n">
        <v>3</v>
      </c>
      <c r="BC35" s="7" t="n">
        <v>3.39</v>
      </c>
      <c r="BD35" s="7" t="n">
        <f aca="false">IFERROR(BB35-BC35,"")</f>
        <v>-0.39</v>
      </c>
      <c r="BE35" s="9" t="n">
        <f aca="false">IFERROR(BB35/AH35,"")</f>
        <v>0.0319148936170213</v>
      </c>
      <c r="BF35" s="6" t="n">
        <v>44.3</v>
      </c>
      <c r="BG35" s="6" t="n">
        <v>40.2</v>
      </c>
      <c r="BH35" s="6" t="n">
        <v>50.8</v>
      </c>
      <c r="BI35" s="7" t="n">
        <v>2.885</v>
      </c>
      <c r="BJ35" s="10" t="n">
        <v>0.1784</v>
      </c>
      <c r="BK35" s="10" t="n">
        <v>0.5</v>
      </c>
      <c r="BL35" s="7" t="n">
        <v>2.219</v>
      </c>
      <c r="BM35" s="10" t="n">
        <v>0.2504</v>
      </c>
      <c r="BN35" s="10" t="n">
        <v>0.0647</v>
      </c>
      <c r="BO35" s="7" t="n">
        <v>2.395</v>
      </c>
      <c r="BP35" s="10" t="n">
        <v>1</v>
      </c>
      <c r="BQ35" s="8" t="n">
        <v>5</v>
      </c>
      <c r="BR35" s="10" t="n">
        <v>0.0164</v>
      </c>
      <c r="BS35" s="10" t="n">
        <v>0.5756</v>
      </c>
      <c r="BT35" s="6" t="n">
        <v>63.18</v>
      </c>
      <c r="BU35" s="6" t="n">
        <v>40</v>
      </c>
      <c r="BV35" s="7" t="n">
        <v>4.24</v>
      </c>
      <c r="BW35" s="6" t="n">
        <v>27.9</v>
      </c>
      <c r="BX35" s="9" t="n">
        <v>-0.0041</v>
      </c>
      <c r="BY35" s="9" t="n">
        <v>0.0592</v>
      </c>
      <c r="BZ35" s="8" t="n">
        <v>132</v>
      </c>
      <c r="CA35" s="10" t="n">
        <v>0.241</v>
      </c>
      <c r="CB35" s="8" t="n">
        <v>271</v>
      </c>
      <c r="CC35" s="10" t="n">
        <v>0.554</v>
      </c>
      <c r="CD35" s="8" t="n">
        <v>85</v>
      </c>
      <c r="CE35" s="7" t="n">
        <v>-0.637</v>
      </c>
      <c r="CF35" s="7" t="n">
        <v>-0.856</v>
      </c>
      <c r="CG35" s="4" t="s">
        <v>121</v>
      </c>
      <c r="CH35" s="4"/>
    </row>
    <row r="36" customFormat="false" ht="15" hidden="false" customHeight="false" outlineLevel="0" collapsed="false">
      <c r="A36" s="3" t="n">
        <v>34</v>
      </c>
      <c r="B36" s="4" t="s">
        <v>289</v>
      </c>
      <c r="C36" s="5" t="s">
        <v>99</v>
      </c>
      <c r="D36" s="4" t="s">
        <v>290</v>
      </c>
      <c r="E36" s="4" t="s">
        <v>284</v>
      </c>
      <c r="F36" s="4" t="s">
        <v>99</v>
      </c>
      <c r="G36" s="3" t="n">
        <v>1</v>
      </c>
      <c r="H36" s="6" t="n">
        <v>28.7</v>
      </c>
      <c r="I36" s="3" t="n">
        <v>8</v>
      </c>
      <c r="J36" s="3" t="n">
        <v>9</v>
      </c>
      <c r="K36" s="7" t="n">
        <v>78.2</v>
      </c>
      <c r="L36" s="7" t="n">
        <v>13.05</v>
      </c>
      <c r="M36" s="8" t="n">
        <v>48</v>
      </c>
      <c r="N36" s="8" t="n">
        <v>116</v>
      </c>
      <c r="O36" s="7" t="n">
        <v>78.2</v>
      </c>
      <c r="P36" s="6" t="n">
        <v>89.6</v>
      </c>
      <c r="Q36" s="4" t="s">
        <v>284</v>
      </c>
      <c r="R36" s="8" t="n">
        <v>15</v>
      </c>
      <c r="S36" s="6" t="n">
        <v>187.2</v>
      </c>
      <c r="T36" s="7" t="n">
        <f aca="false">IFERROR(S36/R36,"")</f>
        <v>12.48</v>
      </c>
      <c r="U36" s="6" t="n">
        <v>157.7</v>
      </c>
      <c r="V36" s="6" t="n">
        <v>128.2</v>
      </c>
      <c r="W36" s="8" t="n">
        <v>26</v>
      </c>
      <c r="X36" s="7" t="n">
        <f aca="false">IFERROR(S36/AH36,"")</f>
        <v>1.85346534653465</v>
      </c>
      <c r="Y36" s="9" t="n">
        <f aca="false">IFERROR(S36/AF36,"")</f>
        <v>0.241237113402062</v>
      </c>
      <c r="Z36" s="6" t="n">
        <v>8.1</v>
      </c>
      <c r="AA36" s="6" t="n">
        <v>12.2</v>
      </c>
      <c r="AB36" s="6" t="n">
        <v>19.2</v>
      </c>
      <c r="AC36" s="10" t="n">
        <v>0.267</v>
      </c>
      <c r="AD36" s="10" t="n">
        <v>0</v>
      </c>
      <c r="AE36" s="7" t="n">
        <v>0.492</v>
      </c>
      <c r="AF36" s="8" t="n">
        <v>776</v>
      </c>
      <c r="AG36" s="10" t="n">
        <v>0.873</v>
      </c>
      <c r="AH36" s="8" t="n">
        <v>101</v>
      </c>
      <c r="AI36" s="8" t="n">
        <v>99</v>
      </c>
      <c r="AJ36" s="6" t="n">
        <f aca="false">IFERROR(AI36/R36,"")</f>
        <v>6.6</v>
      </c>
      <c r="AK36" s="10" t="n">
        <v>0.2245</v>
      </c>
      <c r="AL36" s="10" t="n">
        <v>0.3965</v>
      </c>
      <c r="AM36" s="9" t="n">
        <v>0.6143</v>
      </c>
      <c r="AN36" s="8" t="n">
        <v>59</v>
      </c>
      <c r="AO36" s="10" t="n">
        <f aca="false">IFERROR(AN36/AI36,"")</f>
        <v>0.595959595959596</v>
      </c>
      <c r="AP36" s="8" t="n">
        <v>850</v>
      </c>
      <c r="AQ36" s="7" t="n">
        <f aca="false">IFERROR(AP36/AI36,"")</f>
        <v>8.58585858585859</v>
      </c>
      <c r="AR36" s="6" t="n">
        <v>10.545</v>
      </c>
      <c r="AS36" s="7" t="n">
        <v>7.017</v>
      </c>
      <c r="AT36" s="7" t="n">
        <v>0.814</v>
      </c>
      <c r="AU36" s="7" t="n">
        <v>2.62992150395031</v>
      </c>
      <c r="AV36" s="7" t="n">
        <v>4.49783505154639</v>
      </c>
      <c r="AW36" s="7" t="n">
        <v>2.80533125614789</v>
      </c>
      <c r="AX36" s="10" t="n">
        <v>0.0505</v>
      </c>
      <c r="AY36" s="8" t="n">
        <v>14</v>
      </c>
      <c r="AZ36" s="8" t="n">
        <v>8</v>
      </c>
      <c r="BA36" s="8" t="n">
        <v>6</v>
      </c>
      <c r="BB36" s="8" t="n">
        <v>7</v>
      </c>
      <c r="BC36" s="7" t="n">
        <v>5.87</v>
      </c>
      <c r="BD36" s="7" t="n">
        <f aca="false">IFERROR(BB36-BC36,"")</f>
        <v>1.13</v>
      </c>
      <c r="BE36" s="9" t="n">
        <f aca="false">IFERROR(BB36/AH36,"")</f>
        <v>0.0693069306930693</v>
      </c>
      <c r="BF36" s="6" t="n">
        <v>57.4</v>
      </c>
      <c r="BG36" s="6" t="n">
        <v>46.5</v>
      </c>
      <c r="BH36" s="6" t="n">
        <v>65.1</v>
      </c>
      <c r="BI36" s="7" t="n">
        <v>2.87</v>
      </c>
      <c r="BJ36" s="10" t="n">
        <v>0.172</v>
      </c>
      <c r="BK36" s="10" t="n">
        <v>0.68</v>
      </c>
      <c r="BL36" s="7" t="n">
        <v>2.285</v>
      </c>
      <c r="BM36" s="10" t="n">
        <v>0.1636</v>
      </c>
      <c r="BN36" s="10" t="n">
        <v>0.0526</v>
      </c>
      <c r="BO36" s="7" t="n">
        <v>2.209</v>
      </c>
      <c r="BP36" s="10" t="n">
        <v>0.824</v>
      </c>
      <c r="BQ36" s="8" t="n">
        <v>5</v>
      </c>
      <c r="BR36" s="10" t="n">
        <v>-0.007</v>
      </c>
      <c r="BS36" s="10" t="n">
        <v>0.5795</v>
      </c>
      <c r="BT36" s="6" t="n">
        <v>57.35</v>
      </c>
      <c r="BU36" s="6" t="n">
        <v>40</v>
      </c>
      <c r="BV36" s="7" t="n">
        <v>3</v>
      </c>
      <c r="BW36" s="6" t="n">
        <v>23.4</v>
      </c>
      <c r="BX36" s="9" t="n">
        <v>0.0188</v>
      </c>
      <c r="BY36" s="9" t="n">
        <v>0.0312</v>
      </c>
      <c r="BZ36" s="8" t="n">
        <v>179</v>
      </c>
      <c r="CA36" s="10" t="n">
        <v>0.343</v>
      </c>
      <c r="CB36" s="8" t="n">
        <v>129</v>
      </c>
      <c r="CC36" s="10" t="n">
        <v>0.317</v>
      </c>
      <c r="CD36" s="8" t="n">
        <v>59</v>
      </c>
      <c r="CE36" s="7" t="n">
        <v>0.1</v>
      </c>
      <c r="CF36" s="7" t="n">
        <v>0.143</v>
      </c>
      <c r="CG36" s="4" t="s">
        <v>102</v>
      </c>
      <c r="CH36" s="4"/>
    </row>
    <row r="37" customFormat="false" ht="15" hidden="false" customHeight="false" outlineLevel="0" collapsed="false">
      <c r="A37" s="3" t="n">
        <v>35</v>
      </c>
      <c r="B37" s="4" t="s">
        <v>297</v>
      </c>
      <c r="C37" s="5" t="s">
        <v>99</v>
      </c>
      <c r="D37" s="4" t="s">
        <v>298</v>
      </c>
      <c r="E37" s="4" t="s">
        <v>198</v>
      </c>
      <c r="F37" s="4" t="s">
        <v>99</v>
      </c>
      <c r="G37" s="3" t="n">
        <v>2</v>
      </c>
      <c r="H37" s="6" t="n">
        <v>30.5</v>
      </c>
      <c r="I37" s="3" t="n">
        <v>10</v>
      </c>
      <c r="J37" s="3" t="n">
        <v>10</v>
      </c>
      <c r="K37" s="7" t="n">
        <v>81.74</v>
      </c>
      <c r="L37" s="7" t="n">
        <v>12.65</v>
      </c>
      <c r="M37" s="8" t="n">
        <v>51</v>
      </c>
      <c r="N37" s="8" t="n">
        <v>123</v>
      </c>
      <c r="O37" s="7" t="n">
        <v>81.74</v>
      </c>
      <c r="P37" s="6" t="n">
        <v>80</v>
      </c>
      <c r="Q37" s="4" t="s">
        <v>198</v>
      </c>
      <c r="R37" s="8" t="n">
        <v>9</v>
      </c>
      <c r="S37" s="6" t="n">
        <v>83</v>
      </c>
      <c r="T37" s="7" t="n">
        <f aca="false">IFERROR(S37/R37,"")</f>
        <v>9.22222222222222</v>
      </c>
      <c r="U37" s="6" t="n">
        <v>66.5</v>
      </c>
      <c r="V37" s="6" t="n">
        <v>50</v>
      </c>
      <c r="W37" s="8" t="n">
        <v>67</v>
      </c>
      <c r="X37" s="7" t="n">
        <f aca="false">IFERROR(S37/AH37,"")</f>
        <v>1.62745098039216</v>
      </c>
      <c r="Y37" s="9" t="n">
        <f aca="false">IFERROR(S37/AF37,"")</f>
        <v>0.19392523364486</v>
      </c>
      <c r="Z37" s="6" t="n">
        <v>5.6</v>
      </c>
      <c r="AA37" s="6" t="n">
        <v>8</v>
      </c>
      <c r="AB37" s="6" t="n">
        <v>13.36</v>
      </c>
      <c r="AC37" s="10" t="n">
        <v>0.111</v>
      </c>
      <c r="AD37" s="10" t="n">
        <v>0</v>
      </c>
      <c r="AE37" s="7" t="n">
        <v>0.841</v>
      </c>
      <c r="AF37" s="8" t="n">
        <v>428</v>
      </c>
      <c r="AG37" s="10" t="n">
        <v>0.709</v>
      </c>
      <c r="AH37" s="8" t="n">
        <v>51</v>
      </c>
      <c r="AI37" s="8" t="n">
        <v>51</v>
      </c>
      <c r="AJ37" s="6" t="n">
        <f aca="false">IFERROR(AI37/R37,"")</f>
        <v>5.66666666666667</v>
      </c>
      <c r="AK37" s="10" t="n">
        <v>0.1828</v>
      </c>
      <c r="AL37" s="10" t="n">
        <v>0.1682</v>
      </c>
      <c r="AM37" s="9" t="n">
        <v>0.3919</v>
      </c>
      <c r="AN37" s="8" t="n">
        <v>33</v>
      </c>
      <c r="AO37" s="10" t="n">
        <f aca="false">IFERROR(AN37/AI37,"")</f>
        <v>0.647058823529412</v>
      </c>
      <c r="AP37" s="8" t="n">
        <v>360</v>
      </c>
      <c r="AQ37" s="7" t="n">
        <f aca="false">IFERROR(AP37/AI37,"")</f>
        <v>7.05882352941176</v>
      </c>
      <c r="AR37" s="6" t="n">
        <v>7.078</v>
      </c>
      <c r="AS37" s="7" t="n">
        <v>6.242</v>
      </c>
      <c r="AT37" s="7" t="n">
        <v>0.997</v>
      </c>
      <c r="AU37" s="7" t="n">
        <v>2.81786294099097</v>
      </c>
      <c r="AV37" s="7" t="n">
        <v>6.59708333333333</v>
      </c>
      <c r="AW37" s="7" t="n">
        <v>2.19816314197396</v>
      </c>
      <c r="AX37" s="10" t="n">
        <v>0.0196</v>
      </c>
      <c r="AY37" s="8" t="n">
        <v>7</v>
      </c>
      <c r="AZ37" s="8" t="n">
        <v>5</v>
      </c>
      <c r="BA37" s="8" t="n">
        <v>2</v>
      </c>
      <c r="BB37" s="8" t="n">
        <v>2</v>
      </c>
      <c r="BC37" s="7" t="n">
        <v>2.75</v>
      </c>
      <c r="BD37" s="7" t="n">
        <f aca="false">IFERROR(BB37-BC37,"")</f>
        <v>-0.75</v>
      </c>
      <c r="BE37" s="9" t="n">
        <f aca="false">IFERROR(BB37/AH37,"")</f>
        <v>0.0392156862745098</v>
      </c>
      <c r="BF37" s="6" t="n">
        <v>57.4</v>
      </c>
      <c r="BG37" s="6" t="n">
        <v>46.3</v>
      </c>
      <c r="BH37" s="6" t="n">
        <v>65.4</v>
      </c>
      <c r="BI37" s="7" t="n">
        <v>2.736</v>
      </c>
      <c r="BJ37" s="10" t="n">
        <v>0.1938</v>
      </c>
      <c r="BK37" s="10" t="n">
        <v>0.708333333333333</v>
      </c>
      <c r="BL37" s="7" t="n">
        <v>2.699</v>
      </c>
      <c r="BM37" s="10" t="n">
        <v>0.172</v>
      </c>
      <c r="BN37" s="10" t="n">
        <v>0.0571</v>
      </c>
      <c r="BO37" s="7" t="n">
        <v>2.292</v>
      </c>
      <c r="BP37" s="10" t="n">
        <v>0.791</v>
      </c>
      <c r="BQ37" s="8" t="n">
        <v>4</v>
      </c>
      <c r="BR37" s="10" t="n">
        <v>-0.0347</v>
      </c>
      <c r="BS37" s="10" t="n">
        <v>0.5148</v>
      </c>
      <c r="BT37" s="6" t="n">
        <v>62.65</v>
      </c>
      <c r="BU37" s="6" t="n">
        <v>41</v>
      </c>
      <c r="BV37" s="7" t="n">
        <v>3.12</v>
      </c>
      <c r="BW37" s="6" t="n">
        <v>22.4</v>
      </c>
      <c r="BX37" s="9" t="n">
        <v>0.0138</v>
      </c>
      <c r="BY37" s="9" t="n">
        <v>-0.0264</v>
      </c>
      <c r="BZ37" s="8" t="n">
        <v>111</v>
      </c>
      <c r="CA37" s="10" t="n">
        <v>0.205</v>
      </c>
      <c r="CB37" s="8" t="n">
        <v>138</v>
      </c>
      <c r="CC37" s="10" t="n">
        <v>0.292</v>
      </c>
      <c r="CD37" s="8" t="n">
        <v>38</v>
      </c>
      <c r="CE37" s="7" t="n">
        <v>-1.661</v>
      </c>
      <c r="CF37" s="7" t="n">
        <v>-0.961</v>
      </c>
      <c r="CG37" s="4" t="s">
        <v>165</v>
      </c>
      <c r="CH37" s="4"/>
    </row>
    <row r="38" customFormat="false" ht="15" hidden="false" customHeight="false" outlineLevel="0" collapsed="false">
      <c r="A38" s="3" t="n">
        <v>36</v>
      </c>
      <c r="B38" s="4" t="s">
        <v>305</v>
      </c>
      <c r="C38" s="5" t="s">
        <v>99</v>
      </c>
      <c r="D38" s="4" t="s">
        <v>306</v>
      </c>
      <c r="E38" s="4" t="s">
        <v>284</v>
      </c>
      <c r="F38" s="4" t="s">
        <v>99</v>
      </c>
      <c r="G38" s="3" t="n">
        <v>2</v>
      </c>
      <c r="H38" s="6" t="n">
        <v>28.9</v>
      </c>
      <c r="I38" s="3" t="n">
        <v>7</v>
      </c>
      <c r="J38" s="3" t="n">
        <v>9</v>
      </c>
      <c r="K38" s="7" t="n">
        <v>83.42</v>
      </c>
      <c r="L38" s="7" t="n">
        <v>13.88</v>
      </c>
      <c r="M38" s="8" t="n">
        <v>40</v>
      </c>
      <c r="N38" s="8" t="n">
        <v>118</v>
      </c>
      <c r="O38" s="7" t="n">
        <v>83.42</v>
      </c>
      <c r="P38" s="6" t="n">
        <v>82.8</v>
      </c>
      <c r="Q38" s="4" t="s">
        <v>130</v>
      </c>
      <c r="R38" s="8" t="n">
        <v>17</v>
      </c>
      <c r="S38" s="6" t="n">
        <v>202.4</v>
      </c>
      <c r="T38" s="7" t="n">
        <f aca="false">IFERROR(S38/R38,"")</f>
        <v>11.9058823529412</v>
      </c>
      <c r="U38" s="6" t="n">
        <v>162.4</v>
      </c>
      <c r="V38" s="6" t="n">
        <v>122.4</v>
      </c>
      <c r="W38" s="8" t="n">
        <v>18</v>
      </c>
      <c r="X38" s="7" t="n">
        <f aca="false">IFERROR(S38/AH38,"")</f>
        <v>1.82342342342342</v>
      </c>
      <c r="Y38" s="9" t="n">
        <f aca="false">IFERROR(S38/AF38,"")</f>
        <v>0.220479302832244</v>
      </c>
      <c r="Z38" s="6" t="n">
        <v>4</v>
      </c>
      <c r="AA38" s="6" t="n">
        <v>13.7</v>
      </c>
      <c r="AB38" s="6" t="n">
        <v>20.3</v>
      </c>
      <c r="AC38" s="10" t="n">
        <v>0.176</v>
      </c>
      <c r="AD38" s="10" t="n">
        <v>0</v>
      </c>
      <c r="AE38" s="7" t="n">
        <v>0.547</v>
      </c>
      <c r="AF38" s="8" t="n">
        <v>918</v>
      </c>
      <c r="AG38" s="10" t="n">
        <v>0.855</v>
      </c>
      <c r="AH38" s="8" t="n">
        <v>111</v>
      </c>
      <c r="AI38" s="8" t="n">
        <v>111</v>
      </c>
      <c r="AJ38" s="6" t="n">
        <f aca="false">IFERROR(AI38/R38,"")</f>
        <v>6.52941176470588</v>
      </c>
      <c r="AK38" s="10" t="n">
        <v>0.2094</v>
      </c>
      <c r="AL38" s="10" t="n">
        <v>0.2122</v>
      </c>
      <c r="AM38" s="9" t="n">
        <v>0.4626</v>
      </c>
      <c r="AN38" s="8" t="n">
        <v>80</v>
      </c>
      <c r="AO38" s="10" t="n">
        <f aca="false">IFERROR(AN38/AI38,"")</f>
        <v>0.720720720720721</v>
      </c>
      <c r="AP38" s="8" t="n">
        <v>784</v>
      </c>
      <c r="AQ38" s="7" t="n">
        <f aca="false">IFERROR(AP38/AI38,"")</f>
        <v>7.06306306306306</v>
      </c>
      <c r="AR38" s="6" t="n">
        <v>8.171</v>
      </c>
      <c r="AS38" s="7" t="n">
        <v>3.238</v>
      </c>
      <c r="AT38" s="7" t="n">
        <v>0.864</v>
      </c>
      <c r="AU38" s="7" t="n">
        <v>3.0333786487343</v>
      </c>
      <c r="AV38" s="7" t="n">
        <v>6.77654205607477</v>
      </c>
      <c r="AW38" s="7" t="n">
        <v>0.420766823399626</v>
      </c>
      <c r="AX38" s="10" t="n">
        <v>0.0541</v>
      </c>
      <c r="AY38" s="8" t="n">
        <v>15</v>
      </c>
      <c r="AZ38" s="8" t="n">
        <v>8</v>
      </c>
      <c r="BA38" s="8" t="n">
        <v>4</v>
      </c>
      <c r="BB38" s="8" t="n">
        <v>7</v>
      </c>
      <c r="BC38" s="7" t="n">
        <v>5.77</v>
      </c>
      <c r="BD38" s="7" t="n">
        <f aca="false">IFERROR(BB38-BC38,"")</f>
        <v>1.23</v>
      </c>
      <c r="BE38" s="9" t="n">
        <f aca="false">IFERROR(BB38/AH38,"")</f>
        <v>0.0630630630630631</v>
      </c>
      <c r="BF38" s="6" t="n">
        <v>57.4</v>
      </c>
      <c r="BG38" s="6" t="n">
        <v>46.5</v>
      </c>
      <c r="BH38" s="6" t="n">
        <v>65.1</v>
      </c>
      <c r="BI38" s="7" t="n">
        <v>2.87</v>
      </c>
      <c r="BJ38" s="10" t="n">
        <v>0.172</v>
      </c>
      <c r="BK38" s="10" t="n">
        <v>0.68</v>
      </c>
      <c r="BL38" s="7" t="n">
        <v>2.285</v>
      </c>
      <c r="BM38" s="10" t="n">
        <v>0.1636</v>
      </c>
      <c r="BN38" s="10" t="n">
        <v>0.0526</v>
      </c>
      <c r="BO38" s="7" t="n">
        <v>2.209</v>
      </c>
      <c r="BP38" s="10" t="n">
        <v>0.824</v>
      </c>
      <c r="BQ38" s="8" t="n">
        <v>5</v>
      </c>
      <c r="BR38" s="10" t="n">
        <v>-0.007</v>
      </c>
      <c r="BS38" s="10" t="n">
        <v>0.5795</v>
      </c>
      <c r="BT38" s="6" t="n">
        <v>57.35</v>
      </c>
      <c r="BU38" s="6" t="n">
        <v>40</v>
      </c>
      <c r="BV38" s="7" t="n">
        <v>3</v>
      </c>
      <c r="BW38" s="6" t="n">
        <v>23.4</v>
      </c>
      <c r="BX38" s="9" t="n">
        <v>0.0188</v>
      </c>
      <c r="BY38" s="9" t="n">
        <v>0.0312</v>
      </c>
      <c r="BZ38" s="8" t="n">
        <v>179</v>
      </c>
      <c r="CA38" s="10" t="n">
        <v>0.343</v>
      </c>
      <c r="CB38" s="8" t="n">
        <v>129</v>
      </c>
      <c r="CC38" s="10" t="n">
        <v>0.317</v>
      </c>
      <c r="CD38" s="8" t="n">
        <v>59</v>
      </c>
      <c r="CE38" s="7" t="n">
        <v>0.521</v>
      </c>
      <c r="CF38" s="7" t="n">
        <v>-0.005</v>
      </c>
      <c r="CG38" s="4" t="s">
        <v>232</v>
      </c>
      <c r="CH38" s="4"/>
    </row>
    <row r="39" customFormat="false" ht="15" hidden="false" customHeight="false" outlineLevel="0" collapsed="false">
      <c r="A39" s="3" t="n">
        <v>37</v>
      </c>
      <c r="B39" s="4" t="s">
        <v>307</v>
      </c>
      <c r="C39" s="5" t="s">
        <v>99</v>
      </c>
      <c r="D39" s="4" t="s">
        <v>308</v>
      </c>
      <c r="E39" s="4" t="s">
        <v>158</v>
      </c>
      <c r="F39" s="4" t="s">
        <v>99</v>
      </c>
      <c r="G39" s="3" t="n">
        <v>2</v>
      </c>
      <c r="H39" s="6" t="n">
        <v>22</v>
      </c>
      <c r="I39" s="3" t="n">
        <v>0</v>
      </c>
      <c r="J39" s="3" t="n">
        <v>8</v>
      </c>
      <c r="K39" s="7" t="n">
        <v>83.83</v>
      </c>
      <c r="L39" s="7" t="n">
        <v>18.12</v>
      </c>
      <c r="M39" s="8" t="n">
        <v>51</v>
      </c>
      <c r="N39" s="8" t="n">
        <v>165</v>
      </c>
      <c r="O39" s="7" t="n">
        <v>83.83</v>
      </c>
      <c r="P39" s="6" t="n">
        <v>86.1</v>
      </c>
      <c r="Q39" s="4"/>
      <c r="R39" s="8"/>
      <c r="S39" s="6"/>
      <c r="T39" s="7"/>
      <c r="U39" s="6"/>
      <c r="V39" s="6"/>
      <c r="W39" s="8"/>
      <c r="X39" s="7"/>
      <c r="Y39" s="9"/>
      <c r="Z39" s="6"/>
      <c r="AA39" s="6"/>
      <c r="AB39" s="6"/>
      <c r="AC39" s="10"/>
      <c r="AD39" s="10"/>
      <c r="AE39" s="7"/>
      <c r="AF39" s="8"/>
      <c r="AG39" s="10"/>
      <c r="AH39" s="8"/>
      <c r="AI39" s="8"/>
      <c r="AJ39" s="6"/>
      <c r="AK39" s="10"/>
      <c r="AL39" s="10"/>
      <c r="AM39" s="9"/>
      <c r="AN39" s="8"/>
      <c r="AO39" s="10"/>
      <c r="AP39" s="8"/>
      <c r="AQ39" s="7"/>
      <c r="AR39" s="6"/>
      <c r="AS39" s="7"/>
      <c r="AT39" s="7"/>
      <c r="AU39" s="7"/>
      <c r="AV39" s="7"/>
      <c r="AW39" s="7"/>
      <c r="AX39" s="10"/>
      <c r="AY39" s="8"/>
      <c r="AZ39" s="8"/>
      <c r="BA39" s="8"/>
      <c r="BB39" s="8"/>
      <c r="BC39" s="7"/>
      <c r="BD39" s="7"/>
      <c r="BE39" s="9"/>
      <c r="BF39" s="6" t="n">
        <v>41.9</v>
      </c>
      <c r="BG39" s="6" t="n">
        <v>42.4</v>
      </c>
      <c r="BH39" s="6" t="n">
        <v>44.9</v>
      </c>
      <c r="BI39" s="7" t="n">
        <v>2.883</v>
      </c>
      <c r="BJ39" s="10" t="n">
        <v>0.1505</v>
      </c>
      <c r="BK39" s="10" t="n">
        <v>0.55</v>
      </c>
      <c r="BL39" s="7" t="n">
        <v>2.057</v>
      </c>
      <c r="BM39" s="10" t="n">
        <v>0.2132</v>
      </c>
      <c r="BN39" s="10" t="n">
        <v>0.0763</v>
      </c>
      <c r="BO39" s="7" t="n">
        <v>2.2</v>
      </c>
      <c r="BP39" s="10" t="n">
        <v>0.784</v>
      </c>
      <c r="BQ39" s="8" t="n">
        <v>4</v>
      </c>
      <c r="BR39" s="10" t="n">
        <v>-0.0301</v>
      </c>
      <c r="BS39" s="10" t="n">
        <v>0.5383</v>
      </c>
      <c r="BT39" s="6" t="n">
        <v>62.59</v>
      </c>
      <c r="BU39" s="6" t="n">
        <v>35</v>
      </c>
      <c r="BV39" s="7" t="n">
        <v>2.82</v>
      </c>
      <c r="BW39" s="6" t="n">
        <v>18</v>
      </c>
      <c r="BX39" s="9" t="n">
        <v>-0.1008</v>
      </c>
      <c r="BY39" s="9" t="n">
        <v>-0.0795</v>
      </c>
      <c r="BZ39" s="8" t="n">
        <v>127</v>
      </c>
      <c r="CA39" s="10" t="n">
        <v>0.225</v>
      </c>
      <c r="CB39" s="8" t="n">
        <v>21</v>
      </c>
      <c r="CC39" s="10" t="n">
        <v>0.048</v>
      </c>
      <c r="CD39" s="8" t="n">
        <v>15</v>
      </c>
      <c r="CE39" s="7"/>
      <c r="CF39" s="7"/>
      <c r="CG39" s="4"/>
      <c r="CH39" s="4" t="s">
        <v>206</v>
      </c>
    </row>
    <row r="40" customFormat="false" ht="15" hidden="false" customHeight="false" outlineLevel="0" collapsed="false">
      <c r="A40" s="3" t="n">
        <v>38</v>
      </c>
      <c r="B40" s="4" t="s">
        <v>309</v>
      </c>
      <c r="C40" s="5" t="s">
        <v>99</v>
      </c>
      <c r="D40" s="4" t="s">
        <v>310</v>
      </c>
      <c r="E40" s="4" t="s">
        <v>209</v>
      </c>
      <c r="F40" s="4" t="s">
        <v>99</v>
      </c>
      <c r="G40" s="3" t="n">
        <v>1</v>
      </c>
      <c r="H40" s="6" t="n">
        <v>30.9</v>
      </c>
      <c r="I40" s="3" t="n">
        <v>9</v>
      </c>
      <c r="J40" s="3" t="n">
        <v>10</v>
      </c>
      <c r="K40" s="7" t="n">
        <v>85.42</v>
      </c>
      <c r="L40" s="7" t="n">
        <v>14.97</v>
      </c>
      <c r="M40" s="8" t="n">
        <v>55</v>
      </c>
      <c r="N40" s="8" t="n">
        <v>116</v>
      </c>
      <c r="O40" s="7" t="n">
        <v>85.42</v>
      </c>
      <c r="P40" s="6" t="n">
        <v>87.4</v>
      </c>
      <c r="Q40" s="4" t="s">
        <v>209</v>
      </c>
      <c r="R40" s="8" t="n">
        <v>17</v>
      </c>
      <c r="S40" s="6" t="n">
        <v>219.7</v>
      </c>
      <c r="T40" s="7" t="n">
        <f aca="false">IFERROR(S40/R40,"")</f>
        <v>12.9235294117647</v>
      </c>
      <c r="U40" s="6" t="n">
        <v>182.7</v>
      </c>
      <c r="V40" s="6" t="n">
        <v>145.7</v>
      </c>
      <c r="W40" s="8" t="n">
        <v>13</v>
      </c>
      <c r="X40" s="7" t="n">
        <f aca="false">IFERROR(S40/AH40,"")</f>
        <v>1.77177419354839</v>
      </c>
      <c r="Y40" s="9" t="n">
        <f aca="false">IFERROR(S40/AF40,"")</f>
        <v>0.225333333333333</v>
      </c>
      <c r="Z40" s="6" t="n">
        <v>8</v>
      </c>
      <c r="AA40" s="6" t="n">
        <v>12.2</v>
      </c>
      <c r="AB40" s="6" t="n">
        <v>20</v>
      </c>
      <c r="AC40" s="10" t="n">
        <v>0.235</v>
      </c>
      <c r="AD40" s="10" t="n">
        <v>0.118</v>
      </c>
      <c r="AE40" s="7" t="n">
        <v>0.613</v>
      </c>
      <c r="AF40" s="8" t="n">
        <v>975</v>
      </c>
      <c r="AG40" s="10" t="n">
        <v>0.854</v>
      </c>
      <c r="AH40" s="8" t="n">
        <v>124</v>
      </c>
      <c r="AI40" s="8" t="n">
        <v>124</v>
      </c>
      <c r="AJ40" s="6" t="n">
        <f aca="false">IFERROR(AI40/R40,"")</f>
        <v>7.29411764705882</v>
      </c>
      <c r="AK40" s="10" t="n">
        <v>0.2123</v>
      </c>
      <c r="AL40" s="10" t="n">
        <v>0.352</v>
      </c>
      <c r="AM40" s="9" t="n">
        <v>0.5648</v>
      </c>
      <c r="AN40" s="8" t="n">
        <v>74</v>
      </c>
      <c r="AO40" s="10" t="n">
        <f aca="false">IFERROR(AN40/AI40,"")</f>
        <v>0.596774193548387</v>
      </c>
      <c r="AP40" s="8" t="n">
        <v>1017</v>
      </c>
      <c r="AQ40" s="7" t="n">
        <f aca="false">IFERROR(AP40/AI40,"")</f>
        <v>8.20161290322581</v>
      </c>
      <c r="AR40" s="6" t="n">
        <v>12.435</v>
      </c>
      <c r="AS40" s="7" t="n">
        <v>3</v>
      </c>
      <c r="AT40" s="7" t="n">
        <v>0.66</v>
      </c>
      <c r="AU40" s="7" t="n">
        <v>2.27853790595032</v>
      </c>
      <c r="AV40" s="7" t="n">
        <v>5.27285714285714</v>
      </c>
      <c r="AW40" s="7" t="n">
        <v>0.115089145751375</v>
      </c>
      <c r="AX40" s="10" t="n">
        <v>0.0645</v>
      </c>
      <c r="AY40" s="8" t="n">
        <v>19</v>
      </c>
      <c r="AZ40" s="8" t="n">
        <v>7</v>
      </c>
      <c r="BA40" s="8" t="n">
        <v>5</v>
      </c>
      <c r="BB40" s="8" t="n">
        <v>7</v>
      </c>
      <c r="BC40" s="7" t="n">
        <v>6.29</v>
      </c>
      <c r="BD40" s="7" t="n">
        <f aca="false">IFERROR(BB40-BC40,"")</f>
        <v>0.71</v>
      </c>
      <c r="BE40" s="9" t="n">
        <f aca="false">IFERROR(BB40/AH40,"")</f>
        <v>0.0564516129032258</v>
      </c>
      <c r="BF40" s="6" t="n">
        <v>63.2</v>
      </c>
      <c r="BG40" s="6" t="n">
        <v>50</v>
      </c>
      <c r="BH40" s="6" t="n">
        <v>70.8</v>
      </c>
      <c r="BI40" s="7" t="n">
        <v>2.952</v>
      </c>
      <c r="BJ40" s="10" t="n">
        <v>0.1682</v>
      </c>
      <c r="BK40" s="10" t="n">
        <v>0.551724137931035</v>
      </c>
      <c r="BL40" s="7" t="n">
        <v>2.592</v>
      </c>
      <c r="BM40" s="10" t="n">
        <v>0.2088</v>
      </c>
      <c r="BN40" s="10" t="n">
        <v>0.037</v>
      </c>
      <c r="BO40" s="7" t="n">
        <v>2.401</v>
      </c>
      <c r="BP40" s="10" t="n">
        <v>0.999</v>
      </c>
      <c r="BQ40" s="8" t="n">
        <v>5</v>
      </c>
      <c r="BR40" s="10" t="n">
        <v>0.0157</v>
      </c>
      <c r="BS40" s="10" t="n">
        <v>0.59</v>
      </c>
      <c r="BT40" s="6" t="n">
        <v>63.47</v>
      </c>
      <c r="BU40" s="6" t="n">
        <v>38</v>
      </c>
      <c r="BV40" s="7" t="n">
        <v>3.47</v>
      </c>
      <c r="BW40" s="6" t="n">
        <v>23.6</v>
      </c>
      <c r="BX40" s="9" t="n">
        <v>0.0004</v>
      </c>
      <c r="BY40" s="9" t="n">
        <v>0.0835</v>
      </c>
      <c r="BZ40" s="8" t="n">
        <v>4</v>
      </c>
      <c r="CA40" s="10" t="n">
        <v>0.007</v>
      </c>
      <c r="CB40" s="8" t="n">
        <v>0</v>
      </c>
      <c r="CC40" s="10" t="n">
        <v>0</v>
      </c>
      <c r="CD40" s="8" t="n">
        <v>1</v>
      </c>
      <c r="CE40" s="7" t="n">
        <v>0.811</v>
      </c>
      <c r="CF40" s="7" t="n">
        <v>0.373</v>
      </c>
      <c r="CG40" s="4" t="s">
        <v>232</v>
      </c>
      <c r="CH40" s="4"/>
    </row>
    <row r="41" customFormat="false" ht="15" hidden="false" customHeight="false" outlineLevel="0" collapsed="false">
      <c r="A41" s="3" t="n">
        <v>39</v>
      </c>
      <c r="B41" s="4" t="s">
        <v>311</v>
      </c>
      <c r="C41" s="5" t="s">
        <v>99</v>
      </c>
      <c r="D41" s="4" t="s">
        <v>312</v>
      </c>
      <c r="E41" s="4" t="s">
        <v>130</v>
      </c>
      <c r="F41" s="4" t="s">
        <v>99</v>
      </c>
      <c r="G41" s="3" t="n">
        <v>2</v>
      </c>
      <c r="H41" s="6" t="n">
        <v>25</v>
      </c>
      <c r="I41" s="3" t="n">
        <v>4</v>
      </c>
      <c r="J41" s="3" t="n">
        <v>13</v>
      </c>
      <c r="K41" s="7" t="n">
        <v>85.44</v>
      </c>
      <c r="L41" s="7" t="n">
        <v>13.37</v>
      </c>
      <c r="M41" s="8" t="n">
        <v>51</v>
      </c>
      <c r="N41" s="8" t="n">
        <v>126</v>
      </c>
      <c r="O41" s="7" t="n">
        <v>85.44</v>
      </c>
      <c r="P41" s="6" t="n">
        <v>77.9</v>
      </c>
      <c r="Q41" s="4" t="s">
        <v>130</v>
      </c>
      <c r="R41" s="8" t="n">
        <v>16</v>
      </c>
      <c r="S41" s="6" t="n">
        <v>138.4</v>
      </c>
      <c r="T41" s="7" t="n">
        <f aca="false">IFERROR(S41/R41,"")</f>
        <v>8.65</v>
      </c>
      <c r="U41" s="6" t="n">
        <v>109.4</v>
      </c>
      <c r="V41" s="6" t="n">
        <v>80.4</v>
      </c>
      <c r="W41" s="8" t="n">
        <v>43</v>
      </c>
      <c r="X41" s="7" t="n">
        <f aca="false">IFERROR(S41/AH41,"")</f>
        <v>1.53777777777778</v>
      </c>
      <c r="Y41" s="9" t="n">
        <f aca="false">IFERROR(S41/AF41,"")</f>
        <v>0.232996632996633</v>
      </c>
      <c r="Z41" s="6" t="n">
        <v>5.4</v>
      </c>
      <c r="AA41" s="6" t="n">
        <v>8</v>
      </c>
      <c r="AB41" s="6" t="n">
        <v>12.62</v>
      </c>
      <c r="AC41" s="10" t="n">
        <v>0</v>
      </c>
      <c r="AD41" s="10" t="n">
        <v>0.062</v>
      </c>
      <c r="AE41" s="7" t="n">
        <v>0.592</v>
      </c>
      <c r="AF41" s="8" t="n">
        <v>594</v>
      </c>
      <c r="AG41" s="10" t="n">
        <v>0.587</v>
      </c>
      <c r="AH41" s="8" t="n">
        <v>90</v>
      </c>
      <c r="AI41" s="8" t="n">
        <v>88</v>
      </c>
      <c r="AJ41" s="6" t="n">
        <f aca="false">IFERROR(AI41/R41,"")</f>
        <v>5.5</v>
      </c>
      <c r="AK41" s="10" t="n">
        <v>0.1767</v>
      </c>
      <c r="AL41" s="10" t="n">
        <v>0.1672</v>
      </c>
      <c r="AM41" s="9" t="n">
        <v>0.3821</v>
      </c>
      <c r="AN41" s="8" t="n">
        <v>58</v>
      </c>
      <c r="AO41" s="10" t="n">
        <f aca="false">IFERROR(AN41/AI41,"")</f>
        <v>0.659090909090909</v>
      </c>
      <c r="AP41" s="8" t="n">
        <v>566</v>
      </c>
      <c r="AQ41" s="7" t="n">
        <f aca="false">IFERROR(AP41/AI41,"")</f>
        <v>6.43181818181818</v>
      </c>
      <c r="AR41" s="6" t="n">
        <v>7.489</v>
      </c>
      <c r="AS41" s="7" t="n">
        <v>2.483</v>
      </c>
      <c r="AT41" s="7" t="n">
        <v>0.859</v>
      </c>
      <c r="AU41" s="7" t="n">
        <v>2.6805034029615</v>
      </c>
      <c r="AV41" s="7" t="n">
        <v>7.21391891891892</v>
      </c>
      <c r="AW41" s="7" t="n">
        <v>0.134333950528054</v>
      </c>
      <c r="AX41" s="10" t="n">
        <v>0.0455</v>
      </c>
      <c r="AY41" s="8" t="n">
        <v>15</v>
      </c>
      <c r="AZ41" s="8" t="n">
        <v>5</v>
      </c>
      <c r="BA41" s="8" t="n">
        <v>2</v>
      </c>
      <c r="BB41" s="8" t="n">
        <v>4</v>
      </c>
      <c r="BC41" s="7" t="n">
        <v>4.45</v>
      </c>
      <c r="BD41" s="7" t="n">
        <f aca="false">IFERROR(BB41-BC41,"")</f>
        <v>-0.45</v>
      </c>
      <c r="BE41" s="9" t="n">
        <f aca="false">IFERROR(BB41/AH41,"")</f>
        <v>0.0444444444444444</v>
      </c>
      <c r="BF41" s="6" t="n">
        <v>60.3</v>
      </c>
      <c r="BG41" s="6" t="n">
        <v>57.7</v>
      </c>
      <c r="BH41" s="6" t="n">
        <v>58.5</v>
      </c>
      <c r="BI41" s="7" t="n">
        <v>3.072</v>
      </c>
      <c r="BJ41" s="10" t="n">
        <v>0.1487</v>
      </c>
      <c r="BK41" s="10" t="n">
        <v>0.6875</v>
      </c>
      <c r="BL41" s="7" t="n">
        <v>2.428</v>
      </c>
      <c r="BM41" s="10" t="n">
        <v>0.2121</v>
      </c>
      <c r="BN41" s="10" t="n">
        <v>0.047</v>
      </c>
      <c r="BO41" s="7" t="n">
        <v>2.237</v>
      </c>
      <c r="BP41" s="10" t="n">
        <v>0.832</v>
      </c>
      <c r="BQ41" s="8" t="n">
        <v>5</v>
      </c>
      <c r="BR41" s="10" t="n">
        <v>-0.0091</v>
      </c>
      <c r="BS41" s="10" t="n">
        <v>0.5637</v>
      </c>
      <c r="BT41" s="6" t="n">
        <v>59.47</v>
      </c>
      <c r="BU41" s="6" t="n">
        <v>39</v>
      </c>
      <c r="BV41" s="7" t="n">
        <v>4.12</v>
      </c>
      <c r="BW41" s="6" t="n">
        <v>27.4</v>
      </c>
      <c r="BX41" s="9" t="n">
        <v>0.094</v>
      </c>
      <c r="BY41" s="9" t="n">
        <v>0.0558</v>
      </c>
      <c r="BZ41" s="8" t="n">
        <v>147</v>
      </c>
      <c r="CA41" s="10" t="n">
        <v>0.277</v>
      </c>
      <c r="CB41" s="8" t="n">
        <v>24</v>
      </c>
      <c r="CC41" s="10" t="n">
        <v>0.054</v>
      </c>
      <c r="CD41" s="8" t="n">
        <v>20</v>
      </c>
      <c r="CE41" s="7" t="n">
        <v>-0.468</v>
      </c>
      <c r="CF41" s="7" t="n">
        <v>-0.994</v>
      </c>
      <c r="CG41" s="4" t="s">
        <v>121</v>
      </c>
      <c r="CH41" s="4"/>
    </row>
    <row r="42" customFormat="false" ht="15" hidden="false" customHeight="false" outlineLevel="0" collapsed="false">
      <c r="A42" s="3" t="n">
        <v>40</v>
      </c>
      <c r="B42" s="4" t="s">
        <v>315</v>
      </c>
      <c r="C42" s="5" t="s">
        <v>99</v>
      </c>
      <c r="D42" s="4" t="s">
        <v>316</v>
      </c>
      <c r="E42" s="4" t="s">
        <v>265</v>
      </c>
      <c r="F42" s="4" t="s">
        <v>99</v>
      </c>
      <c r="G42" s="3" t="n">
        <v>2</v>
      </c>
      <c r="H42" s="6" t="n">
        <v>25.6</v>
      </c>
      <c r="I42" s="3" t="n">
        <v>5</v>
      </c>
      <c r="J42" s="3" t="n">
        <v>9</v>
      </c>
      <c r="K42" s="7" t="n">
        <v>87.71</v>
      </c>
      <c r="L42" s="7" t="n">
        <v>14.12</v>
      </c>
      <c r="M42" s="8" t="n">
        <v>48</v>
      </c>
      <c r="N42" s="8" t="n">
        <v>135</v>
      </c>
      <c r="O42" s="7" t="n">
        <v>87.71</v>
      </c>
      <c r="P42" s="6" t="n">
        <v>71.1</v>
      </c>
      <c r="Q42" s="4" t="s">
        <v>178</v>
      </c>
      <c r="R42" s="8" t="n">
        <v>16</v>
      </c>
      <c r="S42" s="6" t="n">
        <v>217.9</v>
      </c>
      <c r="T42" s="7" t="n">
        <f aca="false">IFERROR(S42/R42,"")</f>
        <v>13.61875</v>
      </c>
      <c r="U42" s="6" t="n">
        <v>171.9</v>
      </c>
      <c r="V42" s="6" t="n">
        <v>125.9</v>
      </c>
      <c r="W42" s="8" t="n">
        <v>14</v>
      </c>
      <c r="X42" s="7" t="n">
        <f aca="false">IFERROR(S42/AH42,"")</f>
        <v>1.52377622377622</v>
      </c>
      <c r="Y42" s="9" t="n">
        <f aca="false">IFERROR(S42/AF42,"")</f>
        <v>0.223946557040082</v>
      </c>
      <c r="Z42" s="6" t="n">
        <v>7.75</v>
      </c>
      <c r="AA42" s="6" t="n">
        <v>11.85</v>
      </c>
      <c r="AB42" s="6" t="n">
        <v>21.82</v>
      </c>
      <c r="AC42" s="10" t="n">
        <v>0.25</v>
      </c>
      <c r="AD42" s="10" t="n">
        <v>0</v>
      </c>
      <c r="AE42" s="7" t="n">
        <v>0.691</v>
      </c>
      <c r="AF42" s="8" t="n">
        <v>973</v>
      </c>
      <c r="AG42" s="10" t="n">
        <v>0.908</v>
      </c>
      <c r="AH42" s="8" t="n">
        <v>143</v>
      </c>
      <c r="AI42" s="8" t="n">
        <v>140</v>
      </c>
      <c r="AJ42" s="6" t="n">
        <f aca="false">IFERROR(AI42/R42,"")</f>
        <v>8.75</v>
      </c>
      <c r="AK42" s="10" t="n">
        <v>0.2972</v>
      </c>
      <c r="AL42" s="10" t="n">
        <v>0.2873</v>
      </c>
      <c r="AM42" s="9" t="n">
        <v>0.6469</v>
      </c>
      <c r="AN42" s="8" t="n">
        <v>92</v>
      </c>
      <c r="AO42" s="10" t="n">
        <f aca="false">IFERROR(AN42/AI42,"")</f>
        <v>0.657142857142857</v>
      </c>
      <c r="AP42" s="8" t="n">
        <v>1014</v>
      </c>
      <c r="AQ42" s="7" t="n">
        <f aca="false">IFERROR(AP42/AI42,"")</f>
        <v>7.24285714285714</v>
      </c>
      <c r="AR42" s="6" t="n">
        <v>8.479</v>
      </c>
      <c r="AS42" s="7" t="n">
        <v>4.196</v>
      </c>
      <c r="AT42" s="7" t="n">
        <v>0.854</v>
      </c>
      <c r="AU42" s="7" t="n">
        <v>3.36585571883466</v>
      </c>
      <c r="AV42" s="7" t="n">
        <v>6.71091666666667</v>
      </c>
      <c r="AW42" s="7" t="n">
        <v>0.344817252462611</v>
      </c>
      <c r="AX42" s="10" t="n">
        <v>0.0286</v>
      </c>
      <c r="AY42" s="8" t="n">
        <v>13</v>
      </c>
      <c r="AZ42" s="8" t="n">
        <v>5</v>
      </c>
      <c r="BA42" s="8" t="n">
        <v>5</v>
      </c>
      <c r="BB42" s="8" t="n">
        <v>4</v>
      </c>
      <c r="BC42" s="7" t="n">
        <v>5.25</v>
      </c>
      <c r="BD42" s="7" t="n">
        <f aca="false">IFERROR(BB42-BC42,"")</f>
        <v>-1.25</v>
      </c>
      <c r="BE42" s="9" t="n">
        <f aca="false">IFERROR(BB42/AH42,"")</f>
        <v>0.027972027972028</v>
      </c>
      <c r="BF42" s="6" t="n">
        <v>41.1</v>
      </c>
      <c r="BG42" s="6" t="n">
        <v>58.4</v>
      </c>
      <c r="BH42" s="6" t="n">
        <v>27.6</v>
      </c>
      <c r="BI42" s="7" t="n">
        <v>3.085</v>
      </c>
      <c r="BJ42" s="10" t="n">
        <v>0.1549</v>
      </c>
      <c r="BK42" s="10" t="n">
        <v>0.666666666666667</v>
      </c>
      <c r="BL42" s="7" t="n">
        <v>2.54</v>
      </c>
      <c r="BM42" s="10" t="n">
        <v>0.3175</v>
      </c>
      <c r="BN42" s="10" t="n">
        <v>0.0872</v>
      </c>
      <c r="BO42" s="7" t="n">
        <v>2.389</v>
      </c>
      <c r="BP42" s="10" t="n">
        <v>0.527</v>
      </c>
      <c r="BQ42" s="8" t="n">
        <v>3</v>
      </c>
      <c r="BR42" s="10" t="n">
        <v>-0.0385</v>
      </c>
      <c r="BS42" s="10" t="n">
        <v>0.5401</v>
      </c>
      <c r="BT42" s="6" t="n">
        <v>58.53</v>
      </c>
      <c r="BU42" s="6" t="n">
        <v>40</v>
      </c>
      <c r="BV42" s="7" t="n">
        <v>2.06</v>
      </c>
      <c r="BW42" s="6" t="n">
        <v>16.7</v>
      </c>
      <c r="BX42" s="9" t="n">
        <v>-0.0573</v>
      </c>
      <c r="BY42" s="9" t="n">
        <v>-0.2208</v>
      </c>
      <c r="BZ42" s="8" t="n">
        <v>152</v>
      </c>
      <c r="CA42" s="10" t="n">
        <v>0.287</v>
      </c>
      <c r="CB42" s="8" t="n">
        <v>0</v>
      </c>
      <c r="CC42" s="10" t="n">
        <v>0</v>
      </c>
      <c r="CD42" s="8" t="n">
        <v>8</v>
      </c>
      <c r="CE42" s="7" t="n">
        <v>0.838</v>
      </c>
      <c r="CF42" s="7" t="n">
        <v>0.706</v>
      </c>
      <c r="CG42" s="4" t="s">
        <v>232</v>
      </c>
      <c r="CH42" s="4"/>
    </row>
    <row r="43" customFormat="false" ht="15" hidden="false" customHeight="false" outlineLevel="0" collapsed="false">
      <c r="A43" s="3" t="n">
        <v>41</v>
      </c>
      <c r="B43" s="4" t="s">
        <v>319</v>
      </c>
      <c r="C43" s="5" t="s">
        <v>99</v>
      </c>
      <c r="D43" s="4" t="s">
        <v>320</v>
      </c>
      <c r="E43" s="4" t="s">
        <v>151</v>
      </c>
      <c r="F43" s="4" t="s">
        <v>99</v>
      </c>
      <c r="G43" s="3" t="n">
        <v>2</v>
      </c>
      <c r="H43" s="6" t="n">
        <v>26.5</v>
      </c>
      <c r="I43" s="3" t="n">
        <v>4</v>
      </c>
      <c r="J43" s="3" t="n">
        <v>14</v>
      </c>
      <c r="K43" s="7" t="n">
        <v>90.53</v>
      </c>
      <c r="L43" s="7" t="n">
        <v>15.82</v>
      </c>
      <c r="M43" s="8" t="n">
        <v>49</v>
      </c>
      <c r="N43" s="8" t="n">
        <v>137</v>
      </c>
      <c r="O43" s="7" t="n">
        <v>90.53</v>
      </c>
      <c r="P43" s="6" t="n">
        <v>83.8</v>
      </c>
      <c r="Q43" s="4" t="s">
        <v>151</v>
      </c>
      <c r="R43" s="8" t="n">
        <v>17</v>
      </c>
      <c r="S43" s="6" t="n">
        <v>220.6</v>
      </c>
      <c r="T43" s="7" t="n">
        <f aca="false">IFERROR(S43/R43,"")</f>
        <v>12.9764705882353</v>
      </c>
      <c r="U43" s="6" t="n">
        <v>181.6</v>
      </c>
      <c r="V43" s="6" t="n">
        <v>142.6</v>
      </c>
      <c r="W43" s="8" t="n">
        <v>10</v>
      </c>
      <c r="X43" s="7" t="n">
        <f aca="false">IFERROR(S43/AH43,"")</f>
        <v>1.75079365079365</v>
      </c>
      <c r="Y43" s="9" t="n">
        <f aca="false">IFERROR(S43/AF43,"")</f>
        <v>0.239003250270856</v>
      </c>
      <c r="Z43" s="6" t="n">
        <v>6.6</v>
      </c>
      <c r="AA43" s="6" t="n">
        <v>8.4</v>
      </c>
      <c r="AB43" s="6" t="n">
        <v>21.44</v>
      </c>
      <c r="AC43" s="10" t="n">
        <v>0.294</v>
      </c>
      <c r="AD43" s="10" t="n">
        <v>0.118</v>
      </c>
      <c r="AE43" s="7" t="n">
        <v>1.262</v>
      </c>
      <c r="AF43" s="8" t="n">
        <v>923</v>
      </c>
      <c r="AG43" s="10" t="n">
        <v>0.814</v>
      </c>
      <c r="AH43" s="8" t="n">
        <v>126</v>
      </c>
      <c r="AI43" s="8" t="n">
        <v>126</v>
      </c>
      <c r="AJ43" s="6" t="n">
        <f aca="false">IFERROR(AI43/R43,"")</f>
        <v>7.41176470588235</v>
      </c>
      <c r="AK43" s="10" t="n">
        <v>0.2042</v>
      </c>
      <c r="AL43" s="10" t="n">
        <v>0.3375</v>
      </c>
      <c r="AM43" s="9" t="n">
        <v>0.5426</v>
      </c>
      <c r="AN43" s="8" t="n">
        <v>78</v>
      </c>
      <c r="AO43" s="10" t="n">
        <f aca="false">IFERROR(AN43/AI43,"")</f>
        <v>0.619047619047619</v>
      </c>
      <c r="AP43" s="8" t="n">
        <v>1006</v>
      </c>
      <c r="AQ43" s="7" t="n">
        <f aca="false">IFERROR(AP43/AI43,"")</f>
        <v>7.98412698412698</v>
      </c>
      <c r="AR43" s="6" t="n">
        <v>11.921</v>
      </c>
      <c r="AS43" s="7" t="n">
        <v>3.5</v>
      </c>
      <c r="AT43" s="7" t="n">
        <v>0.67</v>
      </c>
      <c r="AU43" s="7" t="n">
        <v>2.43531899514545</v>
      </c>
      <c r="AV43" s="7" t="n">
        <v>5.98137096774193</v>
      </c>
      <c r="AW43" s="7" t="n">
        <v>0.573724760041447</v>
      </c>
      <c r="AX43" s="10" t="n">
        <v>0.0079</v>
      </c>
      <c r="AY43" s="8" t="n">
        <v>16</v>
      </c>
      <c r="AZ43" s="8" t="n">
        <v>4</v>
      </c>
      <c r="BA43" s="8" t="n">
        <v>0</v>
      </c>
      <c r="BB43" s="8" t="n">
        <v>7</v>
      </c>
      <c r="BC43" s="7" t="n">
        <v>4.68</v>
      </c>
      <c r="BD43" s="7" t="n">
        <f aca="false">IFERROR(BB43-BC43,"")</f>
        <v>2.32</v>
      </c>
      <c r="BE43" s="9" t="n">
        <f aca="false">IFERROR(BB43/AH43,"")</f>
        <v>0.0555555555555556</v>
      </c>
      <c r="BF43" s="6" t="n">
        <v>36.9</v>
      </c>
      <c r="BG43" s="6" t="n">
        <v>43.8</v>
      </c>
      <c r="BH43" s="6" t="n">
        <v>35.6</v>
      </c>
      <c r="BI43" s="7" t="n">
        <v>2.771</v>
      </c>
      <c r="BJ43" s="10" t="n">
        <v>0.2005</v>
      </c>
      <c r="BK43" s="10" t="n">
        <v>0.65625</v>
      </c>
      <c r="BL43" s="7" t="n">
        <v>2.593</v>
      </c>
      <c r="BM43" s="10" t="n">
        <v>0.282</v>
      </c>
      <c r="BN43" s="10" t="n">
        <v>0.0839</v>
      </c>
      <c r="BO43" s="7" t="n">
        <v>2.373</v>
      </c>
      <c r="BP43" s="10" t="n">
        <v>0.686</v>
      </c>
      <c r="BQ43" s="8" t="n">
        <v>3</v>
      </c>
      <c r="BR43" s="10" t="n">
        <v>0.0399</v>
      </c>
      <c r="BS43" s="10" t="n">
        <v>0.6204</v>
      </c>
      <c r="BT43" s="6" t="n">
        <v>63.18</v>
      </c>
      <c r="BU43" s="6" t="n">
        <v>39</v>
      </c>
      <c r="BV43" s="7" t="n">
        <v>3.59</v>
      </c>
      <c r="BW43" s="6" t="n">
        <v>20.9</v>
      </c>
      <c r="BX43" s="9" t="n">
        <v>-0.0591</v>
      </c>
      <c r="BY43" s="9" t="n">
        <v>0.0023</v>
      </c>
      <c r="BZ43" s="8" t="n">
        <v>106</v>
      </c>
      <c r="CA43" s="10" t="n">
        <v>0.172</v>
      </c>
      <c r="CB43" s="8" t="n">
        <v>173</v>
      </c>
      <c r="CC43" s="10" t="n">
        <v>0.473</v>
      </c>
      <c r="CD43" s="8" t="n">
        <v>41</v>
      </c>
      <c r="CE43" s="7" t="n">
        <v>1.049</v>
      </c>
      <c r="CF43" s="7" t="n">
        <v>0.567</v>
      </c>
      <c r="CG43" s="4" t="s">
        <v>321</v>
      </c>
      <c r="CH43" s="4"/>
    </row>
    <row r="44" customFormat="false" ht="15" hidden="false" customHeight="false" outlineLevel="0" collapsed="false">
      <c r="A44" s="3" t="n">
        <v>42</v>
      </c>
      <c r="B44" s="4" t="s">
        <v>322</v>
      </c>
      <c r="C44" s="5" t="s">
        <v>99</v>
      </c>
      <c r="D44" s="4" t="s">
        <v>323</v>
      </c>
      <c r="E44" s="4" t="s">
        <v>130</v>
      </c>
      <c r="F44" s="4" t="s">
        <v>99</v>
      </c>
      <c r="G44" s="3" t="n">
        <v>1</v>
      </c>
      <c r="H44" s="6" t="n">
        <v>26.3</v>
      </c>
      <c r="I44" s="3" t="n">
        <v>5</v>
      </c>
      <c r="J44" s="3" t="n">
        <v>13</v>
      </c>
      <c r="K44" s="7" t="n">
        <v>91</v>
      </c>
      <c r="L44" s="7" t="n">
        <v>19.93</v>
      </c>
      <c r="M44" s="8" t="n">
        <v>51</v>
      </c>
      <c r="N44" s="8" t="n">
        <v>154</v>
      </c>
      <c r="O44" s="7" t="n">
        <v>91</v>
      </c>
      <c r="P44" s="6" t="n">
        <v>85.2</v>
      </c>
      <c r="Q44" s="4" t="s">
        <v>130</v>
      </c>
      <c r="R44" s="8" t="n">
        <v>15</v>
      </c>
      <c r="S44" s="6" t="n">
        <v>183.3</v>
      </c>
      <c r="T44" s="7" t="n">
        <f aca="false">IFERROR(S44/R44,"")</f>
        <v>12.22</v>
      </c>
      <c r="U44" s="6" t="n">
        <v>159.8</v>
      </c>
      <c r="V44" s="6" t="n">
        <v>136.3</v>
      </c>
      <c r="W44" s="8" t="n">
        <v>28</v>
      </c>
      <c r="X44" s="7" t="n">
        <f aca="false">IFERROR(S44/AH44,"")</f>
        <v>2.18214285714286</v>
      </c>
      <c r="Y44" s="9" t="n">
        <f aca="false">IFERROR(S44/AF44,"")</f>
        <v>0.225461254612546</v>
      </c>
      <c r="Z44" s="6" t="n">
        <v>5.7</v>
      </c>
      <c r="AA44" s="6" t="n">
        <v>10.8</v>
      </c>
      <c r="AB44" s="6" t="n">
        <v>18.34</v>
      </c>
      <c r="AC44" s="10" t="n">
        <v>0.133</v>
      </c>
      <c r="AD44" s="10" t="n">
        <v>0.067</v>
      </c>
      <c r="AE44" s="7" t="n">
        <v>0.769</v>
      </c>
      <c r="AF44" s="8" t="n">
        <v>813</v>
      </c>
      <c r="AG44" s="10" t="n">
        <v>0.859</v>
      </c>
      <c r="AH44" s="8" t="n">
        <v>84</v>
      </c>
      <c r="AI44" s="8" t="n">
        <v>84</v>
      </c>
      <c r="AJ44" s="6" t="n">
        <f aca="false">IFERROR(AI44/R44,"")</f>
        <v>5.6</v>
      </c>
      <c r="AK44" s="10" t="n">
        <v>0.1799</v>
      </c>
      <c r="AL44" s="10" t="n">
        <v>0.4298</v>
      </c>
      <c r="AM44" s="9" t="n">
        <v>0.5707</v>
      </c>
      <c r="AN44" s="8" t="n">
        <v>47</v>
      </c>
      <c r="AO44" s="10" t="n">
        <f aca="false">IFERROR(AN44/AI44,"")</f>
        <v>0.55952380952381</v>
      </c>
      <c r="AP44" s="8" t="n">
        <v>1003</v>
      </c>
      <c r="AQ44" s="7" t="n">
        <f aca="false">IFERROR(AP44/AI44,"")</f>
        <v>11.9404761904762</v>
      </c>
      <c r="AR44" s="6" t="n">
        <v>18.964</v>
      </c>
      <c r="AS44" s="7" t="n">
        <v>3.702</v>
      </c>
      <c r="AT44" s="7" t="n">
        <v>0.63</v>
      </c>
      <c r="AU44" s="7" t="n">
        <v>2.07517787124756</v>
      </c>
      <c r="AV44" s="7" t="n">
        <v>6.27833333333333</v>
      </c>
      <c r="AW44" s="7" t="n">
        <v>1.27772830033032</v>
      </c>
      <c r="AX44" s="10" t="n">
        <v>0.0119</v>
      </c>
      <c r="AY44" s="8" t="n">
        <v>9</v>
      </c>
      <c r="AZ44" s="8" t="n">
        <v>4</v>
      </c>
      <c r="BA44" s="8" t="n">
        <v>1</v>
      </c>
      <c r="BB44" s="8" t="n">
        <v>6</v>
      </c>
      <c r="BC44" s="7" t="n">
        <v>2.97</v>
      </c>
      <c r="BD44" s="7" t="n">
        <f aca="false">IFERROR(BB44-BC44,"")</f>
        <v>3.03</v>
      </c>
      <c r="BE44" s="9" t="n">
        <f aca="false">IFERROR(BB44/AH44,"")</f>
        <v>0.0714285714285714</v>
      </c>
      <c r="BF44" s="6" t="n">
        <v>60.3</v>
      </c>
      <c r="BG44" s="6" t="n">
        <v>57.7</v>
      </c>
      <c r="BH44" s="6" t="n">
        <v>58.5</v>
      </c>
      <c r="BI44" s="7" t="n">
        <v>3.072</v>
      </c>
      <c r="BJ44" s="10" t="n">
        <v>0.1487</v>
      </c>
      <c r="BK44" s="10" t="n">
        <v>0.6875</v>
      </c>
      <c r="BL44" s="7" t="n">
        <v>2.428</v>
      </c>
      <c r="BM44" s="10" t="n">
        <v>0.2121</v>
      </c>
      <c r="BN44" s="10" t="n">
        <v>0.047</v>
      </c>
      <c r="BO44" s="7" t="n">
        <v>2.237</v>
      </c>
      <c r="BP44" s="10" t="n">
        <v>0.832</v>
      </c>
      <c r="BQ44" s="8" t="n">
        <v>5</v>
      </c>
      <c r="BR44" s="10" t="n">
        <v>-0.0091</v>
      </c>
      <c r="BS44" s="10" t="n">
        <v>0.5637</v>
      </c>
      <c r="BT44" s="6" t="n">
        <v>59.47</v>
      </c>
      <c r="BU44" s="6" t="n">
        <v>39</v>
      </c>
      <c r="BV44" s="7" t="n">
        <v>4.12</v>
      </c>
      <c r="BW44" s="6" t="n">
        <v>27.4</v>
      </c>
      <c r="BX44" s="9" t="n">
        <v>0.094</v>
      </c>
      <c r="BY44" s="9" t="n">
        <v>0.0558</v>
      </c>
      <c r="BZ44" s="8" t="n">
        <v>147</v>
      </c>
      <c r="CA44" s="10" t="n">
        <v>0.277</v>
      </c>
      <c r="CB44" s="8" t="n">
        <v>24</v>
      </c>
      <c r="CC44" s="10" t="n">
        <v>0.054</v>
      </c>
      <c r="CD44" s="8" t="n">
        <v>20</v>
      </c>
      <c r="CE44" s="7" t="n">
        <v>0.296</v>
      </c>
      <c r="CF44" s="7" t="n">
        <v>0.339</v>
      </c>
      <c r="CG44" s="4" t="s">
        <v>102</v>
      </c>
      <c r="CH44" s="4"/>
    </row>
    <row r="45" customFormat="false" ht="15" hidden="false" customHeight="false" outlineLevel="0" collapsed="false">
      <c r="A45" s="3" t="n">
        <v>43</v>
      </c>
      <c r="B45" s="4" t="s">
        <v>336</v>
      </c>
      <c r="C45" s="5" t="s">
        <v>99</v>
      </c>
      <c r="D45" s="4" t="s">
        <v>337</v>
      </c>
      <c r="E45" s="4" t="s">
        <v>136</v>
      </c>
      <c r="F45" s="4" t="s">
        <v>99</v>
      </c>
      <c r="G45" s="3" t="n">
        <v>3</v>
      </c>
      <c r="H45" s="6" t="n">
        <v>22.2</v>
      </c>
      <c r="I45" s="3" t="n">
        <v>0</v>
      </c>
      <c r="J45" s="3" t="n">
        <v>10</v>
      </c>
      <c r="K45" s="7" t="n">
        <v>101.45</v>
      </c>
      <c r="L45" s="7" t="n">
        <v>15.64</v>
      </c>
      <c r="M45" s="8" t="n">
        <v>70</v>
      </c>
      <c r="N45" s="8" t="n">
        <v>136</v>
      </c>
      <c r="O45" s="7" t="n">
        <v>101.45</v>
      </c>
      <c r="P45" s="6" t="n">
        <v>82.9</v>
      </c>
      <c r="Q45" s="4"/>
      <c r="R45" s="8"/>
      <c r="S45" s="6"/>
      <c r="T45" s="7"/>
      <c r="U45" s="6"/>
      <c r="V45" s="6"/>
      <c r="W45" s="8"/>
      <c r="X45" s="7"/>
      <c r="Y45" s="9"/>
      <c r="Z45" s="6"/>
      <c r="AA45" s="6"/>
      <c r="AB45" s="6"/>
      <c r="AC45" s="10"/>
      <c r="AD45" s="10"/>
      <c r="AE45" s="7"/>
      <c r="AF45" s="8"/>
      <c r="AG45" s="10"/>
      <c r="AH45" s="8"/>
      <c r="AI45" s="8"/>
      <c r="AJ45" s="6"/>
      <c r="AK45" s="10"/>
      <c r="AL45" s="10"/>
      <c r="AM45" s="9"/>
      <c r="AN45" s="8"/>
      <c r="AO45" s="10"/>
      <c r="AP45" s="8"/>
      <c r="AQ45" s="7"/>
      <c r="AR45" s="6"/>
      <c r="AS45" s="7"/>
      <c r="AT45" s="7"/>
      <c r="AU45" s="7"/>
      <c r="AV45" s="7"/>
      <c r="AW45" s="7"/>
      <c r="AX45" s="10"/>
      <c r="AY45" s="8"/>
      <c r="AZ45" s="8"/>
      <c r="BA45" s="8"/>
      <c r="BB45" s="8"/>
      <c r="BC45" s="7"/>
      <c r="BD45" s="7"/>
      <c r="BE45" s="9"/>
      <c r="BF45" s="6" t="n">
        <v>48.2</v>
      </c>
      <c r="BG45" s="6" t="n">
        <v>35.6</v>
      </c>
      <c r="BH45" s="6" t="n">
        <v>61.6</v>
      </c>
      <c r="BI45" s="7" t="n">
        <v>2.749</v>
      </c>
      <c r="BJ45" s="10" t="n">
        <v>0.2192</v>
      </c>
      <c r="BK45" s="10" t="n">
        <v>0.466666666666667</v>
      </c>
      <c r="BL45" s="7" t="n">
        <v>2.6</v>
      </c>
      <c r="BM45" s="10" t="n">
        <v>0.2334</v>
      </c>
      <c r="BN45" s="10" t="n">
        <v>0.0577</v>
      </c>
      <c r="BO45" s="7" t="n">
        <v>2.491</v>
      </c>
      <c r="BP45" s="10" t="n">
        <v>0.909</v>
      </c>
      <c r="BQ45" s="8" t="n">
        <v>5</v>
      </c>
      <c r="BR45" s="10" t="n">
        <v>-0.0248</v>
      </c>
      <c r="BS45" s="10" t="n">
        <v>0.5347</v>
      </c>
      <c r="BT45" s="6" t="n">
        <v>58.53</v>
      </c>
      <c r="BU45" s="6" t="n">
        <v>39</v>
      </c>
      <c r="BV45" s="7" t="n">
        <v>2.76</v>
      </c>
      <c r="BW45" s="6" t="n">
        <v>22.3</v>
      </c>
      <c r="BX45" s="9" t="n">
        <v>0.0054</v>
      </c>
      <c r="BY45" s="9" t="n">
        <v>0.0436</v>
      </c>
      <c r="BZ45" s="8" t="n">
        <v>175</v>
      </c>
      <c r="CA45" s="10" t="n">
        <v>0.377</v>
      </c>
      <c r="CB45" s="8" t="n">
        <v>12</v>
      </c>
      <c r="CC45" s="10" t="n">
        <v>0.025</v>
      </c>
      <c r="CD45" s="8" t="n">
        <v>23</v>
      </c>
      <c r="CE45" s="7"/>
      <c r="CF45" s="7"/>
      <c r="CG45" s="4"/>
      <c r="CH45" s="4" t="s">
        <v>206</v>
      </c>
    </row>
    <row r="46" customFormat="false" ht="15" hidden="false" customHeight="false" outlineLevel="0" collapsed="false">
      <c r="A46" s="3" t="n">
        <v>44</v>
      </c>
      <c r="B46" s="4" t="s">
        <v>342</v>
      </c>
      <c r="C46" s="5" t="s">
        <v>99</v>
      </c>
      <c r="D46" s="4" t="s">
        <v>343</v>
      </c>
      <c r="E46" s="4" t="s">
        <v>235</v>
      </c>
      <c r="F46" s="4" t="s">
        <v>99</v>
      </c>
      <c r="G46" s="3" t="n">
        <v>3</v>
      </c>
      <c r="H46" s="6" t="n">
        <v>29.8</v>
      </c>
      <c r="I46" s="3" t="n">
        <v>8</v>
      </c>
      <c r="J46" s="3" t="n">
        <v>7</v>
      </c>
      <c r="K46" s="7" t="n">
        <v>102.19</v>
      </c>
      <c r="L46" s="7" t="n">
        <v>17.8</v>
      </c>
      <c r="M46" s="8" t="n">
        <v>62</v>
      </c>
      <c r="N46" s="8" t="n">
        <v>158</v>
      </c>
      <c r="O46" s="7" t="n">
        <v>102.19</v>
      </c>
      <c r="P46" s="6" t="n">
        <v>75.6</v>
      </c>
      <c r="Q46" s="4" t="s">
        <v>235</v>
      </c>
      <c r="R46" s="8" t="n">
        <v>16</v>
      </c>
      <c r="S46" s="6" t="n">
        <v>175.8</v>
      </c>
      <c r="T46" s="7" t="n">
        <f aca="false">IFERROR(S46/R46,"")</f>
        <v>10.9875</v>
      </c>
      <c r="U46" s="6" t="n">
        <v>138.3</v>
      </c>
      <c r="V46" s="6" t="n">
        <v>100.8</v>
      </c>
      <c r="W46" s="8" t="n">
        <v>32</v>
      </c>
      <c r="X46" s="7" t="n">
        <f aca="false">IFERROR(S46/AH46,"")</f>
        <v>1.52869565217391</v>
      </c>
      <c r="Y46" s="9" t="n">
        <f aca="false">IFERROR(S46/AF46,"")</f>
        <v>0.201605504587156</v>
      </c>
      <c r="Z46" s="6" t="n">
        <v>7.72</v>
      </c>
      <c r="AA46" s="6" t="n">
        <v>9.35</v>
      </c>
      <c r="AB46" s="6" t="n">
        <v>14.95</v>
      </c>
      <c r="AC46" s="10" t="n">
        <v>0.062</v>
      </c>
      <c r="AD46" s="10" t="n">
        <v>0</v>
      </c>
      <c r="AE46" s="7" t="n">
        <v>0.466</v>
      </c>
      <c r="AF46" s="8" t="n">
        <v>872</v>
      </c>
      <c r="AG46" s="10" t="n">
        <v>0.85</v>
      </c>
      <c r="AH46" s="8" t="n">
        <v>115</v>
      </c>
      <c r="AI46" s="8" t="n">
        <v>110</v>
      </c>
      <c r="AJ46" s="6" t="n">
        <f aca="false">IFERROR(AI46/R46,"")</f>
        <v>6.875</v>
      </c>
      <c r="AK46" s="10" t="n">
        <v>0.2282</v>
      </c>
      <c r="AL46" s="10" t="n">
        <v>0.2528</v>
      </c>
      <c r="AM46" s="9" t="n">
        <v>0.5193</v>
      </c>
      <c r="AN46" s="8" t="n">
        <v>75</v>
      </c>
      <c r="AO46" s="10" t="n">
        <f aca="false">IFERROR(AN46/AI46,"")</f>
        <v>0.681818181818182</v>
      </c>
      <c r="AP46" s="8" t="n">
        <v>835</v>
      </c>
      <c r="AQ46" s="7" t="n">
        <f aca="false">IFERROR(AP46/AI46,"")</f>
        <v>7.59090909090909</v>
      </c>
      <c r="AR46" s="6" t="n">
        <v>9.164</v>
      </c>
      <c r="AS46" s="7" t="n">
        <v>3.76</v>
      </c>
      <c r="AT46" s="7" t="n">
        <v>0.828</v>
      </c>
      <c r="AU46" s="7" t="n">
        <v>2.73208851411209</v>
      </c>
      <c r="AV46" s="7" t="n">
        <v>6.40833333333333</v>
      </c>
      <c r="AW46" s="7" t="n">
        <v>0.335026946800864</v>
      </c>
      <c r="AX46" s="10" t="n">
        <v>0.0182</v>
      </c>
      <c r="AY46" s="8" t="n">
        <v>17</v>
      </c>
      <c r="AZ46" s="8" t="n">
        <v>7</v>
      </c>
      <c r="BA46" s="8" t="n">
        <v>3</v>
      </c>
      <c r="BB46" s="8" t="n">
        <v>3</v>
      </c>
      <c r="BC46" s="7" t="n">
        <v>5.32</v>
      </c>
      <c r="BD46" s="7" t="n">
        <f aca="false">IFERROR(BB46-BC46,"")</f>
        <v>-2.32</v>
      </c>
      <c r="BE46" s="9" t="n">
        <f aca="false">IFERROR(BB46/AH46,"")</f>
        <v>0.0260869565217391</v>
      </c>
      <c r="BF46" s="6" t="n">
        <v>44.3</v>
      </c>
      <c r="BG46" s="6" t="n">
        <v>40.2</v>
      </c>
      <c r="BH46" s="6" t="n">
        <v>50.8</v>
      </c>
      <c r="BI46" s="7" t="n">
        <v>2.885</v>
      </c>
      <c r="BJ46" s="10" t="n">
        <v>0.1784</v>
      </c>
      <c r="BK46" s="10" t="n">
        <v>0.5</v>
      </c>
      <c r="BL46" s="7" t="n">
        <v>2.219</v>
      </c>
      <c r="BM46" s="10" t="n">
        <v>0.2504</v>
      </c>
      <c r="BN46" s="10" t="n">
        <v>0.0647</v>
      </c>
      <c r="BO46" s="7" t="n">
        <v>2.395</v>
      </c>
      <c r="BP46" s="10" t="n">
        <v>1</v>
      </c>
      <c r="BQ46" s="8" t="n">
        <v>5</v>
      </c>
      <c r="BR46" s="10" t="n">
        <v>0.0164</v>
      </c>
      <c r="BS46" s="10" t="n">
        <v>0.5756</v>
      </c>
      <c r="BT46" s="6" t="n">
        <v>63.18</v>
      </c>
      <c r="BU46" s="6" t="n">
        <v>40</v>
      </c>
      <c r="BV46" s="7" t="n">
        <v>4.24</v>
      </c>
      <c r="BW46" s="6" t="n">
        <v>27.9</v>
      </c>
      <c r="BX46" s="9" t="n">
        <v>-0.0041</v>
      </c>
      <c r="BY46" s="9" t="n">
        <v>0.0592</v>
      </c>
      <c r="BZ46" s="8" t="n">
        <v>132</v>
      </c>
      <c r="CA46" s="10" t="n">
        <v>0.241</v>
      </c>
      <c r="CB46" s="8" t="n">
        <v>271</v>
      </c>
      <c r="CC46" s="10" t="n">
        <v>0.554</v>
      </c>
      <c r="CD46" s="8" t="n">
        <v>85</v>
      </c>
      <c r="CE46" s="7" t="n">
        <v>0.191</v>
      </c>
      <c r="CF46" s="7" t="n">
        <v>-0.116</v>
      </c>
      <c r="CG46" s="4" t="s">
        <v>102</v>
      </c>
      <c r="CH46" s="4"/>
    </row>
    <row r="47" customFormat="false" ht="15" hidden="false" customHeight="false" outlineLevel="0" collapsed="false">
      <c r="A47" s="3" t="n">
        <v>45</v>
      </c>
      <c r="B47" s="4" t="s">
        <v>344</v>
      </c>
      <c r="C47" s="5" t="s">
        <v>99</v>
      </c>
      <c r="D47" s="4" t="s">
        <v>345</v>
      </c>
      <c r="E47" s="4" t="s">
        <v>170</v>
      </c>
      <c r="F47" s="4" t="s">
        <v>99</v>
      </c>
      <c r="G47" s="3" t="n">
        <v>2</v>
      </c>
      <c r="H47" s="6" t="n">
        <v>24.9</v>
      </c>
      <c r="I47" s="3" t="n">
        <v>4</v>
      </c>
      <c r="J47" s="3" t="n">
        <v>7</v>
      </c>
      <c r="K47" s="7" t="n">
        <v>102.53</v>
      </c>
      <c r="L47" s="7" t="n">
        <v>15.22</v>
      </c>
      <c r="M47" s="8" t="n">
        <v>62</v>
      </c>
      <c r="N47" s="8" t="n">
        <v>131</v>
      </c>
      <c r="O47" s="7" t="n">
        <v>102.53</v>
      </c>
      <c r="P47" s="6" t="n">
        <v>77.3</v>
      </c>
      <c r="Q47" s="4" t="s">
        <v>170</v>
      </c>
      <c r="R47" s="8" t="n">
        <v>13</v>
      </c>
      <c r="S47" s="6" t="n">
        <v>171.2</v>
      </c>
      <c r="T47" s="7" t="n">
        <f aca="false">IFERROR(S47/R47,"")</f>
        <v>13.1692307692308</v>
      </c>
      <c r="U47" s="6" t="n">
        <v>145.7</v>
      </c>
      <c r="V47" s="6" t="n">
        <v>120.2</v>
      </c>
      <c r="W47" s="8" t="n">
        <v>35</v>
      </c>
      <c r="X47" s="7" t="n">
        <f aca="false">IFERROR(S47/AH47,"")</f>
        <v>1.9906976744186</v>
      </c>
      <c r="Y47" s="9" t="n">
        <f aca="false">IFERROR(S47/AF47,"")</f>
        <v>0.236791147994468</v>
      </c>
      <c r="Z47" s="6" t="n">
        <v>9.2</v>
      </c>
      <c r="AA47" s="6" t="n">
        <v>14.8</v>
      </c>
      <c r="AB47" s="6" t="n">
        <v>21.08</v>
      </c>
      <c r="AC47" s="10" t="n">
        <v>0.231</v>
      </c>
      <c r="AD47" s="10" t="n">
        <v>0.077</v>
      </c>
      <c r="AE47" s="7" t="n">
        <v>0.503</v>
      </c>
      <c r="AF47" s="8" t="n">
        <v>723</v>
      </c>
      <c r="AG47" s="10" t="n">
        <v>0.769</v>
      </c>
      <c r="AH47" s="8" t="n">
        <v>86</v>
      </c>
      <c r="AI47" s="8" t="n">
        <v>84</v>
      </c>
      <c r="AJ47" s="6" t="n">
        <f aca="false">IFERROR(AI47/R47,"")</f>
        <v>6.46153846153846</v>
      </c>
      <c r="AK47" s="10" t="n">
        <v>0.201</v>
      </c>
      <c r="AL47" s="10" t="n">
        <v>0.2899</v>
      </c>
      <c r="AM47" s="9" t="n">
        <v>0.5044</v>
      </c>
      <c r="AN47" s="8" t="n">
        <v>51</v>
      </c>
      <c r="AO47" s="10" t="n">
        <f aca="false">IFERROR(AN47/AI47,"")</f>
        <v>0.607142857142857</v>
      </c>
      <c r="AP47" s="8" t="n">
        <v>735</v>
      </c>
      <c r="AQ47" s="7" t="n">
        <f aca="false">IFERROR(AP47/AI47,"")</f>
        <v>8.75</v>
      </c>
      <c r="AR47" s="6" t="n">
        <v>11.774</v>
      </c>
      <c r="AS47" s="7" t="n">
        <v>4.333</v>
      </c>
      <c r="AT47" s="7" t="n">
        <v>0.743</v>
      </c>
      <c r="AU47" s="7" t="n">
        <v>2.36469448387754</v>
      </c>
      <c r="AV47" s="7" t="n">
        <v>5.25268292682927</v>
      </c>
      <c r="AW47" s="7" t="n">
        <v>0.751558103025554</v>
      </c>
      <c r="AX47" s="10" t="n">
        <v>0.0238</v>
      </c>
      <c r="AY47" s="8" t="n">
        <v>15</v>
      </c>
      <c r="AZ47" s="8" t="n">
        <v>7</v>
      </c>
      <c r="BA47" s="8" t="n">
        <v>2</v>
      </c>
      <c r="BB47" s="8" t="n">
        <v>8</v>
      </c>
      <c r="BC47" s="7" t="n">
        <v>4.57</v>
      </c>
      <c r="BD47" s="7" t="n">
        <f aca="false">IFERROR(BB47-BC47,"")</f>
        <v>3.43</v>
      </c>
      <c r="BE47" s="9" t="n">
        <f aca="false">IFERROR(BB47/AH47,"")</f>
        <v>0.0930232558139535</v>
      </c>
      <c r="BF47" s="6" t="n">
        <v>26.9</v>
      </c>
      <c r="BG47" s="6" t="n">
        <v>40.7</v>
      </c>
      <c r="BH47" s="6" t="n">
        <v>23</v>
      </c>
      <c r="BI47" s="7" t="n">
        <v>2.77</v>
      </c>
      <c r="BJ47" s="10" t="n">
        <v>0.2195</v>
      </c>
      <c r="BK47" s="10" t="n">
        <v>0.611111111111111</v>
      </c>
      <c r="BL47" s="7" t="n">
        <v>2.614</v>
      </c>
      <c r="BM47" s="10" t="n">
        <v>0.3427</v>
      </c>
      <c r="BN47" s="10" t="n">
        <v>0.0832</v>
      </c>
      <c r="BO47" s="7" t="n">
        <v>2.37</v>
      </c>
      <c r="BP47" s="10" t="n">
        <v>0.205</v>
      </c>
      <c r="BQ47" s="8" t="n">
        <v>1</v>
      </c>
      <c r="BR47" s="10" t="n">
        <v>0.0064</v>
      </c>
      <c r="BS47" s="10" t="n">
        <v>0.579</v>
      </c>
      <c r="BT47" s="6" t="n">
        <v>63.53</v>
      </c>
      <c r="BU47" s="6" t="n">
        <v>39</v>
      </c>
      <c r="BV47" s="7" t="n">
        <v>3.47</v>
      </c>
      <c r="BW47" s="6" t="n">
        <v>21.6</v>
      </c>
      <c r="BX47" s="9" t="n">
        <v>0.0187</v>
      </c>
      <c r="BY47" s="9" t="n">
        <v>-0.0542</v>
      </c>
      <c r="BZ47" s="8" t="n">
        <v>15</v>
      </c>
      <c r="CA47" s="10" t="n">
        <v>0.028</v>
      </c>
      <c r="CB47" s="8" t="n">
        <v>23</v>
      </c>
      <c r="CC47" s="10" t="n">
        <v>0.049</v>
      </c>
      <c r="CD47" s="8" t="n">
        <v>2</v>
      </c>
      <c r="CE47" s="7" t="n">
        <v>0.095</v>
      </c>
      <c r="CF47" s="7" t="n">
        <v>0.752</v>
      </c>
      <c r="CG47" s="4" t="s">
        <v>102</v>
      </c>
      <c r="CH47" s="4"/>
    </row>
    <row r="48" customFormat="false" ht="15" hidden="false" customHeight="false" outlineLevel="0" collapsed="false">
      <c r="A48" s="3" t="n">
        <v>46</v>
      </c>
      <c r="B48" s="4" t="s">
        <v>357</v>
      </c>
      <c r="C48" s="5" t="s">
        <v>99</v>
      </c>
      <c r="D48" s="4" t="s">
        <v>358</v>
      </c>
      <c r="E48" s="4" t="s">
        <v>127</v>
      </c>
      <c r="F48" s="4" t="s">
        <v>99</v>
      </c>
      <c r="G48" s="3" t="n">
        <v>2</v>
      </c>
      <c r="H48" s="6" t="n">
        <v>24.6</v>
      </c>
      <c r="I48" s="3" t="n">
        <v>4</v>
      </c>
      <c r="J48" s="3" t="n">
        <v>6</v>
      </c>
      <c r="K48" s="7" t="n">
        <v>108.59</v>
      </c>
      <c r="L48" s="7" t="n">
        <v>14.13</v>
      </c>
      <c r="M48" s="8" t="n">
        <v>68</v>
      </c>
      <c r="N48" s="8" t="n">
        <v>149</v>
      </c>
      <c r="O48" s="7" t="n">
        <v>108.59</v>
      </c>
      <c r="P48" s="6" t="n">
        <v>79.2</v>
      </c>
      <c r="Q48" s="4" t="s">
        <v>127</v>
      </c>
      <c r="R48" s="8" t="n">
        <v>14</v>
      </c>
      <c r="S48" s="6" t="n">
        <v>135.1</v>
      </c>
      <c r="T48" s="7" t="n">
        <f aca="false">IFERROR(S48/R48,"")</f>
        <v>9.65</v>
      </c>
      <c r="U48" s="6" t="n">
        <v>114.1</v>
      </c>
      <c r="V48" s="6" t="n">
        <v>93.1</v>
      </c>
      <c r="W48" s="8" t="n">
        <v>44</v>
      </c>
      <c r="X48" s="7" t="n">
        <f aca="false">IFERROR(S48/AH48,"")</f>
        <v>1.6679012345679</v>
      </c>
      <c r="Y48" s="9" t="n">
        <f aca="false">IFERROR(S48/AF48,"")</f>
        <v>0.18921568627451</v>
      </c>
      <c r="Z48" s="6" t="n">
        <v>6.98</v>
      </c>
      <c r="AA48" s="6" t="n">
        <v>9.3</v>
      </c>
      <c r="AB48" s="6" t="n">
        <v>15.12</v>
      </c>
      <c r="AC48" s="10" t="n">
        <v>0.071</v>
      </c>
      <c r="AD48" s="10" t="n">
        <v>0.071</v>
      </c>
      <c r="AE48" s="7" t="n">
        <v>0.609</v>
      </c>
      <c r="AF48" s="8" t="n">
        <v>714</v>
      </c>
      <c r="AG48" s="10" t="n">
        <v>0.851</v>
      </c>
      <c r="AH48" s="8" t="n">
        <v>81</v>
      </c>
      <c r="AI48" s="8" t="n">
        <v>79</v>
      </c>
      <c r="AJ48" s="6" t="n">
        <f aca="false">IFERROR(AI48/R48,"")</f>
        <v>5.64285714285714</v>
      </c>
      <c r="AK48" s="10" t="n">
        <v>0.196</v>
      </c>
      <c r="AL48" s="10" t="n">
        <v>0.3417</v>
      </c>
      <c r="AM48" s="9" t="n">
        <v>0.5332</v>
      </c>
      <c r="AN48" s="8" t="n">
        <v>42</v>
      </c>
      <c r="AO48" s="10" t="n">
        <f aca="false">IFERROR(AN48/AI48,"")</f>
        <v>0.531645569620253</v>
      </c>
      <c r="AP48" s="8" t="n">
        <v>610</v>
      </c>
      <c r="AQ48" s="7" t="n">
        <f aca="false">IFERROR(AP48/AI48,"")</f>
        <v>7.72151898734177</v>
      </c>
      <c r="AR48" s="6" t="n">
        <v>13.709</v>
      </c>
      <c r="AS48" s="7" t="n">
        <v>3.31</v>
      </c>
      <c r="AT48" s="7" t="n">
        <v>0.563</v>
      </c>
      <c r="AU48" s="7" t="n">
        <v>2.86729053006329</v>
      </c>
      <c r="AV48" s="7" t="n">
        <v>7.27987012987013</v>
      </c>
      <c r="AW48" s="7" t="n">
        <v>0.626501626930908</v>
      </c>
      <c r="AX48" s="10" t="n">
        <v>0.0759</v>
      </c>
      <c r="AY48" s="8" t="n">
        <v>13</v>
      </c>
      <c r="AZ48" s="8" t="n">
        <v>5</v>
      </c>
      <c r="BA48" s="8" t="n">
        <v>3</v>
      </c>
      <c r="BB48" s="8" t="n">
        <v>4</v>
      </c>
      <c r="BC48" s="7" t="n">
        <v>4.49</v>
      </c>
      <c r="BD48" s="7" t="n">
        <f aca="false">IFERROR(BB48-BC48,"")</f>
        <v>-0.49</v>
      </c>
      <c r="BE48" s="9" t="n">
        <f aca="false">IFERROR(BB48/AH48,"")</f>
        <v>0.0493827160493827</v>
      </c>
      <c r="BF48" s="6" t="n">
        <v>36</v>
      </c>
      <c r="BG48" s="6" t="n">
        <v>51.8</v>
      </c>
      <c r="BH48" s="6" t="n">
        <v>26.2</v>
      </c>
      <c r="BI48" s="7" t="n">
        <v>2.961</v>
      </c>
      <c r="BJ48" s="10" t="n">
        <v>0.1751</v>
      </c>
      <c r="BK48" s="10" t="n">
        <v>0.7</v>
      </c>
      <c r="BL48" s="7" t="n">
        <v>2.441</v>
      </c>
      <c r="BM48" s="10" t="n">
        <v>0.3037</v>
      </c>
      <c r="BN48" s="10" t="n">
        <v>0.1028</v>
      </c>
      <c r="BO48" s="7" t="n">
        <v>2.429</v>
      </c>
      <c r="BP48" s="10" t="n">
        <v>0.819</v>
      </c>
      <c r="BQ48" s="8" t="n">
        <v>5</v>
      </c>
      <c r="BR48" s="10" t="n">
        <v>-0.012</v>
      </c>
      <c r="BS48" s="10" t="n">
        <v>0.5369</v>
      </c>
      <c r="BT48" s="6" t="n">
        <v>55.47</v>
      </c>
      <c r="BU48" s="6" t="n">
        <v>39</v>
      </c>
      <c r="BV48" s="7" t="n">
        <v>3.12</v>
      </c>
      <c r="BW48" s="6" t="n">
        <v>20.2</v>
      </c>
      <c r="BX48" s="9" t="n">
        <v>-0.0149</v>
      </c>
      <c r="BY48" s="9" t="n">
        <v>-0.1883</v>
      </c>
      <c r="BZ48" s="8" t="n">
        <v>82</v>
      </c>
      <c r="CA48" s="10" t="n">
        <v>0.175</v>
      </c>
      <c r="CB48" s="8" t="n">
        <v>24</v>
      </c>
      <c r="CC48" s="10" t="n">
        <v>0.059</v>
      </c>
      <c r="CD48" s="8" t="n">
        <v>17</v>
      </c>
      <c r="CE48" s="7" t="n">
        <v>-0.264</v>
      </c>
      <c r="CF48" s="7" t="n">
        <v>-0.483</v>
      </c>
      <c r="CG48" s="4" t="s">
        <v>102</v>
      </c>
      <c r="CH48" s="4"/>
    </row>
    <row r="49" customFormat="false" ht="15" hidden="false" customHeight="false" outlineLevel="0" collapsed="false">
      <c r="A49" s="3" t="n">
        <v>47</v>
      </c>
      <c r="B49" s="4" t="s">
        <v>361</v>
      </c>
      <c r="C49" s="5" t="s">
        <v>99</v>
      </c>
      <c r="D49" s="4" t="s">
        <v>362</v>
      </c>
      <c r="E49" s="4" t="s">
        <v>218</v>
      </c>
      <c r="F49" s="4" t="s">
        <v>99</v>
      </c>
      <c r="G49" s="3" t="n">
        <v>2</v>
      </c>
      <c r="H49" s="6" t="n">
        <v>26.3</v>
      </c>
      <c r="I49" s="3" t="n">
        <v>4</v>
      </c>
      <c r="J49" s="3" t="n">
        <v>11</v>
      </c>
      <c r="K49" s="7" t="n">
        <v>109.66</v>
      </c>
      <c r="L49" s="7" t="n">
        <v>13.54</v>
      </c>
      <c r="M49" s="8" t="n">
        <v>76</v>
      </c>
      <c r="N49" s="8" t="n">
        <v>149</v>
      </c>
      <c r="O49" s="7" t="n">
        <v>109.66</v>
      </c>
      <c r="P49" s="6" t="n">
        <v>75.3</v>
      </c>
      <c r="Q49" s="4" t="s">
        <v>218</v>
      </c>
      <c r="R49" s="8" t="n">
        <v>5</v>
      </c>
      <c r="S49" s="6" t="n">
        <v>48.5</v>
      </c>
      <c r="T49" s="7" t="n">
        <f aca="false">IFERROR(S49/R49,"")</f>
        <v>9.7</v>
      </c>
      <c r="U49" s="6" t="n">
        <v>39</v>
      </c>
      <c r="V49" s="6" t="n">
        <v>29.5</v>
      </c>
      <c r="W49" s="8" t="n">
        <v>83</v>
      </c>
      <c r="X49" s="7" t="n">
        <f aca="false">IFERROR(S49/AH49,"")</f>
        <v>1.94</v>
      </c>
      <c r="Y49" s="9" t="n">
        <f aca="false">IFERROR(S49/AF49,"")</f>
        <v>0.28698224852071</v>
      </c>
      <c r="Z49" s="6" t="n">
        <v>8.1</v>
      </c>
      <c r="AA49" s="6" t="n">
        <v>9.3</v>
      </c>
      <c r="AB49" s="6" t="n">
        <v>11.7</v>
      </c>
      <c r="AC49" s="10" t="n">
        <v>0</v>
      </c>
      <c r="AD49" s="10" t="n">
        <v>0</v>
      </c>
      <c r="AE49" s="7" t="n">
        <v>0.266</v>
      </c>
      <c r="AF49" s="8" t="n">
        <v>169</v>
      </c>
      <c r="AG49" s="10" t="n">
        <v>0.411</v>
      </c>
      <c r="AH49" s="8" t="n">
        <v>25</v>
      </c>
      <c r="AI49" s="8" t="n">
        <v>22</v>
      </c>
      <c r="AJ49" s="6" t="n">
        <f aca="false">IFERROR(AI49/R49,"")</f>
        <v>4.4</v>
      </c>
      <c r="AK49" s="10" t="n">
        <v>0.1692</v>
      </c>
      <c r="AL49" s="10" t="n">
        <v>0.1287</v>
      </c>
      <c r="AM49" s="9" t="n">
        <v>0.3439</v>
      </c>
      <c r="AN49" s="8" t="n">
        <v>19</v>
      </c>
      <c r="AO49" s="10" t="n">
        <f aca="false">IFERROR(AN49/AI49,"")</f>
        <v>0.863636363636364</v>
      </c>
      <c r="AP49" s="8" t="n">
        <v>207</v>
      </c>
      <c r="AQ49" s="7" t="n">
        <f aca="false">IFERROR(AP49/AI49,"")</f>
        <v>9.40909090909091</v>
      </c>
      <c r="AR49" s="6" t="n">
        <v>8.136</v>
      </c>
      <c r="AS49" s="7" t="n">
        <v>4.474</v>
      </c>
      <c r="AT49" s="7" t="n">
        <v>1.156</v>
      </c>
      <c r="AU49" s="7"/>
      <c r="AV49" s="7"/>
      <c r="AW49" s="7"/>
      <c r="AX49" s="10" t="n">
        <v>0.0455</v>
      </c>
      <c r="AY49" s="8" t="n">
        <v>4</v>
      </c>
      <c r="AZ49" s="8" t="n">
        <v>0</v>
      </c>
      <c r="BA49" s="8" t="n">
        <v>0</v>
      </c>
      <c r="BB49" s="8" t="n">
        <v>1</v>
      </c>
      <c r="BC49" s="7" t="n">
        <v>0.81</v>
      </c>
      <c r="BD49" s="7" t="n">
        <f aca="false">IFERROR(BB49-BC49,"")</f>
        <v>0.19</v>
      </c>
      <c r="BE49" s="9" t="n">
        <f aca="false">IFERROR(BB49/AH49,"")</f>
        <v>0.04</v>
      </c>
      <c r="BF49" s="6" t="n">
        <v>52.5</v>
      </c>
      <c r="BG49" s="6" t="n">
        <v>45.3</v>
      </c>
      <c r="BH49" s="6" t="n">
        <v>58.7</v>
      </c>
      <c r="BI49" s="7" t="n">
        <v>2.905</v>
      </c>
      <c r="BJ49" s="10" t="n">
        <v>0.1629</v>
      </c>
      <c r="BK49" s="10" t="n">
        <v>0.604651162790698</v>
      </c>
      <c r="BL49" s="7" t="n">
        <v>2.199</v>
      </c>
      <c r="BM49" s="10" t="n">
        <v>0.2454</v>
      </c>
      <c r="BN49" s="10" t="n">
        <v>0.0493</v>
      </c>
      <c r="BO49" s="7" t="n">
        <v>2.41</v>
      </c>
      <c r="BP49" s="10" t="n">
        <v>0.704</v>
      </c>
      <c r="BQ49" s="8" t="n">
        <v>4</v>
      </c>
      <c r="BR49" s="10" t="n">
        <v>-0.0441</v>
      </c>
      <c r="BS49" s="10" t="n">
        <v>0.5063</v>
      </c>
      <c r="BT49" s="6" t="n">
        <v>58.41</v>
      </c>
      <c r="BU49" s="6" t="n">
        <v>39</v>
      </c>
      <c r="BV49" s="7" t="n">
        <v>3.47</v>
      </c>
      <c r="BW49" s="6" t="n">
        <v>23</v>
      </c>
      <c r="BX49" s="9" t="n">
        <v>-0.0102</v>
      </c>
      <c r="BY49" s="9" t="n">
        <v>0.229</v>
      </c>
      <c r="BZ49" s="8" t="n">
        <v>155</v>
      </c>
      <c r="CA49" s="10" t="n">
        <v>0.337</v>
      </c>
      <c r="CB49" s="8" t="n">
        <v>148</v>
      </c>
      <c r="CC49" s="10" t="n">
        <v>0.301</v>
      </c>
      <c r="CD49" s="8" t="n">
        <v>52</v>
      </c>
      <c r="CE49" s="7" t="n">
        <v>-1.938</v>
      </c>
      <c r="CF49" s="7" t="n">
        <v>-0.404</v>
      </c>
      <c r="CG49" s="4" t="s">
        <v>165</v>
      </c>
      <c r="CH49" s="4"/>
    </row>
    <row r="50" customFormat="false" ht="15" hidden="false" customHeight="false" outlineLevel="0" collapsed="false">
      <c r="A50" s="3" t="n">
        <v>48</v>
      </c>
      <c r="B50" s="4" t="s">
        <v>363</v>
      </c>
      <c r="C50" s="5" t="s">
        <v>99</v>
      </c>
      <c r="D50" s="4" t="s">
        <v>364</v>
      </c>
      <c r="E50" s="4" t="s">
        <v>221</v>
      </c>
      <c r="F50" s="4" t="s">
        <v>99</v>
      </c>
      <c r="G50" s="3" t="n">
        <v>2</v>
      </c>
      <c r="H50" s="6" t="n">
        <v>32.7</v>
      </c>
      <c r="I50" s="3" t="n">
        <v>12</v>
      </c>
      <c r="J50" s="3" t="n">
        <v>7</v>
      </c>
      <c r="K50" s="7" t="n">
        <v>111.6</v>
      </c>
      <c r="L50" s="7" t="n">
        <v>38.04</v>
      </c>
      <c r="M50" s="8" t="n">
        <v>60</v>
      </c>
      <c r="N50" s="8" t="n">
        <v>223</v>
      </c>
      <c r="O50" s="7" t="n">
        <v>111.6</v>
      </c>
      <c r="P50" s="6" t="n">
        <v>69.5</v>
      </c>
      <c r="Q50" s="4" t="s">
        <v>135</v>
      </c>
      <c r="R50" s="8" t="n">
        <v>17</v>
      </c>
      <c r="S50" s="6" t="n">
        <v>210.3</v>
      </c>
      <c r="T50" s="7" t="n">
        <f aca="false">IFERROR(S50/R50,"")</f>
        <v>12.3705882352941</v>
      </c>
      <c r="U50" s="6" t="n">
        <v>167.8</v>
      </c>
      <c r="V50" s="6" t="n">
        <v>125.3</v>
      </c>
      <c r="W50" s="8" t="n">
        <v>17</v>
      </c>
      <c r="X50" s="7" t="n">
        <f aca="false">IFERROR(S50/AH50,"")</f>
        <v>2.06176470588235</v>
      </c>
      <c r="Y50" s="9" t="n">
        <f aca="false">IFERROR(S50/AF50,"")</f>
        <v>0.358262350936968</v>
      </c>
      <c r="Z50" s="6" t="n">
        <v>5.8</v>
      </c>
      <c r="AA50" s="6" t="n">
        <v>11.7</v>
      </c>
      <c r="AB50" s="6" t="n">
        <v>21.06</v>
      </c>
      <c r="AC50" s="10" t="n">
        <v>0.235</v>
      </c>
      <c r="AD50" s="10" t="n">
        <v>0</v>
      </c>
      <c r="AE50" s="7" t="n">
        <v>0.582</v>
      </c>
      <c r="AF50" s="8" t="n">
        <v>587</v>
      </c>
      <c r="AG50" s="10" t="n">
        <v>0.538</v>
      </c>
      <c r="AH50" s="8" t="n">
        <v>102</v>
      </c>
      <c r="AI50" s="8" t="n">
        <v>102</v>
      </c>
      <c r="AJ50" s="6" t="n">
        <f aca="false">IFERROR(AI50/R50,"")</f>
        <v>6</v>
      </c>
      <c r="AK50" s="10" t="n">
        <v>0.2116</v>
      </c>
      <c r="AL50" s="10" t="n">
        <v>0.1946</v>
      </c>
      <c r="AM50" s="9" t="n">
        <v>0.4536</v>
      </c>
      <c r="AN50" s="8" t="n">
        <v>85</v>
      </c>
      <c r="AO50" s="10" t="n">
        <f aca="false">IFERROR(AN50/AI50,"")</f>
        <v>0.833333333333333</v>
      </c>
      <c r="AP50" s="8" t="n">
        <v>1013</v>
      </c>
      <c r="AQ50" s="7" t="n">
        <f aca="false">IFERROR(AP50/AI50,"")</f>
        <v>9.93137254901961</v>
      </c>
      <c r="AR50" s="6" t="n">
        <v>8.539</v>
      </c>
      <c r="AS50" s="7" t="n">
        <v>4.165</v>
      </c>
      <c r="AT50" s="7" t="n">
        <v>1.163</v>
      </c>
      <c r="AU50" s="7" t="n">
        <v>3.02077582459322</v>
      </c>
      <c r="AV50" s="7" t="n">
        <v>5.83577319587629</v>
      </c>
      <c r="AW50" s="7" t="n">
        <v>0.845853533388673</v>
      </c>
      <c r="AX50" s="10" t="n">
        <v>0.0294</v>
      </c>
      <c r="AY50" s="8" t="n">
        <v>12</v>
      </c>
      <c r="AZ50" s="8" t="n">
        <v>7</v>
      </c>
      <c r="BA50" s="8" t="n">
        <v>4</v>
      </c>
      <c r="BB50" s="8" t="n">
        <v>4</v>
      </c>
      <c r="BC50" s="7" t="n">
        <v>4.93</v>
      </c>
      <c r="BD50" s="7" t="n">
        <f aca="false">IFERROR(BB50-BC50,"")</f>
        <v>-0.93</v>
      </c>
      <c r="BE50" s="9" t="n">
        <f aca="false">IFERROR(BB50/AH50,"")</f>
        <v>0.0392156862745098</v>
      </c>
      <c r="BF50" s="6" t="n">
        <v>54.8</v>
      </c>
      <c r="BG50" s="6" t="n">
        <v>50.7</v>
      </c>
      <c r="BH50" s="6" t="n">
        <v>56.8</v>
      </c>
      <c r="BI50" s="7" t="n">
        <v>2.998</v>
      </c>
      <c r="BJ50" s="10" t="n">
        <v>0.1651</v>
      </c>
      <c r="BK50" s="10" t="n">
        <v>0.548387096774194</v>
      </c>
      <c r="BL50" s="7" t="n">
        <v>2.512</v>
      </c>
      <c r="BM50" s="10" t="n">
        <v>0.2217</v>
      </c>
      <c r="BN50" s="10" t="n">
        <v>0.0606</v>
      </c>
      <c r="BO50" s="7" t="n">
        <v>2.36</v>
      </c>
      <c r="BP50" s="10" t="n">
        <v>0.706</v>
      </c>
      <c r="BQ50" s="8" t="n">
        <v>4</v>
      </c>
      <c r="BR50" s="10" t="n">
        <v>-0.0427</v>
      </c>
      <c r="BS50" s="10" t="n">
        <v>0.4747</v>
      </c>
      <c r="BT50" s="6" t="n">
        <v>57.59</v>
      </c>
      <c r="BU50" s="6" t="n">
        <v>38</v>
      </c>
      <c r="BV50" s="7" t="n">
        <v>2.94</v>
      </c>
      <c r="BW50" s="6" t="n">
        <v>20.9</v>
      </c>
      <c r="BX50" s="9" t="n">
        <v>0.0192</v>
      </c>
      <c r="BY50" s="9" t="n">
        <v>-0.0055</v>
      </c>
      <c r="BZ50" s="8" t="n">
        <v>138</v>
      </c>
      <c r="CA50" s="10" t="n">
        <v>0.319</v>
      </c>
      <c r="CB50" s="8" t="n">
        <v>142</v>
      </c>
      <c r="CC50" s="10" t="n">
        <v>0.293</v>
      </c>
      <c r="CD50" s="8" t="n">
        <v>56</v>
      </c>
      <c r="CE50" s="7" t="n">
        <v>0.99</v>
      </c>
      <c r="CF50" s="7" t="n">
        <v>0.595</v>
      </c>
      <c r="CG50" s="4" t="s">
        <v>232</v>
      </c>
      <c r="CH50" s="4"/>
    </row>
    <row r="51" customFormat="false" ht="15" hidden="false" customHeight="false" outlineLevel="0" collapsed="false">
      <c r="A51" s="3" t="n">
        <v>49</v>
      </c>
      <c r="B51" s="4" t="s">
        <v>383</v>
      </c>
      <c r="C51" s="5" t="s">
        <v>99</v>
      </c>
      <c r="D51" s="4" t="s">
        <v>384</v>
      </c>
      <c r="E51" s="4" t="s">
        <v>147</v>
      </c>
      <c r="F51" s="4" t="s">
        <v>270</v>
      </c>
      <c r="G51" s="3" t="n">
        <v>1</v>
      </c>
      <c r="H51" s="6" t="n">
        <v>26.5</v>
      </c>
      <c r="I51" s="3" t="n">
        <v>5</v>
      </c>
      <c r="J51" s="3" t="n">
        <v>7</v>
      </c>
      <c r="K51" s="7" t="n">
        <v>120.35</v>
      </c>
      <c r="L51" s="7" t="n">
        <v>16.98</v>
      </c>
      <c r="M51" s="8" t="n">
        <v>83</v>
      </c>
      <c r="N51" s="8" t="n">
        <v>173</v>
      </c>
      <c r="O51" s="7" t="n">
        <v>120.35</v>
      </c>
      <c r="P51" s="6" t="n">
        <v>59.1</v>
      </c>
      <c r="Q51" s="4" t="s">
        <v>147</v>
      </c>
      <c r="R51" s="8" t="n">
        <v>16</v>
      </c>
      <c r="S51" s="6" t="n">
        <v>166.4</v>
      </c>
      <c r="T51" s="7" t="n">
        <f aca="false">IFERROR(S51/R51,"")</f>
        <v>10.4</v>
      </c>
      <c r="U51" s="6" t="n">
        <v>130.4</v>
      </c>
      <c r="V51" s="6" t="n">
        <v>94.4</v>
      </c>
      <c r="W51" s="8" t="n">
        <v>36</v>
      </c>
      <c r="X51" s="7" t="n">
        <f aca="false">IFERROR(S51/AH51,"")</f>
        <v>1.73333333333333</v>
      </c>
      <c r="Y51" s="9" t="n">
        <f aca="false">IFERROR(S51/AF51,"")</f>
        <v>0.262047244094488</v>
      </c>
      <c r="Z51" s="6" t="n">
        <v>7.12</v>
      </c>
      <c r="AA51" s="6" t="n">
        <v>11.15</v>
      </c>
      <c r="AB51" s="6" t="n">
        <v>16.38</v>
      </c>
      <c r="AC51" s="10" t="n">
        <v>0.062</v>
      </c>
      <c r="AD51" s="10" t="n">
        <v>0.188</v>
      </c>
      <c r="AE51" s="7" t="n">
        <v>0.52</v>
      </c>
      <c r="AF51" s="8" t="n">
        <v>635</v>
      </c>
      <c r="AG51" s="10" t="n">
        <v>0.598</v>
      </c>
      <c r="AH51" s="8" t="n">
        <v>96</v>
      </c>
      <c r="AI51" s="8" t="n">
        <v>95</v>
      </c>
      <c r="AJ51" s="6" t="n">
        <f aca="false">IFERROR(AI51/R51,"")</f>
        <v>5.9375</v>
      </c>
      <c r="AK51" s="10" t="n">
        <v>0.2106</v>
      </c>
      <c r="AL51" s="10" t="n">
        <v>0.1055</v>
      </c>
      <c r="AM51" s="9" t="n">
        <v>0.3898</v>
      </c>
      <c r="AN51" s="8" t="n">
        <v>72</v>
      </c>
      <c r="AO51" s="10" t="n">
        <f aca="false">IFERROR(AN51/AI51,"")</f>
        <v>0.757894736842105</v>
      </c>
      <c r="AP51" s="8" t="n">
        <v>719</v>
      </c>
      <c r="AQ51" s="7" t="n">
        <f aca="false">IFERROR(AP51/AI51,"")</f>
        <v>7.56842105263158</v>
      </c>
      <c r="AR51" s="6" t="n">
        <v>3.674</v>
      </c>
      <c r="AS51" s="7" t="n">
        <v>7.514</v>
      </c>
      <c r="AT51" s="7" t="n">
        <v>2.06</v>
      </c>
      <c r="AU51" s="7" t="n">
        <v>3.80399819335592</v>
      </c>
      <c r="AV51" s="7" t="n">
        <v>6.6916</v>
      </c>
      <c r="AW51" s="7" t="n">
        <v>1.88374170640483</v>
      </c>
      <c r="AX51" s="10" t="n">
        <v>0.0316</v>
      </c>
      <c r="AY51" s="8" t="n">
        <v>13</v>
      </c>
      <c r="AZ51" s="8" t="n">
        <v>4</v>
      </c>
      <c r="BA51" s="8" t="n">
        <v>1</v>
      </c>
      <c r="BB51" s="8" t="n">
        <v>4</v>
      </c>
      <c r="BC51" s="7" t="n">
        <v>4.13</v>
      </c>
      <c r="BD51" s="7" t="n">
        <f aca="false">IFERROR(BB51-BC51,"")</f>
        <v>-0.13</v>
      </c>
      <c r="BE51" s="9" t="n">
        <f aca="false">IFERROR(BB51/AH51,"")</f>
        <v>0.0416666666666667</v>
      </c>
      <c r="BF51" s="6" t="n">
        <v>73.6</v>
      </c>
      <c r="BG51" s="6" t="n">
        <v>72.8</v>
      </c>
      <c r="BH51" s="6" t="n">
        <v>64.4</v>
      </c>
      <c r="BI51" s="7" t="n">
        <v>3.397</v>
      </c>
      <c r="BJ51" s="10" t="n">
        <v>0.1265</v>
      </c>
      <c r="BK51" s="10" t="n">
        <v>0.540540540540541</v>
      </c>
      <c r="BL51" s="7" t="n">
        <v>2.905</v>
      </c>
      <c r="BM51" s="10" t="n">
        <v>0.2</v>
      </c>
      <c r="BN51" s="10" t="n">
        <v>0.0702</v>
      </c>
      <c r="BO51" s="7" t="n">
        <v>2.507</v>
      </c>
      <c r="BP51" s="10" t="n">
        <v>0.763</v>
      </c>
      <c r="BQ51" s="8" t="n">
        <v>4</v>
      </c>
      <c r="BR51" s="10" t="n">
        <v>-0.0352</v>
      </c>
      <c r="BS51" s="10" t="n">
        <v>0.5028</v>
      </c>
      <c r="BT51" s="6" t="n">
        <v>62.65</v>
      </c>
      <c r="BU51" s="6" t="n">
        <v>40</v>
      </c>
      <c r="BV51" s="7" t="n">
        <v>4</v>
      </c>
      <c r="BW51" s="6" t="n">
        <v>28.3</v>
      </c>
      <c r="BX51" s="9" t="n">
        <v>0.1102</v>
      </c>
      <c r="BY51" s="9" t="n">
        <v>0.1599</v>
      </c>
      <c r="BZ51" s="8" t="n">
        <v>19</v>
      </c>
      <c r="CA51" s="10" t="n">
        <v>0.04</v>
      </c>
      <c r="CB51" s="8" t="n">
        <v>17</v>
      </c>
      <c r="CC51" s="10" t="n">
        <v>0.031</v>
      </c>
      <c r="CD51" s="8" t="n">
        <v>2</v>
      </c>
      <c r="CE51" s="7" t="n">
        <v>0.193</v>
      </c>
      <c r="CF51" s="7" t="n">
        <v>-0.158</v>
      </c>
      <c r="CG51" s="4" t="s">
        <v>102</v>
      </c>
      <c r="CH51" s="4"/>
    </row>
    <row r="52" customFormat="false" ht="15" hidden="false" customHeight="false" outlineLevel="0" collapsed="false">
      <c r="A52" s="3" t="n">
        <v>50</v>
      </c>
      <c r="B52" s="4" t="s">
        <v>391</v>
      </c>
      <c r="C52" s="5" t="s">
        <v>99</v>
      </c>
      <c r="D52" s="4" t="s">
        <v>392</v>
      </c>
      <c r="E52" s="4" t="s">
        <v>139</v>
      </c>
      <c r="F52" s="4" t="s">
        <v>99</v>
      </c>
      <c r="G52" s="3" t="n">
        <v>2</v>
      </c>
      <c r="H52" s="6" t="n">
        <v>23.7</v>
      </c>
      <c r="I52" s="3" t="n">
        <v>2</v>
      </c>
      <c r="J52" s="3" t="n">
        <v>8</v>
      </c>
      <c r="K52" s="7" t="n">
        <v>122.79</v>
      </c>
      <c r="L52" s="7" t="n">
        <v>13.21</v>
      </c>
      <c r="M52" s="8" t="n">
        <v>94</v>
      </c>
      <c r="N52" s="8" t="n">
        <v>176</v>
      </c>
      <c r="O52" s="7" t="n">
        <v>122.79</v>
      </c>
      <c r="P52" s="6" t="n">
        <v>46.8</v>
      </c>
      <c r="Q52" s="4" t="s">
        <v>139</v>
      </c>
      <c r="R52" s="8" t="n">
        <v>17</v>
      </c>
      <c r="S52" s="6" t="n">
        <v>129.5</v>
      </c>
      <c r="T52" s="7" t="n">
        <f aca="false">IFERROR(S52/R52,"")</f>
        <v>7.61764705882353</v>
      </c>
      <c r="U52" s="6" t="n">
        <v>109</v>
      </c>
      <c r="V52" s="6" t="n">
        <v>88.5</v>
      </c>
      <c r="W52" s="8" t="n">
        <v>46</v>
      </c>
      <c r="X52" s="7" t="n">
        <f aca="false">IFERROR(S52/AH52,"")</f>
        <v>1.90441176470588</v>
      </c>
      <c r="Y52" s="9" t="n">
        <f aca="false">IFERROR(S52/AF52,"")</f>
        <v>0.192995529061103</v>
      </c>
      <c r="Z52" s="6" t="n">
        <v>2.7</v>
      </c>
      <c r="AA52" s="6" t="n">
        <v>7.2</v>
      </c>
      <c r="AB52" s="6" t="n">
        <v>13.64</v>
      </c>
      <c r="AC52" s="10" t="n">
        <v>0.059</v>
      </c>
      <c r="AD52" s="10" t="n">
        <v>0.235</v>
      </c>
      <c r="AE52" s="7" t="n">
        <v>0.746</v>
      </c>
      <c r="AF52" s="8" t="n">
        <v>671</v>
      </c>
      <c r="AG52" s="10" t="n">
        <v>0.572</v>
      </c>
      <c r="AH52" s="8" t="n">
        <v>68</v>
      </c>
      <c r="AI52" s="8" t="n">
        <v>68</v>
      </c>
      <c r="AJ52" s="6" t="n">
        <f aca="false">IFERROR(AI52/R52,"")</f>
        <v>4</v>
      </c>
      <c r="AK52" s="10" t="n">
        <v>0.123</v>
      </c>
      <c r="AL52" s="10" t="n">
        <v>0.1826</v>
      </c>
      <c r="AM52" s="9" t="n">
        <v>0.3123</v>
      </c>
      <c r="AN52" s="8" t="n">
        <v>41</v>
      </c>
      <c r="AO52" s="10" t="n">
        <f aca="false">IFERROR(AN52/AI52,"")</f>
        <v>0.602941176470588</v>
      </c>
      <c r="AP52" s="8" t="n">
        <v>525</v>
      </c>
      <c r="AQ52" s="7" t="n">
        <f aca="false">IFERROR(AP52/AI52,"")</f>
        <v>7.72058823529412</v>
      </c>
      <c r="AR52" s="6" t="n">
        <v>12.338</v>
      </c>
      <c r="AS52" s="7" t="n">
        <v>3</v>
      </c>
      <c r="AT52" s="7" t="n">
        <v>0.626</v>
      </c>
      <c r="AU52" s="7" t="n">
        <v>2.69887169910163</v>
      </c>
      <c r="AV52" s="7" t="n">
        <v>5.73820895522388</v>
      </c>
      <c r="AW52" s="7" t="n">
        <v>-0.092312284365053</v>
      </c>
      <c r="AX52" s="10" t="n">
        <v>0.0441</v>
      </c>
      <c r="AY52" s="8" t="n">
        <v>8</v>
      </c>
      <c r="AZ52" s="8" t="n">
        <v>3</v>
      </c>
      <c r="BA52" s="8" t="n">
        <v>1</v>
      </c>
      <c r="BB52" s="8" t="n">
        <v>6</v>
      </c>
      <c r="BC52" s="7" t="n">
        <v>2.94</v>
      </c>
      <c r="BD52" s="7" t="n">
        <f aca="false">IFERROR(BB52-BC52,"")</f>
        <v>3.06</v>
      </c>
      <c r="BE52" s="9" t="n">
        <f aca="false">IFERROR(BB52/AH52,"")</f>
        <v>0.0882352941176471</v>
      </c>
      <c r="BF52" s="6" t="n">
        <v>45.8</v>
      </c>
      <c r="BG52" s="6" t="n">
        <v>34.1</v>
      </c>
      <c r="BH52" s="6" t="n">
        <v>59.3</v>
      </c>
      <c r="BI52" s="7" t="n">
        <v>2.812</v>
      </c>
      <c r="BJ52" s="10" t="n">
        <v>0.1937</v>
      </c>
      <c r="BK52" s="10" t="n">
        <v>0.485714285714286</v>
      </c>
      <c r="BL52" s="7" t="n">
        <v>2.099</v>
      </c>
      <c r="BM52" s="10" t="n">
        <v>0.2216</v>
      </c>
      <c r="BN52" s="10" t="n">
        <v>0.0526</v>
      </c>
      <c r="BO52" s="7" t="n">
        <v>2.345</v>
      </c>
      <c r="BP52" s="10" t="n">
        <v>0.713</v>
      </c>
      <c r="BQ52" s="8" t="n">
        <v>2</v>
      </c>
      <c r="BR52" s="10" t="n">
        <v>-0.0098</v>
      </c>
      <c r="BS52" s="10" t="n">
        <v>0.5638</v>
      </c>
      <c r="BT52" s="6" t="n">
        <v>63.41</v>
      </c>
      <c r="BU52" s="6" t="n">
        <v>38</v>
      </c>
      <c r="BV52" s="7" t="n">
        <v>3.41</v>
      </c>
      <c r="BW52" s="6" t="n">
        <v>23.8</v>
      </c>
      <c r="BX52" s="9" t="n">
        <v>-0.0779</v>
      </c>
      <c r="BY52" s="9" t="n">
        <v>0.036</v>
      </c>
      <c r="BZ52" s="8" t="n">
        <v>82</v>
      </c>
      <c r="CA52" s="10" t="n">
        <v>0.148</v>
      </c>
      <c r="CB52" s="8" t="n">
        <v>21</v>
      </c>
      <c r="CC52" s="10" t="n">
        <v>0.044</v>
      </c>
      <c r="CD52" s="8" t="n">
        <v>18</v>
      </c>
      <c r="CE52" s="7" t="n">
        <v>-0.21</v>
      </c>
      <c r="CF52" s="7" t="n">
        <v>-0.868</v>
      </c>
      <c r="CG52" s="4" t="s">
        <v>102</v>
      </c>
      <c r="CH52" s="4"/>
    </row>
    <row r="53" customFormat="false" ht="15" hidden="false" customHeight="false" outlineLevel="0" collapsed="false">
      <c r="A53" s="3" t="n">
        <v>51</v>
      </c>
      <c r="B53" s="4" t="s">
        <v>393</v>
      </c>
      <c r="C53" s="5" t="s">
        <v>99</v>
      </c>
      <c r="D53" s="4" t="s">
        <v>394</v>
      </c>
      <c r="E53" s="4" t="s">
        <v>191</v>
      </c>
      <c r="F53" s="4" t="s">
        <v>99</v>
      </c>
      <c r="G53" s="3" t="n">
        <v>2</v>
      </c>
      <c r="H53" s="6" t="n">
        <v>24.8</v>
      </c>
      <c r="I53" s="3" t="n">
        <v>3</v>
      </c>
      <c r="J53" s="3" t="n">
        <v>5</v>
      </c>
      <c r="K53" s="7" t="n">
        <v>125.3</v>
      </c>
      <c r="L53" s="7" t="n">
        <v>13.93</v>
      </c>
      <c r="M53" s="8" t="n">
        <v>90</v>
      </c>
      <c r="N53" s="8" t="n">
        <v>163</v>
      </c>
      <c r="O53" s="7" t="n">
        <v>125.3</v>
      </c>
      <c r="P53" s="6" t="n">
        <v>45.2</v>
      </c>
      <c r="Q53" s="4" t="s">
        <v>191</v>
      </c>
      <c r="R53" s="8" t="n">
        <v>11</v>
      </c>
      <c r="S53" s="6" t="n">
        <v>90.4</v>
      </c>
      <c r="T53" s="7" t="n">
        <f aca="false">IFERROR(S53/R53,"")</f>
        <v>8.21818181818182</v>
      </c>
      <c r="U53" s="6" t="n">
        <v>73.9</v>
      </c>
      <c r="V53" s="6" t="n">
        <v>57.4</v>
      </c>
      <c r="W53" s="8" t="n">
        <v>63</v>
      </c>
      <c r="X53" s="7" t="n">
        <f aca="false">IFERROR(S53/AH53,"")</f>
        <v>2.10232558139535</v>
      </c>
      <c r="Y53" s="9" t="n">
        <f aca="false">IFERROR(S53/AF53,"")</f>
        <v>0.205922551252847</v>
      </c>
      <c r="Z53" s="6" t="n">
        <v>4.35</v>
      </c>
      <c r="AA53" s="6" t="n">
        <v>6.6</v>
      </c>
      <c r="AB53" s="6" t="n">
        <v>15.35</v>
      </c>
      <c r="AC53" s="10" t="n">
        <v>0.091</v>
      </c>
      <c r="AD53" s="10" t="n">
        <v>0.091</v>
      </c>
      <c r="AE53" s="7" t="n">
        <v>0.889</v>
      </c>
      <c r="AF53" s="8" t="n">
        <v>439</v>
      </c>
      <c r="AG53" s="10" t="n">
        <v>0.694</v>
      </c>
      <c r="AH53" s="8" t="n">
        <v>43</v>
      </c>
      <c r="AI53" s="8" t="n">
        <v>43</v>
      </c>
      <c r="AJ53" s="6" t="n">
        <f aca="false">IFERROR(AI53/R53,"")</f>
        <v>3.90909090909091</v>
      </c>
      <c r="AK53" s="10" t="n">
        <v>0.1488</v>
      </c>
      <c r="AL53" s="10" t="n">
        <v>0.2211</v>
      </c>
      <c r="AM53" s="9" t="n">
        <v>0.378</v>
      </c>
      <c r="AN53" s="8" t="n">
        <v>33</v>
      </c>
      <c r="AO53" s="10" t="n">
        <f aca="false">IFERROR(AN53/AI53,"")</f>
        <v>0.767441860465116</v>
      </c>
      <c r="AP53" s="8" t="n">
        <v>394</v>
      </c>
      <c r="AQ53" s="7" t="n">
        <f aca="false">IFERROR(AP53/AI53,"")</f>
        <v>9.16279069767442</v>
      </c>
      <c r="AR53" s="6" t="n">
        <v>10.116</v>
      </c>
      <c r="AS53" s="7" t="n">
        <v>3.091</v>
      </c>
      <c r="AT53" s="7" t="n">
        <v>0.906</v>
      </c>
      <c r="AU53" s="7"/>
      <c r="AV53" s="7"/>
      <c r="AW53" s="7"/>
      <c r="AX53" s="10" t="n">
        <v>0</v>
      </c>
      <c r="AY53" s="8" t="n">
        <v>3</v>
      </c>
      <c r="AZ53" s="8" t="n">
        <v>2</v>
      </c>
      <c r="BA53" s="8" t="n">
        <v>0</v>
      </c>
      <c r="BB53" s="8" t="n">
        <v>3</v>
      </c>
      <c r="BC53" s="7" t="n">
        <v>1.34</v>
      </c>
      <c r="BD53" s="7" t="n">
        <f aca="false">IFERROR(BB53-BC53,"")</f>
        <v>1.66</v>
      </c>
      <c r="BE53" s="9" t="n">
        <f aca="false">IFERROR(BB53/AH53,"")</f>
        <v>0.0697674418604651</v>
      </c>
      <c r="BF53" s="6" t="n">
        <v>56.6</v>
      </c>
      <c r="BG53" s="6" t="n">
        <v>63.1</v>
      </c>
      <c r="BH53" s="6" t="n">
        <v>47.3</v>
      </c>
      <c r="BI53" s="7" t="n">
        <v>3.179</v>
      </c>
      <c r="BJ53" s="10" t="n">
        <v>0.1391</v>
      </c>
      <c r="BK53" s="10" t="n">
        <v>0.689655172413793</v>
      </c>
      <c r="BL53" s="7" t="n">
        <v>2.49</v>
      </c>
      <c r="BM53" s="10" t="n">
        <v>0.2718</v>
      </c>
      <c r="BN53" s="10" t="n">
        <v>0.0629</v>
      </c>
      <c r="BO53" s="7" t="n">
        <v>2.4</v>
      </c>
      <c r="BP53" s="10" t="n">
        <v>0.596</v>
      </c>
      <c r="BQ53" s="8" t="n">
        <v>3</v>
      </c>
      <c r="BR53" s="10" t="n">
        <v>-0.061</v>
      </c>
      <c r="BS53" s="10" t="n">
        <v>0.5106</v>
      </c>
      <c r="BT53" s="6" t="n">
        <v>58.59</v>
      </c>
      <c r="BU53" s="6" t="n">
        <v>39</v>
      </c>
      <c r="BV53" s="7" t="n">
        <v>2.82</v>
      </c>
      <c r="BW53" s="6" t="n">
        <v>18.3</v>
      </c>
      <c r="BX53" s="9" t="n">
        <v>-0.0262</v>
      </c>
      <c r="BY53" s="9" t="n">
        <v>-0.0498</v>
      </c>
      <c r="BZ53" s="8" t="n">
        <v>50</v>
      </c>
      <c r="CA53" s="10" t="n">
        <v>0.104</v>
      </c>
      <c r="CB53" s="8" t="n">
        <v>242</v>
      </c>
      <c r="CC53" s="10" t="n">
        <v>0.525</v>
      </c>
      <c r="CD53" s="8" t="n">
        <v>40</v>
      </c>
      <c r="CE53" s="7" t="n">
        <v>-0.919</v>
      </c>
      <c r="CF53" s="7" t="n">
        <v>-0.701</v>
      </c>
      <c r="CG53" s="4" t="s">
        <v>121</v>
      </c>
      <c r="CH53" s="4"/>
    </row>
    <row r="54" customFormat="false" ht="15" hidden="false" customHeight="false" outlineLevel="0" collapsed="false">
      <c r="A54" s="3" t="n">
        <v>52</v>
      </c>
      <c r="B54" s="4" t="s">
        <v>395</v>
      </c>
      <c r="C54" s="5" t="s">
        <v>99</v>
      </c>
      <c r="D54" s="4" t="s">
        <v>396</v>
      </c>
      <c r="E54" s="4" t="s">
        <v>164</v>
      </c>
      <c r="F54" s="4" t="s">
        <v>99</v>
      </c>
      <c r="G54" s="3" t="n">
        <v>2</v>
      </c>
      <c r="H54" s="6" t="n">
        <v>23.3</v>
      </c>
      <c r="I54" s="3" t="n">
        <v>3</v>
      </c>
      <c r="J54" s="3" t="n">
        <v>5</v>
      </c>
      <c r="K54" s="7" t="n">
        <v>127.07</v>
      </c>
      <c r="L54" s="7" t="n">
        <v>13.27</v>
      </c>
      <c r="M54" s="8" t="n">
        <v>90</v>
      </c>
      <c r="N54" s="8" t="n">
        <v>180</v>
      </c>
      <c r="O54" s="7" t="n">
        <v>127.07</v>
      </c>
      <c r="P54" s="6" t="n">
        <v>67.3</v>
      </c>
      <c r="Q54" s="4" t="s">
        <v>164</v>
      </c>
      <c r="R54" s="8" t="n">
        <v>14</v>
      </c>
      <c r="S54" s="6" t="n">
        <v>109.9</v>
      </c>
      <c r="T54" s="7" t="n">
        <f aca="false">IFERROR(S54/R54,"")</f>
        <v>7.85</v>
      </c>
      <c r="U54" s="6" t="n">
        <v>88.9</v>
      </c>
      <c r="V54" s="6" t="n">
        <v>67.9</v>
      </c>
      <c r="W54" s="8" t="n">
        <v>57</v>
      </c>
      <c r="X54" s="7" t="n">
        <f aca="false">IFERROR(S54/AH54,"")</f>
        <v>1.30833333333333</v>
      </c>
      <c r="Y54" s="9" t="n">
        <f aca="false">IFERROR(S54/AF54,"")</f>
        <v>0.170387596899225</v>
      </c>
      <c r="Z54" s="6" t="n">
        <v>5.62</v>
      </c>
      <c r="AA54" s="6" t="n">
        <v>8.15</v>
      </c>
      <c r="AB54" s="6" t="n">
        <v>11.12</v>
      </c>
      <c r="AC54" s="10" t="n">
        <v>0</v>
      </c>
      <c r="AD54" s="10" t="n">
        <v>0.143</v>
      </c>
      <c r="AE54" s="7" t="n">
        <v>0.555</v>
      </c>
      <c r="AF54" s="8" t="n">
        <v>645</v>
      </c>
      <c r="AG54" s="10" t="n">
        <v>0.706</v>
      </c>
      <c r="AH54" s="8" t="n">
        <v>84</v>
      </c>
      <c r="AI54" s="8" t="n">
        <v>73</v>
      </c>
      <c r="AJ54" s="6" t="n">
        <f aca="false">IFERROR(AI54/R54,"")</f>
        <v>5.21428571428571</v>
      </c>
      <c r="AK54" s="10" t="n">
        <v>0.1604</v>
      </c>
      <c r="AL54" s="10" t="n">
        <v>0.2729</v>
      </c>
      <c r="AM54" s="9" t="n">
        <v>0.4316</v>
      </c>
      <c r="AN54" s="8" t="n">
        <v>42</v>
      </c>
      <c r="AO54" s="10" t="n">
        <f aca="false">IFERROR(AN54/AI54,"")</f>
        <v>0.575342465753425</v>
      </c>
      <c r="AP54" s="8" t="n">
        <v>532</v>
      </c>
      <c r="AQ54" s="7" t="n">
        <f aca="false">IFERROR(AP54/AI54,"")</f>
        <v>7.28767123287671</v>
      </c>
      <c r="AR54" s="6" t="n">
        <v>12.932</v>
      </c>
      <c r="AS54" s="7" t="n">
        <v>4.595</v>
      </c>
      <c r="AT54" s="7" t="n">
        <v>0.564</v>
      </c>
      <c r="AU54" s="7" t="n">
        <v>3.45903024945309</v>
      </c>
      <c r="AV54" s="7" t="n">
        <v>6.29442857142857</v>
      </c>
      <c r="AW54" s="7" t="n">
        <v>-0.46204643103519</v>
      </c>
      <c r="AX54" s="10" t="n">
        <v>0.0137</v>
      </c>
      <c r="AY54" s="8" t="n">
        <v>6</v>
      </c>
      <c r="AZ54" s="8" t="n">
        <v>2</v>
      </c>
      <c r="BA54" s="8" t="n">
        <v>1</v>
      </c>
      <c r="BB54" s="8" t="n">
        <v>1</v>
      </c>
      <c r="BC54" s="7" t="n">
        <v>2.42</v>
      </c>
      <c r="BD54" s="7" t="n">
        <f aca="false">IFERROR(BB54-BC54,"")</f>
        <v>-1.42</v>
      </c>
      <c r="BE54" s="9" t="n">
        <f aca="false">IFERROR(BB54/AH54,"")</f>
        <v>0.0119047619047619</v>
      </c>
      <c r="BF54" s="6" t="n">
        <v>50.1</v>
      </c>
      <c r="BG54" s="6" t="n">
        <v>66.2</v>
      </c>
      <c r="BH54" s="6" t="n">
        <v>34</v>
      </c>
      <c r="BI54" s="7" t="n">
        <v>3.062</v>
      </c>
      <c r="BJ54" s="10" t="n">
        <v>0.1258</v>
      </c>
      <c r="BK54" s="10" t="n">
        <v>0.8125</v>
      </c>
      <c r="BL54" s="7" t="n">
        <v>2.623</v>
      </c>
      <c r="BM54" s="10" t="n">
        <v>0.2877</v>
      </c>
      <c r="BN54" s="10" t="n">
        <v>0.0659</v>
      </c>
      <c r="BO54" s="7" t="n">
        <v>2.212</v>
      </c>
      <c r="BP54" s="10" t="n">
        <v>0.864</v>
      </c>
      <c r="BQ54" s="8" t="n">
        <v>5</v>
      </c>
      <c r="BR54" s="10" t="n">
        <v>0.0395</v>
      </c>
      <c r="BS54" s="10" t="n">
        <v>0.5721</v>
      </c>
      <c r="BT54" s="6" t="n">
        <v>61.65</v>
      </c>
      <c r="BU54" s="6" t="n">
        <v>38</v>
      </c>
      <c r="BV54" s="7" t="n">
        <v>3.71</v>
      </c>
      <c r="BW54" s="6" t="n">
        <v>21.3</v>
      </c>
      <c r="BX54" s="9" t="n">
        <v>0.0273</v>
      </c>
      <c r="BY54" s="9" t="n">
        <v>0.0399</v>
      </c>
      <c r="BZ54" s="8" t="n">
        <v>147</v>
      </c>
      <c r="CA54" s="10" t="n">
        <v>0.268</v>
      </c>
      <c r="CB54" s="8" t="n">
        <v>129</v>
      </c>
      <c r="CC54" s="10" t="n">
        <v>0.3</v>
      </c>
      <c r="CD54" s="8" t="n">
        <v>43</v>
      </c>
      <c r="CE54" s="7" t="n">
        <v>-0.621</v>
      </c>
      <c r="CF54" s="7" t="n">
        <v>-0.753</v>
      </c>
      <c r="CG54" s="4" t="s">
        <v>121</v>
      </c>
      <c r="CH54" s="4"/>
    </row>
    <row r="55" customFormat="false" ht="15" hidden="false" customHeight="false" outlineLevel="0" collapsed="false">
      <c r="A55" s="3" t="n">
        <v>53</v>
      </c>
      <c r="B55" s="4" t="s">
        <v>399</v>
      </c>
      <c r="C55" s="5" t="s">
        <v>99</v>
      </c>
      <c r="D55" s="4" t="s">
        <v>400</v>
      </c>
      <c r="E55" s="4" t="s">
        <v>135</v>
      </c>
      <c r="F55" s="4" t="s">
        <v>99</v>
      </c>
      <c r="G55" s="3" t="n">
        <v>2</v>
      </c>
      <c r="H55" s="6" t="n">
        <v>26.3</v>
      </c>
      <c r="I55" s="3" t="n">
        <v>5</v>
      </c>
      <c r="J55" s="3" t="n">
        <v>11</v>
      </c>
      <c r="K55" s="7" t="n">
        <v>129.36</v>
      </c>
      <c r="L55" s="7" t="n">
        <v>13.92</v>
      </c>
      <c r="M55" s="8" t="n">
        <v>96</v>
      </c>
      <c r="N55" s="8" t="n">
        <v>170</v>
      </c>
      <c r="O55" s="7" t="n">
        <v>129.36</v>
      </c>
      <c r="P55" s="6" t="n">
        <v>58.8</v>
      </c>
      <c r="Q55" s="4" t="s">
        <v>218</v>
      </c>
      <c r="R55" s="8" t="n">
        <v>16</v>
      </c>
      <c r="S55" s="6" t="n">
        <v>165.4</v>
      </c>
      <c r="T55" s="7" t="n">
        <f aca="false">IFERROR(S55/R55,"")</f>
        <v>10.3375</v>
      </c>
      <c r="U55" s="6" t="n">
        <v>137.9</v>
      </c>
      <c r="V55" s="6" t="n">
        <v>110.4</v>
      </c>
      <c r="W55" s="8" t="n">
        <v>37</v>
      </c>
      <c r="X55" s="7" t="n">
        <f aca="false">IFERROR(S55/AH55,"")</f>
        <v>1.94588235294118</v>
      </c>
      <c r="Y55" s="9" t="n">
        <f aca="false">IFERROR(S55/AF55,"")</f>
        <v>0.212051282051282</v>
      </c>
      <c r="Z55" s="6" t="n">
        <v>5.32</v>
      </c>
      <c r="AA55" s="6" t="n">
        <v>9.35</v>
      </c>
      <c r="AB55" s="6" t="n">
        <v>15.38</v>
      </c>
      <c r="AC55" s="10" t="n">
        <v>0.062</v>
      </c>
      <c r="AD55" s="10" t="n">
        <v>0.125</v>
      </c>
      <c r="AE55" s="7" t="n">
        <v>0.777</v>
      </c>
      <c r="AF55" s="8" t="n">
        <v>780</v>
      </c>
      <c r="AG55" s="10" t="n">
        <v>0.776</v>
      </c>
      <c r="AH55" s="8" t="n">
        <v>85</v>
      </c>
      <c r="AI55" s="8" t="n">
        <v>85</v>
      </c>
      <c r="AJ55" s="6" t="n">
        <f aca="false">IFERROR(AI55/R55,"")</f>
        <v>5.3125</v>
      </c>
      <c r="AK55" s="10" t="n">
        <v>0.1889</v>
      </c>
      <c r="AL55" s="10" t="n">
        <v>0.267</v>
      </c>
      <c r="AM55" s="9" t="n">
        <v>0.4702</v>
      </c>
      <c r="AN55" s="8" t="n">
        <v>55</v>
      </c>
      <c r="AO55" s="10" t="n">
        <f aca="false">IFERROR(AN55/AI55,"")</f>
        <v>0.647058823529412</v>
      </c>
      <c r="AP55" s="8" t="n">
        <v>724</v>
      </c>
      <c r="AQ55" s="7" t="n">
        <f aca="false">IFERROR(AP55/AI55,"")</f>
        <v>8.51764705882353</v>
      </c>
      <c r="AR55" s="6" t="n">
        <v>12.765</v>
      </c>
      <c r="AS55" s="7" t="n">
        <v>2.964</v>
      </c>
      <c r="AT55" s="7" t="n">
        <v>0.667</v>
      </c>
      <c r="AU55" s="7" t="n">
        <v>2.26600953315946</v>
      </c>
      <c r="AV55" s="7" t="n">
        <v>5.98717647058823</v>
      </c>
      <c r="AW55" s="7" t="n">
        <v>0.362418291722585</v>
      </c>
      <c r="AX55" s="10" t="n">
        <v>0.0353</v>
      </c>
      <c r="AY55" s="8" t="n">
        <v>17</v>
      </c>
      <c r="AZ55" s="8" t="n">
        <v>8</v>
      </c>
      <c r="BA55" s="8" t="n">
        <v>5</v>
      </c>
      <c r="BB55" s="8" t="n">
        <v>6</v>
      </c>
      <c r="BC55" s="7" t="n">
        <v>6.03</v>
      </c>
      <c r="BD55" s="7" t="n">
        <f aca="false">IFERROR(BB55-BC55,"")</f>
        <v>-0.0300000000000003</v>
      </c>
      <c r="BE55" s="9" t="n">
        <f aca="false">IFERROR(BB55/AH55,"")</f>
        <v>0.0705882352941177</v>
      </c>
      <c r="BF55" s="6" t="n">
        <v>41.6</v>
      </c>
      <c r="BG55" s="6" t="n">
        <v>43.3</v>
      </c>
      <c r="BH55" s="6" t="n">
        <v>43.5</v>
      </c>
      <c r="BI55" s="7" t="n">
        <v>2.802</v>
      </c>
      <c r="BJ55" s="10" t="n">
        <v>0.1883</v>
      </c>
      <c r="BK55" s="10" t="n">
        <v>0.575757575757576</v>
      </c>
      <c r="BL55" s="7" t="n">
        <v>2.561</v>
      </c>
      <c r="BM55" s="10" t="n">
        <v>0.261</v>
      </c>
      <c r="BN55" s="10" t="n">
        <v>0.0789</v>
      </c>
      <c r="BO55" s="7" t="n">
        <v>2.406</v>
      </c>
      <c r="BP55" s="10" t="n">
        <v>0.533</v>
      </c>
      <c r="BQ55" s="8" t="n">
        <v>3</v>
      </c>
      <c r="BR55" s="10" t="n">
        <v>0.0242</v>
      </c>
      <c r="BS55" s="10" t="n">
        <v>0.5691</v>
      </c>
      <c r="BT55" s="6" t="n">
        <v>59.82</v>
      </c>
      <c r="BU55" s="6" t="n">
        <v>38</v>
      </c>
      <c r="BV55" s="7" t="n">
        <v>3.76</v>
      </c>
      <c r="BW55" s="6" t="n">
        <v>28.8</v>
      </c>
      <c r="BX55" s="9" t="n">
        <v>0.0077</v>
      </c>
      <c r="BY55" s="9" t="n">
        <v>0.2873</v>
      </c>
      <c r="BZ55" s="8" t="n">
        <v>128</v>
      </c>
      <c r="CA55" s="10" t="n">
        <v>0.266</v>
      </c>
      <c r="CB55" s="8" t="n">
        <v>10</v>
      </c>
      <c r="CC55" s="10" t="n">
        <v>0.02</v>
      </c>
      <c r="CD55" s="8" t="n">
        <v>17</v>
      </c>
      <c r="CE55" s="7" t="n">
        <v>0.291</v>
      </c>
      <c r="CF55" s="7" t="n">
        <v>-0.06</v>
      </c>
      <c r="CG55" s="4" t="s">
        <v>102</v>
      </c>
      <c r="CH55" s="4"/>
    </row>
    <row r="56" customFormat="false" ht="15" hidden="false" customHeight="false" outlineLevel="0" collapsed="false">
      <c r="A56" s="3" t="n">
        <v>54</v>
      </c>
      <c r="B56" s="4" t="s">
        <v>403</v>
      </c>
      <c r="C56" s="5" t="s">
        <v>99</v>
      </c>
      <c r="D56" s="4" t="s">
        <v>404</v>
      </c>
      <c r="E56" s="4" t="s">
        <v>218</v>
      </c>
      <c r="F56" s="4" t="s">
        <v>99</v>
      </c>
      <c r="G56" s="3" t="n">
        <v>3</v>
      </c>
      <c r="H56" s="6" t="n">
        <v>23</v>
      </c>
      <c r="I56" s="3" t="n">
        <v>2</v>
      </c>
      <c r="J56" s="3" t="n">
        <v>11</v>
      </c>
      <c r="K56" s="7" t="n">
        <v>131.5</v>
      </c>
      <c r="L56" s="7" t="n">
        <v>17.42</v>
      </c>
      <c r="M56" s="8" t="n">
        <v>82</v>
      </c>
      <c r="N56" s="8" t="n">
        <v>183</v>
      </c>
      <c r="O56" s="7" t="n">
        <v>131.5</v>
      </c>
      <c r="P56" s="6" t="n">
        <v>68.4</v>
      </c>
      <c r="Q56" s="4" t="s">
        <v>218</v>
      </c>
      <c r="R56" s="8" t="n">
        <v>14</v>
      </c>
      <c r="S56" s="6" t="n">
        <v>70</v>
      </c>
      <c r="T56" s="7" t="n">
        <f aca="false">IFERROR(S56/R56,"")</f>
        <v>5</v>
      </c>
      <c r="U56" s="6" t="n">
        <v>55.5</v>
      </c>
      <c r="V56" s="6" t="n">
        <v>41</v>
      </c>
      <c r="W56" s="8" t="n">
        <v>73</v>
      </c>
      <c r="X56" s="7" t="n">
        <f aca="false">IFERROR(S56/AH56,"")</f>
        <v>1.2962962962963</v>
      </c>
      <c r="Y56" s="9" t="n">
        <f aca="false">IFERROR(S56/AF56,"")</f>
        <v>0.154867256637168</v>
      </c>
      <c r="Z56" s="6" t="n">
        <v>1.9</v>
      </c>
      <c r="AA56" s="6" t="n">
        <v>3.4</v>
      </c>
      <c r="AB56" s="6" t="n">
        <v>10.16</v>
      </c>
      <c r="AC56" s="10" t="n">
        <v>0</v>
      </c>
      <c r="AD56" s="10" t="n">
        <v>0.214</v>
      </c>
      <c r="AE56" s="7" t="n">
        <v>1.265</v>
      </c>
      <c r="AF56" s="8" t="n">
        <v>452</v>
      </c>
      <c r="AG56" s="10" t="n">
        <v>0.532</v>
      </c>
      <c r="AH56" s="8" t="n">
        <v>54</v>
      </c>
      <c r="AI56" s="8" t="n">
        <v>44</v>
      </c>
      <c r="AJ56" s="6" t="n">
        <f aca="false">IFERROR(AI56/R56,"")</f>
        <v>3.14285714285714</v>
      </c>
      <c r="AK56" s="10" t="n">
        <v>0.1167</v>
      </c>
      <c r="AL56" s="10" t="n">
        <v>0.1683</v>
      </c>
      <c r="AM56" s="9" t="n">
        <v>0.2929</v>
      </c>
      <c r="AN56" s="8" t="n">
        <v>29</v>
      </c>
      <c r="AO56" s="10" t="n">
        <f aca="false">IFERROR(AN56/AI56,"")</f>
        <v>0.659090909090909</v>
      </c>
      <c r="AP56" s="8" t="n">
        <v>361</v>
      </c>
      <c r="AQ56" s="7" t="n">
        <f aca="false">IFERROR(AP56/AI56,"")</f>
        <v>8.20454545454546</v>
      </c>
      <c r="AR56" s="6" t="n">
        <v>12.545</v>
      </c>
      <c r="AS56" s="7" t="n">
        <v>3.483</v>
      </c>
      <c r="AT56" s="7" t="n">
        <v>0.654</v>
      </c>
      <c r="AU56" s="7"/>
      <c r="AV56" s="7"/>
      <c r="AW56" s="7"/>
      <c r="AX56" s="10" t="n">
        <v>0.0227</v>
      </c>
      <c r="AY56" s="8" t="n">
        <v>4</v>
      </c>
      <c r="AZ56" s="8" t="n">
        <v>0</v>
      </c>
      <c r="BA56" s="8" t="n">
        <v>0</v>
      </c>
      <c r="BB56" s="8" t="n">
        <v>0</v>
      </c>
      <c r="BC56" s="7" t="n">
        <v>1.14</v>
      </c>
      <c r="BD56" s="7" t="n">
        <f aca="false">IFERROR(BB56-BC56,"")</f>
        <v>-1.14</v>
      </c>
      <c r="BE56" s="9" t="n">
        <f aca="false">IFERROR(BB56/AH56,"")</f>
        <v>0</v>
      </c>
      <c r="BF56" s="6" t="n">
        <v>52.5</v>
      </c>
      <c r="BG56" s="6" t="n">
        <v>45.3</v>
      </c>
      <c r="BH56" s="6" t="n">
        <v>58.7</v>
      </c>
      <c r="BI56" s="7" t="n">
        <v>2.905</v>
      </c>
      <c r="BJ56" s="10" t="n">
        <v>0.1629</v>
      </c>
      <c r="BK56" s="10" t="n">
        <v>0.604651162790698</v>
      </c>
      <c r="BL56" s="7" t="n">
        <v>2.199</v>
      </c>
      <c r="BM56" s="10" t="n">
        <v>0.2454</v>
      </c>
      <c r="BN56" s="10" t="n">
        <v>0.0493</v>
      </c>
      <c r="BO56" s="7" t="n">
        <v>2.41</v>
      </c>
      <c r="BP56" s="10" t="n">
        <v>0.704</v>
      </c>
      <c r="BQ56" s="8" t="n">
        <v>4</v>
      </c>
      <c r="BR56" s="10" t="n">
        <v>-0.0441</v>
      </c>
      <c r="BS56" s="10" t="n">
        <v>0.5063</v>
      </c>
      <c r="BT56" s="6" t="n">
        <v>58.41</v>
      </c>
      <c r="BU56" s="6" t="n">
        <v>39</v>
      </c>
      <c r="BV56" s="7" t="n">
        <v>3.47</v>
      </c>
      <c r="BW56" s="6" t="n">
        <v>23</v>
      </c>
      <c r="BX56" s="9" t="n">
        <v>-0.0102</v>
      </c>
      <c r="BY56" s="9" t="n">
        <v>0.229</v>
      </c>
      <c r="BZ56" s="8" t="n">
        <v>155</v>
      </c>
      <c r="CA56" s="10" t="n">
        <v>0.337</v>
      </c>
      <c r="CB56" s="8" t="n">
        <v>148</v>
      </c>
      <c r="CC56" s="10" t="n">
        <v>0.301</v>
      </c>
      <c r="CD56" s="8" t="n">
        <v>52</v>
      </c>
      <c r="CE56" s="7" t="n">
        <v>-1.251</v>
      </c>
      <c r="CF56" s="7" t="n">
        <v>-1.602</v>
      </c>
      <c r="CG56" s="4" t="s">
        <v>165</v>
      </c>
      <c r="CH56" s="4"/>
    </row>
    <row r="57" customFormat="false" ht="15" hidden="false" customHeight="false" outlineLevel="0" collapsed="false">
      <c r="A57" s="3" t="n">
        <v>55</v>
      </c>
      <c r="B57" s="4" t="s">
        <v>405</v>
      </c>
      <c r="C57" s="5" t="s">
        <v>99</v>
      </c>
      <c r="D57" s="4" t="s">
        <v>406</v>
      </c>
      <c r="E57" s="4" t="s">
        <v>258</v>
      </c>
      <c r="F57" s="4" t="s">
        <v>99</v>
      </c>
      <c r="G57" s="3" t="n">
        <v>2</v>
      </c>
      <c r="H57" s="6" t="n">
        <v>21.9</v>
      </c>
      <c r="I57" s="3" t="n">
        <v>0</v>
      </c>
      <c r="J57" s="3" t="n">
        <v>11</v>
      </c>
      <c r="K57" s="7" t="n">
        <v>131.55</v>
      </c>
      <c r="L57" s="7" t="n">
        <v>30.01</v>
      </c>
      <c r="M57" s="8" t="n">
        <v>90</v>
      </c>
      <c r="N57" s="8" t="n">
        <v>298</v>
      </c>
      <c r="O57" s="7" t="n">
        <v>131.55</v>
      </c>
      <c r="P57" s="6" t="n">
        <v>59.2</v>
      </c>
      <c r="Q57" s="4"/>
      <c r="R57" s="8"/>
      <c r="S57" s="6"/>
      <c r="T57" s="7"/>
      <c r="U57" s="6"/>
      <c r="V57" s="6"/>
      <c r="W57" s="8"/>
      <c r="X57" s="7"/>
      <c r="Y57" s="9"/>
      <c r="Z57" s="6"/>
      <c r="AA57" s="6"/>
      <c r="AB57" s="6"/>
      <c r="AC57" s="10"/>
      <c r="AD57" s="10"/>
      <c r="AE57" s="7"/>
      <c r="AF57" s="8"/>
      <c r="AG57" s="10"/>
      <c r="AH57" s="8"/>
      <c r="AI57" s="8"/>
      <c r="AJ57" s="6"/>
      <c r="AK57" s="10"/>
      <c r="AL57" s="10"/>
      <c r="AM57" s="9"/>
      <c r="AN57" s="8"/>
      <c r="AO57" s="10"/>
      <c r="AP57" s="8"/>
      <c r="AQ57" s="7"/>
      <c r="AR57" s="6"/>
      <c r="AS57" s="7"/>
      <c r="AT57" s="7"/>
      <c r="AU57" s="7"/>
      <c r="AV57" s="7"/>
      <c r="AW57" s="7"/>
      <c r="AX57" s="10"/>
      <c r="AY57" s="8"/>
      <c r="AZ57" s="8"/>
      <c r="BA57" s="8"/>
      <c r="BB57" s="8"/>
      <c r="BC57" s="7"/>
      <c r="BD57" s="7"/>
      <c r="BE57" s="9"/>
      <c r="BF57" s="6" t="n">
        <v>15.1</v>
      </c>
      <c r="BG57" s="6" t="n">
        <v>18.5</v>
      </c>
      <c r="BH57" s="6" t="n">
        <v>26.5</v>
      </c>
      <c r="BI57" s="7" t="n">
        <v>2.392</v>
      </c>
      <c r="BJ57" s="10" t="n">
        <v>0.225</v>
      </c>
      <c r="BK57" s="10" t="n">
        <v>0.666666666666667</v>
      </c>
      <c r="BL57" s="7" t="n">
        <v>1.808</v>
      </c>
      <c r="BM57" s="10" t="n">
        <v>0.3405</v>
      </c>
      <c r="BN57" s="10" t="n">
        <v>0.0842</v>
      </c>
      <c r="BO57" s="7" t="n">
        <v>2.444</v>
      </c>
      <c r="BP57" s="10" t="n">
        <v>0.261</v>
      </c>
      <c r="BQ57" s="8" t="n">
        <v>1</v>
      </c>
      <c r="BR57" s="10" t="n">
        <v>-0.0372</v>
      </c>
      <c r="BS57" s="10" t="n">
        <v>0.5161</v>
      </c>
      <c r="BT57" s="6" t="n">
        <v>60.47</v>
      </c>
      <c r="BU57" s="6" t="n">
        <v>39</v>
      </c>
      <c r="BV57" s="7" t="n">
        <v>2.47</v>
      </c>
      <c r="BW57" s="6" t="n">
        <v>16.4</v>
      </c>
      <c r="BX57" s="9" t="n">
        <v>-0.0478</v>
      </c>
      <c r="BY57" s="9" t="n">
        <v>-0.2882</v>
      </c>
      <c r="BZ57" s="8" t="n">
        <v>88</v>
      </c>
      <c r="CA57" s="10" t="n">
        <v>0.169</v>
      </c>
      <c r="CB57" s="8" t="n">
        <v>37</v>
      </c>
      <c r="CC57" s="10" t="n">
        <v>0.088</v>
      </c>
      <c r="CD57" s="8" t="n">
        <v>23</v>
      </c>
      <c r="CE57" s="7"/>
      <c r="CF57" s="7"/>
      <c r="CG57" s="4"/>
      <c r="CH57" s="4" t="s">
        <v>206</v>
      </c>
    </row>
    <row r="58" customFormat="false" ht="15" hidden="false" customHeight="false" outlineLevel="0" collapsed="false">
      <c r="A58" s="3" t="n">
        <v>56</v>
      </c>
      <c r="B58" s="4" t="s">
        <v>417</v>
      </c>
      <c r="C58" s="5" t="s">
        <v>99</v>
      </c>
      <c r="D58" s="4" t="s">
        <v>418</v>
      </c>
      <c r="E58" s="4" t="s">
        <v>124</v>
      </c>
      <c r="F58" s="4" t="s">
        <v>99</v>
      </c>
      <c r="G58" s="3" t="n">
        <v>2</v>
      </c>
      <c r="H58" s="6" t="n">
        <v>30.6</v>
      </c>
      <c r="I58" s="3" t="n">
        <v>8</v>
      </c>
      <c r="J58" s="3" t="n">
        <v>8</v>
      </c>
      <c r="K58" s="7" t="n">
        <v>142.01</v>
      </c>
      <c r="L58" s="7" t="n">
        <v>34.85</v>
      </c>
      <c r="M58" s="8" t="n">
        <v>83</v>
      </c>
      <c r="N58" s="8" t="n">
        <v>241</v>
      </c>
      <c r="O58" s="7" t="n">
        <v>142.01</v>
      </c>
      <c r="P58" s="6" t="n">
        <v>58.5</v>
      </c>
      <c r="Q58" s="4" t="s">
        <v>221</v>
      </c>
      <c r="R58" s="8" t="n">
        <v>16</v>
      </c>
      <c r="S58" s="6" t="n">
        <v>188.2</v>
      </c>
      <c r="T58" s="7" t="n">
        <f aca="false">IFERROR(S58/R58,"")</f>
        <v>11.7625</v>
      </c>
      <c r="U58" s="6" t="n">
        <v>152.2</v>
      </c>
      <c r="V58" s="6" t="n">
        <v>116.2</v>
      </c>
      <c r="W58" s="8" t="n">
        <v>25</v>
      </c>
      <c r="X58" s="7" t="n">
        <f aca="false">IFERROR(S58/AH58,"")</f>
        <v>1.62241379310345</v>
      </c>
      <c r="Y58" s="9" t="n">
        <f aca="false">IFERROR(S58/AF58,"")</f>
        <v>0.263955119214586</v>
      </c>
      <c r="Z58" s="6" t="n">
        <v>6.22</v>
      </c>
      <c r="AA58" s="6" t="n">
        <v>10.25</v>
      </c>
      <c r="AB58" s="6" t="n">
        <v>20.55</v>
      </c>
      <c r="AC58" s="10" t="n">
        <v>0.25</v>
      </c>
      <c r="AD58" s="10" t="n">
        <v>0</v>
      </c>
      <c r="AE58" s="7" t="n">
        <v>0.677</v>
      </c>
      <c r="AF58" s="8" t="n">
        <v>713</v>
      </c>
      <c r="AG58" s="10" t="n">
        <v>0.722</v>
      </c>
      <c r="AH58" s="8" t="n">
        <v>116</v>
      </c>
      <c r="AI58" s="8" t="n">
        <v>99</v>
      </c>
      <c r="AJ58" s="6" t="n">
        <f aca="false">IFERROR(AI58/R58,"")</f>
        <v>6.1875</v>
      </c>
      <c r="AK58" s="10" t="n">
        <v>0.2469</v>
      </c>
      <c r="AL58" s="10" t="n">
        <v>0.1532</v>
      </c>
      <c r="AM58" s="9" t="n">
        <v>0.4776</v>
      </c>
      <c r="AN58" s="8" t="n">
        <v>72</v>
      </c>
      <c r="AO58" s="10" t="n">
        <f aca="false">IFERROR(AN58/AI58,"")</f>
        <v>0.727272727272727</v>
      </c>
      <c r="AP58" s="8" t="n">
        <v>727</v>
      </c>
      <c r="AQ58" s="7" t="n">
        <f aca="false">IFERROR(AP58/AI58,"")</f>
        <v>7.34343434343434</v>
      </c>
      <c r="AR58" s="6" t="n">
        <v>5.323</v>
      </c>
      <c r="AS58" s="7" t="n">
        <v>6.472</v>
      </c>
      <c r="AT58" s="7" t="n">
        <v>1.38</v>
      </c>
      <c r="AU58" s="7" t="n">
        <v>3.5421433779842</v>
      </c>
      <c r="AV58" s="7" t="n">
        <v>6.29160493827161</v>
      </c>
      <c r="AW58" s="7" t="n">
        <v>1.08871252755439</v>
      </c>
      <c r="AX58" s="10" t="n">
        <v>0.0606</v>
      </c>
      <c r="AY58" s="8" t="n">
        <v>16</v>
      </c>
      <c r="AZ58" s="8" t="n">
        <v>9</v>
      </c>
      <c r="BA58" s="8" t="n">
        <v>4</v>
      </c>
      <c r="BB58" s="8" t="n">
        <v>6</v>
      </c>
      <c r="BC58" s="7" t="n">
        <v>5.64</v>
      </c>
      <c r="BD58" s="7" t="n">
        <f aca="false">IFERROR(BB58-BC58,"")</f>
        <v>0.36</v>
      </c>
      <c r="BE58" s="9" t="n">
        <f aca="false">IFERROR(BB58/AH58,"")</f>
        <v>0.0517241379310345</v>
      </c>
      <c r="BF58" s="6" t="n">
        <v>63.3</v>
      </c>
      <c r="BG58" s="6" t="n">
        <v>46.4</v>
      </c>
      <c r="BH58" s="6" t="n">
        <v>74.5</v>
      </c>
      <c r="BI58" s="7" t="n">
        <v>2.906</v>
      </c>
      <c r="BJ58" s="10" t="n">
        <v>0.1848</v>
      </c>
      <c r="BK58" s="10" t="n">
        <v>0.655172413793103</v>
      </c>
      <c r="BL58" s="7" t="n">
        <v>2.349</v>
      </c>
      <c r="BM58" s="10" t="n">
        <v>0.2125</v>
      </c>
      <c r="BN58" s="10" t="n">
        <v>0.0428</v>
      </c>
      <c r="BO58" s="7" t="n">
        <v>2.547</v>
      </c>
      <c r="BP58" s="10" t="n">
        <v>0.852</v>
      </c>
      <c r="BQ58" s="8" t="n">
        <v>4</v>
      </c>
      <c r="BR58" s="10" t="n">
        <v>-0.0088</v>
      </c>
      <c r="BS58" s="10" t="n">
        <v>0.5521</v>
      </c>
      <c r="BT58" s="6" t="n">
        <v>62.65</v>
      </c>
      <c r="BU58" s="6" t="n">
        <v>38</v>
      </c>
      <c r="BV58" s="7" t="n">
        <v>3.88</v>
      </c>
      <c r="BW58" s="6" t="n">
        <v>25.7</v>
      </c>
      <c r="BX58" s="9" t="n">
        <v>-0.0044</v>
      </c>
      <c r="BY58" s="9" t="n">
        <v>0.1587</v>
      </c>
      <c r="BZ58" s="8" t="n">
        <v>170</v>
      </c>
      <c r="CA58" s="10" t="n">
        <v>0.309</v>
      </c>
      <c r="CB58" s="8" t="n">
        <v>94</v>
      </c>
      <c r="CC58" s="10" t="n">
        <v>0.195</v>
      </c>
      <c r="CD58" s="8" t="n">
        <v>38</v>
      </c>
      <c r="CE58" s="7" t="n">
        <v>0.923</v>
      </c>
      <c r="CF58" s="7" t="n">
        <v>0.572</v>
      </c>
      <c r="CG58" s="4" t="s">
        <v>232</v>
      </c>
      <c r="CH58" s="4"/>
    </row>
    <row r="59" customFormat="false" ht="15" hidden="false" customHeight="false" outlineLevel="0" collapsed="false">
      <c r="A59" s="3" t="n">
        <v>57</v>
      </c>
      <c r="B59" s="4" t="s">
        <v>427</v>
      </c>
      <c r="C59" s="5" t="s">
        <v>99</v>
      </c>
      <c r="D59" s="4" t="s">
        <v>428</v>
      </c>
      <c r="E59" s="4" t="s">
        <v>115</v>
      </c>
      <c r="F59" s="4" t="s">
        <v>270</v>
      </c>
      <c r="G59" s="3" t="n">
        <v>1</v>
      </c>
      <c r="H59" s="6" t="n">
        <v>28</v>
      </c>
      <c r="I59" s="3" t="n">
        <v>5</v>
      </c>
      <c r="J59" s="3" t="n">
        <v>11</v>
      </c>
      <c r="K59" s="7" t="n">
        <v>146.85</v>
      </c>
      <c r="L59" s="7" t="n">
        <v>14.62</v>
      </c>
      <c r="M59" s="8" t="n">
        <v>121</v>
      </c>
      <c r="N59" s="8" t="n">
        <v>208</v>
      </c>
      <c r="O59" s="7" t="n">
        <v>146.85</v>
      </c>
      <c r="P59" s="6" t="n">
        <v>42.8</v>
      </c>
      <c r="Q59" s="4" t="s">
        <v>115</v>
      </c>
      <c r="R59" s="8" t="n">
        <v>18</v>
      </c>
      <c r="S59" s="6" t="n">
        <v>156.6</v>
      </c>
      <c r="T59" s="7" t="n">
        <f aca="false">IFERROR(S59/R59,"")</f>
        <v>8.7</v>
      </c>
      <c r="U59" s="6" t="n">
        <v>127.1</v>
      </c>
      <c r="V59" s="6" t="n">
        <v>97.6</v>
      </c>
      <c r="W59" s="8" t="n">
        <v>39</v>
      </c>
      <c r="X59" s="7" t="n">
        <f aca="false">IFERROR(S59/AH59,"")</f>
        <v>1.55049504950495</v>
      </c>
      <c r="Y59" s="9" t="n">
        <f aca="false">IFERROR(S59/AF59,"")</f>
        <v>0.222127659574468</v>
      </c>
      <c r="Z59" s="6" t="n">
        <v>3.7</v>
      </c>
      <c r="AA59" s="6" t="n">
        <v>8.65</v>
      </c>
      <c r="AB59" s="6" t="n">
        <v>14.82</v>
      </c>
      <c r="AC59" s="10" t="n">
        <v>0.056</v>
      </c>
      <c r="AD59" s="10" t="n">
        <v>0.167</v>
      </c>
      <c r="AE59" s="7" t="n">
        <v>0.675</v>
      </c>
      <c r="AF59" s="8" t="n">
        <v>705</v>
      </c>
      <c r="AG59" s="10" t="n">
        <v>0.609</v>
      </c>
      <c r="AH59" s="8" t="n">
        <v>101</v>
      </c>
      <c r="AI59" s="8" t="n">
        <v>92</v>
      </c>
      <c r="AJ59" s="6" t="n">
        <f aca="false">IFERROR(AI59/R59,"")</f>
        <v>5.11111111111111</v>
      </c>
      <c r="AK59" s="10" t="n">
        <v>0.167</v>
      </c>
      <c r="AL59" s="10" t="n">
        <v>0.2509</v>
      </c>
      <c r="AM59" s="9" t="n">
        <v>0.4261</v>
      </c>
      <c r="AN59" s="8" t="n">
        <v>59</v>
      </c>
      <c r="AO59" s="10" t="n">
        <f aca="false">IFERROR(AN59/AI59,"")</f>
        <v>0.641304347826087</v>
      </c>
      <c r="AP59" s="8" t="n">
        <v>687</v>
      </c>
      <c r="AQ59" s="7" t="n">
        <f aca="false">IFERROR(AP59/AI59,"")</f>
        <v>7.46739130434783</v>
      </c>
      <c r="AR59" s="6" t="n">
        <v>11.446</v>
      </c>
      <c r="AS59" s="7" t="n">
        <v>3</v>
      </c>
      <c r="AT59" s="7" t="n">
        <v>0.652</v>
      </c>
      <c r="AU59" s="7" t="n">
        <v>2.76169942287021</v>
      </c>
      <c r="AV59" s="7" t="n">
        <v>6.37022222222222</v>
      </c>
      <c r="AW59" s="7" t="n">
        <v>-0.252102321205265</v>
      </c>
      <c r="AX59" s="10" t="n">
        <v>0</v>
      </c>
      <c r="AY59" s="8" t="n">
        <v>10</v>
      </c>
      <c r="AZ59" s="8" t="n">
        <v>2</v>
      </c>
      <c r="BA59" s="8" t="n">
        <v>2</v>
      </c>
      <c r="BB59" s="8" t="n">
        <v>2</v>
      </c>
      <c r="BC59" s="7" t="n">
        <v>3.58</v>
      </c>
      <c r="BD59" s="7" t="n">
        <f aca="false">IFERROR(BB59-BC59,"")</f>
        <v>-1.58</v>
      </c>
      <c r="BE59" s="9" t="n">
        <f aca="false">IFERROR(BB59/AH59,"")</f>
        <v>0.0198019801980198</v>
      </c>
      <c r="BF59" s="6" t="n">
        <v>49.9</v>
      </c>
      <c r="BG59" s="6" t="n">
        <v>39.3</v>
      </c>
      <c r="BH59" s="6" t="n">
        <v>60.5</v>
      </c>
      <c r="BI59" s="7" t="n">
        <v>2.758</v>
      </c>
      <c r="BJ59" s="10" t="n">
        <v>0.2121</v>
      </c>
      <c r="BK59" s="10" t="n">
        <v>0.612903225806452</v>
      </c>
      <c r="BL59" s="7" t="n">
        <v>2.477</v>
      </c>
      <c r="BM59" s="10" t="n">
        <v>0.2266</v>
      </c>
      <c r="BN59" s="10" t="n">
        <v>0.0535</v>
      </c>
      <c r="BO59" s="7" t="n">
        <v>2.4</v>
      </c>
      <c r="BP59" s="10" t="n">
        <v>0.942</v>
      </c>
      <c r="BQ59" s="8" t="n">
        <v>5</v>
      </c>
      <c r="BR59" s="10" t="n">
        <v>-0.0677</v>
      </c>
      <c r="BS59" s="10" t="n">
        <v>0.5204</v>
      </c>
      <c r="BT59" s="6" t="n">
        <v>58.65</v>
      </c>
      <c r="BU59" s="6" t="n">
        <v>39</v>
      </c>
      <c r="BV59" s="7" t="n">
        <v>3.53</v>
      </c>
      <c r="BW59" s="6" t="n">
        <v>28.4</v>
      </c>
      <c r="BX59" s="9" t="n">
        <v>-0.0491</v>
      </c>
      <c r="BY59" s="9" t="n">
        <v>0.1122</v>
      </c>
      <c r="BZ59" s="8" t="n">
        <v>39</v>
      </c>
      <c r="CA59" s="10" t="n">
        <v>0.086</v>
      </c>
      <c r="CB59" s="8" t="n">
        <v>221</v>
      </c>
      <c r="CC59" s="10" t="n">
        <v>0.436</v>
      </c>
      <c r="CD59" s="8" t="n">
        <v>37</v>
      </c>
      <c r="CE59" s="7" t="n">
        <v>0.345</v>
      </c>
      <c r="CF59" s="7" t="n">
        <v>-0.313</v>
      </c>
      <c r="CG59" s="4" t="s">
        <v>102</v>
      </c>
      <c r="CH59" s="4"/>
    </row>
    <row r="60" customFormat="false" ht="15" hidden="false" customHeight="false" outlineLevel="0" collapsed="false">
      <c r="A60" s="3" t="n">
        <v>58</v>
      </c>
      <c r="B60" s="4" t="s">
        <v>443</v>
      </c>
      <c r="C60" s="5" t="s">
        <v>99</v>
      </c>
      <c r="D60" s="4" t="s">
        <v>444</v>
      </c>
      <c r="E60" s="4" t="s">
        <v>258</v>
      </c>
      <c r="F60" s="4" t="s">
        <v>99</v>
      </c>
      <c r="G60" s="3" t="n">
        <v>3</v>
      </c>
      <c r="H60" s="6" t="n">
        <v>22.7</v>
      </c>
      <c r="I60" s="3" t="n">
        <v>0</v>
      </c>
      <c r="J60" s="3" t="n">
        <v>11</v>
      </c>
      <c r="K60" s="7" t="n">
        <v>157.29</v>
      </c>
      <c r="L60" s="7" t="n">
        <v>31.44</v>
      </c>
      <c r="M60" s="8" t="n">
        <v>115</v>
      </c>
      <c r="N60" s="8" t="n">
        <v>304</v>
      </c>
      <c r="O60" s="7" t="n">
        <v>157.29</v>
      </c>
      <c r="P60" s="6" t="n">
        <v>31.5</v>
      </c>
      <c r="Q60" s="4"/>
      <c r="R60" s="8"/>
      <c r="S60" s="6"/>
      <c r="T60" s="7"/>
      <c r="U60" s="6"/>
      <c r="V60" s="6"/>
      <c r="W60" s="8"/>
      <c r="X60" s="7"/>
      <c r="Y60" s="9"/>
      <c r="Z60" s="6"/>
      <c r="AA60" s="6"/>
      <c r="AB60" s="6"/>
      <c r="AC60" s="10"/>
      <c r="AD60" s="10"/>
      <c r="AE60" s="7"/>
      <c r="AF60" s="8"/>
      <c r="AG60" s="10"/>
      <c r="AH60" s="8"/>
      <c r="AI60" s="8"/>
      <c r="AJ60" s="6"/>
      <c r="AK60" s="10"/>
      <c r="AL60" s="10"/>
      <c r="AM60" s="9"/>
      <c r="AN60" s="8"/>
      <c r="AO60" s="10"/>
      <c r="AP60" s="8"/>
      <c r="AQ60" s="7"/>
      <c r="AR60" s="6"/>
      <c r="AS60" s="7"/>
      <c r="AT60" s="7"/>
      <c r="AU60" s="7"/>
      <c r="AV60" s="7"/>
      <c r="AW60" s="7"/>
      <c r="AX60" s="10"/>
      <c r="AY60" s="8"/>
      <c r="AZ60" s="8"/>
      <c r="BA60" s="8"/>
      <c r="BB60" s="8"/>
      <c r="BC60" s="7"/>
      <c r="BD60" s="7"/>
      <c r="BE60" s="9"/>
      <c r="BF60" s="6" t="n">
        <v>15.1</v>
      </c>
      <c r="BG60" s="6" t="n">
        <v>18.5</v>
      </c>
      <c r="BH60" s="6" t="n">
        <v>26.5</v>
      </c>
      <c r="BI60" s="7" t="n">
        <v>2.392</v>
      </c>
      <c r="BJ60" s="10" t="n">
        <v>0.225</v>
      </c>
      <c r="BK60" s="10" t="n">
        <v>0.666666666666667</v>
      </c>
      <c r="BL60" s="7" t="n">
        <v>1.808</v>
      </c>
      <c r="BM60" s="10" t="n">
        <v>0.3405</v>
      </c>
      <c r="BN60" s="10" t="n">
        <v>0.0842</v>
      </c>
      <c r="BO60" s="7" t="n">
        <v>2.444</v>
      </c>
      <c r="BP60" s="10" t="n">
        <v>0.261</v>
      </c>
      <c r="BQ60" s="8" t="n">
        <v>1</v>
      </c>
      <c r="BR60" s="10" t="n">
        <v>-0.0372</v>
      </c>
      <c r="BS60" s="10" t="n">
        <v>0.5161</v>
      </c>
      <c r="BT60" s="6" t="n">
        <v>60.47</v>
      </c>
      <c r="BU60" s="6" t="n">
        <v>39</v>
      </c>
      <c r="BV60" s="7" t="n">
        <v>2.47</v>
      </c>
      <c r="BW60" s="6" t="n">
        <v>16.4</v>
      </c>
      <c r="BX60" s="9" t="n">
        <v>-0.0478</v>
      </c>
      <c r="BY60" s="9" t="n">
        <v>-0.2882</v>
      </c>
      <c r="BZ60" s="8" t="n">
        <v>88</v>
      </c>
      <c r="CA60" s="10" t="n">
        <v>0.169</v>
      </c>
      <c r="CB60" s="8" t="n">
        <v>37</v>
      </c>
      <c r="CC60" s="10" t="n">
        <v>0.088</v>
      </c>
      <c r="CD60" s="8" t="n">
        <v>23</v>
      </c>
      <c r="CE60" s="7"/>
      <c r="CF60" s="7"/>
      <c r="CG60" s="4"/>
      <c r="CH60" s="4" t="s">
        <v>206</v>
      </c>
    </row>
    <row r="61" customFormat="false" ht="15" hidden="false" customHeight="false" outlineLevel="0" collapsed="false">
      <c r="A61" s="3" t="n">
        <v>59</v>
      </c>
      <c r="B61" s="4" t="s">
        <v>445</v>
      </c>
      <c r="C61" s="5" t="s">
        <v>99</v>
      </c>
      <c r="D61" s="4" t="s">
        <v>446</v>
      </c>
      <c r="E61" s="4" t="s">
        <v>127</v>
      </c>
      <c r="F61" s="4" t="s">
        <v>99</v>
      </c>
      <c r="G61" s="3" t="n">
        <v>3</v>
      </c>
      <c r="H61" s="6" t="n">
        <v>29.1</v>
      </c>
      <c r="I61" s="3" t="n">
        <v>6</v>
      </c>
      <c r="J61" s="3" t="n">
        <v>6</v>
      </c>
      <c r="K61" s="7" t="n">
        <v>157.65</v>
      </c>
      <c r="L61" s="7" t="n">
        <v>28.04</v>
      </c>
      <c r="M61" s="8" t="n">
        <v>94</v>
      </c>
      <c r="N61" s="8" t="n">
        <v>283</v>
      </c>
      <c r="O61" s="7" t="n">
        <v>157.65</v>
      </c>
      <c r="P61" s="6" t="n">
        <v>27.4</v>
      </c>
      <c r="Q61" s="4" t="s">
        <v>124</v>
      </c>
      <c r="R61" s="8" t="n">
        <v>15</v>
      </c>
      <c r="S61" s="6" t="n">
        <v>173.3</v>
      </c>
      <c r="T61" s="7" t="n">
        <f aca="false">IFERROR(S61/R61,"")</f>
        <v>11.5533333333333</v>
      </c>
      <c r="U61" s="6" t="n">
        <v>145.8</v>
      </c>
      <c r="V61" s="6" t="n">
        <v>118.3</v>
      </c>
      <c r="W61" s="8" t="n">
        <v>33</v>
      </c>
      <c r="X61" s="7" t="n">
        <f aca="false">IFERROR(S61/AH61,"")</f>
        <v>1.92555555555556</v>
      </c>
      <c r="Y61" s="9" t="n">
        <f aca="false">IFERROR(S61/AF61,"")</f>
        <v>0.217987421383648</v>
      </c>
      <c r="Z61" s="6" t="n">
        <v>7.3</v>
      </c>
      <c r="AA61" s="6" t="n">
        <v>12.2</v>
      </c>
      <c r="AB61" s="6" t="n">
        <v>18</v>
      </c>
      <c r="AC61" s="10" t="n">
        <v>0.133</v>
      </c>
      <c r="AD61" s="10" t="n">
        <v>0.067</v>
      </c>
      <c r="AE61" s="7" t="n">
        <v>0.468</v>
      </c>
      <c r="AF61" s="8" t="n">
        <v>795</v>
      </c>
      <c r="AG61" s="10" t="n">
        <v>0.821</v>
      </c>
      <c r="AH61" s="8" t="n">
        <v>90</v>
      </c>
      <c r="AI61" s="8" t="n">
        <v>90</v>
      </c>
      <c r="AJ61" s="6" t="n">
        <f aca="false">IFERROR(AI61/R61,"")</f>
        <v>6</v>
      </c>
      <c r="AK61" s="10" t="n">
        <v>0.194</v>
      </c>
      <c r="AL61" s="10" t="n">
        <v>0.2545</v>
      </c>
      <c r="AM61" s="9" t="n">
        <v>0.4692</v>
      </c>
      <c r="AN61" s="8" t="n">
        <v>55</v>
      </c>
      <c r="AO61" s="10" t="n">
        <f aca="false">IFERROR(AN61/AI61,"")</f>
        <v>0.611111111111111</v>
      </c>
      <c r="AP61" s="8" t="n">
        <v>643</v>
      </c>
      <c r="AQ61" s="7" t="n">
        <f aca="false">IFERROR(AP61/AI61,"")</f>
        <v>7.14444444444445</v>
      </c>
      <c r="AR61" s="6" t="n">
        <v>10.056</v>
      </c>
      <c r="AS61" s="7" t="n">
        <v>3.291</v>
      </c>
      <c r="AT61" s="7" t="n">
        <v>0.71</v>
      </c>
      <c r="AU61" s="7" t="n">
        <v>2.21303908948132</v>
      </c>
      <c r="AV61" s="7" t="n">
        <v>5.64835294117647</v>
      </c>
      <c r="AW61" s="7" t="n">
        <v>0.710569590015091</v>
      </c>
      <c r="AX61" s="10" t="n">
        <v>0.0333</v>
      </c>
      <c r="AY61" s="8" t="n">
        <v>19</v>
      </c>
      <c r="AZ61" s="8" t="n">
        <v>8</v>
      </c>
      <c r="BA61" s="8" t="n">
        <v>5</v>
      </c>
      <c r="BB61" s="8" t="n">
        <v>9</v>
      </c>
      <c r="BC61" s="7" t="n">
        <v>6.09</v>
      </c>
      <c r="BD61" s="7" t="n">
        <f aca="false">IFERROR(BB61-BC61,"")</f>
        <v>2.91</v>
      </c>
      <c r="BE61" s="9" t="n">
        <f aca="false">IFERROR(BB61/AH61,"")</f>
        <v>0.1</v>
      </c>
      <c r="BF61" s="6" t="n">
        <v>36</v>
      </c>
      <c r="BG61" s="6" t="n">
        <v>51.8</v>
      </c>
      <c r="BH61" s="6" t="n">
        <v>26.2</v>
      </c>
      <c r="BI61" s="7" t="n">
        <v>2.961</v>
      </c>
      <c r="BJ61" s="10" t="n">
        <v>0.1751</v>
      </c>
      <c r="BK61" s="10" t="n">
        <v>0.7</v>
      </c>
      <c r="BL61" s="7" t="n">
        <v>2.441</v>
      </c>
      <c r="BM61" s="10" t="n">
        <v>0.3037</v>
      </c>
      <c r="BN61" s="10" t="n">
        <v>0.1028</v>
      </c>
      <c r="BO61" s="7" t="n">
        <v>2.429</v>
      </c>
      <c r="BP61" s="10" t="n">
        <v>0.819</v>
      </c>
      <c r="BQ61" s="8" t="n">
        <v>5</v>
      </c>
      <c r="BR61" s="10" t="n">
        <v>-0.012</v>
      </c>
      <c r="BS61" s="10" t="n">
        <v>0.5369</v>
      </c>
      <c r="BT61" s="6" t="n">
        <v>55.47</v>
      </c>
      <c r="BU61" s="6" t="n">
        <v>39</v>
      </c>
      <c r="BV61" s="7" t="n">
        <v>3.12</v>
      </c>
      <c r="BW61" s="6" t="n">
        <v>20.2</v>
      </c>
      <c r="BX61" s="9" t="n">
        <v>-0.0149</v>
      </c>
      <c r="BY61" s="9" t="n">
        <v>-0.1883</v>
      </c>
      <c r="BZ61" s="8" t="n">
        <v>82</v>
      </c>
      <c r="CA61" s="10" t="n">
        <v>0.175</v>
      </c>
      <c r="CB61" s="8" t="n">
        <v>24</v>
      </c>
      <c r="CC61" s="10" t="n">
        <v>0.059</v>
      </c>
      <c r="CD61" s="8" t="n">
        <v>17</v>
      </c>
      <c r="CE61" s="7" t="n">
        <v>0.679</v>
      </c>
      <c r="CF61" s="7" t="n">
        <v>0.634</v>
      </c>
      <c r="CG61" s="4" t="s">
        <v>232</v>
      </c>
      <c r="CH61" s="4"/>
    </row>
    <row r="62" customFormat="false" ht="15" hidden="false" customHeight="false" outlineLevel="0" collapsed="false">
      <c r="A62" s="3" t="n">
        <v>60</v>
      </c>
      <c r="B62" s="4" t="s">
        <v>449</v>
      </c>
      <c r="C62" s="5" t="s">
        <v>99</v>
      </c>
      <c r="D62" s="4" t="s">
        <v>450</v>
      </c>
      <c r="E62" s="4" t="s">
        <v>258</v>
      </c>
      <c r="F62" s="4" t="s">
        <v>99</v>
      </c>
      <c r="G62" s="3" t="n">
        <v>1</v>
      </c>
      <c r="H62" s="6" t="n">
        <v>27.3</v>
      </c>
      <c r="I62" s="3" t="n">
        <v>7</v>
      </c>
      <c r="J62" s="3" t="n">
        <v>11</v>
      </c>
      <c r="K62" s="7" t="n">
        <v>160.55</v>
      </c>
      <c r="L62" s="7" t="n">
        <v>23.44</v>
      </c>
      <c r="M62" s="8" t="n">
        <v>115</v>
      </c>
      <c r="N62" s="8" t="n">
        <v>269</v>
      </c>
      <c r="O62" s="7" t="n">
        <v>160.55</v>
      </c>
      <c r="P62" s="6" t="n">
        <v>27.9</v>
      </c>
      <c r="Q62" s="4" t="s">
        <v>258</v>
      </c>
      <c r="R62" s="8" t="n">
        <v>17</v>
      </c>
      <c r="S62" s="6" t="n">
        <v>120.7</v>
      </c>
      <c r="T62" s="7" t="n">
        <f aca="false">IFERROR(S62/R62,"")</f>
        <v>7.1</v>
      </c>
      <c r="U62" s="6" t="n">
        <v>95.7</v>
      </c>
      <c r="V62" s="6" t="n">
        <v>70.7</v>
      </c>
      <c r="W62" s="8" t="n">
        <v>51</v>
      </c>
      <c r="X62" s="7" t="n">
        <f aca="false">IFERROR(S62/AH62,"")</f>
        <v>1.12803738317757</v>
      </c>
      <c r="Y62" s="9" t="n">
        <f aca="false">IFERROR(S62/AF62,"")</f>
        <v>0.131053203040174</v>
      </c>
      <c r="Z62" s="6" t="n">
        <v>3.7</v>
      </c>
      <c r="AA62" s="6" t="n">
        <v>5.1</v>
      </c>
      <c r="AB62" s="6" t="n">
        <v>11.12</v>
      </c>
      <c r="AC62" s="10" t="n">
        <v>0.059</v>
      </c>
      <c r="AD62" s="10" t="n">
        <v>0.059</v>
      </c>
      <c r="AE62" s="7" t="n">
        <v>1.023</v>
      </c>
      <c r="AF62" s="8" t="n">
        <v>921</v>
      </c>
      <c r="AG62" s="10" t="n">
        <v>0.845</v>
      </c>
      <c r="AH62" s="8" t="n">
        <v>107</v>
      </c>
      <c r="AI62" s="8" t="n">
        <v>106</v>
      </c>
      <c r="AJ62" s="6" t="n">
        <f aca="false">IFERROR(AI62/R62,"")</f>
        <v>6.23529411764706</v>
      </c>
      <c r="AK62" s="10" t="n">
        <v>0.2031</v>
      </c>
      <c r="AL62" s="10" t="n">
        <v>0.3587</v>
      </c>
      <c r="AM62" s="9" t="n">
        <v>0.5557</v>
      </c>
      <c r="AN62" s="8" t="n">
        <v>50</v>
      </c>
      <c r="AO62" s="10" t="n">
        <f aca="false">IFERROR(AN62/AI62,"")</f>
        <v>0.471698113207547</v>
      </c>
      <c r="AP62" s="8" t="n">
        <v>602</v>
      </c>
      <c r="AQ62" s="7" t="n">
        <f aca="false">IFERROR(AP62/AI62,"")</f>
        <v>5.67924528301887</v>
      </c>
      <c r="AR62" s="6" t="n">
        <v>12.151</v>
      </c>
      <c r="AS62" s="7" t="n">
        <v>3.32</v>
      </c>
      <c r="AT62" s="7" t="n">
        <v>0.467</v>
      </c>
      <c r="AU62" s="7" t="n">
        <v>2.47205060721396</v>
      </c>
      <c r="AV62" s="7" t="n">
        <v>5.62685714285714</v>
      </c>
      <c r="AW62" s="7" t="n">
        <v>-0.0249336892853878</v>
      </c>
      <c r="AX62" s="10" t="n">
        <v>0.0943</v>
      </c>
      <c r="AY62" s="8" t="n">
        <v>9</v>
      </c>
      <c r="AZ62" s="8" t="n">
        <v>3</v>
      </c>
      <c r="BA62" s="8" t="n">
        <v>0</v>
      </c>
      <c r="BB62" s="8" t="n">
        <v>2</v>
      </c>
      <c r="BC62" s="7" t="n">
        <v>3.16</v>
      </c>
      <c r="BD62" s="7" t="n">
        <f aca="false">IFERROR(BB62-BC62,"")</f>
        <v>-1.16</v>
      </c>
      <c r="BE62" s="9" t="n">
        <f aca="false">IFERROR(BB62/AH62,"")</f>
        <v>0.0186915887850467</v>
      </c>
      <c r="BF62" s="6" t="n">
        <v>15.1</v>
      </c>
      <c r="BG62" s="6" t="n">
        <v>18.5</v>
      </c>
      <c r="BH62" s="6" t="n">
        <v>26.5</v>
      </c>
      <c r="BI62" s="7" t="n">
        <v>2.392</v>
      </c>
      <c r="BJ62" s="10" t="n">
        <v>0.225</v>
      </c>
      <c r="BK62" s="10" t="n">
        <v>0.666666666666667</v>
      </c>
      <c r="BL62" s="7" t="n">
        <v>1.808</v>
      </c>
      <c r="BM62" s="10" t="n">
        <v>0.3405</v>
      </c>
      <c r="BN62" s="10" t="n">
        <v>0.0842</v>
      </c>
      <c r="BO62" s="7" t="n">
        <v>2.444</v>
      </c>
      <c r="BP62" s="10" t="n">
        <v>0.261</v>
      </c>
      <c r="BQ62" s="8" t="n">
        <v>1</v>
      </c>
      <c r="BR62" s="10" t="n">
        <v>-0.0372</v>
      </c>
      <c r="BS62" s="10" t="n">
        <v>0.5161</v>
      </c>
      <c r="BT62" s="6" t="n">
        <v>60.47</v>
      </c>
      <c r="BU62" s="6" t="n">
        <v>39</v>
      </c>
      <c r="BV62" s="7" t="n">
        <v>2.47</v>
      </c>
      <c r="BW62" s="6" t="n">
        <v>16.4</v>
      </c>
      <c r="BX62" s="9" t="n">
        <v>-0.0478</v>
      </c>
      <c r="BY62" s="9" t="n">
        <v>-0.2882</v>
      </c>
      <c r="BZ62" s="8" t="n">
        <v>88</v>
      </c>
      <c r="CA62" s="10" t="n">
        <v>0.169</v>
      </c>
      <c r="CB62" s="8" t="n">
        <v>37</v>
      </c>
      <c r="CC62" s="10" t="n">
        <v>0.088</v>
      </c>
      <c r="CD62" s="8" t="n">
        <v>23</v>
      </c>
      <c r="CE62" s="7" t="n">
        <v>-0.075</v>
      </c>
      <c r="CF62" s="7" t="n">
        <v>-0.776</v>
      </c>
      <c r="CG62" s="4" t="s">
        <v>102</v>
      </c>
      <c r="CH62" s="4"/>
    </row>
    <row r="63" customFormat="false" ht="15" hidden="false" customHeight="false" outlineLevel="0" collapsed="false">
      <c r="A63" s="3" t="n">
        <v>61</v>
      </c>
      <c r="B63" s="4" t="s">
        <v>457</v>
      </c>
      <c r="C63" s="5" t="s">
        <v>99</v>
      </c>
      <c r="D63" s="4" t="s">
        <v>458</v>
      </c>
      <c r="E63" s="4" t="s">
        <v>186</v>
      </c>
      <c r="F63" s="4" t="s">
        <v>99</v>
      </c>
      <c r="G63" s="3" t="n">
        <v>3</v>
      </c>
      <c r="H63" s="6" t="n">
        <v>22.7</v>
      </c>
      <c r="I63" s="3" t="n">
        <v>0</v>
      </c>
      <c r="J63" s="3" t="n">
        <v>13</v>
      </c>
      <c r="K63" s="7" t="n">
        <v>167.8</v>
      </c>
      <c r="L63" s="7" t="n">
        <v>31.69</v>
      </c>
      <c r="M63" s="8" t="n">
        <v>133</v>
      </c>
      <c r="N63" s="8" t="n">
        <v>301</v>
      </c>
      <c r="O63" s="7" t="n">
        <v>167.8</v>
      </c>
      <c r="P63" s="6" t="n">
        <v>29.3</v>
      </c>
      <c r="Q63" s="4"/>
      <c r="R63" s="8"/>
      <c r="S63" s="6"/>
      <c r="T63" s="7"/>
      <c r="U63" s="6"/>
      <c r="V63" s="6"/>
      <c r="W63" s="8"/>
      <c r="X63" s="7"/>
      <c r="Y63" s="9"/>
      <c r="Z63" s="6"/>
      <c r="AA63" s="6"/>
      <c r="AB63" s="6"/>
      <c r="AC63" s="10"/>
      <c r="AD63" s="10"/>
      <c r="AE63" s="7"/>
      <c r="AF63" s="8"/>
      <c r="AG63" s="10"/>
      <c r="AH63" s="8"/>
      <c r="AI63" s="8"/>
      <c r="AJ63" s="6"/>
      <c r="AK63" s="10"/>
      <c r="AL63" s="10"/>
      <c r="AM63" s="9"/>
      <c r="AN63" s="8"/>
      <c r="AO63" s="10"/>
      <c r="AP63" s="8"/>
      <c r="AQ63" s="7"/>
      <c r="AR63" s="6"/>
      <c r="AS63" s="7"/>
      <c r="AT63" s="7"/>
      <c r="AU63" s="7"/>
      <c r="AV63" s="7"/>
      <c r="AW63" s="7"/>
      <c r="AX63" s="10"/>
      <c r="AY63" s="8"/>
      <c r="AZ63" s="8"/>
      <c r="BA63" s="8"/>
      <c r="BB63" s="8"/>
      <c r="BC63" s="7"/>
      <c r="BD63" s="7"/>
      <c r="BE63" s="9"/>
      <c r="BF63" s="6" t="n">
        <v>38.6</v>
      </c>
      <c r="BG63" s="6" t="n">
        <v>56.3</v>
      </c>
      <c r="BH63" s="6" t="n">
        <v>25.8</v>
      </c>
      <c r="BI63" s="7" t="n">
        <v>2.892</v>
      </c>
      <c r="BJ63" s="10" t="n">
        <v>0.1813</v>
      </c>
      <c r="BK63" s="10" t="n">
        <v>0.739130434782609</v>
      </c>
      <c r="BL63" s="7" t="n">
        <v>2.899</v>
      </c>
      <c r="BM63" s="10" t="n">
        <v>0.3117</v>
      </c>
      <c r="BN63" s="10" t="n">
        <v>0.0989</v>
      </c>
      <c r="BO63" s="7" t="n">
        <v>2.423</v>
      </c>
      <c r="BP63" s="10" t="n">
        <v>0.808</v>
      </c>
      <c r="BQ63" s="8" t="n">
        <v>3</v>
      </c>
      <c r="BR63" s="10" t="n">
        <v>-0.0877</v>
      </c>
      <c r="BS63" s="10" t="n">
        <v>0.4319</v>
      </c>
      <c r="BT63" s="6" t="n">
        <v>59.35</v>
      </c>
      <c r="BU63" s="6" t="n">
        <v>38</v>
      </c>
      <c r="BV63" s="7" t="n">
        <v>2.47</v>
      </c>
      <c r="BW63" s="6" t="n">
        <v>17.6</v>
      </c>
      <c r="BX63" s="9" t="n">
        <v>-0.061</v>
      </c>
      <c r="BY63" s="9" t="n">
        <v>-0.1799</v>
      </c>
      <c r="BZ63" s="8" t="n">
        <v>76</v>
      </c>
      <c r="CA63" s="10" t="n">
        <v>0.161</v>
      </c>
      <c r="CB63" s="8" t="n">
        <v>117</v>
      </c>
      <c r="CC63" s="10" t="n">
        <v>0.257</v>
      </c>
      <c r="CD63" s="8" t="n">
        <v>27</v>
      </c>
      <c r="CE63" s="7"/>
      <c r="CF63" s="7"/>
      <c r="CG63" s="4"/>
      <c r="CH63" s="4" t="s">
        <v>206</v>
      </c>
    </row>
    <row r="64" customFormat="false" ht="15" hidden="false" customHeight="false" outlineLevel="0" collapsed="false">
      <c r="A64" s="3" t="n">
        <v>62</v>
      </c>
      <c r="B64" s="4" t="s">
        <v>461</v>
      </c>
      <c r="C64" s="5" t="s">
        <v>99</v>
      </c>
      <c r="D64" s="4" t="s">
        <v>462</v>
      </c>
      <c r="E64" s="4" t="s">
        <v>198</v>
      </c>
      <c r="F64" s="4" t="s">
        <v>99</v>
      </c>
      <c r="G64" s="3" t="n">
        <v>3</v>
      </c>
      <c r="H64" s="6" t="n">
        <v>24.7</v>
      </c>
      <c r="I64" s="3" t="n">
        <v>3</v>
      </c>
      <c r="J64" s="3" t="n">
        <v>10</v>
      </c>
      <c r="K64" s="7" t="n">
        <v>168.98</v>
      </c>
      <c r="L64" s="7" t="n">
        <v>24.54</v>
      </c>
      <c r="M64" s="8" t="n">
        <v>128</v>
      </c>
      <c r="N64" s="8" t="n">
        <v>293</v>
      </c>
      <c r="O64" s="7" t="n">
        <v>168.98</v>
      </c>
      <c r="P64" s="6" t="n">
        <v>26.9</v>
      </c>
      <c r="Q64" s="4" t="s">
        <v>198</v>
      </c>
      <c r="R64" s="8" t="n">
        <v>4</v>
      </c>
      <c r="S64" s="6" t="n">
        <v>29.9</v>
      </c>
      <c r="T64" s="7" t="n">
        <f aca="false">IFERROR(S64/R64,"")</f>
        <v>7.475</v>
      </c>
      <c r="U64" s="6" t="n">
        <v>23.9</v>
      </c>
      <c r="V64" s="6" t="n">
        <v>17.9</v>
      </c>
      <c r="W64" s="8" t="n">
        <v>86</v>
      </c>
      <c r="X64" s="7" t="n">
        <f aca="false">IFERROR(S64/AH64,"")</f>
        <v>1.86875</v>
      </c>
      <c r="Y64" s="9" t="n">
        <f aca="false">IFERROR(S64/AF64,"")</f>
        <v>0.216666666666667</v>
      </c>
      <c r="Z64" s="6" t="n">
        <v>3.22</v>
      </c>
      <c r="AA64" s="6" t="n">
        <v>4.7</v>
      </c>
      <c r="AB64" s="6" t="n">
        <v>12.73</v>
      </c>
      <c r="AC64" s="10" t="n">
        <v>0.25</v>
      </c>
      <c r="AD64" s="10" t="n">
        <v>0</v>
      </c>
      <c r="AE64" s="7" t="n">
        <v>1.583</v>
      </c>
      <c r="AF64" s="8" t="n">
        <v>138</v>
      </c>
      <c r="AG64" s="10" t="n">
        <v>0.515</v>
      </c>
      <c r="AH64" s="8" t="n">
        <v>16</v>
      </c>
      <c r="AI64" s="8" t="n">
        <v>15</v>
      </c>
      <c r="AJ64" s="6" t="n">
        <f aca="false">IFERROR(AI64/R64,"")</f>
        <v>3.75</v>
      </c>
      <c r="AK64" s="10" t="n">
        <v>0.122</v>
      </c>
      <c r="AL64" s="10" t="n">
        <v>0.175</v>
      </c>
      <c r="AM64" s="9" t="n">
        <v>0.3055</v>
      </c>
      <c r="AN64" s="8" t="n">
        <v>12</v>
      </c>
      <c r="AO64" s="10" t="n">
        <f aca="false">IFERROR(AN64/AI64,"")</f>
        <v>0.8</v>
      </c>
      <c r="AP64" s="8" t="n">
        <v>178</v>
      </c>
      <c r="AQ64" s="7" t="n">
        <f aca="false">IFERROR(AP64/AI64,"")</f>
        <v>11.8666666666667</v>
      </c>
      <c r="AR64" s="6" t="n">
        <v>11.933</v>
      </c>
      <c r="AS64" s="7" t="n">
        <v>4.917</v>
      </c>
      <c r="AT64" s="7" t="n">
        <v>0.994</v>
      </c>
      <c r="AU64" s="7"/>
      <c r="AV64" s="7"/>
      <c r="AW64" s="7"/>
      <c r="AX64" s="10" t="n">
        <v>0.0667</v>
      </c>
      <c r="AY64" s="8" t="n">
        <v>2</v>
      </c>
      <c r="AZ64" s="8" t="n">
        <v>0</v>
      </c>
      <c r="BA64" s="8" t="n">
        <v>0</v>
      </c>
      <c r="BB64" s="8" t="n">
        <v>0</v>
      </c>
      <c r="BC64" s="7" t="n">
        <v>0.42</v>
      </c>
      <c r="BD64" s="7" t="n">
        <f aca="false">IFERROR(BB64-BC64,"")</f>
        <v>-0.42</v>
      </c>
      <c r="BE64" s="9" t="n">
        <f aca="false">IFERROR(BB64/AH64,"")</f>
        <v>0</v>
      </c>
      <c r="BF64" s="6" t="n">
        <v>57.4</v>
      </c>
      <c r="BG64" s="6" t="n">
        <v>46.3</v>
      </c>
      <c r="BH64" s="6" t="n">
        <v>65.4</v>
      </c>
      <c r="BI64" s="7" t="n">
        <v>2.736</v>
      </c>
      <c r="BJ64" s="10" t="n">
        <v>0.1938</v>
      </c>
      <c r="BK64" s="10" t="n">
        <v>0.708333333333333</v>
      </c>
      <c r="BL64" s="7" t="n">
        <v>2.699</v>
      </c>
      <c r="BM64" s="10" t="n">
        <v>0.172</v>
      </c>
      <c r="BN64" s="10" t="n">
        <v>0.0571</v>
      </c>
      <c r="BO64" s="7" t="n">
        <v>2.292</v>
      </c>
      <c r="BP64" s="10" t="n">
        <v>0.791</v>
      </c>
      <c r="BQ64" s="8" t="n">
        <v>4</v>
      </c>
      <c r="BR64" s="10" t="n">
        <v>-0.0347</v>
      </c>
      <c r="BS64" s="10" t="n">
        <v>0.5148</v>
      </c>
      <c r="BT64" s="6" t="n">
        <v>62.65</v>
      </c>
      <c r="BU64" s="6" t="n">
        <v>41</v>
      </c>
      <c r="BV64" s="7" t="n">
        <v>3.12</v>
      </c>
      <c r="BW64" s="6" t="n">
        <v>22.4</v>
      </c>
      <c r="BX64" s="9" t="n">
        <v>0.0138</v>
      </c>
      <c r="BY64" s="9" t="n">
        <v>-0.0264</v>
      </c>
      <c r="BZ64" s="8" t="n">
        <v>111</v>
      </c>
      <c r="CA64" s="10" t="n">
        <v>0.205</v>
      </c>
      <c r="CB64" s="8" t="n">
        <v>138</v>
      </c>
      <c r="CC64" s="10" t="n">
        <v>0.292</v>
      </c>
      <c r="CD64" s="8" t="n">
        <v>38</v>
      </c>
      <c r="CE64" s="7" t="n">
        <v>-1.538</v>
      </c>
      <c r="CF64" s="7" t="n">
        <v>-0.574</v>
      </c>
      <c r="CG64" s="4" t="s">
        <v>165</v>
      </c>
      <c r="CH64" s="4"/>
    </row>
    <row r="65" customFormat="false" ht="15" hidden="false" customHeight="false" outlineLevel="0" collapsed="false">
      <c r="A65" s="3" t="n">
        <v>63</v>
      </c>
      <c r="B65" s="4" t="s">
        <v>465</v>
      </c>
      <c r="C65" s="5" t="s">
        <v>99</v>
      </c>
      <c r="D65" s="4" t="s">
        <v>466</v>
      </c>
      <c r="E65" s="4" t="s">
        <v>186</v>
      </c>
      <c r="F65" s="4" t="s">
        <v>99</v>
      </c>
      <c r="G65" s="3" t="n">
        <v>2</v>
      </c>
      <c r="H65" s="6" t="n">
        <v>23.9</v>
      </c>
      <c r="I65" s="3" t="n">
        <v>3</v>
      </c>
      <c r="J65" s="3" t="n">
        <v>13</v>
      </c>
      <c r="K65" s="7" t="n">
        <v>171.09</v>
      </c>
      <c r="L65" s="7" t="n">
        <v>24.55</v>
      </c>
      <c r="M65" s="8" t="n">
        <v>133</v>
      </c>
      <c r="N65" s="8" t="n">
        <v>270</v>
      </c>
      <c r="O65" s="7" t="n">
        <v>171.09</v>
      </c>
      <c r="P65" s="6" t="n">
        <v>17.1</v>
      </c>
      <c r="Q65" s="4" t="s">
        <v>186</v>
      </c>
      <c r="R65" s="8" t="n">
        <v>16</v>
      </c>
      <c r="S65" s="6" t="n">
        <v>87.9</v>
      </c>
      <c r="T65" s="7" t="n">
        <f aca="false">IFERROR(S65/R65,"")</f>
        <v>5.49375</v>
      </c>
      <c r="U65" s="6" t="n">
        <v>71.4</v>
      </c>
      <c r="V65" s="6" t="n">
        <v>54.9</v>
      </c>
      <c r="W65" s="8" t="n">
        <v>65</v>
      </c>
      <c r="X65" s="7" t="n">
        <f aca="false">IFERROR(S65/AH65,"")</f>
        <v>1.172</v>
      </c>
      <c r="Y65" s="9" t="n">
        <f aca="false">IFERROR(S65/AF65,"")</f>
        <v>0.176506024096386</v>
      </c>
      <c r="Z65" s="6" t="n">
        <v>1.28</v>
      </c>
      <c r="AA65" s="6" t="n">
        <v>3.7</v>
      </c>
      <c r="AB65" s="6" t="n">
        <v>9.78</v>
      </c>
      <c r="AC65" s="10" t="n">
        <v>0.062</v>
      </c>
      <c r="AD65" s="10" t="n">
        <v>0.375</v>
      </c>
      <c r="AE65" s="7" t="n">
        <v>1.835</v>
      </c>
      <c r="AF65" s="8" t="n">
        <v>498</v>
      </c>
      <c r="AG65" s="10" t="n">
        <v>0.506</v>
      </c>
      <c r="AH65" s="8" t="n">
        <v>75</v>
      </c>
      <c r="AI65" s="8" t="n">
        <v>74</v>
      </c>
      <c r="AJ65" s="6" t="n">
        <f aca="false">IFERROR(AI65/R65,"")</f>
        <v>4.625</v>
      </c>
      <c r="AK65" s="10" t="n">
        <v>0.1498</v>
      </c>
      <c r="AL65" s="10" t="n">
        <v>0.2846</v>
      </c>
      <c r="AM65" s="9" t="n">
        <v>0.4239</v>
      </c>
      <c r="AN65" s="8" t="n">
        <v>33</v>
      </c>
      <c r="AO65" s="10" t="n">
        <f aca="false">IFERROR(AN65/AI65,"")</f>
        <v>0.445945945945946</v>
      </c>
      <c r="AP65" s="8" t="n">
        <v>453</v>
      </c>
      <c r="AQ65" s="7" t="n">
        <f aca="false">IFERROR(AP65/AI65,"")</f>
        <v>6.12162162162162</v>
      </c>
      <c r="AR65" s="6" t="n">
        <v>14.892</v>
      </c>
      <c r="AS65" s="7" t="n">
        <v>2.424</v>
      </c>
      <c r="AT65" s="7" t="n">
        <v>0.411</v>
      </c>
      <c r="AU65" s="7" t="n">
        <v>2.75514206986972</v>
      </c>
      <c r="AV65" s="7" t="n">
        <v>5.78756756756757</v>
      </c>
      <c r="AW65" s="7" t="n">
        <v>0.837069484350886</v>
      </c>
      <c r="AX65" s="10" t="n">
        <v>0.027</v>
      </c>
      <c r="AY65" s="8" t="n">
        <v>8</v>
      </c>
      <c r="AZ65" s="8" t="n">
        <v>2</v>
      </c>
      <c r="BA65" s="8" t="n">
        <v>0</v>
      </c>
      <c r="BB65" s="8" t="n">
        <v>2</v>
      </c>
      <c r="BC65" s="7" t="n">
        <v>2.18</v>
      </c>
      <c r="BD65" s="7" t="n">
        <f aca="false">IFERROR(BB65-BC65,"")</f>
        <v>-0.18</v>
      </c>
      <c r="BE65" s="9" t="n">
        <f aca="false">IFERROR(BB65/AH65,"")</f>
        <v>0.0266666666666667</v>
      </c>
      <c r="BF65" s="6" t="n">
        <v>38.6</v>
      </c>
      <c r="BG65" s="6" t="n">
        <v>56.3</v>
      </c>
      <c r="BH65" s="6" t="n">
        <v>25.8</v>
      </c>
      <c r="BI65" s="7" t="n">
        <v>2.892</v>
      </c>
      <c r="BJ65" s="10" t="n">
        <v>0.1813</v>
      </c>
      <c r="BK65" s="10" t="n">
        <v>0.739130434782609</v>
      </c>
      <c r="BL65" s="7" t="n">
        <v>2.899</v>
      </c>
      <c r="BM65" s="10" t="n">
        <v>0.3117</v>
      </c>
      <c r="BN65" s="10" t="n">
        <v>0.0989</v>
      </c>
      <c r="BO65" s="7" t="n">
        <v>2.423</v>
      </c>
      <c r="BP65" s="10" t="n">
        <v>0.808</v>
      </c>
      <c r="BQ65" s="8" t="n">
        <v>3</v>
      </c>
      <c r="BR65" s="10" t="n">
        <v>-0.0877</v>
      </c>
      <c r="BS65" s="10" t="n">
        <v>0.4319</v>
      </c>
      <c r="BT65" s="6" t="n">
        <v>59.35</v>
      </c>
      <c r="BU65" s="6" t="n">
        <v>38</v>
      </c>
      <c r="BV65" s="7" t="n">
        <v>2.47</v>
      </c>
      <c r="BW65" s="6" t="n">
        <v>17.6</v>
      </c>
      <c r="BX65" s="9" t="n">
        <v>-0.061</v>
      </c>
      <c r="BY65" s="9" t="n">
        <v>-0.1799</v>
      </c>
      <c r="BZ65" s="8" t="n">
        <v>76</v>
      </c>
      <c r="CA65" s="10" t="n">
        <v>0.161</v>
      </c>
      <c r="CB65" s="8" t="n">
        <v>117</v>
      </c>
      <c r="CC65" s="10" t="n">
        <v>0.257</v>
      </c>
      <c r="CD65" s="8" t="n">
        <v>27</v>
      </c>
      <c r="CE65" s="7" t="n">
        <v>-0.582</v>
      </c>
      <c r="CF65" s="7" t="n">
        <v>-1.108</v>
      </c>
      <c r="CG65" s="4" t="s">
        <v>121</v>
      </c>
      <c r="CH65" s="4"/>
    </row>
    <row r="66" customFormat="false" ht="15" hidden="false" customHeight="false" outlineLevel="0" collapsed="false">
      <c r="A66" s="3" t="n">
        <v>64</v>
      </c>
      <c r="B66" s="4" t="s">
        <v>467</v>
      </c>
      <c r="C66" s="5" t="s">
        <v>99</v>
      </c>
      <c r="D66" s="4" t="s">
        <v>468</v>
      </c>
      <c r="E66" s="4" t="s">
        <v>142</v>
      </c>
      <c r="F66" s="4" t="s">
        <v>270</v>
      </c>
      <c r="G66" s="3" t="n">
        <v>1</v>
      </c>
      <c r="H66" s="6" t="n">
        <v>25.4</v>
      </c>
      <c r="I66" s="3" t="n">
        <v>4</v>
      </c>
      <c r="J66" s="3" t="n">
        <v>13</v>
      </c>
      <c r="K66" s="7" t="n">
        <v>172.63</v>
      </c>
      <c r="L66" s="7" t="n">
        <v>28.44</v>
      </c>
      <c r="M66" s="8" t="n">
        <v>109</v>
      </c>
      <c r="N66" s="8" t="n">
        <v>289</v>
      </c>
      <c r="O66" s="7" t="n">
        <v>172.63</v>
      </c>
      <c r="P66" s="6" t="n">
        <v>20.2</v>
      </c>
      <c r="Q66" s="4" t="s">
        <v>142</v>
      </c>
      <c r="R66" s="8" t="n">
        <v>17</v>
      </c>
      <c r="S66" s="6" t="n">
        <v>161.7</v>
      </c>
      <c r="T66" s="7" t="n">
        <f aca="false">IFERROR(S66/R66,"")</f>
        <v>9.51176470588235</v>
      </c>
      <c r="U66" s="6" t="n">
        <v>133.2</v>
      </c>
      <c r="V66" s="6" t="n">
        <v>104.7</v>
      </c>
      <c r="W66" s="8" t="n">
        <v>38</v>
      </c>
      <c r="X66" s="7" t="n">
        <f aca="false">IFERROR(S66/AH66,"")</f>
        <v>1.56990291262136</v>
      </c>
      <c r="Y66" s="9" t="n">
        <f aca="false">IFERROR(S66/AF66,"")</f>
        <v>0.171656050955414</v>
      </c>
      <c r="Z66" s="6" t="n">
        <v>5</v>
      </c>
      <c r="AA66" s="6" t="n">
        <v>6.8</v>
      </c>
      <c r="AB66" s="6" t="n">
        <v>12.84</v>
      </c>
      <c r="AC66" s="10" t="n">
        <v>0.059</v>
      </c>
      <c r="AD66" s="10" t="n">
        <v>0.059</v>
      </c>
      <c r="AE66" s="7" t="n">
        <v>1.314</v>
      </c>
      <c r="AF66" s="8" t="n">
        <v>942</v>
      </c>
      <c r="AG66" s="10" t="n">
        <v>0.948</v>
      </c>
      <c r="AH66" s="8" t="n">
        <v>103</v>
      </c>
      <c r="AI66" s="8" t="n">
        <v>92</v>
      </c>
      <c r="AJ66" s="6" t="n">
        <f aca="false">IFERROR(AI66/R66,"")</f>
        <v>5.41176470588235</v>
      </c>
      <c r="AK66" s="10" t="n">
        <v>0.1862</v>
      </c>
      <c r="AL66" s="10" t="n">
        <v>0.2923</v>
      </c>
      <c r="AM66" s="9" t="n">
        <v>0.4839</v>
      </c>
      <c r="AN66" s="8" t="n">
        <v>57</v>
      </c>
      <c r="AO66" s="10" t="n">
        <f aca="false">IFERROR(AN66/AI66,"")</f>
        <v>0.619565217391304</v>
      </c>
      <c r="AP66" s="8" t="n">
        <v>696</v>
      </c>
      <c r="AQ66" s="7" t="n">
        <f aca="false">IFERROR(AP66/AI66,"")</f>
        <v>7.56521739130435</v>
      </c>
      <c r="AR66" s="6" t="n">
        <v>10.163</v>
      </c>
      <c r="AS66" s="7" t="n">
        <v>5.105</v>
      </c>
      <c r="AT66" s="7" t="n">
        <v>0.744</v>
      </c>
      <c r="AU66" s="7" t="n">
        <v>3.6219217863116</v>
      </c>
      <c r="AV66" s="7" t="n">
        <v>7.61873563218391</v>
      </c>
      <c r="AW66" s="7" t="n">
        <v>0.232019825940532</v>
      </c>
      <c r="AX66" s="10" t="n">
        <v>0.0435</v>
      </c>
      <c r="AY66" s="8" t="n">
        <v>11</v>
      </c>
      <c r="AZ66" s="8" t="n">
        <v>5</v>
      </c>
      <c r="BA66" s="8" t="n">
        <v>1</v>
      </c>
      <c r="BB66" s="8" t="n">
        <v>5</v>
      </c>
      <c r="BC66" s="7" t="n">
        <v>3.72</v>
      </c>
      <c r="BD66" s="7" t="n">
        <f aca="false">IFERROR(BB66-BC66,"")</f>
        <v>1.28</v>
      </c>
      <c r="BE66" s="9" t="n">
        <f aca="false">IFERROR(BB66/AH66,"")</f>
        <v>0.0485436893203884</v>
      </c>
      <c r="BF66" s="6" t="n">
        <v>15.2</v>
      </c>
      <c r="BG66" s="6" t="n">
        <v>7.8</v>
      </c>
      <c r="BH66" s="6" t="n">
        <v>37.5</v>
      </c>
      <c r="BI66" s="7" t="n">
        <v>2.49</v>
      </c>
      <c r="BJ66" s="10" t="n">
        <v>0.2502</v>
      </c>
      <c r="BK66" s="10" t="n">
        <v>0.366666666666667</v>
      </c>
      <c r="BL66" s="7" t="n">
        <v>1.629</v>
      </c>
      <c r="BM66" s="10" t="n">
        <v>0.2641</v>
      </c>
      <c r="BN66" s="10" t="n">
        <v>0.1019</v>
      </c>
      <c r="BO66" s="7" t="n">
        <v>2.487</v>
      </c>
      <c r="BP66" s="10" t="n">
        <v>0.384</v>
      </c>
      <c r="BQ66" s="8" t="n">
        <v>2</v>
      </c>
      <c r="BR66" s="10" t="n">
        <v>-0.0175</v>
      </c>
      <c r="BS66" s="10" t="n">
        <v>0.5679</v>
      </c>
      <c r="BT66" s="6" t="n">
        <v>55.41</v>
      </c>
      <c r="BU66" s="6" t="n">
        <v>38</v>
      </c>
      <c r="BV66" s="7" t="n">
        <v>2.24</v>
      </c>
      <c r="BW66" s="6" t="n">
        <v>14.2</v>
      </c>
      <c r="BX66" s="9" t="n">
        <v>-0.2605</v>
      </c>
      <c r="BY66" s="9" t="n">
        <v>-0.187</v>
      </c>
      <c r="BZ66" s="8" t="n">
        <v>55</v>
      </c>
      <c r="CA66" s="10" t="n">
        <v>0.111</v>
      </c>
      <c r="CB66" s="8" t="n">
        <v>58</v>
      </c>
      <c r="CC66" s="10" t="n">
        <v>0.157</v>
      </c>
      <c r="CD66" s="8" t="n">
        <v>13</v>
      </c>
      <c r="CE66" s="7" t="n">
        <v>0.636</v>
      </c>
      <c r="CF66" s="7" t="n">
        <v>0.11</v>
      </c>
      <c r="CG66" s="4" t="s">
        <v>232</v>
      </c>
      <c r="CH66" s="4"/>
    </row>
    <row r="67" customFormat="false" ht="15" hidden="false" customHeight="false" outlineLevel="0" collapsed="false">
      <c r="A67" s="3" t="n">
        <v>65</v>
      </c>
      <c r="B67" s="4" t="s">
        <v>469</v>
      </c>
      <c r="C67" s="5" t="s">
        <v>99</v>
      </c>
      <c r="D67" s="4" t="s">
        <v>470</v>
      </c>
      <c r="E67" s="4" t="s">
        <v>124</v>
      </c>
      <c r="F67" s="4" t="s">
        <v>99</v>
      </c>
      <c r="G67" s="3" t="n">
        <v>4</v>
      </c>
      <c r="H67" s="6" t="n">
        <v>23.7</v>
      </c>
      <c r="I67" s="3" t="n">
        <v>0</v>
      </c>
      <c r="J67" s="3" t="n">
        <v>8</v>
      </c>
      <c r="K67" s="7" t="n">
        <v>174.84</v>
      </c>
      <c r="L67" s="7" t="n">
        <v>42.74</v>
      </c>
      <c r="M67" s="8" t="n">
        <v>100</v>
      </c>
      <c r="N67" s="8" t="n">
        <v>290</v>
      </c>
      <c r="O67" s="7" t="n">
        <v>174.84</v>
      </c>
      <c r="P67" s="6" t="n">
        <v>22.7</v>
      </c>
      <c r="Q67" s="4"/>
      <c r="R67" s="8"/>
      <c r="S67" s="6"/>
      <c r="T67" s="7"/>
      <c r="U67" s="6"/>
      <c r="V67" s="6"/>
      <c r="W67" s="8"/>
      <c r="X67" s="7"/>
      <c r="Y67" s="9"/>
      <c r="Z67" s="6"/>
      <c r="AA67" s="6"/>
      <c r="AB67" s="6"/>
      <c r="AC67" s="10"/>
      <c r="AD67" s="10"/>
      <c r="AE67" s="7"/>
      <c r="AF67" s="8"/>
      <c r="AG67" s="10"/>
      <c r="AH67" s="8"/>
      <c r="AI67" s="8"/>
      <c r="AJ67" s="6"/>
      <c r="AK67" s="10"/>
      <c r="AL67" s="10"/>
      <c r="AM67" s="9"/>
      <c r="AN67" s="8"/>
      <c r="AO67" s="10"/>
      <c r="AP67" s="8"/>
      <c r="AQ67" s="7"/>
      <c r="AR67" s="6"/>
      <c r="AS67" s="7"/>
      <c r="AT67" s="7"/>
      <c r="AU67" s="7"/>
      <c r="AV67" s="7"/>
      <c r="AW67" s="7"/>
      <c r="AX67" s="10"/>
      <c r="AY67" s="8"/>
      <c r="AZ67" s="8"/>
      <c r="BA67" s="8"/>
      <c r="BB67" s="8"/>
      <c r="BC67" s="7"/>
      <c r="BD67" s="7"/>
      <c r="BE67" s="9"/>
      <c r="BF67" s="6" t="n">
        <v>63.3</v>
      </c>
      <c r="BG67" s="6" t="n">
        <v>46.4</v>
      </c>
      <c r="BH67" s="6" t="n">
        <v>74.5</v>
      </c>
      <c r="BI67" s="7" t="n">
        <v>2.906</v>
      </c>
      <c r="BJ67" s="10" t="n">
        <v>0.1848</v>
      </c>
      <c r="BK67" s="10" t="n">
        <v>0.655172413793103</v>
      </c>
      <c r="BL67" s="7" t="n">
        <v>2.349</v>
      </c>
      <c r="BM67" s="10" t="n">
        <v>0.2125</v>
      </c>
      <c r="BN67" s="10" t="n">
        <v>0.0428</v>
      </c>
      <c r="BO67" s="7" t="n">
        <v>2.547</v>
      </c>
      <c r="BP67" s="10" t="n">
        <v>0.852</v>
      </c>
      <c r="BQ67" s="8" t="n">
        <v>4</v>
      </c>
      <c r="BR67" s="10" t="n">
        <v>-0.0088</v>
      </c>
      <c r="BS67" s="10" t="n">
        <v>0.5521</v>
      </c>
      <c r="BT67" s="6" t="n">
        <v>62.65</v>
      </c>
      <c r="BU67" s="6" t="n">
        <v>38</v>
      </c>
      <c r="BV67" s="7" t="n">
        <v>3.88</v>
      </c>
      <c r="BW67" s="6" t="n">
        <v>25.7</v>
      </c>
      <c r="BX67" s="9" t="n">
        <v>-0.0044</v>
      </c>
      <c r="BY67" s="9" t="n">
        <v>0.1587</v>
      </c>
      <c r="BZ67" s="8" t="n">
        <v>170</v>
      </c>
      <c r="CA67" s="10" t="n">
        <v>0.309</v>
      </c>
      <c r="CB67" s="8" t="n">
        <v>94</v>
      </c>
      <c r="CC67" s="10" t="n">
        <v>0.195</v>
      </c>
      <c r="CD67" s="8" t="n">
        <v>38</v>
      </c>
      <c r="CE67" s="7"/>
      <c r="CF67" s="7"/>
      <c r="CG67" s="4"/>
      <c r="CH67" s="4" t="s">
        <v>206</v>
      </c>
    </row>
    <row r="68" customFormat="false" ht="15" hidden="false" customHeight="false" outlineLevel="0" collapsed="false">
      <c r="A68" s="3" t="n">
        <v>66</v>
      </c>
      <c r="B68" s="4" t="s">
        <v>471</v>
      </c>
      <c r="C68" s="5" t="s">
        <v>99</v>
      </c>
      <c r="D68" s="4" t="s">
        <v>472</v>
      </c>
      <c r="E68" s="4" t="s">
        <v>235</v>
      </c>
      <c r="F68" s="4" t="s">
        <v>473</v>
      </c>
      <c r="G68" s="3" t="n">
        <v>1</v>
      </c>
      <c r="H68" s="6" t="n">
        <v>23.3</v>
      </c>
      <c r="I68" s="3" t="n">
        <v>2</v>
      </c>
      <c r="J68" s="3" t="n">
        <v>7</v>
      </c>
      <c r="K68" s="7" t="n">
        <v>175.65</v>
      </c>
      <c r="L68" s="7" t="n">
        <v>30.86</v>
      </c>
      <c r="M68" s="8" t="n">
        <v>116</v>
      </c>
      <c r="N68" s="8" t="n">
        <v>292</v>
      </c>
      <c r="O68" s="7" t="n">
        <v>175.65</v>
      </c>
      <c r="P68" s="6" t="n">
        <v>66.2</v>
      </c>
      <c r="Q68" s="4" t="s">
        <v>235</v>
      </c>
      <c r="R68" s="8" t="n">
        <v>7</v>
      </c>
      <c r="S68" s="6" t="n">
        <v>63.8</v>
      </c>
      <c r="T68" s="7" t="n">
        <f aca="false">IFERROR(S68/R68,"")</f>
        <v>9.11428571428571</v>
      </c>
      <c r="U68" s="6" t="n">
        <v>49.8</v>
      </c>
      <c r="V68" s="6" t="n">
        <v>35.8</v>
      </c>
      <c r="W68" s="8" t="n">
        <v>77</v>
      </c>
      <c r="X68" s="7" t="n">
        <f aca="false">IFERROR(S68/AH68,"")</f>
        <v>1.38695652173913</v>
      </c>
      <c r="Y68" s="9" t="n">
        <f aca="false">IFERROR(S68/AF68,"")</f>
        <v>0.196913580246914</v>
      </c>
      <c r="Z68" s="6"/>
      <c r="AA68" s="6"/>
      <c r="AB68" s="6"/>
      <c r="AC68" s="10"/>
      <c r="AD68" s="10"/>
      <c r="AE68" s="7"/>
      <c r="AF68" s="8" t="n">
        <v>324</v>
      </c>
      <c r="AG68" s="10" t="n">
        <v>0.663</v>
      </c>
      <c r="AH68" s="8" t="n">
        <v>46</v>
      </c>
      <c r="AI68" s="8" t="n">
        <v>45</v>
      </c>
      <c r="AJ68" s="6" t="n">
        <f aca="false">IFERROR(AI68/R68,"")</f>
        <v>6.42857142857143</v>
      </c>
      <c r="AK68" s="10" t="n">
        <v>0.1786</v>
      </c>
      <c r="AL68" s="10" t="n">
        <v>0.1683</v>
      </c>
      <c r="AM68" s="9" t="n">
        <v>0.3857</v>
      </c>
      <c r="AN68" s="8" t="n">
        <v>28</v>
      </c>
      <c r="AO68" s="10" t="n">
        <f aca="false">IFERROR(AN68/AI68,"")</f>
        <v>0.622222222222222</v>
      </c>
      <c r="AP68" s="8" t="n">
        <v>298</v>
      </c>
      <c r="AQ68" s="7" t="n">
        <f aca="false">IFERROR(AP68/AI68,"")</f>
        <v>6.62222222222222</v>
      </c>
      <c r="AR68" s="6" t="n">
        <v>7.867</v>
      </c>
      <c r="AS68" s="7" t="n">
        <v>5</v>
      </c>
      <c r="AT68" s="7" t="n">
        <v>0.842</v>
      </c>
      <c r="AU68" s="7" t="n">
        <v>3.3185259802665</v>
      </c>
      <c r="AV68" s="7" t="n">
        <v>7.03475</v>
      </c>
      <c r="AW68" s="7" t="n">
        <v>0.762109481768929</v>
      </c>
      <c r="AX68" s="10" t="n">
        <v>0.0444</v>
      </c>
      <c r="AY68" s="8" t="n">
        <v>6</v>
      </c>
      <c r="AZ68" s="8" t="n">
        <v>2</v>
      </c>
      <c r="BA68" s="8" t="n">
        <v>0</v>
      </c>
      <c r="BB68" s="8" t="n">
        <v>1</v>
      </c>
      <c r="BC68" s="7" t="n">
        <v>2</v>
      </c>
      <c r="BD68" s="7" t="n">
        <f aca="false">IFERROR(BB68-BC68,"")</f>
        <v>-1</v>
      </c>
      <c r="BE68" s="9" t="n">
        <f aca="false">IFERROR(BB68/AH68,"")</f>
        <v>0.0217391304347826</v>
      </c>
      <c r="BF68" s="6" t="n">
        <v>44.3</v>
      </c>
      <c r="BG68" s="6" t="n">
        <v>40.2</v>
      </c>
      <c r="BH68" s="6" t="n">
        <v>50.8</v>
      </c>
      <c r="BI68" s="7" t="n">
        <v>2.885</v>
      </c>
      <c r="BJ68" s="10" t="n">
        <v>0.1784</v>
      </c>
      <c r="BK68" s="10" t="n">
        <v>0.5</v>
      </c>
      <c r="BL68" s="7" t="n">
        <v>2.219</v>
      </c>
      <c r="BM68" s="10" t="n">
        <v>0.2504</v>
      </c>
      <c r="BN68" s="10" t="n">
        <v>0.0647</v>
      </c>
      <c r="BO68" s="7" t="n">
        <v>2.395</v>
      </c>
      <c r="BP68" s="10" t="n">
        <v>1</v>
      </c>
      <c r="BQ68" s="8" t="n">
        <v>5</v>
      </c>
      <c r="BR68" s="10" t="n">
        <v>0.0164</v>
      </c>
      <c r="BS68" s="10" t="n">
        <v>0.5756</v>
      </c>
      <c r="BT68" s="6" t="n">
        <v>63.18</v>
      </c>
      <c r="BU68" s="6" t="n">
        <v>40</v>
      </c>
      <c r="BV68" s="7" t="n">
        <v>4.24</v>
      </c>
      <c r="BW68" s="6" t="n">
        <v>27.9</v>
      </c>
      <c r="BX68" s="9" t="n">
        <v>-0.0041</v>
      </c>
      <c r="BY68" s="9" t="n">
        <v>0.0592</v>
      </c>
      <c r="BZ68" s="8" t="n">
        <v>132</v>
      </c>
      <c r="CA68" s="10" t="n">
        <v>0.241</v>
      </c>
      <c r="CB68" s="8" t="n">
        <v>271</v>
      </c>
      <c r="CC68" s="10" t="n">
        <v>0.554</v>
      </c>
      <c r="CD68" s="8" t="n">
        <v>85</v>
      </c>
      <c r="CE68" s="7" t="n">
        <v>-1.002</v>
      </c>
      <c r="CF68" s="7" t="n">
        <v>0.093</v>
      </c>
      <c r="CG68" s="4" t="s">
        <v>165</v>
      </c>
      <c r="CH68" s="4"/>
    </row>
    <row r="69" customFormat="false" ht="15" hidden="false" customHeight="false" outlineLevel="0" collapsed="false">
      <c r="A69" s="3" t="n">
        <v>67</v>
      </c>
      <c r="B69" s="4" t="s">
        <v>478</v>
      </c>
      <c r="C69" s="5" t="s">
        <v>99</v>
      </c>
      <c r="D69" s="4" t="s">
        <v>479</v>
      </c>
      <c r="E69" s="4" t="s">
        <v>170</v>
      </c>
      <c r="F69" s="4" t="s">
        <v>99</v>
      </c>
      <c r="G69" s="3" t="n">
        <v>3</v>
      </c>
      <c r="H69" s="6" t="n">
        <v>24.5</v>
      </c>
      <c r="I69" s="3" t="n">
        <v>2</v>
      </c>
      <c r="J69" s="3" t="n">
        <v>7</v>
      </c>
      <c r="K69" s="7" t="n">
        <v>180.35</v>
      </c>
      <c r="L69" s="7" t="n">
        <v>27.53</v>
      </c>
      <c r="M69" s="8" t="n">
        <v>123</v>
      </c>
      <c r="N69" s="8" t="n">
        <v>296</v>
      </c>
      <c r="O69" s="7" t="n">
        <v>180.35</v>
      </c>
      <c r="P69" s="6" t="n">
        <v>13.7</v>
      </c>
      <c r="Q69" s="4" t="s">
        <v>170</v>
      </c>
      <c r="R69" s="8" t="n">
        <v>16</v>
      </c>
      <c r="S69" s="6" t="n">
        <v>69.4</v>
      </c>
      <c r="T69" s="7" t="n">
        <f aca="false">IFERROR(S69/R69,"")</f>
        <v>4.3375</v>
      </c>
      <c r="U69" s="6" t="n">
        <v>54.4</v>
      </c>
      <c r="V69" s="6" t="n">
        <v>39.4</v>
      </c>
      <c r="W69" s="8" t="n">
        <v>74</v>
      </c>
      <c r="X69" s="7" t="n">
        <f aca="false">IFERROR(S69/AH69,"")</f>
        <v>1.54222222222222</v>
      </c>
      <c r="Y69" s="9" t="n">
        <f aca="false">IFERROR(S69/AF69,"")</f>
        <v>0.125045045045045</v>
      </c>
      <c r="Z69" s="6" t="n">
        <v>2.35</v>
      </c>
      <c r="AA69" s="6" t="n">
        <v>4.05</v>
      </c>
      <c r="AB69" s="6" t="n">
        <v>7.6</v>
      </c>
      <c r="AC69" s="10" t="n">
        <v>0</v>
      </c>
      <c r="AD69" s="10" t="n">
        <v>0.188</v>
      </c>
      <c r="AE69" s="7" t="n">
        <v>0.71</v>
      </c>
      <c r="AF69" s="8" t="n">
        <v>555</v>
      </c>
      <c r="AG69" s="10" t="n">
        <v>0.485</v>
      </c>
      <c r="AH69" s="8" t="n">
        <v>45</v>
      </c>
      <c r="AI69" s="8" t="n">
        <v>43</v>
      </c>
      <c r="AJ69" s="6" t="n">
        <f aca="false">IFERROR(AI69/R69,"")</f>
        <v>2.6875</v>
      </c>
      <c r="AK69" s="10" t="n">
        <v>0.084</v>
      </c>
      <c r="AL69" s="10" t="n">
        <v>0.093</v>
      </c>
      <c r="AM69" s="9" t="n">
        <v>0.1911</v>
      </c>
      <c r="AN69" s="8" t="n">
        <v>30</v>
      </c>
      <c r="AO69" s="10" t="n">
        <f aca="false">IFERROR(AN69/AI69,"")</f>
        <v>0.697674418604651</v>
      </c>
      <c r="AP69" s="8" t="n">
        <v>324</v>
      </c>
      <c r="AQ69" s="7" t="n">
        <f aca="false">IFERROR(AP69/AI69,"")</f>
        <v>7.53488372093023</v>
      </c>
      <c r="AR69" s="6" t="n">
        <v>9.256</v>
      </c>
      <c r="AS69" s="7" t="n">
        <v>4.633</v>
      </c>
      <c r="AT69" s="7" t="n">
        <v>0.814</v>
      </c>
      <c r="AU69" s="7"/>
      <c r="AV69" s="7"/>
      <c r="AW69" s="7"/>
      <c r="AX69" s="10" t="n">
        <v>0.0233</v>
      </c>
      <c r="AY69" s="8" t="n">
        <v>6</v>
      </c>
      <c r="AZ69" s="8" t="n">
        <v>1</v>
      </c>
      <c r="BA69" s="8" t="n">
        <v>0</v>
      </c>
      <c r="BB69" s="8" t="n">
        <v>1</v>
      </c>
      <c r="BC69" s="7" t="n">
        <v>1.38</v>
      </c>
      <c r="BD69" s="7" t="n">
        <f aca="false">IFERROR(BB69-BC69,"")</f>
        <v>-0.38</v>
      </c>
      <c r="BE69" s="9" t="n">
        <f aca="false">IFERROR(BB69/AH69,"")</f>
        <v>0.0222222222222222</v>
      </c>
      <c r="BF69" s="6" t="n">
        <v>26.9</v>
      </c>
      <c r="BG69" s="6" t="n">
        <v>40.7</v>
      </c>
      <c r="BH69" s="6" t="n">
        <v>23</v>
      </c>
      <c r="BI69" s="7" t="n">
        <v>2.77</v>
      </c>
      <c r="BJ69" s="10" t="n">
        <v>0.2195</v>
      </c>
      <c r="BK69" s="10" t="n">
        <v>0.611111111111111</v>
      </c>
      <c r="BL69" s="7" t="n">
        <v>2.614</v>
      </c>
      <c r="BM69" s="10" t="n">
        <v>0.3427</v>
      </c>
      <c r="BN69" s="10" t="n">
        <v>0.0832</v>
      </c>
      <c r="BO69" s="7" t="n">
        <v>2.37</v>
      </c>
      <c r="BP69" s="10" t="n">
        <v>0.205</v>
      </c>
      <c r="BQ69" s="8" t="n">
        <v>1</v>
      </c>
      <c r="BR69" s="10" t="n">
        <v>0.0064</v>
      </c>
      <c r="BS69" s="10" t="n">
        <v>0.579</v>
      </c>
      <c r="BT69" s="6" t="n">
        <v>63.53</v>
      </c>
      <c r="BU69" s="6" t="n">
        <v>39</v>
      </c>
      <c r="BV69" s="7" t="n">
        <v>3.47</v>
      </c>
      <c r="BW69" s="6" t="n">
        <v>21.6</v>
      </c>
      <c r="BX69" s="9" t="n">
        <v>0.0187</v>
      </c>
      <c r="BY69" s="9" t="n">
        <v>-0.0542</v>
      </c>
      <c r="BZ69" s="8" t="n">
        <v>15</v>
      </c>
      <c r="CA69" s="10" t="n">
        <v>0.028</v>
      </c>
      <c r="CB69" s="8" t="n">
        <v>23</v>
      </c>
      <c r="CC69" s="10" t="n">
        <v>0.049</v>
      </c>
      <c r="CD69" s="8" t="n">
        <v>2</v>
      </c>
      <c r="CE69" s="7" t="n">
        <v>-0.835</v>
      </c>
      <c r="CF69" s="7" t="n">
        <v>-1.186</v>
      </c>
      <c r="CG69" s="4" t="s">
        <v>121</v>
      </c>
      <c r="CH69" s="4"/>
    </row>
    <row r="70" customFormat="false" ht="15" hidden="false" customHeight="false" outlineLevel="0" collapsed="false">
      <c r="A70" s="3" t="n">
        <v>68</v>
      </c>
      <c r="B70" s="4" t="s">
        <v>482</v>
      </c>
      <c r="C70" s="5" t="s">
        <v>99</v>
      </c>
      <c r="D70" s="4" t="s">
        <v>483</v>
      </c>
      <c r="E70" s="4" t="s">
        <v>120</v>
      </c>
      <c r="F70" s="4" t="s">
        <v>99</v>
      </c>
      <c r="G70" s="3" t="n">
        <v>3</v>
      </c>
      <c r="H70" s="6" t="n">
        <v>26.8</v>
      </c>
      <c r="I70" s="3" t="n">
        <v>3</v>
      </c>
      <c r="J70" s="3" t="n">
        <v>14</v>
      </c>
      <c r="K70" s="7" t="n">
        <v>182.63</v>
      </c>
      <c r="L70" s="7" t="n">
        <v>25.51</v>
      </c>
      <c r="M70" s="8" t="n">
        <v>149</v>
      </c>
      <c r="N70" s="8" t="n">
        <v>327</v>
      </c>
      <c r="O70" s="7" t="n">
        <v>182.63</v>
      </c>
      <c r="P70" s="6" t="n">
        <v>13</v>
      </c>
      <c r="Q70" s="4" t="s">
        <v>120</v>
      </c>
      <c r="R70" s="8" t="n">
        <v>15</v>
      </c>
      <c r="S70" s="6" t="n">
        <v>114</v>
      </c>
      <c r="T70" s="7" t="n">
        <f aca="false">IFERROR(S70/R70,"")</f>
        <v>7.6</v>
      </c>
      <c r="U70" s="6" t="n">
        <v>94</v>
      </c>
      <c r="V70" s="6" t="n">
        <v>74</v>
      </c>
      <c r="W70" s="8" t="n">
        <v>56</v>
      </c>
      <c r="X70" s="7" t="n">
        <f aca="false">IFERROR(S70/AH70,"")</f>
        <v>1.9</v>
      </c>
      <c r="Y70" s="9" t="n">
        <f aca="false">IFERROR(S70/AF70,"")</f>
        <v>0.237995824634656</v>
      </c>
      <c r="Z70" s="6" t="n">
        <v>2.9</v>
      </c>
      <c r="AA70" s="6" t="n">
        <v>6.4</v>
      </c>
      <c r="AB70" s="6" t="n">
        <v>11.6</v>
      </c>
      <c r="AC70" s="10" t="n">
        <v>0.067</v>
      </c>
      <c r="AD70" s="10" t="n">
        <v>0.267</v>
      </c>
      <c r="AE70" s="7" t="n">
        <v>1.13</v>
      </c>
      <c r="AF70" s="8" t="n">
        <v>479</v>
      </c>
      <c r="AG70" s="10" t="n">
        <v>0.448</v>
      </c>
      <c r="AH70" s="8" t="n">
        <v>60</v>
      </c>
      <c r="AI70" s="8" t="n">
        <v>56</v>
      </c>
      <c r="AJ70" s="6" t="n">
        <f aca="false">IFERROR(AI70/R70,"")</f>
        <v>3.73333333333333</v>
      </c>
      <c r="AK70" s="10" t="n">
        <v>0.1041</v>
      </c>
      <c r="AL70" s="10" t="n">
        <v>0.1107</v>
      </c>
      <c r="AM70" s="9" t="n">
        <v>0.2336</v>
      </c>
      <c r="AN70" s="8" t="n">
        <v>40</v>
      </c>
      <c r="AO70" s="10" t="n">
        <f aca="false">IFERROR(AN70/AI70,"")</f>
        <v>0.714285714285714</v>
      </c>
      <c r="AP70" s="8" t="n">
        <v>475</v>
      </c>
      <c r="AQ70" s="7" t="n">
        <f aca="false">IFERROR(AP70/AI70,"")</f>
        <v>8.48214285714286</v>
      </c>
      <c r="AR70" s="6" t="n">
        <v>8.321</v>
      </c>
      <c r="AS70" s="7" t="n">
        <v>5.1</v>
      </c>
      <c r="AT70" s="7" t="n">
        <v>1.019</v>
      </c>
      <c r="AU70" s="7" t="n">
        <v>3.04081483374996</v>
      </c>
      <c r="AV70" s="7" t="n">
        <v>6.30471698113208</v>
      </c>
      <c r="AW70" s="7" t="n">
        <v>0.65235875249429</v>
      </c>
      <c r="AX70" s="10" t="n">
        <v>0.0357</v>
      </c>
      <c r="AY70" s="8" t="n">
        <v>7</v>
      </c>
      <c r="AZ70" s="8" t="n">
        <v>5</v>
      </c>
      <c r="BA70" s="8" t="n">
        <v>4</v>
      </c>
      <c r="BB70" s="8" t="n">
        <v>4</v>
      </c>
      <c r="BC70" s="7" t="n">
        <v>3.22</v>
      </c>
      <c r="BD70" s="7" t="n">
        <f aca="false">IFERROR(BB70-BC70,"")</f>
        <v>0.78</v>
      </c>
      <c r="BE70" s="9" t="n">
        <f aca="false">IFERROR(BB70/AH70,"")</f>
        <v>0.0666666666666667</v>
      </c>
      <c r="BF70" s="6" t="n">
        <v>65.1</v>
      </c>
      <c r="BG70" s="6" t="n">
        <v>61.6</v>
      </c>
      <c r="BH70" s="6" t="n">
        <v>62.2</v>
      </c>
      <c r="BI70" s="7" t="n">
        <v>3.074</v>
      </c>
      <c r="BJ70" s="10" t="n">
        <v>0.1352</v>
      </c>
      <c r="BK70" s="10" t="n">
        <v>0.705882352941177</v>
      </c>
      <c r="BL70" s="7" t="n">
        <v>2.563</v>
      </c>
      <c r="BM70" s="10" t="n">
        <v>0.2356</v>
      </c>
      <c r="BN70" s="10" t="n">
        <v>0.044</v>
      </c>
      <c r="BO70" s="7" t="n">
        <v>2.396</v>
      </c>
      <c r="BP70" s="10" t="n">
        <v>0.848</v>
      </c>
      <c r="BQ70" s="8" t="n">
        <v>5</v>
      </c>
      <c r="BR70" s="10" t="n">
        <v>-0.0098</v>
      </c>
      <c r="BS70" s="10" t="n">
        <v>0.5628</v>
      </c>
      <c r="BT70" s="6" t="n">
        <v>64.94</v>
      </c>
      <c r="BU70" s="6" t="n">
        <v>36</v>
      </c>
      <c r="BV70" s="7" t="n">
        <v>3.82</v>
      </c>
      <c r="BW70" s="6" t="n">
        <v>27.7</v>
      </c>
      <c r="BX70" s="9" t="n">
        <v>0.005</v>
      </c>
      <c r="BY70" s="9" t="n">
        <v>0.1615</v>
      </c>
      <c r="BZ70" s="8" t="n">
        <v>34</v>
      </c>
      <c r="CA70" s="10" t="n">
        <v>0.056</v>
      </c>
      <c r="CB70" s="8" t="n">
        <v>0</v>
      </c>
      <c r="CC70" s="10" t="n">
        <v>0</v>
      </c>
      <c r="CD70" s="8" t="n">
        <v>4</v>
      </c>
      <c r="CE70" s="7" t="n">
        <v>-0.011</v>
      </c>
      <c r="CF70" s="7" t="n">
        <v>-0.274</v>
      </c>
      <c r="CG70" s="4" t="s">
        <v>102</v>
      </c>
      <c r="CH70" s="4"/>
    </row>
    <row r="71" customFormat="false" ht="15" hidden="false" customHeight="false" outlineLevel="0" collapsed="false">
      <c r="A71" s="3" t="n">
        <v>69</v>
      </c>
      <c r="B71" s="4" t="s">
        <v>486</v>
      </c>
      <c r="C71" s="5" t="s">
        <v>99</v>
      </c>
      <c r="D71" s="4" t="s">
        <v>487</v>
      </c>
      <c r="E71" s="4" t="s">
        <v>142</v>
      </c>
      <c r="F71" s="4" t="s">
        <v>99</v>
      </c>
      <c r="G71" s="3" t="n">
        <v>2</v>
      </c>
      <c r="H71" s="6" t="n">
        <v>27.5</v>
      </c>
      <c r="I71" s="3" t="n">
        <v>5</v>
      </c>
      <c r="J71" s="3" t="n">
        <v>13</v>
      </c>
      <c r="K71" s="7" t="n">
        <v>192.56</v>
      </c>
      <c r="L71" s="7" t="n">
        <v>42.21</v>
      </c>
      <c r="M71" s="8" t="n">
        <v>123</v>
      </c>
      <c r="N71" s="8" t="n">
        <v>305</v>
      </c>
      <c r="O71" s="7" t="n">
        <v>192.56</v>
      </c>
      <c r="P71" s="6" t="n">
        <v>26.3</v>
      </c>
      <c r="Q71" s="4" t="s">
        <v>127</v>
      </c>
      <c r="R71" s="8" t="n">
        <v>17</v>
      </c>
      <c r="S71" s="6" t="n">
        <v>100.7</v>
      </c>
      <c r="T71" s="7" t="n">
        <f aca="false">IFERROR(S71/R71,"")</f>
        <v>5.92352941176471</v>
      </c>
      <c r="U71" s="6" t="n">
        <v>86.2</v>
      </c>
      <c r="V71" s="6" t="n">
        <v>71.7</v>
      </c>
      <c r="W71" s="8" t="n">
        <v>59</v>
      </c>
      <c r="X71" s="7" t="n">
        <f aca="false">IFERROR(S71/AH71,"")</f>
        <v>1.83090909090909</v>
      </c>
      <c r="Y71" s="9" t="n">
        <f aca="false">IFERROR(S71/AF71,"")</f>
        <v>0.154211332312404</v>
      </c>
      <c r="Z71" s="6" t="n">
        <v>0</v>
      </c>
      <c r="AA71" s="6" t="n">
        <v>5.7</v>
      </c>
      <c r="AB71" s="6" t="n">
        <v>8.68</v>
      </c>
      <c r="AC71" s="10" t="n">
        <v>0.118</v>
      </c>
      <c r="AD71" s="10" t="n">
        <v>0.294</v>
      </c>
      <c r="AE71" s="7" t="n">
        <v>1.168</v>
      </c>
      <c r="AF71" s="8" t="n">
        <v>653</v>
      </c>
      <c r="AG71" s="10" t="n">
        <v>0.654</v>
      </c>
      <c r="AH71" s="8" t="n">
        <v>55</v>
      </c>
      <c r="AI71" s="8" t="n">
        <v>53</v>
      </c>
      <c r="AJ71" s="6" t="n">
        <f aca="false">IFERROR(AI71/R71,"")</f>
        <v>3.11764705882353</v>
      </c>
      <c r="AK71" s="10" t="n">
        <v>0.1132</v>
      </c>
      <c r="AL71" s="10" t="n">
        <v>0.1761</v>
      </c>
      <c r="AM71" s="9" t="n">
        <v>0.2931</v>
      </c>
      <c r="AN71" s="8" t="n">
        <v>29</v>
      </c>
      <c r="AO71" s="10" t="n">
        <f aca="false">IFERROR(AN71/AI71,"")</f>
        <v>0.547169811320755</v>
      </c>
      <c r="AP71" s="8" t="n">
        <v>444</v>
      </c>
      <c r="AQ71" s="7" t="n">
        <f aca="false">IFERROR(AP71/AI71,"")</f>
        <v>8.37735849056604</v>
      </c>
      <c r="AR71" s="6" t="n">
        <v>12.377</v>
      </c>
      <c r="AS71" s="7" t="n">
        <v>3.862</v>
      </c>
      <c r="AT71" s="7" t="n">
        <v>0.677</v>
      </c>
      <c r="AU71" s="7" t="n">
        <v>2.43189356834246</v>
      </c>
      <c r="AV71" s="7" t="n">
        <v>5.55163265306122</v>
      </c>
      <c r="AW71" s="7" t="n">
        <v>1.37515578928028</v>
      </c>
      <c r="AX71" s="10" t="n">
        <v>0.0189</v>
      </c>
      <c r="AY71" s="8" t="n">
        <v>12</v>
      </c>
      <c r="AZ71" s="8" t="n">
        <v>6</v>
      </c>
      <c r="BA71" s="8" t="n">
        <v>4</v>
      </c>
      <c r="BB71" s="8" t="n">
        <v>4</v>
      </c>
      <c r="BC71" s="7" t="n">
        <v>4.24</v>
      </c>
      <c r="BD71" s="7" t="n">
        <f aca="false">IFERROR(BB71-BC71,"")</f>
        <v>-0.24</v>
      </c>
      <c r="BE71" s="9" t="n">
        <f aca="false">IFERROR(BB71/AH71,"")</f>
        <v>0.0727272727272727</v>
      </c>
      <c r="BF71" s="6" t="n">
        <v>15.2</v>
      </c>
      <c r="BG71" s="6" t="n">
        <v>7.8</v>
      </c>
      <c r="BH71" s="6" t="n">
        <v>37.5</v>
      </c>
      <c r="BI71" s="7" t="n">
        <v>2.49</v>
      </c>
      <c r="BJ71" s="10" t="n">
        <v>0.2502</v>
      </c>
      <c r="BK71" s="10" t="n">
        <v>0.366666666666667</v>
      </c>
      <c r="BL71" s="7" t="n">
        <v>1.629</v>
      </c>
      <c r="BM71" s="10" t="n">
        <v>0.2641</v>
      </c>
      <c r="BN71" s="10" t="n">
        <v>0.1019</v>
      </c>
      <c r="BO71" s="7" t="n">
        <v>2.487</v>
      </c>
      <c r="BP71" s="10" t="n">
        <v>0.384</v>
      </c>
      <c r="BQ71" s="8" t="n">
        <v>2</v>
      </c>
      <c r="BR71" s="10" t="n">
        <v>-0.0175</v>
      </c>
      <c r="BS71" s="10" t="n">
        <v>0.5679</v>
      </c>
      <c r="BT71" s="6" t="n">
        <v>55.41</v>
      </c>
      <c r="BU71" s="6" t="n">
        <v>38</v>
      </c>
      <c r="BV71" s="7" t="n">
        <v>2.24</v>
      </c>
      <c r="BW71" s="6" t="n">
        <v>14.2</v>
      </c>
      <c r="BX71" s="9" t="n">
        <v>-0.2605</v>
      </c>
      <c r="BY71" s="9" t="n">
        <v>-0.187</v>
      </c>
      <c r="BZ71" s="8" t="n">
        <v>55</v>
      </c>
      <c r="CA71" s="10" t="n">
        <v>0.111</v>
      </c>
      <c r="CB71" s="8" t="n">
        <v>58</v>
      </c>
      <c r="CC71" s="10" t="n">
        <v>0.157</v>
      </c>
      <c r="CD71" s="8" t="n">
        <v>13</v>
      </c>
      <c r="CE71" s="7" t="n">
        <v>-0.107</v>
      </c>
      <c r="CF71" s="7" t="n">
        <v>-0.764</v>
      </c>
      <c r="CG71" s="4" t="s">
        <v>102</v>
      </c>
      <c r="CH71" s="4"/>
    </row>
    <row r="72" customFormat="false" ht="15" hidden="false" customHeight="false" outlineLevel="0" collapsed="false">
      <c r="A72" s="3" t="n">
        <v>70</v>
      </c>
      <c r="B72" s="4" t="s">
        <v>494</v>
      </c>
      <c r="C72" s="5" t="s">
        <v>99</v>
      </c>
      <c r="D72" s="4" t="s">
        <v>495</v>
      </c>
      <c r="E72" s="4" t="s">
        <v>135</v>
      </c>
      <c r="F72" s="4" t="s">
        <v>99</v>
      </c>
      <c r="G72" s="3" t="n">
        <v>4</v>
      </c>
      <c r="H72" s="6" t="n">
        <v>24.3</v>
      </c>
      <c r="I72" s="3" t="n">
        <v>4</v>
      </c>
      <c r="J72" s="3" t="n">
        <v>11</v>
      </c>
      <c r="K72" s="7" t="n">
        <v>195.4</v>
      </c>
      <c r="L72" s="7" t="n">
        <v>27.4</v>
      </c>
      <c r="M72" s="8" t="n">
        <v>154</v>
      </c>
      <c r="N72" s="8" t="n">
        <v>277</v>
      </c>
      <c r="O72" s="7" t="n">
        <v>195.4</v>
      </c>
      <c r="P72" s="6" t="n">
        <v>14.6</v>
      </c>
      <c r="Q72" s="4" t="s">
        <v>135</v>
      </c>
      <c r="R72" s="8" t="n">
        <v>14</v>
      </c>
      <c r="S72" s="6" t="n">
        <v>124.1</v>
      </c>
      <c r="T72" s="7" t="n">
        <f aca="false">IFERROR(S72/R72,"")</f>
        <v>8.86428571428571</v>
      </c>
      <c r="U72" s="6" t="n">
        <v>107.6</v>
      </c>
      <c r="V72" s="6" t="n">
        <v>91.1</v>
      </c>
      <c r="W72" s="8" t="n">
        <v>50</v>
      </c>
      <c r="X72" s="7" t="n">
        <f aca="false">IFERROR(S72/AH72,"")</f>
        <v>2.69782608695652</v>
      </c>
      <c r="Y72" s="9" t="n">
        <f aca="false">IFERROR(S72/AF72,"")</f>
        <v>0.204448105436573</v>
      </c>
      <c r="Z72" s="6" t="n">
        <v>3.62</v>
      </c>
      <c r="AA72" s="6" t="n">
        <v>6.05</v>
      </c>
      <c r="AB72" s="6" t="n">
        <v>16.31</v>
      </c>
      <c r="AC72" s="10" t="n">
        <v>0.143</v>
      </c>
      <c r="AD72" s="10" t="n">
        <v>0.071</v>
      </c>
      <c r="AE72" s="7" t="n">
        <v>1.219</v>
      </c>
      <c r="AF72" s="8" t="n">
        <v>607</v>
      </c>
      <c r="AG72" s="10" t="n">
        <v>0.675</v>
      </c>
      <c r="AH72" s="8" t="n">
        <v>46</v>
      </c>
      <c r="AI72" s="8" t="n">
        <v>46</v>
      </c>
      <c r="AJ72" s="6" t="n">
        <f aca="false">IFERROR(AI72/R72,"")</f>
        <v>3.28571428571429</v>
      </c>
      <c r="AK72" s="10" t="n">
        <v>0.1165</v>
      </c>
      <c r="AL72" s="10" t="n">
        <v>0.2217</v>
      </c>
      <c r="AM72" s="9" t="n">
        <v>0.3299</v>
      </c>
      <c r="AN72" s="8" t="n">
        <v>33</v>
      </c>
      <c r="AO72" s="10" t="n">
        <f aca="false">IFERROR(AN72/AI72,"")</f>
        <v>0.717391304347826</v>
      </c>
      <c r="AP72" s="8" t="n">
        <v>551</v>
      </c>
      <c r="AQ72" s="7" t="n">
        <f aca="false">IFERROR(AP72/AI72,"")</f>
        <v>11.9782608695652</v>
      </c>
      <c r="AR72" s="6" t="n">
        <v>16.978</v>
      </c>
      <c r="AS72" s="7" t="n">
        <v>1.152</v>
      </c>
      <c r="AT72" s="7" t="n">
        <v>0.706</v>
      </c>
      <c r="AU72" s="7" t="n">
        <v>2.32162196559548</v>
      </c>
      <c r="AV72" s="7" t="n">
        <v>4.89521739130435</v>
      </c>
      <c r="AW72" s="7" t="n">
        <v>-0.428373284492274</v>
      </c>
      <c r="AX72" s="10" t="n">
        <v>0.0217</v>
      </c>
      <c r="AY72" s="8" t="n">
        <v>4</v>
      </c>
      <c r="AZ72" s="8" t="n">
        <v>2</v>
      </c>
      <c r="BA72" s="8" t="n">
        <v>2</v>
      </c>
      <c r="BB72" s="8" t="n">
        <v>6</v>
      </c>
      <c r="BC72" s="7" t="n">
        <v>1.88</v>
      </c>
      <c r="BD72" s="7" t="n">
        <f aca="false">IFERROR(BB72-BC72,"")</f>
        <v>4.12</v>
      </c>
      <c r="BE72" s="9" t="n">
        <f aca="false">IFERROR(BB72/AH72,"")</f>
        <v>0.130434782608696</v>
      </c>
      <c r="BF72" s="6" t="n">
        <v>41.6</v>
      </c>
      <c r="BG72" s="6" t="n">
        <v>43.3</v>
      </c>
      <c r="BH72" s="6" t="n">
        <v>43.5</v>
      </c>
      <c r="BI72" s="7" t="n">
        <v>2.802</v>
      </c>
      <c r="BJ72" s="10" t="n">
        <v>0.1883</v>
      </c>
      <c r="BK72" s="10" t="n">
        <v>0.575757575757576</v>
      </c>
      <c r="BL72" s="7" t="n">
        <v>2.561</v>
      </c>
      <c r="BM72" s="10" t="n">
        <v>0.261</v>
      </c>
      <c r="BN72" s="10" t="n">
        <v>0.0789</v>
      </c>
      <c r="BO72" s="7" t="n">
        <v>2.406</v>
      </c>
      <c r="BP72" s="10" t="n">
        <v>0.533</v>
      </c>
      <c r="BQ72" s="8" t="n">
        <v>3</v>
      </c>
      <c r="BR72" s="10" t="n">
        <v>0.0242</v>
      </c>
      <c r="BS72" s="10" t="n">
        <v>0.5691</v>
      </c>
      <c r="BT72" s="6" t="n">
        <v>59.82</v>
      </c>
      <c r="BU72" s="6" t="n">
        <v>38</v>
      </c>
      <c r="BV72" s="7" t="n">
        <v>3.76</v>
      </c>
      <c r="BW72" s="6" t="n">
        <v>28.8</v>
      </c>
      <c r="BX72" s="9" t="n">
        <v>0.0077</v>
      </c>
      <c r="BY72" s="9" t="n">
        <v>0.2873</v>
      </c>
      <c r="BZ72" s="8" t="n">
        <v>128</v>
      </c>
      <c r="CA72" s="10" t="n">
        <v>0.266</v>
      </c>
      <c r="CB72" s="8" t="n">
        <v>10</v>
      </c>
      <c r="CC72" s="10" t="n">
        <v>0.02</v>
      </c>
      <c r="CD72" s="8" t="n">
        <v>17</v>
      </c>
      <c r="CE72" s="7" t="n">
        <v>0.323</v>
      </c>
      <c r="CF72" s="7" t="n">
        <v>0.191</v>
      </c>
      <c r="CG72" s="4" t="s">
        <v>102</v>
      </c>
      <c r="CH72" s="4"/>
    </row>
    <row r="73" customFormat="false" ht="15" hidden="false" customHeight="false" outlineLevel="0" collapsed="false">
      <c r="A73" s="3" t="n">
        <v>71</v>
      </c>
      <c r="B73" s="4" t="s">
        <v>500</v>
      </c>
      <c r="C73" s="5" t="s">
        <v>99</v>
      </c>
      <c r="D73" s="4" t="s">
        <v>501</v>
      </c>
      <c r="E73" s="4" t="s">
        <v>161</v>
      </c>
      <c r="F73" s="4" t="s">
        <v>99</v>
      </c>
      <c r="G73" s="3" t="n">
        <v>1</v>
      </c>
      <c r="H73" s="6" t="n">
        <v>25.8</v>
      </c>
      <c r="I73" s="3" t="n">
        <v>3</v>
      </c>
      <c r="J73" s="3" t="n">
        <v>6</v>
      </c>
      <c r="K73" s="7" t="n">
        <v>199.43</v>
      </c>
      <c r="L73" s="7" t="n">
        <v>36.47</v>
      </c>
      <c r="M73" s="8" t="n">
        <v>126</v>
      </c>
      <c r="N73" s="8" t="n">
        <v>291</v>
      </c>
      <c r="O73" s="7" t="n">
        <v>199.43</v>
      </c>
      <c r="P73" s="6" t="n">
        <v>14.7</v>
      </c>
      <c r="Q73" s="4" t="s">
        <v>161</v>
      </c>
      <c r="R73" s="8" t="n">
        <v>17</v>
      </c>
      <c r="S73" s="6" t="n">
        <v>116.7</v>
      </c>
      <c r="T73" s="7" t="n">
        <f aca="false">IFERROR(S73/R73,"")</f>
        <v>6.86470588235294</v>
      </c>
      <c r="U73" s="6" t="n">
        <v>93.7</v>
      </c>
      <c r="V73" s="6" t="n">
        <v>70.7</v>
      </c>
      <c r="W73" s="8" t="n">
        <v>52</v>
      </c>
      <c r="X73" s="7" t="n">
        <f aca="false">IFERROR(S73/AH73,"")</f>
        <v>1.42317073170732</v>
      </c>
      <c r="Y73" s="9" t="n">
        <f aca="false">IFERROR(S73/AF73,"")</f>
        <v>0.207651245551601</v>
      </c>
      <c r="Z73" s="6" t="n">
        <v>4.1</v>
      </c>
      <c r="AA73" s="6" t="n">
        <v>7</v>
      </c>
      <c r="AB73" s="6" t="n">
        <v>9.92</v>
      </c>
      <c r="AC73" s="10" t="n">
        <v>0</v>
      </c>
      <c r="AD73" s="10" t="n">
        <v>0.118</v>
      </c>
      <c r="AE73" s="7" t="n">
        <v>0.474</v>
      </c>
      <c r="AF73" s="8" t="n">
        <v>562</v>
      </c>
      <c r="AG73" s="10" t="n">
        <v>0.57</v>
      </c>
      <c r="AH73" s="8" t="n">
        <v>82</v>
      </c>
      <c r="AI73" s="8" t="n">
        <v>65</v>
      </c>
      <c r="AJ73" s="6" t="n">
        <f aca="false">IFERROR(AI73/R73,"")</f>
        <v>3.82352941176471</v>
      </c>
      <c r="AK73" s="10" t="n">
        <v>0.1407</v>
      </c>
      <c r="AL73" s="10" t="n">
        <v>0.1021</v>
      </c>
      <c r="AM73" s="9" t="n">
        <v>0.2825</v>
      </c>
      <c r="AN73" s="8" t="n">
        <v>46</v>
      </c>
      <c r="AO73" s="10" t="n">
        <f aca="false">IFERROR(AN73/AI73,"")</f>
        <v>0.707692307692308</v>
      </c>
      <c r="AP73" s="8" t="n">
        <v>317</v>
      </c>
      <c r="AQ73" s="7" t="n">
        <f aca="false">IFERROR(AP73/AI73,"")</f>
        <v>4.87692307692308</v>
      </c>
      <c r="AR73" s="6" t="n">
        <v>5.185</v>
      </c>
      <c r="AS73" s="7" t="n">
        <v>5.5</v>
      </c>
      <c r="AT73" s="7" t="n">
        <v>0.941</v>
      </c>
      <c r="AU73" s="7" t="n">
        <v>3.65089827886456</v>
      </c>
      <c r="AV73" s="7" t="n">
        <v>6.42527272727273</v>
      </c>
      <c r="AW73" s="7" t="n">
        <v>0.896019148723208</v>
      </c>
      <c r="AX73" s="10" t="n">
        <v>0.0154</v>
      </c>
      <c r="AY73" s="8" t="n">
        <v>14</v>
      </c>
      <c r="AZ73" s="8" t="n">
        <v>8</v>
      </c>
      <c r="BA73" s="8" t="n">
        <v>3</v>
      </c>
      <c r="BB73" s="8" t="n">
        <v>4</v>
      </c>
      <c r="BC73" s="7" t="n">
        <v>4.43</v>
      </c>
      <c r="BD73" s="7" t="n">
        <f aca="false">IFERROR(BB73-BC73,"")</f>
        <v>-0.43</v>
      </c>
      <c r="BE73" s="9" t="n">
        <f aca="false">IFERROR(BB73/AH73,"")</f>
        <v>0.0487804878048781</v>
      </c>
      <c r="BF73" s="6" t="n">
        <v>38.6</v>
      </c>
      <c r="BG73" s="6" t="n">
        <v>37.5</v>
      </c>
      <c r="BH73" s="6" t="n">
        <v>44.5</v>
      </c>
      <c r="BI73" s="7" t="n">
        <v>2.839</v>
      </c>
      <c r="BJ73" s="10" t="n">
        <v>0.2101</v>
      </c>
      <c r="BK73" s="10" t="n">
        <v>0.586206896551724</v>
      </c>
      <c r="BL73" s="7" t="n">
        <v>2.199</v>
      </c>
      <c r="BM73" s="10" t="n">
        <v>0.2422</v>
      </c>
      <c r="BN73" s="10" t="n">
        <v>0.0727</v>
      </c>
      <c r="BO73" s="7" t="n">
        <v>2.29</v>
      </c>
      <c r="BP73" s="10" t="n">
        <v>0.672</v>
      </c>
      <c r="BQ73" s="8" t="n">
        <v>4</v>
      </c>
      <c r="BR73" s="10" t="n">
        <v>-0.0584</v>
      </c>
      <c r="BS73" s="10" t="n">
        <v>0.5279</v>
      </c>
      <c r="BT73" s="6" t="n">
        <v>55.41</v>
      </c>
      <c r="BU73" s="6" t="n">
        <v>41</v>
      </c>
      <c r="BV73" s="7" t="n">
        <v>2.82</v>
      </c>
      <c r="BW73" s="6" t="n">
        <v>20.4</v>
      </c>
      <c r="BX73" s="9" t="n">
        <v>-0.026</v>
      </c>
      <c r="BY73" s="9" t="n">
        <v>-0.0093</v>
      </c>
      <c r="BZ73" s="8" t="n">
        <v>209</v>
      </c>
      <c r="CA73" s="10" t="n">
        <v>0.452</v>
      </c>
      <c r="CB73" s="8" t="n">
        <v>28</v>
      </c>
      <c r="CC73" s="10" t="n">
        <v>0.065</v>
      </c>
      <c r="CD73" s="8" t="n">
        <v>32</v>
      </c>
      <c r="CE73" s="7" t="n">
        <v>0.271</v>
      </c>
      <c r="CF73" s="7" t="n">
        <v>-0.474</v>
      </c>
      <c r="CG73" s="4" t="s">
        <v>102</v>
      </c>
      <c r="CH73" s="4"/>
    </row>
    <row r="74" customFormat="false" ht="15" hidden="false" customHeight="false" outlineLevel="0" collapsed="false">
      <c r="A74" s="3" t="n">
        <v>72</v>
      </c>
      <c r="B74" s="4" t="s">
        <v>502</v>
      </c>
      <c r="C74" s="5" t="s">
        <v>99</v>
      </c>
      <c r="D74" s="4" t="s">
        <v>503</v>
      </c>
      <c r="E74" s="4" t="s">
        <v>136</v>
      </c>
      <c r="F74" s="4" t="s">
        <v>99</v>
      </c>
      <c r="G74" s="3" t="n">
        <v>2</v>
      </c>
      <c r="H74" s="6" t="n">
        <v>25.2</v>
      </c>
      <c r="I74" s="3" t="n">
        <v>4</v>
      </c>
      <c r="J74" s="3" t="n">
        <v>10</v>
      </c>
      <c r="K74" s="7" t="n">
        <v>199.45</v>
      </c>
      <c r="L74" s="7" t="n">
        <v>29.58</v>
      </c>
      <c r="M74" s="8" t="n">
        <v>133</v>
      </c>
      <c r="N74" s="8" t="n">
        <v>268</v>
      </c>
      <c r="O74" s="7" t="n">
        <v>199.45</v>
      </c>
      <c r="P74" s="6" t="n">
        <v>8.8</v>
      </c>
      <c r="Q74" s="4" t="s">
        <v>218</v>
      </c>
      <c r="R74" s="8" t="n">
        <v>13</v>
      </c>
      <c r="S74" s="6" t="n">
        <v>75.8</v>
      </c>
      <c r="T74" s="7" t="n">
        <f aca="false">IFERROR(S74/R74,"")</f>
        <v>5.83076923076923</v>
      </c>
      <c r="U74" s="6" t="n">
        <v>60.8</v>
      </c>
      <c r="V74" s="6" t="n">
        <v>45.8</v>
      </c>
      <c r="W74" s="8" t="n">
        <v>71</v>
      </c>
      <c r="X74" s="7" t="n">
        <f aca="false">IFERROR(S74/AH74,"")</f>
        <v>1.61276595744681</v>
      </c>
      <c r="Y74" s="9" t="n">
        <f aca="false">IFERROR(S74/AF74,"")</f>
        <v>0.18578431372549</v>
      </c>
      <c r="Z74" s="6" t="n">
        <v>1.9</v>
      </c>
      <c r="AA74" s="6" t="n">
        <v>3.9</v>
      </c>
      <c r="AB74" s="6" t="n">
        <v>7.92</v>
      </c>
      <c r="AC74" s="10" t="n">
        <v>0.077</v>
      </c>
      <c r="AD74" s="10" t="n">
        <v>0.231</v>
      </c>
      <c r="AE74" s="7" t="n">
        <v>1.8</v>
      </c>
      <c r="AF74" s="8" t="n">
        <v>408</v>
      </c>
      <c r="AG74" s="10" t="n">
        <v>0.446</v>
      </c>
      <c r="AH74" s="8" t="n">
        <v>47</v>
      </c>
      <c r="AI74" s="8" t="n">
        <v>46</v>
      </c>
      <c r="AJ74" s="6" t="n">
        <f aca="false">IFERROR(AI74/R74,"")</f>
        <v>3.53846153846154</v>
      </c>
      <c r="AK74" s="10" t="n">
        <v>0.1289</v>
      </c>
      <c r="AL74" s="10" t="n">
        <v>0.1583</v>
      </c>
      <c r="AM74" s="9" t="n">
        <v>0.3042</v>
      </c>
      <c r="AN74" s="8" t="n">
        <v>30</v>
      </c>
      <c r="AO74" s="10" t="n">
        <f aca="false">IFERROR(AN74/AI74,"")</f>
        <v>0.652173913043478</v>
      </c>
      <c r="AP74" s="8" t="n">
        <v>332</v>
      </c>
      <c r="AQ74" s="7" t="n">
        <f aca="false">IFERROR(AP74/AI74,"")</f>
        <v>7.21739130434783</v>
      </c>
      <c r="AR74" s="6" t="n">
        <v>11.239</v>
      </c>
      <c r="AS74" s="7" t="n">
        <v>2.233</v>
      </c>
      <c r="AT74" s="7" t="n">
        <v>0.642</v>
      </c>
      <c r="AU74" s="7" t="n">
        <v>2.1693210690096</v>
      </c>
      <c r="AV74" s="7" t="n">
        <v>5.91116279069767</v>
      </c>
      <c r="AW74" s="7" t="n">
        <v>0.408917318333248</v>
      </c>
      <c r="AX74" s="10" t="n">
        <v>0.0435</v>
      </c>
      <c r="AY74" s="8" t="n">
        <v>4</v>
      </c>
      <c r="AZ74" s="8" t="n">
        <v>1</v>
      </c>
      <c r="BA74" s="8" t="n">
        <v>1</v>
      </c>
      <c r="BB74" s="8" t="n">
        <v>2</v>
      </c>
      <c r="BC74" s="7" t="n">
        <v>1.55</v>
      </c>
      <c r="BD74" s="7" t="n">
        <f aca="false">IFERROR(BB74-BC74,"")</f>
        <v>0.45</v>
      </c>
      <c r="BE74" s="9" t="n">
        <f aca="false">IFERROR(BB74/AH74,"")</f>
        <v>0.0425531914893617</v>
      </c>
      <c r="BF74" s="6" t="n">
        <v>48.2</v>
      </c>
      <c r="BG74" s="6" t="n">
        <v>35.6</v>
      </c>
      <c r="BH74" s="6" t="n">
        <v>61.6</v>
      </c>
      <c r="BI74" s="7" t="n">
        <v>2.749</v>
      </c>
      <c r="BJ74" s="10" t="n">
        <v>0.2192</v>
      </c>
      <c r="BK74" s="10" t="n">
        <v>0.466666666666667</v>
      </c>
      <c r="BL74" s="7" t="n">
        <v>2.6</v>
      </c>
      <c r="BM74" s="10" t="n">
        <v>0.2334</v>
      </c>
      <c r="BN74" s="10" t="n">
        <v>0.0577</v>
      </c>
      <c r="BO74" s="7" t="n">
        <v>2.491</v>
      </c>
      <c r="BP74" s="10" t="n">
        <v>0.909</v>
      </c>
      <c r="BQ74" s="8" t="n">
        <v>5</v>
      </c>
      <c r="BR74" s="10" t="n">
        <v>-0.0248</v>
      </c>
      <c r="BS74" s="10" t="n">
        <v>0.5347</v>
      </c>
      <c r="BT74" s="6" t="n">
        <v>58.53</v>
      </c>
      <c r="BU74" s="6" t="n">
        <v>39</v>
      </c>
      <c r="BV74" s="7" t="n">
        <v>2.76</v>
      </c>
      <c r="BW74" s="6" t="n">
        <v>22.3</v>
      </c>
      <c r="BX74" s="9" t="n">
        <v>0.0054</v>
      </c>
      <c r="BY74" s="9" t="n">
        <v>0.0436</v>
      </c>
      <c r="BZ74" s="8" t="n">
        <v>175</v>
      </c>
      <c r="CA74" s="10" t="n">
        <v>0.377</v>
      </c>
      <c r="CB74" s="8" t="n">
        <v>12</v>
      </c>
      <c r="CC74" s="10" t="n">
        <v>0.025</v>
      </c>
      <c r="CD74" s="8" t="n">
        <v>23</v>
      </c>
      <c r="CE74" s="7" t="n">
        <v>-0.526</v>
      </c>
      <c r="CF74" s="7" t="n">
        <v>-0.702</v>
      </c>
      <c r="CG74" s="4" t="s">
        <v>121</v>
      </c>
      <c r="CH74" s="4"/>
    </row>
    <row r="75" customFormat="false" ht="15" hidden="false" customHeight="false" outlineLevel="0" collapsed="false">
      <c r="A75" s="3" t="n">
        <v>73</v>
      </c>
      <c r="B75" s="4" t="s">
        <v>508</v>
      </c>
      <c r="C75" s="5" t="s">
        <v>99</v>
      </c>
      <c r="D75" s="4" t="s">
        <v>509</v>
      </c>
      <c r="E75" s="4" t="s">
        <v>209</v>
      </c>
      <c r="F75" s="4" t="s">
        <v>99</v>
      </c>
      <c r="G75" s="3" t="n">
        <v>3</v>
      </c>
      <c r="H75" s="6" t="n">
        <v>23.5</v>
      </c>
      <c r="I75" s="3" t="n">
        <v>3</v>
      </c>
      <c r="J75" s="3" t="n">
        <v>10</v>
      </c>
      <c r="K75" s="7" t="n">
        <v>202.09</v>
      </c>
      <c r="L75" s="7" t="n">
        <v>37.68</v>
      </c>
      <c r="M75" s="8" t="n">
        <v>133</v>
      </c>
      <c r="N75" s="8" t="n">
        <v>328</v>
      </c>
      <c r="O75" s="7" t="n">
        <v>202.09</v>
      </c>
      <c r="P75" s="6" t="n">
        <v>10.5</v>
      </c>
      <c r="Q75" s="4" t="s">
        <v>209</v>
      </c>
      <c r="R75" s="8" t="n">
        <v>17</v>
      </c>
      <c r="S75" s="6" t="n">
        <v>177.1</v>
      </c>
      <c r="T75" s="7" t="n">
        <f aca="false">IFERROR(S75/R75,"")</f>
        <v>10.4176470588235</v>
      </c>
      <c r="U75" s="6" t="n">
        <v>144.6</v>
      </c>
      <c r="V75" s="6" t="n">
        <v>112.1</v>
      </c>
      <c r="W75" s="8" t="n">
        <v>31</v>
      </c>
      <c r="X75" s="7" t="n">
        <f aca="false">IFERROR(S75/AH75,"")</f>
        <v>1.62477064220183</v>
      </c>
      <c r="Y75" s="9" t="n">
        <f aca="false">IFERROR(S75/AF75,"")</f>
        <v>0.264328358208955</v>
      </c>
      <c r="Z75" s="6" t="n">
        <v>4.1</v>
      </c>
      <c r="AA75" s="6" t="n">
        <v>8.5</v>
      </c>
      <c r="AB75" s="6" t="n">
        <v>18.48</v>
      </c>
      <c r="AC75" s="10" t="n">
        <v>0.176</v>
      </c>
      <c r="AD75" s="10" t="n">
        <v>0.059</v>
      </c>
      <c r="AE75" s="7" t="n">
        <v>0.897</v>
      </c>
      <c r="AF75" s="8" t="n">
        <v>670</v>
      </c>
      <c r="AG75" s="10" t="n">
        <v>0.596</v>
      </c>
      <c r="AH75" s="8" t="n">
        <v>109</v>
      </c>
      <c r="AI75" s="8" t="n">
        <v>104</v>
      </c>
      <c r="AJ75" s="6" t="n">
        <f aca="false">IFERROR(AI75/R75,"")</f>
        <v>6.11764705882353</v>
      </c>
      <c r="AK75" s="10" t="n">
        <v>0.1781</v>
      </c>
      <c r="AL75" s="10" t="n">
        <v>0.3015</v>
      </c>
      <c r="AM75" s="9" t="n">
        <v>0.4782</v>
      </c>
      <c r="AN75" s="8" t="n">
        <v>65</v>
      </c>
      <c r="AO75" s="10" t="n">
        <f aca="false">IFERROR(AN75/AI75,"")</f>
        <v>0.625</v>
      </c>
      <c r="AP75" s="8" t="n">
        <v>709</v>
      </c>
      <c r="AQ75" s="7" t="n">
        <f aca="false">IFERROR(AP75/AI75,"")</f>
        <v>6.81730769230769</v>
      </c>
      <c r="AR75" s="6" t="n">
        <v>12.702</v>
      </c>
      <c r="AS75" s="7" t="n">
        <v>4.338</v>
      </c>
      <c r="AT75" s="7" t="n">
        <v>0.537</v>
      </c>
      <c r="AU75" s="7" t="n">
        <v>3.00802589082916</v>
      </c>
      <c r="AV75" s="7" t="n">
        <v>6.69053191489362</v>
      </c>
      <c r="AW75" s="7" t="n">
        <v>0.297548203151172</v>
      </c>
      <c r="AX75" s="10" t="n">
        <v>0.0385</v>
      </c>
      <c r="AY75" s="8" t="n">
        <v>18</v>
      </c>
      <c r="AZ75" s="8" t="n">
        <v>8</v>
      </c>
      <c r="BA75" s="8" t="n">
        <v>4</v>
      </c>
      <c r="BB75" s="8" t="n">
        <v>6</v>
      </c>
      <c r="BC75" s="7" t="n">
        <v>5.93</v>
      </c>
      <c r="BD75" s="7" t="n">
        <f aca="false">IFERROR(BB75-BC75,"")</f>
        <v>0.0700000000000003</v>
      </c>
      <c r="BE75" s="9" t="n">
        <f aca="false">IFERROR(BB75/AH75,"")</f>
        <v>0.055045871559633</v>
      </c>
      <c r="BF75" s="6" t="n">
        <v>63.2</v>
      </c>
      <c r="BG75" s="6" t="n">
        <v>50</v>
      </c>
      <c r="BH75" s="6" t="n">
        <v>70.8</v>
      </c>
      <c r="BI75" s="7" t="n">
        <v>2.952</v>
      </c>
      <c r="BJ75" s="10" t="n">
        <v>0.1682</v>
      </c>
      <c r="BK75" s="10" t="n">
        <v>0.551724137931035</v>
      </c>
      <c r="BL75" s="7" t="n">
        <v>2.592</v>
      </c>
      <c r="BM75" s="10" t="n">
        <v>0.2088</v>
      </c>
      <c r="BN75" s="10" t="n">
        <v>0.037</v>
      </c>
      <c r="BO75" s="7" t="n">
        <v>2.401</v>
      </c>
      <c r="BP75" s="10" t="n">
        <v>0.999</v>
      </c>
      <c r="BQ75" s="8" t="n">
        <v>5</v>
      </c>
      <c r="BR75" s="10" t="n">
        <v>0.0157</v>
      </c>
      <c r="BS75" s="10" t="n">
        <v>0.59</v>
      </c>
      <c r="BT75" s="6" t="n">
        <v>63.47</v>
      </c>
      <c r="BU75" s="6" t="n">
        <v>38</v>
      </c>
      <c r="BV75" s="7" t="n">
        <v>3.47</v>
      </c>
      <c r="BW75" s="6" t="n">
        <v>23.6</v>
      </c>
      <c r="BX75" s="9" t="n">
        <v>0.0004</v>
      </c>
      <c r="BY75" s="9" t="n">
        <v>0.0835</v>
      </c>
      <c r="BZ75" s="8" t="n">
        <v>4</v>
      </c>
      <c r="CA75" s="10" t="n">
        <v>0.007</v>
      </c>
      <c r="CB75" s="8" t="n">
        <v>0</v>
      </c>
      <c r="CC75" s="10" t="n">
        <v>0</v>
      </c>
      <c r="CD75" s="8" t="n">
        <v>1</v>
      </c>
      <c r="CE75" s="7" t="n">
        <v>1.262</v>
      </c>
      <c r="CF75" s="7" t="n">
        <v>0.736</v>
      </c>
      <c r="CG75" s="4" t="s">
        <v>321</v>
      </c>
      <c r="CH75" s="4"/>
    </row>
    <row r="76" customFormat="false" ht="15" hidden="false" customHeight="false" outlineLevel="0" collapsed="false">
      <c r="A76" s="3" t="n">
        <v>74</v>
      </c>
      <c r="B76" s="4" t="s">
        <v>510</v>
      </c>
      <c r="C76" s="5" t="s">
        <v>99</v>
      </c>
      <c r="D76" s="4" t="s">
        <v>511</v>
      </c>
      <c r="E76" s="4" t="s">
        <v>209</v>
      </c>
      <c r="F76" s="4" t="s">
        <v>99</v>
      </c>
      <c r="G76" s="3" t="n">
        <v>5</v>
      </c>
      <c r="H76" s="6" t="n">
        <v>23.7</v>
      </c>
      <c r="I76" s="3" t="n">
        <v>2</v>
      </c>
      <c r="J76" s="3" t="n">
        <v>10</v>
      </c>
      <c r="K76" s="7" t="n">
        <v>202.14</v>
      </c>
      <c r="L76" s="7" t="n">
        <v>30.84</v>
      </c>
      <c r="M76" s="8" t="n">
        <v>137</v>
      </c>
      <c r="N76" s="8" t="n">
        <v>280</v>
      </c>
      <c r="O76" s="7" t="n">
        <v>202.14</v>
      </c>
      <c r="P76" s="6" t="n">
        <v>9.9</v>
      </c>
      <c r="Q76" s="4" t="s">
        <v>209</v>
      </c>
      <c r="R76" s="8" t="n">
        <v>13</v>
      </c>
      <c r="S76" s="6" t="n">
        <v>74.8</v>
      </c>
      <c r="T76" s="7" t="n">
        <f aca="false">IFERROR(S76/R76,"")</f>
        <v>5.75384615384615</v>
      </c>
      <c r="U76" s="6" t="n">
        <v>59.3</v>
      </c>
      <c r="V76" s="6" t="n">
        <v>43.8</v>
      </c>
      <c r="W76" s="8" t="n">
        <v>72</v>
      </c>
      <c r="X76" s="7" t="n">
        <f aca="false">IFERROR(S76/AH76,"")</f>
        <v>1.5265306122449</v>
      </c>
      <c r="Y76" s="9" t="n">
        <f aca="false">IFERROR(S76/AF76,"")</f>
        <v>0.157473684210526</v>
      </c>
      <c r="Z76" s="6" t="n">
        <v>3.8</v>
      </c>
      <c r="AA76" s="6" t="n">
        <v>5.3</v>
      </c>
      <c r="AB76" s="6" t="n">
        <v>9.76</v>
      </c>
      <c r="AC76" s="10" t="n">
        <v>0</v>
      </c>
      <c r="AD76" s="10" t="n">
        <v>0.231</v>
      </c>
      <c r="AE76" s="7" t="n">
        <v>0.78</v>
      </c>
      <c r="AF76" s="8" t="n">
        <v>475</v>
      </c>
      <c r="AG76" s="10" t="n">
        <v>0.477</v>
      </c>
      <c r="AH76" s="8" t="n">
        <v>49</v>
      </c>
      <c r="AI76" s="8" t="n">
        <v>49</v>
      </c>
      <c r="AJ76" s="6" t="n">
        <f aca="false">IFERROR(AI76/R76,"")</f>
        <v>3.76923076923077</v>
      </c>
      <c r="AK76" s="10" t="n">
        <v>0.1077</v>
      </c>
      <c r="AL76" s="10" t="n">
        <v>0.1207</v>
      </c>
      <c r="AM76" s="9" t="n">
        <v>0.246</v>
      </c>
      <c r="AN76" s="8" t="n">
        <v>31</v>
      </c>
      <c r="AO76" s="10" t="n">
        <f aca="false">IFERROR(AN76/AI76,"")</f>
        <v>0.63265306122449</v>
      </c>
      <c r="AP76" s="8" t="n">
        <v>378</v>
      </c>
      <c r="AQ76" s="7" t="n">
        <f aca="false">IFERROR(AP76/AI76,"")</f>
        <v>7.71428571428571</v>
      </c>
      <c r="AR76" s="6" t="n">
        <v>8.367</v>
      </c>
      <c r="AS76" s="7" t="n">
        <v>4.742</v>
      </c>
      <c r="AT76" s="7" t="n">
        <v>0.922</v>
      </c>
      <c r="AU76" s="7" t="n">
        <v>2.40509746682027</v>
      </c>
      <c r="AV76" s="7" t="n">
        <v>6.32958333333334</v>
      </c>
      <c r="AW76" s="7" t="n">
        <v>0.83380869965873</v>
      </c>
      <c r="AX76" s="10" t="n">
        <v>0.0612</v>
      </c>
      <c r="AY76" s="8" t="n">
        <v>8</v>
      </c>
      <c r="AZ76" s="8" t="n">
        <v>4</v>
      </c>
      <c r="BA76" s="8" t="n">
        <v>1</v>
      </c>
      <c r="BB76" s="8" t="n">
        <v>1</v>
      </c>
      <c r="BC76" s="7" t="n">
        <v>2.52</v>
      </c>
      <c r="BD76" s="7" t="n">
        <f aca="false">IFERROR(BB76-BC76,"")</f>
        <v>-1.52</v>
      </c>
      <c r="BE76" s="9" t="n">
        <f aca="false">IFERROR(BB76/AH76,"")</f>
        <v>0.0204081632653061</v>
      </c>
      <c r="BF76" s="6" t="n">
        <v>63.2</v>
      </c>
      <c r="BG76" s="6" t="n">
        <v>50</v>
      </c>
      <c r="BH76" s="6" t="n">
        <v>70.8</v>
      </c>
      <c r="BI76" s="7" t="n">
        <v>2.952</v>
      </c>
      <c r="BJ76" s="10" t="n">
        <v>0.1682</v>
      </c>
      <c r="BK76" s="10" t="n">
        <v>0.551724137931035</v>
      </c>
      <c r="BL76" s="7" t="n">
        <v>2.592</v>
      </c>
      <c r="BM76" s="10" t="n">
        <v>0.2088</v>
      </c>
      <c r="BN76" s="10" t="n">
        <v>0.037</v>
      </c>
      <c r="BO76" s="7" t="n">
        <v>2.401</v>
      </c>
      <c r="BP76" s="10" t="n">
        <v>0.999</v>
      </c>
      <c r="BQ76" s="8" t="n">
        <v>5</v>
      </c>
      <c r="BR76" s="10" t="n">
        <v>0.0157</v>
      </c>
      <c r="BS76" s="10" t="n">
        <v>0.59</v>
      </c>
      <c r="BT76" s="6" t="n">
        <v>63.47</v>
      </c>
      <c r="BU76" s="6" t="n">
        <v>38</v>
      </c>
      <c r="BV76" s="7" t="n">
        <v>3.47</v>
      </c>
      <c r="BW76" s="6" t="n">
        <v>23.6</v>
      </c>
      <c r="BX76" s="9" t="n">
        <v>0.0004</v>
      </c>
      <c r="BY76" s="9" t="n">
        <v>0.0835</v>
      </c>
      <c r="BZ76" s="8" t="n">
        <v>4</v>
      </c>
      <c r="CA76" s="10" t="n">
        <v>0.007</v>
      </c>
      <c r="CB76" s="8" t="n">
        <v>0</v>
      </c>
      <c r="CC76" s="10" t="n">
        <v>0</v>
      </c>
      <c r="CD76" s="8" t="n">
        <v>1</v>
      </c>
      <c r="CE76" s="7" t="n">
        <v>-0.499</v>
      </c>
      <c r="CF76" s="7" t="n">
        <v>-0.675</v>
      </c>
      <c r="CG76" s="4" t="s">
        <v>121</v>
      </c>
      <c r="CH76" s="4"/>
    </row>
    <row r="77" customFormat="false" ht="15" hidden="false" customHeight="false" outlineLevel="0" collapsed="false">
      <c r="A77" s="3" t="n">
        <v>75</v>
      </c>
      <c r="B77" s="4" t="s">
        <v>512</v>
      </c>
      <c r="C77" s="5" t="s">
        <v>99</v>
      </c>
      <c r="D77" s="4" t="s">
        <v>513</v>
      </c>
      <c r="E77" s="4" t="s">
        <v>139</v>
      </c>
      <c r="F77" s="4" t="s">
        <v>270</v>
      </c>
      <c r="G77" s="3" t="n">
        <v>1</v>
      </c>
      <c r="H77" s="6" t="n">
        <v>24</v>
      </c>
      <c r="I77" s="3" t="n">
        <v>2</v>
      </c>
      <c r="J77" s="3" t="n">
        <v>8</v>
      </c>
      <c r="K77" s="7" t="n">
        <v>203.1</v>
      </c>
      <c r="L77" s="7" t="n">
        <v>29.97</v>
      </c>
      <c r="M77" s="8" t="n">
        <v>140</v>
      </c>
      <c r="N77" s="8" t="n">
        <v>302</v>
      </c>
      <c r="O77" s="7" t="n">
        <v>203.1</v>
      </c>
      <c r="P77" s="6" t="n">
        <v>8.1</v>
      </c>
      <c r="Q77" s="4" t="s">
        <v>139</v>
      </c>
      <c r="R77" s="8" t="n">
        <v>17</v>
      </c>
      <c r="S77" s="6" t="n">
        <v>68.4</v>
      </c>
      <c r="T77" s="7" t="n">
        <f aca="false">IFERROR(S77/R77,"")</f>
        <v>4.02352941176471</v>
      </c>
      <c r="U77" s="6" t="n">
        <v>55.4</v>
      </c>
      <c r="V77" s="6" t="n">
        <v>42.4</v>
      </c>
      <c r="W77" s="8" t="n">
        <v>75</v>
      </c>
      <c r="X77" s="7" t="n">
        <f aca="false">IFERROR(S77/AH77,"")</f>
        <v>1.66829268292683</v>
      </c>
      <c r="Y77" s="9" t="n">
        <f aca="false">IFERROR(S77/AF77,"")</f>
        <v>0.225</v>
      </c>
      <c r="Z77" s="6" t="n">
        <v>0</v>
      </c>
      <c r="AA77" s="6" t="n">
        <v>1.9</v>
      </c>
      <c r="AB77" s="6" t="n">
        <v>10.7</v>
      </c>
      <c r="AC77" s="10" t="n">
        <v>0</v>
      </c>
      <c r="AD77" s="10" t="n">
        <v>0.529</v>
      </c>
      <c r="AE77" s="7" t="n">
        <v>2.583</v>
      </c>
      <c r="AF77" s="8" t="n">
        <v>304</v>
      </c>
      <c r="AG77" s="10" t="n">
        <v>0.26</v>
      </c>
      <c r="AH77" s="8" t="n">
        <v>41</v>
      </c>
      <c r="AI77" s="8" t="n">
        <v>35</v>
      </c>
      <c r="AJ77" s="6" t="n">
        <f aca="false">IFERROR(AI77/R77,"")</f>
        <v>2.05882352941176</v>
      </c>
      <c r="AK77" s="10" t="n">
        <v>0.0633</v>
      </c>
      <c r="AL77" s="10" t="n">
        <v>0.0712</v>
      </c>
      <c r="AM77" s="9" t="n">
        <v>0.1448</v>
      </c>
      <c r="AN77" s="8" t="n">
        <v>26</v>
      </c>
      <c r="AO77" s="10" t="n">
        <f aca="false">IFERROR(AN77/AI77,"")</f>
        <v>0.742857142857143</v>
      </c>
      <c r="AP77" s="8" t="n">
        <v>292</v>
      </c>
      <c r="AQ77" s="7" t="n">
        <f aca="false">IFERROR(AP77/AI77,"")</f>
        <v>8.34285714285714</v>
      </c>
      <c r="AR77" s="6" t="n">
        <v>9.343</v>
      </c>
      <c r="AS77" s="7" t="n">
        <v>3.808</v>
      </c>
      <c r="AT77" s="7" t="n">
        <v>0.893</v>
      </c>
      <c r="AU77" s="7"/>
      <c r="AV77" s="7"/>
      <c r="AW77" s="7"/>
      <c r="AX77" s="10" t="n">
        <v>0.0286</v>
      </c>
      <c r="AY77" s="8" t="n">
        <v>7</v>
      </c>
      <c r="AZ77" s="8" t="n">
        <v>3</v>
      </c>
      <c r="BA77" s="8" t="n">
        <v>2</v>
      </c>
      <c r="BB77" s="8" t="n">
        <v>2</v>
      </c>
      <c r="BC77" s="7" t="n">
        <v>2.02</v>
      </c>
      <c r="BD77" s="7" t="n">
        <f aca="false">IFERROR(BB77-BC77,"")</f>
        <v>-0.02</v>
      </c>
      <c r="BE77" s="9" t="n">
        <f aca="false">IFERROR(BB77/AH77,"")</f>
        <v>0.0487804878048781</v>
      </c>
      <c r="BF77" s="6" t="n">
        <v>45.8</v>
      </c>
      <c r="BG77" s="6" t="n">
        <v>34.1</v>
      </c>
      <c r="BH77" s="6" t="n">
        <v>59.3</v>
      </c>
      <c r="BI77" s="7" t="n">
        <v>2.812</v>
      </c>
      <c r="BJ77" s="10" t="n">
        <v>0.1937</v>
      </c>
      <c r="BK77" s="10" t="n">
        <v>0.485714285714286</v>
      </c>
      <c r="BL77" s="7" t="n">
        <v>2.099</v>
      </c>
      <c r="BM77" s="10" t="n">
        <v>0.2216</v>
      </c>
      <c r="BN77" s="10" t="n">
        <v>0.0526</v>
      </c>
      <c r="BO77" s="7" t="n">
        <v>2.345</v>
      </c>
      <c r="BP77" s="10" t="n">
        <v>0.713</v>
      </c>
      <c r="BQ77" s="8" t="n">
        <v>2</v>
      </c>
      <c r="BR77" s="10" t="n">
        <v>-0.0098</v>
      </c>
      <c r="BS77" s="10" t="n">
        <v>0.5638</v>
      </c>
      <c r="BT77" s="6" t="n">
        <v>63.41</v>
      </c>
      <c r="BU77" s="6" t="n">
        <v>38</v>
      </c>
      <c r="BV77" s="7" t="n">
        <v>3.41</v>
      </c>
      <c r="BW77" s="6" t="n">
        <v>23.8</v>
      </c>
      <c r="BX77" s="9" t="n">
        <v>-0.0779</v>
      </c>
      <c r="BY77" s="9" t="n">
        <v>0.036</v>
      </c>
      <c r="BZ77" s="8" t="n">
        <v>82</v>
      </c>
      <c r="CA77" s="10" t="n">
        <v>0.148</v>
      </c>
      <c r="CB77" s="8" t="n">
        <v>21</v>
      </c>
      <c r="CC77" s="10" t="n">
        <v>0.044</v>
      </c>
      <c r="CD77" s="8" t="n">
        <v>18</v>
      </c>
      <c r="CE77" s="7" t="n">
        <v>-0.595</v>
      </c>
      <c r="CF77" s="7" t="n">
        <v>-0.99</v>
      </c>
      <c r="CG77" s="4" t="s">
        <v>121</v>
      </c>
      <c r="CH77" s="4"/>
    </row>
    <row r="78" customFormat="false" ht="15" hidden="false" customHeight="false" outlineLevel="0" collapsed="false">
      <c r="A78" s="3" t="n">
        <v>76</v>
      </c>
      <c r="B78" s="4" t="s">
        <v>514</v>
      </c>
      <c r="C78" s="5" t="s">
        <v>99</v>
      </c>
      <c r="D78" s="4" t="s">
        <v>515</v>
      </c>
      <c r="E78" s="4" t="s">
        <v>265</v>
      </c>
      <c r="F78" s="4" t="s">
        <v>99</v>
      </c>
      <c r="G78" s="3" t="n">
        <v>3</v>
      </c>
      <c r="H78" s="6" t="n">
        <v>31.7</v>
      </c>
      <c r="I78" s="3" t="n">
        <v>8</v>
      </c>
      <c r="J78" s="3" t="n">
        <v>9</v>
      </c>
      <c r="K78" s="7" t="n">
        <v>204.36</v>
      </c>
      <c r="L78" s="7" t="n">
        <v>35.76</v>
      </c>
      <c r="M78" s="8" t="n">
        <v>126</v>
      </c>
      <c r="N78" s="8" t="n">
        <v>316</v>
      </c>
      <c r="O78" s="7" t="n">
        <v>204.36</v>
      </c>
      <c r="P78" s="6" t="n">
        <v>16.8</v>
      </c>
      <c r="Q78" s="4" t="s">
        <v>265</v>
      </c>
      <c r="R78" s="8" t="n">
        <v>7</v>
      </c>
      <c r="S78" s="6" t="n">
        <v>47.3</v>
      </c>
      <c r="T78" s="7" t="n">
        <f aca="false">IFERROR(S78/R78,"")</f>
        <v>6.75714285714286</v>
      </c>
      <c r="U78" s="6" t="n">
        <v>38.8</v>
      </c>
      <c r="V78" s="6" t="n">
        <v>30.3</v>
      </c>
      <c r="W78" s="8" t="n">
        <v>84</v>
      </c>
      <c r="X78" s="7" t="n">
        <f aca="false">IFERROR(S78/AH78,"")</f>
        <v>1.31388888888889</v>
      </c>
      <c r="Y78" s="9" t="n">
        <f aca="false">IFERROR(S78/AF78,"")</f>
        <v>0.1892</v>
      </c>
      <c r="Z78" s="6" t="n">
        <v>3.25</v>
      </c>
      <c r="AA78" s="6" t="n">
        <v>5</v>
      </c>
      <c r="AB78" s="6" t="n">
        <v>9.64</v>
      </c>
      <c r="AC78" s="10" t="n">
        <v>0</v>
      </c>
      <c r="AD78" s="10" t="n">
        <v>0</v>
      </c>
      <c r="AE78" s="7" t="n">
        <v>1.097</v>
      </c>
      <c r="AF78" s="8" t="n">
        <v>250</v>
      </c>
      <c r="AG78" s="10" t="n">
        <v>0.571</v>
      </c>
      <c r="AH78" s="8" t="n">
        <v>36</v>
      </c>
      <c r="AI78" s="8" t="n">
        <v>36</v>
      </c>
      <c r="AJ78" s="6" t="n">
        <f aca="false">IFERROR(AI78/R78,"")</f>
        <v>5.14285714285714</v>
      </c>
      <c r="AK78" s="10" t="n">
        <v>0.1636</v>
      </c>
      <c r="AL78" s="10" t="n">
        <v>0.2475</v>
      </c>
      <c r="AM78" s="9" t="n">
        <v>0.4186</v>
      </c>
      <c r="AN78" s="8" t="n">
        <v>17</v>
      </c>
      <c r="AO78" s="10" t="n">
        <f aca="false">IFERROR(AN78/AI78,"")</f>
        <v>0.472222222222222</v>
      </c>
      <c r="AP78" s="8" t="n">
        <v>303</v>
      </c>
      <c r="AQ78" s="7" t="n">
        <f aca="false">IFERROR(AP78/AI78,"")</f>
        <v>8.41666666666667</v>
      </c>
      <c r="AR78" s="6" t="n">
        <v>12.583</v>
      </c>
      <c r="AS78" s="7" t="n">
        <v>4.941</v>
      </c>
      <c r="AT78" s="7" t="n">
        <v>0.669</v>
      </c>
      <c r="AU78" s="7"/>
      <c r="AV78" s="7"/>
      <c r="AW78" s="7"/>
      <c r="AX78" s="10" t="n">
        <v>0.1111</v>
      </c>
      <c r="AY78" s="8" t="n">
        <v>2</v>
      </c>
      <c r="AZ78" s="8" t="n">
        <v>1</v>
      </c>
      <c r="BA78" s="8" t="n">
        <v>0</v>
      </c>
      <c r="BB78" s="8" t="n">
        <v>0</v>
      </c>
      <c r="BC78" s="7" t="n">
        <v>0.87</v>
      </c>
      <c r="BD78" s="7" t="n">
        <f aca="false">IFERROR(BB78-BC78,"")</f>
        <v>-0.87</v>
      </c>
      <c r="BE78" s="9" t="n">
        <f aca="false">IFERROR(BB78/AH78,"")</f>
        <v>0</v>
      </c>
      <c r="BF78" s="6" t="n">
        <v>41.1</v>
      </c>
      <c r="BG78" s="6" t="n">
        <v>58.4</v>
      </c>
      <c r="BH78" s="6" t="n">
        <v>27.6</v>
      </c>
      <c r="BI78" s="7" t="n">
        <v>3.085</v>
      </c>
      <c r="BJ78" s="10" t="n">
        <v>0.1549</v>
      </c>
      <c r="BK78" s="10" t="n">
        <v>0.666666666666667</v>
      </c>
      <c r="BL78" s="7" t="n">
        <v>2.54</v>
      </c>
      <c r="BM78" s="10" t="n">
        <v>0.3175</v>
      </c>
      <c r="BN78" s="10" t="n">
        <v>0.0872</v>
      </c>
      <c r="BO78" s="7" t="n">
        <v>2.389</v>
      </c>
      <c r="BP78" s="10" t="n">
        <v>0.527</v>
      </c>
      <c r="BQ78" s="8" t="n">
        <v>3</v>
      </c>
      <c r="BR78" s="10" t="n">
        <v>-0.0385</v>
      </c>
      <c r="BS78" s="10" t="n">
        <v>0.5401</v>
      </c>
      <c r="BT78" s="6" t="n">
        <v>58.53</v>
      </c>
      <c r="BU78" s="6" t="n">
        <v>40</v>
      </c>
      <c r="BV78" s="7" t="n">
        <v>2.06</v>
      </c>
      <c r="BW78" s="6" t="n">
        <v>16.7</v>
      </c>
      <c r="BX78" s="9" t="n">
        <v>-0.0573</v>
      </c>
      <c r="BY78" s="9" t="n">
        <v>-0.2208</v>
      </c>
      <c r="BZ78" s="8" t="n">
        <v>152</v>
      </c>
      <c r="CA78" s="10" t="n">
        <v>0.287</v>
      </c>
      <c r="CB78" s="8" t="n">
        <v>0</v>
      </c>
      <c r="CC78" s="10" t="n">
        <v>0</v>
      </c>
      <c r="CD78" s="8" t="n">
        <v>8</v>
      </c>
      <c r="CE78" s="7" t="n">
        <v>-0.954</v>
      </c>
      <c r="CF78" s="7" t="n">
        <v>-0.341</v>
      </c>
      <c r="CG78" s="4" t="s">
        <v>121</v>
      </c>
      <c r="CH78" s="4"/>
    </row>
    <row r="79" customFormat="false" ht="15" hidden="false" customHeight="false" outlineLevel="0" collapsed="false">
      <c r="A79" s="3" t="n">
        <v>77</v>
      </c>
      <c r="B79" s="4" t="s">
        <v>520</v>
      </c>
      <c r="C79" s="5" t="s">
        <v>99</v>
      </c>
      <c r="D79" s="4" t="s">
        <v>521</v>
      </c>
      <c r="E79" s="4" t="s">
        <v>106</v>
      </c>
      <c r="F79" s="4" t="s">
        <v>99</v>
      </c>
      <c r="G79" s="3" t="n">
        <v>3</v>
      </c>
      <c r="H79" s="6" t="n">
        <v>24.5</v>
      </c>
      <c r="I79" s="3" t="n">
        <v>2</v>
      </c>
      <c r="J79" s="3" t="n">
        <v>6</v>
      </c>
      <c r="K79" s="7" t="n">
        <v>208.59</v>
      </c>
      <c r="L79" s="7" t="n">
        <v>26.21</v>
      </c>
      <c r="M79" s="8" t="n">
        <v>163</v>
      </c>
      <c r="N79" s="8" t="n">
        <v>278</v>
      </c>
      <c r="O79" s="7" t="n">
        <v>208.59</v>
      </c>
      <c r="P79" s="6" t="n">
        <v>16.4</v>
      </c>
      <c r="Q79" s="4" t="s">
        <v>106</v>
      </c>
      <c r="R79" s="8" t="n">
        <v>14</v>
      </c>
      <c r="S79" s="6" t="n">
        <v>75.9</v>
      </c>
      <c r="T79" s="7" t="n">
        <f aca="false">IFERROR(S79/R79,"")</f>
        <v>5.42142857142857</v>
      </c>
      <c r="U79" s="6" t="n">
        <v>67.9</v>
      </c>
      <c r="V79" s="6" t="n">
        <v>59.9</v>
      </c>
      <c r="W79" s="8" t="n">
        <v>70</v>
      </c>
      <c r="X79" s="7" t="n">
        <f aca="false">IFERROR(S79/AH79,"")</f>
        <v>2.81111111111111</v>
      </c>
      <c r="Y79" s="9" t="n">
        <f aca="false">IFERROR(S79/AF79,"")</f>
        <v>0.174082568807339</v>
      </c>
      <c r="Z79" s="6" t="n">
        <v>0</v>
      </c>
      <c r="AA79" s="6" t="n">
        <v>3.35</v>
      </c>
      <c r="AB79" s="6" t="n">
        <v>11.62</v>
      </c>
      <c r="AC79" s="10" t="n">
        <v>0</v>
      </c>
      <c r="AD79" s="10" t="n">
        <v>0.357</v>
      </c>
      <c r="AE79" s="7" t="n">
        <v>1.674</v>
      </c>
      <c r="AF79" s="8" t="n">
        <v>436</v>
      </c>
      <c r="AG79" s="10" t="n">
        <v>0.396</v>
      </c>
      <c r="AH79" s="8" t="n">
        <v>27</v>
      </c>
      <c r="AI79" s="8" t="n">
        <v>27</v>
      </c>
      <c r="AJ79" s="6" t="n">
        <f aca="false">IFERROR(AI79/R79,"")</f>
        <v>1.92857142857143</v>
      </c>
      <c r="AK79" s="10" t="n">
        <v>0.0584</v>
      </c>
      <c r="AL79" s="10" t="n">
        <v>0.1171</v>
      </c>
      <c r="AM79" s="9" t="n">
        <v>0.1696</v>
      </c>
      <c r="AN79" s="8" t="n">
        <v>16</v>
      </c>
      <c r="AO79" s="10" t="n">
        <f aca="false">IFERROR(AN79/AI79,"")</f>
        <v>0.592592592592593</v>
      </c>
      <c r="AP79" s="8" t="n">
        <v>239</v>
      </c>
      <c r="AQ79" s="7" t="n">
        <f aca="false">IFERROR(AP79/AI79,"")</f>
        <v>8.85185185185185</v>
      </c>
      <c r="AR79" s="6" t="n">
        <v>13.037</v>
      </c>
      <c r="AS79" s="7" t="n">
        <v>3.438</v>
      </c>
      <c r="AT79" s="7" t="n">
        <v>0.679</v>
      </c>
      <c r="AU79" s="7"/>
      <c r="AV79" s="7"/>
      <c r="AW79" s="7"/>
      <c r="AX79" s="10" t="n">
        <v>0</v>
      </c>
      <c r="AY79" s="8" t="n">
        <v>11</v>
      </c>
      <c r="AZ79" s="8" t="n">
        <v>3</v>
      </c>
      <c r="BA79" s="8" t="n">
        <v>2</v>
      </c>
      <c r="BB79" s="8" t="n">
        <v>6</v>
      </c>
      <c r="BC79" s="7" t="n">
        <v>2.71</v>
      </c>
      <c r="BD79" s="7" t="n">
        <f aca="false">IFERROR(BB79-BC79,"")</f>
        <v>3.29</v>
      </c>
      <c r="BE79" s="9" t="n">
        <f aca="false">IFERROR(BB79/AH79,"")</f>
        <v>0.222222222222222</v>
      </c>
      <c r="BF79" s="6" t="n">
        <v>46.7</v>
      </c>
      <c r="BG79" s="6" t="n">
        <v>50</v>
      </c>
      <c r="BH79" s="6" t="n">
        <v>44.8</v>
      </c>
      <c r="BI79" s="7" t="n">
        <v>2.796</v>
      </c>
      <c r="BJ79" s="10" t="n">
        <v>0.1795</v>
      </c>
      <c r="BK79" s="10" t="n">
        <v>0.645161290322581</v>
      </c>
      <c r="BL79" s="7" t="n">
        <v>2.844</v>
      </c>
      <c r="BM79" s="10" t="n">
        <v>0.2646</v>
      </c>
      <c r="BN79" s="10" t="n">
        <v>0.0608</v>
      </c>
      <c r="BO79" s="7" t="n">
        <v>2.297</v>
      </c>
      <c r="BP79" s="10" t="n">
        <v>0.521</v>
      </c>
      <c r="BQ79" s="8" t="n">
        <v>3</v>
      </c>
      <c r="BR79" s="10" t="n">
        <v>-0.0456</v>
      </c>
      <c r="BS79" s="10" t="n">
        <v>0.5469</v>
      </c>
      <c r="BT79" s="6" t="n">
        <v>61.82</v>
      </c>
      <c r="BU79" s="6" t="n">
        <v>38</v>
      </c>
      <c r="BV79" s="7" t="n">
        <v>3.82</v>
      </c>
      <c r="BW79" s="6" t="n">
        <v>28.3</v>
      </c>
      <c r="BX79" s="9" t="n">
        <v>-0.0408</v>
      </c>
      <c r="BY79" s="9" t="n">
        <v>0.1681</v>
      </c>
      <c r="BZ79" s="8" t="n">
        <v>79</v>
      </c>
      <c r="CA79" s="10" t="n">
        <v>0.144</v>
      </c>
      <c r="CB79" s="8" t="n">
        <v>167</v>
      </c>
      <c r="CC79" s="10" t="n">
        <v>0.378</v>
      </c>
      <c r="CD79" s="8" t="n">
        <v>45</v>
      </c>
      <c r="CE79" s="7" t="n">
        <v>-0.305</v>
      </c>
      <c r="CF79" s="7" t="n">
        <v>-0.7</v>
      </c>
      <c r="CG79" s="4" t="s">
        <v>102</v>
      </c>
      <c r="CH79" s="4"/>
    </row>
    <row r="80" customFormat="false" ht="15" hidden="false" customHeight="false" outlineLevel="0" collapsed="false">
      <c r="A80" s="3" t="n">
        <v>78</v>
      </c>
      <c r="B80" s="4" t="s">
        <v>524</v>
      </c>
      <c r="C80" s="5" t="s">
        <v>99</v>
      </c>
      <c r="D80" s="4" t="s">
        <v>525</v>
      </c>
      <c r="E80" s="4" t="s">
        <v>178</v>
      </c>
      <c r="F80" s="4" t="s">
        <v>99</v>
      </c>
      <c r="G80" s="3" t="n">
        <v>4</v>
      </c>
      <c r="H80" s="6" t="n">
        <v>28.8</v>
      </c>
      <c r="I80" s="3" t="n">
        <v>7</v>
      </c>
      <c r="J80" s="3" t="n">
        <v>8</v>
      </c>
      <c r="K80" s="7" t="n">
        <v>208.67</v>
      </c>
      <c r="L80" s="7" t="n">
        <v>25.21</v>
      </c>
      <c r="M80" s="8" t="n">
        <v>136</v>
      </c>
      <c r="N80" s="8" t="n">
        <v>296</v>
      </c>
      <c r="O80" s="7" t="n">
        <v>208.67</v>
      </c>
      <c r="P80" s="6" t="n">
        <v>11.2</v>
      </c>
      <c r="Q80" s="4" t="s">
        <v>112</v>
      </c>
      <c r="R80" s="8" t="n">
        <v>15</v>
      </c>
      <c r="S80" s="6" t="n">
        <v>82.3</v>
      </c>
      <c r="T80" s="7" t="n">
        <f aca="false">IFERROR(S80/R80,"")</f>
        <v>5.48666666666667</v>
      </c>
      <c r="U80" s="6" t="n">
        <v>66.3</v>
      </c>
      <c r="V80" s="6" t="n">
        <v>50.3</v>
      </c>
      <c r="W80" s="8" t="n">
        <v>68</v>
      </c>
      <c r="X80" s="7" t="n">
        <f aca="false">IFERROR(S80/AH80,"")</f>
        <v>1.14305555555556</v>
      </c>
      <c r="Y80" s="9" t="n">
        <f aca="false">IFERROR(S80/AF80,"")</f>
        <v>0.105784061696658</v>
      </c>
      <c r="Z80" s="6" t="n">
        <v>2.6</v>
      </c>
      <c r="AA80" s="6" t="n">
        <v>4.5</v>
      </c>
      <c r="AB80" s="6" t="n">
        <v>8.21</v>
      </c>
      <c r="AC80" s="10" t="n">
        <v>0</v>
      </c>
      <c r="AD80" s="10" t="n">
        <v>0.133</v>
      </c>
      <c r="AE80" s="7" t="n">
        <v>0.85</v>
      </c>
      <c r="AF80" s="8" t="n">
        <v>778</v>
      </c>
      <c r="AG80" s="10" t="n">
        <v>0.819</v>
      </c>
      <c r="AH80" s="8" t="n">
        <v>72</v>
      </c>
      <c r="AI80" s="8" t="n">
        <v>72</v>
      </c>
      <c r="AJ80" s="6" t="n">
        <f aca="false">IFERROR(AI80/R80,"")</f>
        <v>4.8</v>
      </c>
      <c r="AK80" s="10" t="n">
        <v>0.1614</v>
      </c>
      <c r="AL80" s="10" t="n">
        <v>0.2777</v>
      </c>
      <c r="AM80" s="9" t="n">
        <v>0.4365</v>
      </c>
      <c r="AN80" s="8" t="n">
        <v>32</v>
      </c>
      <c r="AO80" s="10" t="n">
        <f aca="false">IFERROR(AN80/AI80,"")</f>
        <v>0.444444444444444</v>
      </c>
      <c r="AP80" s="8" t="n">
        <v>443</v>
      </c>
      <c r="AQ80" s="7" t="n">
        <f aca="false">IFERROR(AP80/AI80,"")</f>
        <v>6.15277777777778</v>
      </c>
      <c r="AR80" s="6" t="n">
        <v>14.153</v>
      </c>
      <c r="AS80" s="7" t="n">
        <v>2.281</v>
      </c>
      <c r="AT80" s="7" t="n">
        <v>0.435</v>
      </c>
      <c r="AU80" s="7" t="n">
        <v>3.01819061588223</v>
      </c>
      <c r="AV80" s="7" t="n">
        <v>6.56930555555556</v>
      </c>
      <c r="AW80" s="7" t="n">
        <v>-0.225242910169132</v>
      </c>
      <c r="AX80" s="10" t="n">
        <v>0.0694</v>
      </c>
      <c r="AY80" s="8" t="n">
        <v>8</v>
      </c>
      <c r="AZ80" s="8" t="n">
        <v>3</v>
      </c>
      <c r="BA80" s="8" t="n">
        <v>1</v>
      </c>
      <c r="BB80" s="8" t="n">
        <v>1</v>
      </c>
      <c r="BC80" s="7" t="n">
        <v>2.68</v>
      </c>
      <c r="BD80" s="7" t="n">
        <f aca="false">IFERROR(BB80-BC80,"")</f>
        <v>-1.68</v>
      </c>
      <c r="BE80" s="9" t="n">
        <f aca="false">IFERROR(BB80/AH80,"")</f>
        <v>0.0138888888888889</v>
      </c>
      <c r="BF80" s="6" t="n">
        <v>45.9</v>
      </c>
      <c r="BG80" s="6" t="n">
        <v>56.8</v>
      </c>
      <c r="BH80" s="6" t="n">
        <v>36.8</v>
      </c>
      <c r="BI80" s="7" t="n">
        <v>2.974</v>
      </c>
      <c r="BJ80" s="10" t="n">
        <v>0.1475</v>
      </c>
      <c r="BK80" s="10" t="n">
        <v>0.625</v>
      </c>
      <c r="BL80" s="7" t="n">
        <v>2.714</v>
      </c>
      <c r="BM80" s="10" t="n">
        <v>0.2947</v>
      </c>
      <c r="BN80" s="10" t="n">
        <v>0.076</v>
      </c>
      <c r="BO80" s="7" t="n">
        <v>2.388</v>
      </c>
      <c r="BP80" s="10" t="n">
        <v>0.723</v>
      </c>
      <c r="BQ80" s="8" t="n">
        <v>4</v>
      </c>
      <c r="BR80" s="10" t="n">
        <v>-0.0466</v>
      </c>
      <c r="BS80" s="10" t="n">
        <v>0.494</v>
      </c>
      <c r="BT80" s="6" t="n">
        <v>63.47</v>
      </c>
      <c r="BU80" s="6" t="n">
        <v>36</v>
      </c>
      <c r="BV80" s="7" t="n">
        <v>3.59</v>
      </c>
      <c r="BW80" s="6" t="n">
        <v>22.4</v>
      </c>
      <c r="BX80" s="9" t="n">
        <v>0.0356</v>
      </c>
      <c r="BY80" s="9" t="n">
        <v>-0.008</v>
      </c>
      <c r="BZ80" s="8" t="n">
        <v>177</v>
      </c>
      <c r="CA80" s="10" t="n">
        <v>0.352</v>
      </c>
      <c r="CB80" s="8" t="n">
        <v>3</v>
      </c>
      <c r="CC80" s="10" t="n">
        <v>0.006</v>
      </c>
      <c r="CD80" s="8" t="n">
        <v>21</v>
      </c>
      <c r="CE80" s="7" t="n">
        <v>-0.182</v>
      </c>
      <c r="CF80" s="7" t="n">
        <v>-0.621</v>
      </c>
      <c r="CG80" s="4" t="s">
        <v>102</v>
      </c>
      <c r="CH80" s="4"/>
    </row>
    <row r="81" customFormat="false" ht="15" hidden="false" customHeight="false" outlineLevel="0" collapsed="false">
      <c r="A81" s="3" t="n">
        <v>79</v>
      </c>
      <c r="B81" s="4" t="s">
        <v>526</v>
      </c>
      <c r="C81" s="5" t="s">
        <v>99</v>
      </c>
      <c r="D81" s="4" t="s">
        <v>527</v>
      </c>
      <c r="E81" s="4" t="s">
        <v>139</v>
      </c>
      <c r="F81" s="4" t="s">
        <v>270</v>
      </c>
      <c r="G81" s="3" t="n">
        <v>2</v>
      </c>
      <c r="H81" s="6" t="n">
        <v>26.8</v>
      </c>
      <c r="I81" s="3" t="n">
        <v>4</v>
      </c>
      <c r="J81" s="3" t="n">
        <v>8</v>
      </c>
      <c r="K81" s="7" t="n">
        <v>214.57</v>
      </c>
      <c r="L81" s="7" t="n">
        <v>27.67</v>
      </c>
      <c r="M81" s="8" t="n">
        <v>150</v>
      </c>
      <c r="N81" s="8" t="n">
        <v>281</v>
      </c>
      <c r="O81" s="7" t="n">
        <v>214.57</v>
      </c>
      <c r="P81" s="6" t="n">
        <v>20.4</v>
      </c>
      <c r="Q81" s="4"/>
      <c r="R81" s="8"/>
      <c r="S81" s="6"/>
      <c r="T81" s="7"/>
      <c r="U81" s="6"/>
      <c r="V81" s="6"/>
      <c r="W81" s="8"/>
      <c r="X81" s="7"/>
      <c r="Y81" s="9"/>
      <c r="Z81" s="6"/>
      <c r="AA81" s="6"/>
      <c r="AB81" s="6"/>
      <c r="AC81" s="10"/>
      <c r="AD81" s="10"/>
      <c r="AE81" s="7"/>
      <c r="AF81" s="8"/>
      <c r="AG81" s="10"/>
      <c r="AH81" s="8" t="n">
        <v>0</v>
      </c>
      <c r="AI81" s="8"/>
      <c r="AJ81" s="6"/>
      <c r="AK81" s="10"/>
      <c r="AL81" s="10"/>
      <c r="AM81" s="9"/>
      <c r="AN81" s="8"/>
      <c r="AO81" s="10"/>
      <c r="AP81" s="8"/>
      <c r="AQ81" s="7"/>
      <c r="AR81" s="6"/>
      <c r="AS81" s="7"/>
      <c r="AT81" s="7"/>
      <c r="AU81" s="7"/>
      <c r="AV81" s="7"/>
      <c r="AW81" s="7"/>
      <c r="AX81" s="10"/>
      <c r="AY81" s="8"/>
      <c r="AZ81" s="8"/>
      <c r="BA81" s="8"/>
      <c r="BB81" s="8"/>
      <c r="BC81" s="7"/>
      <c r="BD81" s="7"/>
      <c r="BE81" s="9"/>
      <c r="BF81" s="6" t="n">
        <v>45.8</v>
      </c>
      <c r="BG81" s="6" t="n">
        <v>34.1</v>
      </c>
      <c r="BH81" s="6" t="n">
        <v>59.3</v>
      </c>
      <c r="BI81" s="7" t="n">
        <v>2.812</v>
      </c>
      <c r="BJ81" s="10" t="n">
        <v>0.1937</v>
      </c>
      <c r="BK81" s="10" t="n">
        <v>0.485714285714286</v>
      </c>
      <c r="BL81" s="7" t="n">
        <v>2.099</v>
      </c>
      <c r="BM81" s="10" t="n">
        <v>0.2216</v>
      </c>
      <c r="BN81" s="10" t="n">
        <v>0.0526</v>
      </c>
      <c r="BO81" s="7" t="n">
        <v>2.345</v>
      </c>
      <c r="BP81" s="10" t="n">
        <v>0.713</v>
      </c>
      <c r="BQ81" s="8" t="n">
        <v>2</v>
      </c>
      <c r="BR81" s="10" t="n">
        <v>-0.0098</v>
      </c>
      <c r="BS81" s="10" t="n">
        <v>0.5638</v>
      </c>
      <c r="BT81" s="6" t="n">
        <v>63.41</v>
      </c>
      <c r="BU81" s="6" t="n">
        <v>38</v>
      </c>
      <c r="BV81" s="7" t="n">
        <v>3.41</v>
      </c>
      <c r="BW81" s="6" t="n">
        <v>23.8</v>
      </c>
      <c r="BX81" s="9" t="n">
        <v>-0.0779</v>
      </c>
      <c r="BY81" s="9" t="n">
        <v>0.036</v>
      </c>
      <c r="BZ81" s="8" t="n">
        <v>82</v>
      </c>
      <c r="CA81" s="10" t="n">
        <v>0.148</v>
      </c>
      <c r="CB81" s="8" t="n">
        <v>21</v>
      </c>
      <c r="CC81" s="10" t="n">
        <v>0.044</v>
      </c>
      <c r="CD81" s="8" t="n">
        <v>18</v>
      </c>
      <c r="CE81" s="7"/>
      <c r="CF81" s="7"/>
      <c r="CG81" s="4"/>
      <c r="CH81" s="4" t="s">
        <v>354</v>
      </c>
    </row>
    <row r="82" customFormat="false" ht="15" hidden="false" customHeight="false" outlineLevel="0" collapsed="false">
      <c r="A82" s="3" t="n">
        <v>80</v>
      </c>
      <c r="B82" s="4" t="s">
        <v>532</v>
      </c>
      <c r="C82" s="5" t="s">
        <v>99</v>
      </c>
      <c r="D82" s="4" t="s">
        <v>533</v>
      </c>
      <c r="E82" s="4" t="s">
        <v>221</v>
      </c>
      <c r="F82" s="4" t="s">
        <v>99</v>
      </c>
      <c r="G82" s="3" t="n">
        <v>4</v>
      </c>
      <c r="H82" s="6" t="n">
        <v>22.1</v>
      </c>
      <c r="I82" s="3" t="n">
        <v>0</v>
      </c>
      <c r="J82" s="3" t="n">
        <v>7</v>
      </c>
      <c r="K82" s="7" t="n">
        <v>219.38</v>
      </c>
      <c r="L82" s="7" t="n">
        <v>40.11</v>
      </c>
      <c r="M82" s="8" t="n">
        <v>136</v>
      </c>
      <c r="N82" s="8" t="n">
        <v>328</v>
      </c>
      <c r="O82" s="7" t="n">
        <v>219.38</v>
      </c>
      <c r="P82" s="6" t="n">
        <v>18.7</v>
      </c>
      <c r="Q82" s="4"/>
      <c r="R82" s="8"/>
      <c r="S82" s="6"/>
      <c r="T82" s="7"/>
      <c r="U82" s="6"/>
      <c r="V82" s="6"/>
      <c r="W82" s="8"/>
      <c r="X82" s="7"/>
      <c r="Y82" s="9"/>
      <c r="Z82" s="6"/>
      <c r="AA82" s="6"/>
      <c r="AB82" s="6"/>
      <c r="AC82" s="10"/>
      <c r="AD82" s="10"/>
      <c r="AE82" s="7"/>
      <c r="AF82" s="8"/>
      <c r="AG82" s="10"/>
      <c r="AH82" s="8"/>
      <c r="AI82" s="8"/>
      <c r="AJ82" s="6"/>
      <c r="AK82" s="10"/>
      <c r="AL82" s="10"/>
      <c r="AM82" s="9"/>
      <c r="AN82" s="8"/>
      <c r="AO82" s="10"/>
      <c r="AP82" s="8"/>
      <c r="AQ82" s="7"/>
      <c r="AR82" s="6"/>
      <c r="AS82" s="7"/>
      <c r="AT82" s="7"/>
      <c r="AU82" s="7"/>
      <c r="AV82" s="7"/>
      <c r="AW82" s="7"/>
      <c r="AX82" s="10"/>
      <c r="AY82" s="8"/>
      <c r="AZ82" s="8"/>
      <c r="BA82" s="8"/>
      <c r="BB82" s="8"/>
      <c r="BC82" s="7"/>
      <c r="BD82" s="7"/>
      <c r="BE82" s="9"/>
      <c r="BF82" s="6" t="n">
        <v>54.8</v>
      </c>
      <c r="BG82" s="6" t="n">
        <v>50.7</v>
      </c>
      <c r="BH82" s="6" t="n">
        <v>56.8</v>
      </c>
      <c r="BI82" s="7" t="n">
        <v>2.998</v>
      </c>
      <c r="BJ82" s="10" t="n">
        <v>0.1651</v>
      </c>
      <c r="BK82" s="10" t="n">
        <v>0.548387096774194</v>
      </c>
      <c r="BL82" s="7" t="n">
        <v>2.512</v>
      </c>
      <c r="BM82" s="10" t="n">
        <v>0.2217</v>
      </c>
      <c r="BN82" s="10" t="n">
        <v>0.0606</v>
      </c>
      <c r="BO82" s="7" t="n">
        <v>2.36</v>
      </c>
      <c r="BP82" s="10" t="n">
        <v>0.706</v>
      </c>
      <c r="BQ82" s="8" t="n">
        <v>4</v>
      </c>
      <c r="BR82" s="10" t="n">
        <v>-0.0427</v>
      </c>
      <c r="BS82" s="10" t="n">
        <v>0.4747</v>
      </c>
      <c r="BT82" s="6" t="n">
        <v>57.59</v>
      </c>
      <c r="BU82" s="6" t="n">
        <v>38</v>
      </c>
      <c r="BV82" s="7" t="n">
        <v>2.94</v>
      </c>
      <c r="BW82" s="6" t="n">
        <v>20.9</v>
      </c>
      <c r="BX82" s="9" t="n">
        <v>0.0192</v>
      </c>
      <c r="BY82" s="9" t="n">
        <v>-0.0055</v>
      </c>
      <c r="BZ82" s="8" t="n">
        <v>138</v>
      </c>
      <c r="CA82" s="10" t="n">
        <v>0.319</v>
      </c>
      <c r="CB82" s="8" t="n">
        <v>142</v>
      </c>
      <c r="CC82" s="10" t="n">
        <v>0.293</v>
      </c>
      <c r="CD82" s="8" t="n">
        <v>56</v>
      </c>
      <c r="CE82" s="7"/>
      <c r="CF82" s="7"/>
      <c r="CG82" s="4"/>
      <c r="CH82" s="4" t="s">
        <v>206</v>
      </c>
    </row>
    <row r="83" customFormat="false" ht="15" hidden="false" customHeight="false" outlineLevel="0" collapsed="false">
      <c r="A83" s="3" t="n">
        <v>81</v>
      </c>
      <c r="B83" s="4" t="s">
        <v>536</v>
      </c>
      <c r="C83" s="5" t="s">
        <v>99</v>
      </c>
      <c r="D83" s="4" t="s">
        <v>537</v>
      </c>
      <c r="E83" s="4" t="s">
        <v>183</v>
      </c>
      <c r="F83" s="4" t="s">
        <v>99</v>
      </c>
      <c r="G83" s="3" t="n">
        <v>2</v>
      </c>
      <c r="H83" s="6" t="n">
        <v>26.7</v>
      </c>
      <c r="I83" s="3" t="n">
        <v>6</v>
      </c>
      <c r="J83" s="3" t="n">
        <v>13</v>
      </c>
      <c r="K83" s="7" t="n">
        <v>220.8</v>
      </c>
      <c r="L83" s="7" t="n">
        <v>28.38</v>
      </c>
      <c r="M83" s="8" t="n">
        <v>163</v>
      </c>
      <c r="N83" s="8" t="n">
        <v>296</v>
      </c>
      <c r="O83" s="7" t="n">
        <v>220.8</v>
      </c>
      <c r="P83" s="6" t="n">
        <v>7.8</v>
      </c>
      <c r="Q83" s="4" t="s">
        <v>183</v>
      </c>
      <c r="R83" s="8" t="n">
        <v>13</v>
      </c>
      <c r="S83" s="6" t="n">
        <v>55.4</v>
      </c>
      <c r="T83" s="7" t="n">
        <f aca="false">IFERROR(S83/R83,"")</f>
        <v>4.26153846153846</v>
      </c>
      <c r="U83" s="6" t="n">
        <v>45.9</v>
      </c>
      <c r="V83" s="6" t="n">
        <v>36.4</v>
      </c>
      <c r="W83" s="8" t="n">
        <v>80</v>
      </c>
      <c r="X83" s="7" t="n">
        <f aca="false">IFERROR(S83/AH83,"")</f>
        <v>1.45789473684211</v>
      </c>
      <c r="Y83" s="9" t="n">
        <f aca="false">IFERROR(S83/AF83,"")</f>
        <v>0.100727272727273</v>
      </c>
      <c r="Z83" s="6" t="n">
        <v>1.7</v>
      </c>
      <c r="AA83" s="6" t="n">
        <v>3.4</v>
      </c>
      <c r="AB83" s="6" t="n">
        <v>7.54</v>
      </c>
      <c r="AC83" s="10" t="n">
        <v>0</v>
      </c>
      <c r="AD83" s="10" t="n">
        <v>0.385</v>
      </c>
      <c r="AE83" s="7" t="n">
        <v>1.404</v>
      </c>
      <c r="AF83" s="8" t="n">
        <v>550</v>
      </c>
      <c r="AG83" s="10" t="n">
        <v>0.693</v>
      </c>
      <c r="AH83" s="8" t="n">
        <v>38</v>
      </c>
      <c r="AI83" s="8" t="n">
        <v>38</v>
      </c>
      <c r="AJ83" s="6" t="n">
        <f aca="false">IFERROR(AI83/R83,"")</f>
        <v>2.92307692307692</v>
      </c>
      <c r="AK83" s="10" t="n">
        <v>0.1141</v>
      </c>
      <c r="AL83" s="10" t="n">
        <v>0.1757</v>
      </c>
      <c r="AM83" s="9" t="n">
        <v>0.2941</v>
      </c>
      <c r="AN83" s="8" t="n">
        <v>19</v>
      </c>
      <c r="AO83" s="10" t="n">
        <f aca="false">IFERROR(AN83/AI83,"")</f>
        <v>0.5</v>
      </c>
      <c r="AP83" s="8" t="n">
        <v>224</v>
      </c>
      <c r="AQ83" s="7" t="n">
        <f aca="false">IFERROR(AP83/AI83,"")</f>
        <v>5.89473684210526</v>
      </c>
      <c r="AR83" s="6" t="n">
        <v>12.316</v>
      </c>
      <c r="AS83" s="7" t="n">
        <v>2.053</v>
      </c>
      <c r="AT83" s="7" t="n">
        <v>0.479</v>
      </c>
      <c r="AU83" s="7"/>
      <c r="AV83" s="7"/>
      <c r="AW83" s="7"/>
      <c r="AX83" s="10" t="n">
        <v>0.0789</v>
      </c>
      <c r="AY83" s="8" t="n">
        <v>8</v>
      </c>
      <c r="AZ83" s="8" t="n">
        <v>3</v>
      </c>
      <c r="BA83" s="8" t="n">
        <v>1</v>
      </c>
      <c r="BB83" s="8" t="n">
        <v>2</v>
      </c>
      <c r="BC83" s="7" t="n">
        <v>2.23</v>
      </c>
      <c r="BD83" s="7" t="n">
        <f aca="false">IFERROR(BB83-BC83,"")</f>
        <v>-0.23</v>
      </c>
      <c r="BE83" s="9" t="n">
        <f aca="false">IFERROR(BB83/AH83,"")</f>
        <v>0.0526315789473684</v>
      </c>
      <c r="BF83" s="6" t="n">
        <v>53.2</v>
      </c>
      <c r="BG83" s="6" t="n">
        <v>64.1</v>
      </c>
      <c r="BH83" s="6" t="n">
        <v>41</v>
      </c>
      <c r="BI83" s="7" t="n">
        <v>3.032</v>
      </c>
      <c r="BJ83" s="10" t="n">
        <v>0.1574</v>
      </c>
      <c r="BK83" s="10" t="n">
        <v>0.648648648648649</v>
      </c>
      <c r="BL83" s="7" t="n">
        <v>3.144</v>
      </c>
      <c r="BM83" s="10" t="n">
        <v>0.2725</v>
      </c>
      <c r="BN83" s="10" t="n">
        <v>0.0849</v>
      </c>
      <c r="BO83" s="7" t="n">
        <v>2.454</v>
      </c>
      <c r="BP83" s="10" t="n">
        <v>0.572</v>
      </c>
      <c r="BQ83" s="8" t="n">
        <v>2</v>
      </c>
      <c r="BR83" s="10" t="n">
        <v>-0.0884</v>
      </c>
      <c r="BS83" s="10" t="n">
        <v>0.4667</v>
      </c>
      <c r="BT83" s="6" t="n">
        <v>56.24</v>
      </c>
      <c r="BU83" s="6" t="n">
        <v>39</v>
      </c>
      <c r="BV83" s="7" t="n">
        <v>3.59</v>
      </c>
      <c r="BW83" s="6" t="n">
        <v>24.9</v>
      </c>
      <c r="BX83" s="9" t="n">
        <v>0.0996</v>
      </c>
      <c r="BY83" s="9" t="n">
        <v>-0.035</v>
      </c>
      <c r="BZ83" s="8" t="n">
        <v>75</v>
      </c>
      <c r="CA83" s="10" t="n">
        <v>0.184</v>
      </c>
      <c r="CB83" s="8" t="n">
        <v>64</v>
      </c>
      <c r="CC83" s="10" t="n">
        <v>0.126</v>
      </c>
      <c r="CD83" s="8" t="n">
        <v>26</v>
      </c>
      <c r="CE83" s="7" t="n">
        <v>-0.602</v>
      </c>
      <c r="CF83" s="7" t="n">
        <v>-0.734</v>
      </c>
      <c r="CG83" s="4" t="s">
        <v>121</v>
      </c>
      <c r="CH83" s="4"/>
    </row>
    <row r="84" customFormat="false" ht="15" hidden="false" customHeight="false" outlineLevel="0" collapsed="false">
      <c r="A84" s="3" t="n">
        <v>82</v>
      </c>
      <c r="B84" s="4" t="s">
        <v>540</v>
      </c>
      <c r="C84" s="5" t="s">
        <v>99</v>
      </c>
      <c r="D84" s="4" t="s">
        <v>541</v>
      </c>
      <c r="E84" s="4" t="s">
        <v>115</v>
      </c>
      <c r="F84" s="4" t="s">
        <v>99</v>
      </c>
      <c r="G84" s="3" t="n">
        <v>3</v>
      </c>
      <c r="H84" s="6" t="n">
        <v>33.2</v>
      </c>
      <c r="I84" s="3" t="n">
        <v>10</v>
      </c>
      <c r="J84" s="3" t="n">
        <v>11</v>
      </c>
      <c r="K84" s="7" t="n">
        <v>222</v>
      </c>
      <c r="L84" s="7" t="n">
        <v>30.82</v>
      </c>
      <c r="M84" s="8" t="n">
        <v>140</v>
      </c>
      <c r="N84" s="8" t="n">
        <v>298</v>
      </c>
      <c r="O84" s="7" t="n">
        <v>222</v>
      </c>
      <c r="P84" s="6" t="n">
        <v>12.7</v>
      </c>
      <c r="Q84" s="4" t="s">
        <v>115</v>
      </c>
      <c r="R84" s="8" t="n">
        <v>16</v>
      </c>
      <c r="S84" s="6" t="n">
        <v>116.3</v>
      </c>
      <c r="T84" s="7" t="n">
        <f aca="false">IFERROR(S84/R84,"")</f>
        <v>7.26875</v>
      </c>
      <c r="U84" s="6" t="n">
        <v>92.8</v>
      </c>
      <c r="V84" s="6" t="n">
        <v>69.3</v>
      </c>
      <c r="W84" s="8" t="n">
        <v>54</v>
      </c>
      <c r="X84" s="7" t="n">
        <f aca="false">IFERROR(S84/AH84,"")</f>
        <v>1.66142857142857</v>
      </c>
      <c r="Y84" s="9" t="n">
        <f aca="false">IFERROR(S84/AF84,"")</f>
        <v>0.151432291666667</v>
      </c>
      <c r="Z84" s="6" t="n">
        <v>4.78</v>
      </c>
      <c r="AA84" s="6" t="n">
        <v>6</v>
      </c>
      <c r="AB84" s="6" t="n">
        <v>11.8</v>
      </c>
      <c r="AC84" s="10" t="n">
        <v>0</v>
      </c>
      <c r="AD84" s="10" t="n">
        <v>0.062</v>
      </c>
      <c r="AE84" s="7" t="n">
        <v>0.676</v>
      </c>
      <c r="AF84" s="8" t="n">
        <v>768</v>
      </c>
      <c r="AG84" s="10" t="n">
        <v>0.756</v>
      </c>
      <c r="AH84" s="8" t="n">
        <v>70</v>
      </c>
      <c r="AI84" s="8" t="n">
        <v>70</v>
      </c>
      <c r="AJ84" s="6" t="n">
        <f aca="false">IFERROR(AI84/R84,"")</f>
        <v>4.375</v>
      </c>
      <c r="AK84" s="10" t="n">
        <v>0.1624</v>
      </c>
      <c r="AL84" s="10" t="n">
        <v>0.1537</v>
      </c>
      <c r="AM84" s="9" t="n">
        <v>0.3512</v>
      </c>
      <c r="AN84" s="8" t="n">
        <v>47</v>
      </c>
      <c r="AO84" s="10" t="n">
        <f aca="false">IFERROR(AN84/AI84,"")</f>
        <v>0.671428571428571</v>
      </c>
      <c r="AP84" s="8" t="n">
        <v>593</v>
      </c>
      <c r="AQ84" s="7" t="n">
        <f aca="false">IFERROR(AP84/AI84,"")</f>
        <v>8.47142857142857</v>
      </c>
      <c r="AR84" s="6" t="n">
        <v>7.6</v>
      </c>
      <c r="AS84" s="7" t="n">
        <v>6.234</v>
      </c>
      <c r="AT84" s="7" t="n">
        <v>1.115</v>
      </c>
      <c r="AU84" s="7" t="n">
        <v>3.02284090107854</v>
      </c>
      <c r="AV84" s="7" t="n">
        <v>6.14492307692308</v>
      </c>
      <c r="AW84" s="7" t="n">
        <v>2.07400512034173</v>
      </c>
      <c r="AX84" s="10" t="n">
        <v>0.0429</v>
      </c>
      <c r="AY84" s="8" t="n">
        <v>12</v>
      </c>
      <c r="AZ84" s="8" t="n">
        <v>4</v>
      </c>
      <c r="BA84" s="8" t="n">
        <v>2</v>
      </c>
      <c r="BB84" s="8" t="n">
        <v>2</v>
      </c>
      <c r="BC84" s="7" t="n">
        <v>3.57</v>
      </c>
      <c r="BD84" s="7" t="n">
        <f aca="false">IFERROR(BB84-BC84,"")</f>
        <v>-1.57</v>
      </c>
      <c r="BE84" s="9" t="n">
        <f aca="false">IFERROR(BB84/AH84,"")</f>
        <v>0.0285714285714286</v>
      </c>
      <c r="BF84" s="6" t="n">
        <v>49.9</v>
      </c>
      <c r="BG84" s="6" t="n">
        <v>39.3</v>
      </c>
      <c r="BH84" s="6" t="n">
        <v>60.5</v>
      </c>
      <c r="BI84" s="7" t="n">
        <v>2.758</v>
      </c>
      <c r="BJ84" s="10" t="n">
        <v>0.2121</v>
      </c>
      <c r="BK84" s="10" t="n">
        <v>0.612903225806452</v>
      </c>
      <c r="BL84" s="7" t="n">
        <v>2.477</v>
      </c>
      <c r="BM84" s="10" t="n">
        <v>0.2266</v>
      </c>
      <c r="BN84" s="10" t="n">
        <v>0.0535</v>
      </c>
      <c r="BO84" s="7" t="n">
        <v>2.4</v>
      </c>
      <c r="BP84" s="10" t="n">
        <v>0.942</v>
      </c>
      <c r="BQ84" s="8" t="n">
        <v>5</v>
      </c>
      <c r="BR84" s="10" t="n">
        <v>-0.0677</v>
      </c>
      <c r="BS84" s="10" t="n">
        <v>0.5204</v>
      </c>
      <c r="BT84" s="6" t="n">
        <v>58.65</v>
      </c>
      <c r="BU84" s="6" t="n">
        <v>39</v>
      </c>
      <c r="BV84" s="7" t="n">
        <v>3.53</v>
      </c>
      <c r="BW84" s="6" t="n">
        <v>28.4</v>
      </c>
      <c r="BX84" s="9" t="n">
        <v>-0.0491</v>
      </c>
      <c r="BY84" s="9" t="n">
        <v>0.1122</v>
      </c>
      <c r="BZ84" s="8" t="n">
        <v>39</v>
      </c>
      <c r="CA84" s="10" t="n">
        <v>0.086</v>
      </c>
      <c r="CB84" s="8" t="n">
        <v>221</v>
      </c>
      <c r="CC84" s="10" t="n">
        <v>0.436</v>
      </c>
      <c r="CD84" s="8" t="n">
        <v>37</v>
      </c>
      <c r="CE84" s="7" t="n">
        <v>0.573</v>
      </c>
      <c r="CF84" s="7" t="n">
        <v>0.047</v>
      </c>
      <c r="CG84" s="4" t="s">
        <v>232</v>
      </c>
      <c r="CH84" s="4"/>
    </row>
    <row r="85" customFormat="false" ht="15" hidden="false" customHeight="false" outlineLevel="0" collapsed="false">
      <c r="A85" s="3" t="n">
        <v>83</v>
      </c>
      <c r="B85" s="4" t="s">
        <v>550</v>
      </c>
      <c r="C85" s="5" t="s">
        <v>99</v>
      </c>
      <c r="D85" s="4" t="s">
        <v>551</v>
      </c>
      <c r="E85" s="4" t="s">
        <v>112</v>
      </c>
      <c r="F85" s="4" t="s">
        <v>270</v>
      </c>
      <c r="G85" s="3" t="n">
        <v>1</v>
      </c>
      <c r="H85" s="6" t="n">
        <v>22.4</v>
      </c>
      <c r="I85" s="3" t="n">
        <v>0</v>
      </c>
      <c r="J85" s="3" t="n">
        <v>11</v>
      </c>
      <c r="K85" s="7" t="n">
        <v>229.71</v>
      </c>
      <c r="L85" s="7" t="n">
        <v>32.85</v>
      </c>
      <c r="M85" s="8" t="n">
        <v>150</v>
      </c>
      <c r="N85" s="8" t="n">
        <v>313</v>
      </c>
      <c r="O85" s="7" t="n">
        <v>229.71</v>
      </c>
      <c r="P85" s="6" t="n">
        <v>17.4</v>
      </c>
      <c r="Q85" s="4"/>
      <c r="R85" s="8"/>
      <c r="S85" s="6"/>
      <c r="T85" s="7"/>
      <c r="U85" s="6"/>
      <c r="V85" s="6"/>
      <c r="W85" s="8"/>
      <c r="X85" s="7"/>
      <c r="Y85" s="9"/>
      <c r="Z85" s="6"/>
      <c r="AA85" s="6"/>
      <c r="AB85" s="6"/>
      <c r="AC85" s="10"/>
      <c r="AD85" s="10"/>
      <c r="AE85" s="7"/>
      <c r="AF85" s="8"/>
      <c r="AG85" s="10"/>
      <c r="AH85" s="8"/>
      <c r="AI85" s="8"/>
      <c r="AJ85" s="6"/>
      <c r="AK85" s="10"/>
      <c r="AL85" s="10"/>
      <c r="AM85" s="9"/>
      <c r="AN85" s="8"/>
      <c r="AO85" s="10"/>
      <c r="AP85" s="8"/>
      <c r="AQ85" s="7"/>
      <c r="AR85" s="6"/>
      <c r="AS85" s="7"/>
      <c r="AT85" s="7"/>
      <c r="AU85" s="7"/>
      <c r="AV85" s="7"/>
      <c r="AW85" s="7"/>
      <c r="AX85" s="10"/>
      <c r="AY85" s="8"/>
      <c r="AZ85" s="8"/>
      <c r="BA85" s="8"/>
      <c r="BB85" s="8"/>
      <c r="BC85" s="7"/>
      <c r="BD85" s="7"/>
      <c r="BE85" s="9"/>
      <c r="BF85" s="6" t="n">
        <v>62.4</v>
      </c>
      <c r="BG85" s="6" t="n">
        <v>52.7</v>
      </c>
      <c r="BH85" s="6" t="n">
        <v>66.9</v>
      </c>
      <c r="BI85" s="7" t="n">
        <v>3.071</v>
      </c>
      <c r="BJ85" s="10" t="n">
        <v>0.1627</v>
      </c>
      <c r="BK85" s="10" t="n">
        <v>0.523809523809524</v>
      </c>
      <c r="BL85" s="7" t="n">
        <v>2.522</v>
      </c>
      <c r="BM85" s="10" t="n">
        <v>0.2037</v>
      </c>
      <c r="BN85" s="10" t="n">
        <v>0.0494</v>
      </c>
      <c r="BO85" s="7" t="n">
        <v>2.4</v>
      </c>
      <c r="BP85" s="10" t="n">
        <v>0.798</v>
      </c>
      <c r="BQ85" s="8" t="n">
        <v>4</v>
      </c>
      <c r="BR85" s="10" t="n">
        <v>-0.0621</v>
      </c>
      <c r="BS85" s="10" t="n">
        <v>0.549</v>
      </c>
      <c r="BT85" s="6" t="n">
        <v>60.94</v>
      </c>
      <c r="BU85" s="6" t="n">
        <v>38</v>
      </c>
      <c r="BV85" s="7" t="n">
        <v>3.12</v>
      </c>
      <c r="BW85" s="6" t="n">
        <v>20.8</v>
      </c>
      <c r="BX85" s="9" t="n">
        <v>-0.0314</v>
      </c>
      <c r="BY85" s="9" t="n">
        <v>-0.0132</v>
      </c>
      <c r="BZ85" s="8" t="n">
        <v>151</v>
      </c>
      <c r="CA85" s="10" t="n">
        <v>0.291</v>
      </c>
      <c r="CB85" s="8" t="n">
        <v>160</v>
      </c>
      <c r="CC85" s="10" t="n">
        <v>0.335</v>
      </c>
      <c r="CD85" s="8" t="n">
        <v>49</v>
      </c>
      <c r="CE85" s="7"/>
      <c r="CF85" s="7"/>
      <c r="CG85" s="4"/>
      <c r="CH85" s="4" t="s">
        <v>206</v>
      </c>
    </row>
    <row r="86" customFormat="false" ht="15" hidden="false" customHeight="false" outlineLevel="0" collapsed="false">
      <c r="A86" s="3" t="n">
        <v>84</v>
      </c>
      <c r="B86" s="4" t="s">
        <v>554</v>
      </c>
      <c r="C86" s="5" t="s">
        <v>99</v>
      </c>
      <c r="D86" s="4" t="s">
        <v>555</v>
      </c>
      <c r="E86" s="4" t="s">
        <v>265</v>
      </c>
      <c r="F86" s="4" t="s">
        <v>270</v>
      </c>
      <c r="G86" s="3" t="n">
        <v>1</v>
      </c>
      <c r="H86" s="6" t="n">
        <v>24.7</v>
      </c>
      <c r="I86" s="3" t="n">
        <v>2</v>
      </c>
      <c r="J86" s="3" t="n">
        <v>9</v>
      </c>
      <c r="K86" s="7" t="n">
        <v>232.95</v>
      </c>
      <c r="L86" s="7" t="n">
        <v>36.76</v>
      </c>
      <c r="M86" s="8" t="n">
        <v>150</v>
      </c>
      <c r="N86" s="8" t="n">
        <v>328</v>
      </c>
      <c r="O86" s="7" t="n">
        <v>232.95</v>
      </c>
      <c r="P86" s="6" t="n">
        <v>8.8</v>
      </c>
      <c r="Q86" s="4" t="s">
        <v>265</v>
      </c>
      <c r="R86" s="8" t="n">
        <v>17</v>
      </c>
      <c r="S86" s="6" t="n">
        <v>128.1</v>
      </c>
      <c r="T86" s="7" t="n">
        <f aca="false">IFERROR(S86/R86,"")</f>
        <v>7.53529411764706</v>
      </c>
      <c r="U86" s="6" t="n">
        <v>104.1</v>
      </c>
      <c r="V86" s="6" t="n">
        <v>80.1</v>
      </c>
      <c r="W86" s="8" t="n">
        <v>47</v>
      </c>
      <c r="X86" s="7" t="n">
        <f aca="false">IFERROR(S86/AH86,"")</f>
        <v>1.50705882352941</v>
      </c>
      <c r="Y86" s="9" t="n">
        <f aca="false">IFERROR(S86/AF86,"")</f>
        <v>0.203011093502377</v>
      </c>
      <c r="Z86" s="6" t="n">
        <v>2.8</v>
      </c>
      <c r="AA86" s="6" t="n">
        <v>5</v>
      </c>
      <c r="AB86" s="6" t="n">
        <v>15.2</v>
      </c>
      <c r="AC86" s="10" t="n">
        <v>0.059</v>
      </c>
      <c r="AD86" s="10" t="n">
        <v>0.235</v>
      </c>
      <c r="AE86" s="7" t="n">
        <v>1.296</v>
      </c>
      <c r="AF86" s="8" t="n">
        <v>631</v>
      </c>
      <c r="AG86" s="10" t="n">
        <v>0.593</v>
      </c>
      <c r="AH86" s="8" t="n">
        <v>85</v>
      </c>
      <c r="AI86" s="8" t="n">
        <v>74</v>
      </c>
      <c r="AJ86" s="6" t="n">
        <f aca="false">IFERROR(AI86/R86,"")</f>
        <v>4.35294117647059</v>
      </c>
      <c r="AK86" s="10" t="n">
        <v>0.1396</v>
      </c>
      <c r="AL86" s="10" t="n">
        <v>0.1527</v>
      </c>
      <c r="AM86" s="9" t="n">
        <v>0.3163</v>
      </c>
      <c r="AN86" s="8" t="n">
        <v>48</v>
      </c>
      <c r="AO86" s="10" t="n">
        <f aca="false">IFERROR(AN86/AI86,"")</f>
        <v>0.648648648648649</v>
      </c>
      <c r="AP86" s="8" t="n">
        <v>423</v>
      </c>
      <c r="AQ86" s="7" t="n">
        <f aca="false">IFERROR(AP86/AI86,"")</f>
        <v>5.71621621621622</v>
      </c>
      <c r="AR86" s="6" t="n">
        <v>8.095</v>
      </c>
      <c r="AS86" s="7" t="n">
        <v>4.583</v>
      </c>
      <c r="AT86" s="7" t="n">
        <v>0.706</v>
      </c>
      <c r="AU86" s="7" t="n">
        <v>3.80351713375379</v>
      </c>
      <c r="AV86" s="7" t="n">
        <v>6.77223880597015</v>
      </c>
      <c r="AW86" s="7" t="n">
        <v>-0.225931918572091</v>
      </c>
      <c r="AX86" s="10" t="n">
        <v>0.027</v>
      </c>
      <c r="AY86" s="8" t="n">
        <v>16</v>
      </c>
      <c r="AZ86" s="8" t="n">
        <v>7</v>
      </c>
      <c r="BA86" s="8" t="n">
        <v>5</v>
      </c>
      <c r="BB86" s="8" t="n">
        <v>4</v>
      </c>
      <c r="BC86" s="7" t="n">
        <v>5.13</v>
      </c>
      <c r="BD86" s="7" t="n">
        <f aca="false">IFERROR(BB86-BC86,"")</f>
        <v>-1.13</v>
      </c>
      <c r="BE86" s="9" t="n">
        <f aca="false">IFERROR(BB86/AH86,"")</f>
        <v>0.0470588235294118</v>
      </c>
      <c r="BF86" s="6" t="n">
        <v>41.1</v>
      </c>
      <c r="BG86" s="6" t="n">
        <v>58.4</v>
      </c>
      <c r="BH86" s="6" t="n">
        <v>27.6</v>
      </c>
      <c r="BI86" s="7" t="n">
        <v>3.085</v>
      </c>
      <c r="BJ86" s="10" t="n">
        <v>0.1549</v>
      </c>
      <c r="BK86" s="10" t="n">
        <v>0.666666666666667</v>
      </c>
      <c r="BL86" s="7" t="n">
        <v>2.54</v>
      </c>
      <c r="BM86" s="10" t="n">
        <v>0.3175</v>
      </c>
      <c r="BN86" s="10" t="n">
        <v>0.0872</v>
      </c>
      <c r="BO86" s="7" t="n">
        <v>2.389</v>
      </c>
      <c r="BP86" s="10" t="n">
        <v>0.527</v>
      </c>
      <c r="BQ86" s="8" t="n">
        <v>3</v>
      </c>
      <c r="BR86" s="10" t="n">
        <v>-0.0385</v>
      </c>
      <c r="BS86" s="10" t="n">
        <v>0.5401</v>
      </c>
      <c r="BT86" s="6" t="n">
        <v>58.53</v>
      </c>
      <c r="BU86" s="6" t="n">
        <v>40</v>
      </c>
      <c r="BV86" s="7" t="n">
        <v>2.06</v>
      </c>
      <c r="BW86" s="6" t="n">
        <v>16.7</v>
      </c>
      <c r="BX86" s="9" t="n">
        <v>-0.0573</v>
      </c>
      <c r="BY86" s="9" t="n">
        <v>-0.2208</v>
      </c>
      <c r="BZ86" s="8" t="n">
        <v>152</v>
      </c>
      <c r="CA86" s="10" t="n">
        <v>0.287</v>
      </c>
      <c r="CB86" s="8" t="n">
        <v>0</v>
      </c>
      <c r="CC86" s="10" t="n">
        <v>0</v>
      </c>
      <c r="CD86" s="8" t="n">
        <v>8</v>
      </c>
      <c r="CE86" s="7" t="n">
        <v>0.95</v>
      </c>
      <c r="CF86" s="7" t="n">
        <v>0.249</v>
      </c>
      <c r="CG86" s="4" t="s">
        <v>232</v>
      </c>
      <c r="CH86" s="4"/>
    </row>
    <row r="87" customFormat="false" ht="15" hidden="false" customHeight="false" outlineLevel="0" collapsed="false">
      <c r="A87" s="3" t="n">
        <v>85</v>
      </c>
      <c r="B87" s="4" t="s">
        <v>558</v>
      </c>
      <c r="C87" s="5" t="s">
        <v>99</v>
      </c>
      <c r="D87" s="4" t="s">
        <v>559</v>
      </c>
      <c r="E87" s="4" t="s">
        <v>284</v>
      </c>
      <c r="F87" s="4" t="s">
        <v>99</v>
      </c>
      <c r="G87" s="3" t="n">
        <v>4</v>
      </c>
      <c r="H87" s="6" t="n">
        <v>22.7</v>
      </c>
      <c r="I87" s="3" t="n">
        <v>0</v>
      </c>
      <c r="J87" s="3" t="n">
        <v>9</v>
      </c>
      <c r="K87" s="7" t="n">
        <v>236.01</v>
      </c>
      <c r="L87" s="7" t="n">
        <v>31.72</v>
      </c>
      <c r="M87" s="8" t="n">
        <v>173</v>
      </c>
      <c r="N87" s="8" t="n">
        <v>319</v>
      </c>
      <c r="O87" s="7" t="n">
        <v>236.01</v>
      </c>
      <c r="P87" s="6" t="n">
        <v>13.3</v>
      </c>
      <c r="Q87" s="4"/>
      <c r="R87" s="8"/>
      <c r="S87" s="6"/>
      <c r="T87" s="7"/>
      <c r="U87" s="6"/>
      <c r="V87" s="6"/>
      <c r="W87" s="8"/>
      <c r="X87" s="7"/>
      <c r="Y87" s="9"/>
      <c r="Z87" s="6"/>
      <c r="AA87" s="6"/>
      <c r="AB87" s="6"/>
      <c r="AC87" s="10"/>
      <c r="AD87" s="10"/>
      <c r="AE87" s="7"/>
      <c r="AF87" s="8"/>
      <c r="AG87" s="10"/>
      <c r="AH87" s="8"/>
      <c r="AI87" s="8"/>
      <c r="AJ87" s="6"/>
      <c r="AK87" s="10"/>
      <c r="AL87" s="10"/>
      <c r="AM87" s="9"/>
      <c r="AN87" s="8"/>
      <c r="AO87" s="10"/>
      <c r="AP87" s="8"/>
      <c r="AQ87" s="7"/>
      <c r="AR87" s="6"/>
      <c r="AS87" s="7"/>
      <c r="AT87" s="7"/>
      <c r="AU87" s="7"/>
      <c r="AV87" s="7"/>
      <c r="AW87" s="7"/>
      <c r="AX87" s="10"/>
      <c r="AY87" s="8"/>
      <c r="AZ87" s="8"/>
      <c r="BA87" s="8"/>
      <c r="BB87" s="8"/>
      <c r="BC87" s="7"/>
      <c r="BD87" s="7"/>
      <c r="BE87" s="9"/>
      <c r="BF87" s="6" t="n">
        <v>57.4</v>
      </c>
      <c r="BG87" s="6" t="n">
        <v>46.5</v>
      </c>
      <c r="BH87" s="6" t="n">
        <v>65.1</v>
      </c>
      <c r="BI87" s="7" t="n">
        <v>2.87</v>
      </c>
      <c r="BJ87" s="10" t="n">
        <v>0.172</v>
      </c>
      <c r="BK87" s="10" t="n">
        <v>0.68</v>
      </c>
      <c r="BL87" s="7" t="n">
        <v>2.285</v>
      </c>
      <c r="BM87" s="10" t="n">
        <v>0.1636</v>
      </c>
      <c r="BN87" s="10" t="n">
        <v>0.0526</v>
      </c>
      <c r="BO87" s="7" t="n">
        <v>2.209</v>
      </c>
      <c r="BP87" s="10" t="n">
        <v>0.824</v>
      </c>
      <c r="BQ87" s="8" t="n">
        <v>5</v>
      </c>
      <c r="BR87" s="10" t="n">
        <v>-0.007</v>
      </c>
      <c r="BS87" s="10" t="n">
        <v>0.5795</v>
      </c>
      <c r="BT87" s="6" t="n">
        <v>57.35</v>
      </c>
      <c r="BU87" s="6" t="n">
        <v>40</v>
      </c>
      <c r="BV87" s="7" t="n">
        <v>3</v>
      </c>
      <c r="BW87" s="6" t="n">
        <v>23.4</v>
      </c>
      <c r="BX87" s="9" t="n">
        <v>0.0188</v>
      </c>
      <c r="BY87" s="9" t="n">
        <v>0.0312</v>
      </c>
      <c r="BZ87" s="8" t="n">
        <v>179</v>
      </c>
      <c r="CA87" s="10" t="n">
        <v>0.343</v>
      </c>
      <c r="CB87" s="8" t="n">
        <v>129</v>
      </c>
      <c r="CC87" s="10" t="n">
        <v>0.317</v>
      </c>
      <c r="CD87" s="8" t="n">
        <v>59</v>
      </c>
      <c r="CE87" s="7"/>
      <c r="CF87" s="7"/>
      <c r="CG87" s="4"/>
      <c r="CH87" s="4" t="s">
        <v>206</v>
      </c>
    </row>
    <row r="88" customFormat="false" ht="15" hidden="false" customHeight="false" outlineLevel="0" collapsed="false">
      <c r="A88" s="3" t="n">
        <v>86</v>
      </c>
      <c r="B88" s="4" t="s">
        <v>564</v>
      </c>
      <c r="C88" s="5" t="s">
        <v>99</v>
      </c>
      <c r="D88" s="4" t="s">
        <v>565</v>
      </c>
      <c r="E88" s="4" t="s">
        <v>265</v>
      </c>
      <c r="F88" s="4" t="s">
        <v>99</v>
      </c>
      <c r="G88" s="3" t="n">
        <v>5</v>
      </c>
      <c r="H88" s="6" t="n">
        <v>23.2</v>
      </c>
      <c r="I88" s="3" t="n">
        <v>2</v>
      </c>
      <c r="J88" s="3" t="n">
        <v>9</v>
      </c>
      <c r="K88" s="7" t="n">
        <v>242.52</v>
      </c>
      <c r="L88" s="7" t="n">
        <v>36.68</v>
      </c>
      <c r="M88" s="8" t="n">
        <v>168</v>
      </c>
      <c r="N88" s="8" t="n">
        <v>344</v>
      </c>
      <c r="O88" s="7" t="n">
        <v>242.52</v>
      </c>
      <c r="P88" s="6" t="n">
        <v>6.6</v>
      </c>
      <c r="Q88" s="4" t="s">
        <v>265</v>
      </c>
      <c r="R88" s="8" t="n">
        <v>16</v>
      </c>
      <c r="S88" s="6" t="n">
        <v>116.5</v>
      </c>
      <c r="T88" s="7" t="n">
        <f aca="false">IFERROR(S88/R88,"")</f>
        <v>7.28125</v>
      </c>
      <c r="U88" s="6" t="n">
        <v>96</v>
      </c>
      <c r="V88" s="6" t="n">
        <v>75.5</v>
      </c>
      <c r="W88" s="8" t="n">
        <v>53</v>
      </c>
      <c r="X88" s="7" t="n">
        <f aca="false">IFERROR(S88/AH88,"")</f>
        <v>1.30898876404494</v>
      </c>
      <c r="Y88" s="9" t="n">
        <f aca="false">IFERROR(S88/AF88,"")</f>
        <v>0.148030495552732</v>
      </c>
      <c r="Z88" s="6" t="n">
        <v>3.68</v>
      </c>
      <c r="AA88" s="6" t="n">
        <v>7</v>
      </c>
      <c r="AB88" s="6" t="n">
        <v>12.58</v>
      </c>
      <c r="AC88" s="10" t="n">
        <v>0</v>
      </c>
      <c r="AD88" s="10" t="n">
        <v>0.062</v>
      </c>
      <c r="AE88" s="7" t="n">
        <v>0.606</v>
      </c>
      <c r="AF88" s="8" t="n">
        <v>787</v>
      </c>
      <c r="AG88" s="10" t="n">
        <v>0.806</v>
      </c>
      <c r="AH88" s="8" t="n">
        <v>89</v>
      </c>
      <c r="AI88" s="8" t="n">
        <v>89</v>
      </c>
      <c r="AJ88" s="6" t="n">
        <f aca="false">IFERROR(AI88/R88,"")</f>
        <v>5.5625</v>
      </c>
      <c r="AK88" s="10" t="n">
        <v>0.1809</v>
      </c>
      <c r="AL88" s="10" t="n">
        <v>0.302</v>
      </c>
      <c r="AM88" s="9" t="n">
        <v>0.4828</v>
      </c>
      <c r="AN88" s="8" t="n">
        <v>41</v>
      </c>
      <c r="AO88" s="10" t="n">
        <f aca="false">IFERROR(AN88/AI88,"")</f>
        <v>0.460674157303371</v>
      </c>
      <c r="AP88" s="8" t="n">
        <v>515</v>
      </c>
      <c r="AQ88" s="7" t="n">
        <f aca="false">IFERROR(AP88/AI88,"")</f>
        <v>5.78651685393258</v>
      </c>
      <c r="AR88" s="6" t="n">
        <v>12.652</v>
      </c>
      <c r="AS88" s="7" t="n">
        <v>2.805</v>
      </c>
      <c r="AT88" s="7" t="n">
        <v>0.457</v>
      </c>
      <c r="AU88" s="7" t="n">
        <v>2.65747993512358</v>
      </c>
      <c r="AV88" s="7" t="n">
        <v>5.82084337349398</v>
      </c>
      <c r="AW88" s="7" t="n">
        <v>-0.128995775222342</v>
      </c>
      <c r="AX88" s="10" t="n">
        <v>0.0562</v>
      </c>
      <c r="AY88" s="8" t="n">
        <v>8</v>
      </c>
      <c r="AZ88" s="8" t="n">
        <v>6</v>
      </c>
      <c r="BA88" s="8" t="n">
        <v>1</v>
      </c>
      <c r="BB88" s="8" t="n">
        <v>4</v>
      </c>
      <c r="BC88" s="7" t="n">
        <v>3.45</v>
      </c>
      <c r="BD88" s="7" t="n">
        <f aca="false">IFERROR(BB88-BC88,"")</f>
        <v>0.55</v>
      </c>
      <c r="BE88" s="9" t="n">
        <f aca="false">IFERROR(BB88/AH88,"")</f>
        <v>0.0449438202247191</v>
      </c>
      <c r="BF88" s="6" t="n">
        <v>41.1</v>
      </c>
      <c r="BG88" s="6" t="n">
        <v>58.4</v>
      </c>
      <c r="BH88" s="6" t="n">
        <v>27.6</v>
      </c>
      <c r="BI88" s="7" t="n">
        <v>3.085</v>
      </c>
      <c r="BJ88" s="10" t="n">
        <v>0.1549</v>
      </c>
      <c r="BK88" s="10" t="n">
        <v>0.666666666666667</v>
      </c>
      <c r="BL88" s="7" t="n">
        <v>2.54</v>
      </c>
      <c r="BM88" s="10" t="n">
        <v>0.3175</v>
      </c>
      <c r="BN88" s="10" t="n">
        <v>0.0872</v>
      </c>
      <c r="BO88" s="7" t="n">
        <v>2.389</v>
      </c>
      <c r="BP88" s="10" t="n">
        <v>0.527</v>
      </c>
      <c r="BQ88" s="8" t="n">
        <v>3</v>
      </c>
      <c r="BR88" s="10" t="n">
        <v>-0.0385</v>
      </c>
      <c r="BS88" s="10" t="n">
        <v>0.5401</v>
      </c>
      <c r="BT88" s="6" t="n">
        <v>58.53</v>
      </c>
      <c r="BU88" s="6" t="n">
        <v>40</v>
      </c>
      <c r="BV88" s="7" t="n">
        <v>2.06</v>
      </c>
      <c r="BW88" s="6" t="n">
        <v>16.7</v>
      </c>
      <c r="BX88" s="9" t="n">
        <v>-0.0573</v>
      </c>
      <c r="BY88" s="9" t="n">
        <v>-0.2208</v>
      </c>
      <c r="BZ88" s="8" t="n">
        <v>152</v>
      </c>
      <c r="CA88" s="10" t="n">
        <v>0.287</v>
      </c>
      <c r="CB88" s="8" t="n">
        <v>0</v>
      </c>
      <c r="CC88" s="10" t="n">
        <v>0</v>
      </c>
      <c r="CD88" s="8" t="n">
        <v>8</v>
      </c>
      <c r="CE88" s="7" t="n">
        <v>0.758</v>
      </c>
      <c r="CF88" s="7" t="n">
        <v>0.232</v>
      </c>
      <c r="CG88" s="4" t="s">
        <v>232</v>
      </c>
      <c r="CH88" s="4"/>
    </row>
    <row r="89" customFormat="false" ht="15" hidden="false" customHeight="false" outlineLevel="0" collapsed="false">
      <c r="A89" s="3" t="n">
        <v>87</v>
      </c>
      <c r="B89" s="4" t="s">
        <v>570</v>
      </c>
      <c r="C89" s="5" t="s">
        <v>99</v>
      </c>
      <c r="D89" s="4" t="s">
        <v>571</v>
      </c>
      <c r="E89" s="4" t="s">
        <v>142</v>
      </c>
      <c r="F89" s="4" t="s">
        <v>99</v>
      </c>
      <c r="G89" s="3" t="n">
        <v>4</v>
      </c>
      <c r="H89" s="6" t="n">
        <v>23.7</v>
      </c>
      <c r="I89" s="3" t="n">
        <v>2</v>
      </c>
      <c r="J89" s="3" t="n">
        <v>13</v>
      </c>
      <c r="K89" s="7" t="n">
        <v>244</v>
      </c>
      <c r="L89" s="7" t="n">
        <v>26.3</v>
      </c>
      <c r="M89" s="8" t="n">
        <v>178</v>
      </c>
      <c r="N89" s="8" t="n">
        <v>331</v>
      </c>
      <c r="O89" s="7" t="n">
        <v>244</v>
      </c>
      <c r="P89" s="6" t="n">
        <v>7.1</v>
      </c>
      <c r="Q89" s="4" t="s">
        <v>142</v>
      </c>
      <c r="R89" s="8" t="n">
        <v>14</v>
      </c>
      <c r="S89" s="6" t="n">
        <v>42.4</v>
      </c>
      <c r="T89" s="7" t="n">
        <f aca="false">IFERROR(S89/R89,"")</f>
        <v>3.02857142857143</v>
      </c>
      <c r="U89" s="6" t="n">
        <v>32.4</v>
      </c>
      <c r="V89" s="6" t="n">
        <v>22.4</v>
      </c>
      <c r="W89" s="8" t="n">
        <v>85</v>
      </c>
      <c r="X89" s="7" t="n">
        <f aca="false">IFERROR(S89/AH89,"")</f>
        <v>1.46206896551724</v>
      </c>
      <c r="Y89" s="9" t="n">
        <f aca="false">IFERROR(S89/AF89,"")</f>
        <v>0.123615160349854</v>
      </c>
      <c r="Z89" s="6" t="n">
        <v>0</v>
      </c>
      <c r="AA89" s="6" t="n">
        <v>3.3</v>
      </c>
      <c r="AB89" s="6" t="n">
        <v>5.82</v>
      </c>
      <c r="AC89" s="10" t="n">
        <v>0</v>
      </c>
      <c r="AD89" s="10" t="n">
        <v>0.385</v>
      </c>
      <c r="AE89" s="7" t="n">
        <v>0.96</v>
      </c>
      <c r="AF89" s="8" t="n">
        <v>343</v>
      </c>
      <c r="AG89" s="10" t="n">
        <v>0.398</v>
      </c>
      <c r="AH89" s="8" t="n">
        <v>29</v>
      </c>
      <c r="AI89" s="8" t="n">
        <v>29</v>
      </c>
      <c r="AJ89" s="6" t="n">
        <f aca="false">IFERROR(AI89/R89,"")</f>
        <v>2.07142857142857</v>
      </c>
      <c r="AK89" s="10" t="n">
        <v>0.0845</v>
      </c>
      <c r="AL89" s="10" t="n">
        <v>0.1083</v>
      </c>
      <c r="AM89" s="9" t="n">
        <v>0.2026</v>
      </c>
      <c r="AN89" s="8" t="n">
        <v>20</v>
      </c>
      <c r="AO89" s="10" t="n">
        <f aca="false">IFERROR(AN89/AI89,"")</f>
        <v>0.689655172413793</v>
      </c>
      <c r="AP89" s="8" t="n">
        <v>224</v>
      </c>
      <c r="AQ89" s="7" t="n">
        <f aca="false">IFERROR(AP89/AI89,"")</f>
        <v>7.72413793103448</v>
      </c>
      <c r="AR89" s="6" t="n">
        <v>8.276</v>
      </c>
      <c r="AS89" s="7" t="n">
        <v>3.4</v>
      </c>
      <c r="AT89" s="7" t="n">
        <v>0.933</v>
      </c>
      <c r="AU89" s="7"/>
      <c r="AV89" s="7"/>
      <c r="AW89" s="7"/>
      <c r="AX89" s="10" t="n">
        <v>0.0345</v>
      </c>
      <c r="AY89" s="8" t="n">
        <v>4</v>
      </c>
      <c r="AZ89" s="8" t="n">
        <v>1</v>
      </c>
      <c r="BA89" s="8" t="n">
        <v>0</v>
      </c>
      <c r="BB89" s="8" t="n">
        <v>0</v>
      </c>
      <c r="BC89" s="7" t="n">
        <v>0.87</v>
      </c>
      <c r="BD89" s="7" t="n">
        <f aca="false">IFERROR(BB89-BC89,"")</f>
        <v>-0.87</v>
      </c>
      <c r="BE89" s="9" t="n">
        <f aca="false">IFERROR(BB89/AH89,"")</f>
        <v>0</v>
      </c>
      <c r="BF89" s="6" t="n">
        <v>15.2</v>
      </c>
      <c r="BG89" s="6" t="n">
        <v>7.8</v>
      </c>
      <c r="BH89" s="6" t="n">
        <v>37.5</v>
      </c>
      <c r="BI89" s="7" t="n">
        <v>2.49</v>
      </c>
      <c r="BJ89" s="10" t="n">
        <v>0.2502</v>
      </c>
      <c r="BK89" s="10" t="n">
        <v>0.366666666666667</v>
      </c>
      <c r="BL89" s="7" t="n">
        <v>1.629</v>
      </c>
      <c r="BM89" s="10" t="n">
        <v>0.2641</v>
      </c>
      <c r="BN89" s="10" t="n">
        <v>0.1019</v>
      </c>
      <c r="BO89" s="7" t="n">
        <v>2.487</v>
      </c>
      <c r="BP89" s="10" t="n">
        <v>0.384</v>
      </c>
      <c r="BQ89" s="8" t="n">
        <v>2</v>
      </c>
      <c r="BR89" s="10" t="n">
        <v>-0.0175</v>
      </c>
      <c r="BS89" s="10" t="n">
        <v>0.5679</v>
      </c>
      <c r="BT89" s="6" t="n">
        <v>55.41</v>
      </c>
      <c r="BU89" s="6" t="n">
        <v>38</v>
      </c>
      <c r="BV89" s="7" t="n">
        <v>2.24</v>
      </c>
      <c r="BW89" s="6" t="n">
        <v>14.2</v>
      </c>
      <c r="BX89" s="9" t="n">
        <v>-0.2605</v>
      </c>
      <c r="BY89" s="9" t="n">
        <v>-0.187</v>
      </c>
      <c r="BZ89" s="8" t="n">
        <v>55</v>
      </c>
      <c r="CA89" s="10" t="n">
        <v>0.111</v>
      </c>
      <c r="CB89" s="8" t="n">
        <v>58</v>
      </c>
      <c r="CC89" s="10" t="n">
        <v>0.157</v>
      </c>
      <c r="CD89" s="8" t="n">
        <v>13</v>
      </c>
      <c r="CE89" s="7" t="n">
        <v>-0.609</v>
      </c>
      <c r="CF89" s="7" t="n">
        <v>-0.653</v>
      </c>
      <c r="CG89" s="4" t="s">
        <v>121</v>
      </c>
      <c r="CH89" s="4"/>
    </row>
    <row r="90" customFormat="false" ht="15" hidden="false" customHeight="false" outlineLevel="0" collapsed="false">
      <c r="A90" s="3" t="n">
        <v>88</v>
      </c>
      <c r="B90" s="4" t="s">
        <v>572</v>
      </c>
      <c r="C90" s="5" t="s">
        <v>99</v>
      </c>
      <c r="D90" s="4" t="s">
        <v>573</v>
      </c>
      <c r="E90" s="4" t="s">
        <v>147</v>
      </c>
      <c r="F90" s="4" t="s">
        <v>270</v>
      </c>
      <c r="G90" s="3" t="n">
        <v>2</v>
      </c>
      <c r="H90" s="6" t="n">
        <v>23.3</v>
      </c>
      <c r="I90" s="3" t="n">
        <v>3</v>
      </c>
      <c r="J90" s="3" t="n">
        <v>7</v>
      </c>
      <c r="K90" s="7" t="n">
        <v>244.59</v>
      </c>
      <c r="L90" s="7" t="n">
        <v>31.75</v>
      </c>
      <c r="M90" s="8" t="n">
        <v>140</v>
      </c>
      <c r="N90" s="8" t="n">
        <v>331</v>
      </c>
      <c r="O90" s="7" t="n">
        <v>244.59</v>
      </c>
      <c r="P90" s="6" t="n">
        <v>7.5</v>
      </c>
      <c r="Q90" s="4" t="s">
        <v>147</v>
      </c>
      <c r="R90" s="8" t="n">
        <v>12</v>
      </c>
      <c r="S90" s="6" t="n">
        <v>102.4</v>
      </c>
      <c r="T90" s="7" t="n">
        <f aca="false">IFERROR(S90/R90,"")</f>
        <v>8.53333333333333</v>
      </c>
      <c r="U90" s="6" t="n">
        <v>83.4</v>
      </c>
      <c r="V90" s="6" t="n">
        <v>64.4</v>
      </c>
      <c r="W90" s="8" t="n">
        <v>58</v>
      </c>
      <c r="X90" s="7" t="n">
        <f aca="false">IFERROR(S90/AH90,"")</f>
        <v>1.73559322033898</v>
      </c>
      <c r="Y90" s="9" t="n">
        <f aca="false">IFERROR(S90/AF90,"")</f>
        <v>0.177777777777778</v>
      </c>
      <c r="Z90" s="6" t="n">
        <v>4.78</v>
      </c>
      <c r="AA90" s="6" t="n">
        <v>6.75</v>
      </c>
      <c r="AB90" s="6" t="n">
        <v>11.46</v>
      </c>
      <c r="AC90" s="10" t="n">
        <v>0.083</v>
      </c>
      <c r="AD90" s="10" t="n">
        <v>0</v>
      </c>
      <c r="AE90" s="7" t="n">
        <v>0.896</v>
      </c>
      <c r="AF90" s="8" t="n">
        <v>576</v>
      </c>
      <c r="AG90" s="10" t="n">
        <v>0.652</v>
      </c>
      <c r="AH90" s="8" t="n">
        <v>59</v>
      </c>
      <c r="AI90" s="8" t="n">
        <v>59</v>
      </c>
      <c r="AJ90" s="6" t="n">
        <f aca="false">IFERROR(AI90/R90,"")</f>
        <v>4.91666666666667</v>
      </c>
      <c r="AK90" s="10" t="n">
        <v>0.1735</v>
      </c>
      <c r="AL90" s="10" t="n">
        <v>0.2758</v>
      </c>
      <c r="AM90" s="9" t="n">
        <v>0.4533</v>
      </c>
      <c r="AN90" s="8" t="n">
        <v>38</v>
      </c>
      <c r="AO90" s="10" t="n">
        <f aca="false">IFERROR(AN90/AI90,"")</f>
        <v>0.644067796610169</v>
      </c>
      <c r="AP90" s="8" t="n">
        <v>404</v>
      </c>
      <c r="AQ90" s="7" t="n">
        <f aca="false">IFERROR(AP90/AI90,"")</f>
        <v>6.84745762711864</v>
      </c>
      <c r="AR90" s="6" t="n">
        <v>11.169</v>
      </c>
      <c r="AS90" s="7" t="n">
        <v>2.316</v>
      </c>
      <c r="AT90" s="7" t="n">
        <v>0.613</v>
      </c>
      <c r="AU90" s="7" t="n">
        <v>2.77588662494268</v>
      </c>
      <c r="AV90" s="7" t="n">
        <v>5.70762711864407</v>
      </c>
      <c r="AW90" s="7" t="n">
        <v>-0.39696735661699</v>
      </c>
      <c r="AX90" s="10" t="n">
        <v>0.0508</v>
      </c>
      <c r="AY90" s="8" t="n">
        <v>9</v>
      </c>
      <c r="AZ90" s="8" t="n">
        <v>6</v>
      </c>
      <c r="BA90" s="8" t="n">
        <v>3</v>
      </c>
      <c r="BB90" s="8" t="n">
        <v>4</v>
      </c>
      <c r="BC90" s="7" t="n">
        <v>3.64</v>
      </c>
      <c r="BD90" s="7" t="n">
        <f aca="false">IFERROR(BB90-BC90,"")</f>
        <v>0.36</v>
      </c>
      <c r="BE90" s="9" t="n">
        <f aca="false">IFERROR(BB90/AH90,"")</f>
        <v>0.0677966101694915</v>
      </c>
      <c r="BF90" s="6" t="n">
        <v>73.6</v>
      </c>
      <c r="BG90" s="6" t="n">
        <v>72.8</v>
      </c>
      <c r="BH90" s="6" t="n">
        <v>64.4</v>
      </c>
      <c r="BI90" s="7" t="n">
        <v>3.397</v>
      </c>
      <c r="BJ90" s="10" t="n">
        <v>0.1265</v>
      </c>
      <c r="BK90" s="10" t="n">
        <v>0.540540540540541</v>
      </c>
      <c r="BL90" s="7" t="n">
        <v>2.905</v>
      </c>
      <c r="BM90" s="10" t="n">
        <v>0.2</v>
      </c>
      <c r="BN90" s="10" t="n">
        <v>0.0702</v>
      </c>
      <c r="BO90" s="7" t="n">
        <v>2.507</v>
      </c>
      <c r="BP90" s="10" t="n">
        <v>0.763</v>
      </c>
      <c r="BQ90" s="8" t="n">
        <v>4</v>
      </c>
      <c r="BR90" s="10" t="n">
        <v>-0.0352</v>
      </c>
      <c r="BS90" s="10" t="n">
        <v>0.5028</v>
      </c>
      <c r="BT90" s="6" t="n">
        <v>62.65</v>
      </c>
      <c r="BU90" s="6" t="n">
        <v>40</v>
      </c>
      <c r="BV90" s="7" t="n">
        <v>4</v>
      </c>
      <c r="BW90" s="6" t="n">
        <v>28.3</v>
      </c>
      <c r="BX90" s="9" t="n">
        <v>0.1102</v>
      </c>
      <c r="BY90" s="9" t="n">
        <v>0.1599</v>
      </c>
      <c r="BZ90" s="8" t="n">
        <v>19</v>
      </c>
      <c r="CA90" s="10" t="n">
        <v>0.04</v>
      </c>
      <c r="CB90" s="8" t="n">
        <v>17</v>
      </c>
      <c r="CC90" s="10" t="n">
        <v>0.031</v>
      </c>
      <c r="CD90" s="8" t="n">
        <v>2</v>
      </c>
      <c r="CE90" s="7" t="n">
        <v>0.61</v>
      </c>
      <c r="CF90" s="7" t="n">
        <v>0.697</v>
      </c>
      <c r="CG90" s="4" t="s">
        <v>232</v>
      </c>
      <c r="CH90" s="4"/>
    </row>
    <row r="91" customFormat="false" ht="15" hidden="false" customHeight="false" outlineLevel="0" collapsed="false">
      <c r="A91" s="3" t="n">
        <v>89</v>
      </c>
      <c r="B91" s="4" t="s">
        <v>574</v>
      </c>
      <c r="C91" s="5" t="s">
        <v>99</v>
      </c>
      <c r="D91" s="4" t="s">
        <v>575</v>
      </c>
      <c r="E91" s="4" t="s">
        <v>124</v>
      </c>
      <c r="F91" s="4" t="s">
        <v>99</v>
      </c>
      <c r="G91" s="3" t="n">
        <v>13</v>
      </c>
      <c r="H91" s="6" t="n">
        <v>28.4</v>
      </c>
      <c r="I91" s="3" t="n">
        <v>6</v>
      </c>
      <c r="J91" s="3" t="n">
        <v>8</v>
      </c>
      <c r="K91" s="7" t="n">
        <v>245.86</v>
      </c>
      <c r="L91" s="7" t="n">
        <v>54.98</v>
      </c>
      <c r="M91" s="8" t="n">
        <v>128</v>
      </c>
      <c r="N91" s="8" t="n">
        <v>348</v>
      </c>
      <c r="O91" s="7" t="n">
        <v>245.86</v>
      </c>
      <c r="P91" s="6" t="n">
        <v>13.9</v>
      </c>
      <c r="Q91" s="4"/>
      <c r="R91" s="8"/>
      <c r="S91" s="6"/>
      <c r="T91" s="7"/>
      <c r="U91" s="6"/>
      <c r="V91" s="6"/>
      <c r="W91" s="8"/>
      <c r="X91" s="7"/>
      <c r="Y91" s="9"/>
      <c r="Z91" s="6"/>
      <c r="AA91" s="6"/>
      <c r="AB91" s="6"/>
      <c r="AC91" s="10"/>
      <c r="AD91" s="10"/>
      <c r="AE91" s="7"/>
      <c r="AF91" s="8"/>
      <c r="AG91" s="10"/>
      <c r="AH91" s="8" t="n">
        <v>0</v>
      </c>
      <c r="AI91" s="8"/>
      <c r="AJ91" s="6"/>
      <c r="AK91" s="10"/>
      <c r="AL91" s="10"/>
      <c r="AM91" s="9"/>
      <c r="AN91" s="8"/>
      <c r="AO91" s="10"/>
      <c r="AP91" s="8"/>
      <c r="AQ91" s="7"/>
      <c r="AR91" s="6"/>
      <c r="AS91" s="7"/>
      <c r="AT91" s="7"/>
      <c r="AU91" s="7"/>
      <c r="AV91" s="7"/>
      <c r="AW91" s="7"/>
      <c r="AX91" s="10"/>
      <c r="AY91" s="8"/>
      <c r="AZ91" s="8"/>
      <c r="BA91" s="8"/>
      <c r="BB91" s="8"/>
      <c r="BC91" s="7"/>
      <c r="BD91" s="7"/>
      <c r="BE91" s="9"/>
      <c r="BF91" s="6" t="n">
        <v>63.3</v>
      </c>
      <c r="BG91" s="6" t="n">
        <v>46.4</v>
      </c>
      <c r="BH91" s="6" t="n">
        <v>74.5</v>
      </c>
      <c r="BI91" s="7" t="n">
        <v>2.906</v>
      </c>
      <c r="BJ91" s="10" t="n">
        <v>0.1848</v>
      </c>
      <c r="BK91" s="10" t="n">
        <v>0.655172413793103</v>
      </c>
      <c r="BL91" s="7" t="n">
        <v>2.349</v>
      </c>
      <c r="BM91" s="10" t="n">
        <v>0.2125</v>
      </c>
      <c r="BN91" s="10" t="n">
        <v>0.0428</v>
      </c>
      <c r="BO91" s="7" t="n">
        <v>2.547</v>
      </c>
      <c r="BP91" s="10" t="n">
        <v>0.852</v>
      </c>
      <c r="BQ91" s="8" t="n">
        <v>4</v>
      </c>
      <c r="BR91" s="10" t="n">
        <v>-0.0088</v>
      </c>
      <c r="BS91" s="10" t="n">
        <v>0.5521</v>
      </c>
      <c r="BT91" s="6" t="n">
        <v>62.65</v>
      </c>
      <c r="BU91" s="6" t="n">
        <v>38</v>
      </c>
      <c r="BV91" s="7" t="n">
        <v>3.88</v>
      </c>
      <c r="BW91" s="6" t="n">
        <v>25.7</v>
      </c>
      <c r="BX91" s="9" t="n">
        <v>-0.0044</v>
      </c>
      <c r="BY91" s="9" t="n">
        <v>0.1587</v>
      </c>
      <c r="BZ91" s="8" t="n">
        <v>170</v>
      </c>
      <c r="CA91" s="10" t="n">
        <v>0.309</v>
      </c>
      <c r="CB91" s="8" t="n">
        <v>94</v>
      </c>
      <c r="CC91" s="10" t="n">
        <v>0.195</v>
      </c>
      <c r="CD91" s="8" t="n">
        <v>38</v>
      </c>
      <c r="CE91" s="7"/>
      <c r="CF91" s="7"/>
      <c r="CG91" s="4"/>
      <c r="CH91" s="4" t="s">
        <v>354</v>
      </c>
    </row>
    <row r="92" customFormat="false" ht="15" hidden="false" customHeight="false" outlineLevel="0" collapsed="false">
      <c r="A92" s="3" t="n">
        <v>90</v>
      </c>
      <c r="B92" s="4" t="s">
        <v>580</v>
      </c>
      <c r="C92" s="5" t="s">
        <v>99</v>
      </c>
      <c r="D92" s="4" t="s">
        <v>581</v>
      </c>
      <c r="E92" s="4" t="s">
        <v>161</v>
      </c>
      <c r="F92" s="4" t="s">
        <v>99</v>
      </c>
      <c r="G92" s="3" t="n">
        <v>5</v>
      </c>
      <c r="H92" s="6" t="n">
        <v>22.2</v>
      </c>
      <c r="I92" s="3" t="n">
        <v>0</v>
      </c>
      <c r="J92" s="3" t="n">
        <v>6</v>
      </c>
      <c r="K92" s="7" t="n">
        <v>249.16</v>
      </c>
      <c r="L92" s="7" t="n">
        <v>30.46</v>
      </c>
      <c r="M92" s="8" t="n">
        <v>170</v>
      </c>
      <c r="N92" s="8" t="n">
        <v>311</v>
      </c>
      <c r="O92" s="7" t="n">
        <v>249.16</v>
      </c>
      <c r="P92" s="6" t="n">
        <v>13</v>
      </c>
      <c r="Q92" s="4"/>
      <c r="R92" s="8"/>
      <c r="S92" s="6"/>
      <c r="T92" s="7"/>
      <c r="U92" s="6"/>
      <c r="V92" s="6"/>
      <c r="W92" s="8"/>
      <c r="X92" s="7"/>
      <c r="Y92" s="9"/>
      <c r="Z92" s="6"/>
      <c r="AA92" s="6"/>
      <c r="AB92" s="6"/>
      <c r="AC92" s="10"/>
      <c r="AD92" s="10"/>
      <c r="AE92" s="7"/>
      <c r="AF92" s="8"/>
      <c r="AG92" s="10"/>
      <c r="AH92" s="8"/>
      <c r="AI92" s="8"/>
      <c r="AJ92" s="6"/>
      <c r="AK92" s="10"/>
      <c r="AL92" s="10"/>
      <c r="AM92" s="9"/>
      <c r="AN92" s="8"/>
      <c r="AO92" s="10"/>
      <c r="AP92" s="8"/>
      <c r="AQ92" s="7"/>
      <c r="AR92" s="6"/>
      <c r="AS92" s="7"/>
      <c r="AT92" s="7"/>
      <c r="AU92" s="7"/>
      <c r="AV92" s="7"/>
      <c r="AW92" s="7"/>
      <c r="AX92" s="10"/>
      <c r="AY92" s="8"/>
      <c r="AZ92" s="8"/>
      <c r="BA92" s="8"/>
      <c r="BB92" s="8"/>
      <c r="BC92" s="7"/>
      <c r="BD92" s="7"/>
      <c r="BE92" s="9"/>
      <c r="BF92" s="6" t="n">
        <v>38.6</v>
      </c>
      <c r="BG92" s="6" t="n">
        <v>37.5</v>
      </c>
      <c r="BH92" s="6" t="n">
        <v>44.5</v>
      </c>
      <c r="BI92" s="7" t="n">
        <v>2.839</v>
      </c>
      <c r="BJ92" s="10" t="n">
        <v>0.2101</v>
      </c>
      <c r="BK92" s="10" t="n">
        <v>0.586206896551724</v>
      </c>
      <c r="BL92" s="7" t="n">
        <v>2.199</v>
      </c>
      <c r="BM92" s="10" t="n">
        <v>0.2422</v>
      </c>
      <c r="BN92" s="10" t="n">
        <v>0.0727</v>
      </c>
      <c r="BO92" s="7" t="n">
        <v>2.29</v>
      </c>
      <c r="BP92" s="10" t="n">
        <v>0.672</v>
      </c>
      <c r="BQ92" s="8" t="n">
        <v>4</v>
      </c>
      <c r="BR92" s="10" t="n">
        <v>-0.0584</v>
      </c>
      <c r="BS92" s="10" t="n">
        <v>0.5279</v>
      </c>
      <c r="BT92" s="6" t="n">
        <v>55.41</v>
      </c>
      <c r="BU92" s="6" t="n">
        <v>41</v>
      </c>
      <c r="BV92" s="7" t="n">
        <v>2.82</v>
      </c>
      <c r="BW92" s="6" t="n">
        <v>20.4</v>
      </c>
      <c r="BX92" s="9" t="n">
        <v>-0.026</v>
      </c>
      <c r="BY92" s="9" t="n">
        <v>-0.0093</v>
      </c>
      <c r="BZ92" s="8" t="n">
        <v>209</v>
      </c>
      <c r="CA92" s="10" t="n">
        <v>0.452</v>
      </c>
      <c r="CB92" s="8" t="n">
        <v>28</v>
      </c>
      <c r="CC92" s="10" t="n">
        <v>0.065</v>
      </c>
      <c r="CD92" s="8" t="n">
        <v>32</v>
      </c>
      <c r="CE92" s="7"/>
      <c r="CF92" s="7"/>
      <c r="CG92" s="4"/>
      <c r="CH92" s="4" t="s">
        <v>206</v>
      </c>
    </row>
    <row r="93" customFormat="false" ht="15" hidden="false" customHeight="false" outlineLevel="0" collapsed="false">
      <c r="A93" s="3" t="n">
        <v>91</v>
      </c>
      <c r="B93" s="4" t="s">
        <v>582</v>
      </c>
      <c r="C93" s="5" t="s">
        <v>99</v>
      </c>
      <c r="D93" s="4" t="s">
        <v>583</v>
      </c>
      <c r="E93" s="4" t="s">
        <v>164</v>
      </c>
      <c r="F93" s="4" t="s">
        <v>99</v>
      </c>
      <c r="G93" s="3" t="n">
        <v>5</v>
      </c>
      <c r="H93" s="6" t="n">
        <v>23.5</v>
      </c>
      <c r="I93" s="3" t="n">
        <v>0</v>
      </c>
      <c r="J93" s="3" t="n">
        <v>5</v>
      </c>
      <c r="K93" s="7" t="n">
        <v>249.26</v>
      </c>
      <c r="L93" s="7" t="n">
        <v>61.96</v>
      </c>
      <c r="M93" s="8" t="n">
        <v>150</v>
      </c>
      <c r="N93" s="8" t="n">
        <v>439</v>
      </c>
      <c r="O93" s="7" t="n">
        <v>249.26</v>
      </c>
      <c r="P93" s="6" t="n">
        <v>8</v>
      </c>
      <c r="Q93" s="4"/>
      <c r="R93" s="8"/>
      <c r="S93" s="6"/>
      <c r="T93" s="7"/>
      <c r="U93" s="6"/>
      <c r="V93" s="6"/>
      <c r="W93" s="8"/>
      <c r="X93" s="7"/>
      <c r="Y93" s="9"/>
      <c r="Z93" s="6"/>
      <c r="AA93" s="6"/>
      <c r="AB93" s="6"/>
      <c r="AC93" s="10"/>
      <c r="AD93" s="10"/>
      <c r="AE93" s="7"/>
      <c r="AF93" s="8"/>
      <c r="AG93" s="10"/>
      <c r="AH93" s="8"/>
      <c r="AI93" s="8"/>
      <c r="AJ93" s="6"/>
      <c r="AK93" s="10"/>
      <c r="AL93" s="10"/>
      <c r="AM93" s="9"/>
      <c r="AN93" s="8"/>
      <c r="AO93" s="10"/>
      <c r="AP93" s="8"/>
      <c r="AQ93" s="7"/>
      <c r="AR93" s="6"/>
      <c r="AS93" s="7"/>
      <c r="AT93" s="7"/>
      <c r="AU93" s="7"/>
      <c r="AV93" s="7"/>
      <c r="AW93" s="7"/>
      <c r="AX93" s="10"/>
      <c r="AY93" s="8"/>
      <c r="AZ93" s="8"/>
      <c r="BA93" s="8"/>
      <c r="BB93" s="8"/>
      <c r="BC93" s="7"/>
      <c r="BD93" s="7"/>
      <c r="BE93" s="9"/>
      <c r="BF93" s="6" t="n">
        <v>50.1</v>
      </c>
      <c r="BG93" s="6" t="n">
        <v>66.2</v>
      </c>
      <c r="BH93" s="6" t="n">
        <v>34</v>
      </c>
      <c r="BI93" s="7" t="n">
        <v>3.062</v>
      </c>
      <c r="BJ93" s="10" t="n">
        <v>0.1258</v>
      </c>
      <c r="BK93" s="10" t="n">
        <v>0.8125</v>
      </c>
      <c r="BL93" s="7" t="n">
        <v>2.623</v>
      </c>
      <c r="BM93" s="10" t="n">
        <v>0.2877</v>
      </c>
      <c r="BN93" s="10" t="n">
        <v>0.0659</v>
      </c>
      <c r="BO93" s="7" t="n">
        <v>2.212</v>
      </c>
      <c r="BP93" s="10" t="n">
        <v>0.864</v>
      </c>
      <c r="BQ93" s="8" t="n">
        <v>5</v>
      </c>
      <c r="BR93" s="10" t="n">
        <v>0.0395</v>
      </c>
      <c r="BS93" s="10" t="n">
        <v>0.5721</v>
      </c>
      <c r="BT93" s="6" t="n">
        <v>61.65</v>
      </c>
      <c r="BU93" s="6" t="n">
        <v>38</v>
      </c>
      <c r="BV93" s="7" t="n">
        <v>3.71</v>
      </c>
      <c r="BW93" s="6" t="n">
        <v>21.3</v>
      </c>
      <c r="BX93" s="9" t="n">
        <v>0.0273</v>
      </c>
      <c r="BY93" s="9" t="n">
        <v>0.0399</v>
      </c>
      <c r="BZ93" s="8" t="n">
        <v>147</v>
      </c>
      <c r="CA93" s="10" t="n">
        <v>0.268</v>
      </c>
      <c r="CB93" s="8" t="n">
        <v>129</v>
      </c>
      <c r="CC93" s="10" t="n">
        <v>0.3</v>
      </c>
      <c r="CD93" s="8" t="n">
        <v>43</v>
      </c>
      <c r="CE93" s="7"/>
      <c r="CF93" s="7"/>
      <c r="CG93" s="4"/>
      <c r="CH93" s="4" t="s">
        <v>206</v>
      </c>
    </row>
    <row r="94" customFormat="false" ht="15" hidden="false" customHeight="false" outlineLevel="0" collapsed="false">
      <c r="A94" s="3" t="n">
        <v>92</v>
      </c>
      <c r="B94" s="4" t="s">
        <v>586</v>
      </c>
      <c r="C94" s="5" t="s">
        <v>99</v>
      </c>
      <c r="D94" s="4" t="s">
        <v>587</v>
      </c>
      <c r="E94" s="4" t="s">
        <v>124</v>
      </c>
      <c r="F94" s="4" t="s">
        <v>99</v>
      </c>
      <c r="G94" s="3" t="n">
        <v>3</v>
      </c>
      <c r="H94" s="6" t="n">
        <v>29.7</v>
      </c>
      <c r="I94" s="3" t="n">
        <v>9</v>
      </c>
      <c r="J94" s="3" t="n">
        <v>8</v>
      </c>
      <c r="K94" s="7" t="n">
        <v>251.51</v>
      </c>
      <c r="L94" s="7" t="n">
        <v>30.85</v>
      </c>
      <c r="M94" s="8" t="n">
        <v>165</v>
      </c>
      <c r="N94" s="8" t="n">
        <v>324</v>
      </c>
      <c r="O94" s="7" t="n">
        <v>251.51</v>
      </c>
      <c r="P94" s="6" t="n">
        <v>6.9</v>
      </c>
      <c r="Q94" s="4" t="s">
        <v>139</v>
      </c>
      <c r="R94" s="8" t="n">
        <v>11</v>
      </c>
      <c r="S94" s="6" t="n">
        <v>57.9</v>
      </c>
      <c r="T94" s="7" t="n">
        <f aca="false">IFERROR(S94/R94,"")</f>
        <v>5.26363636363636</v>
      </c>
      <c r="U94" s="6" t="n">
        <v>43.9</v>
      </c>
      <c r="V94" s="6" t="n">
        <v>29.9</v>
      </c>
      <c r="W94" s="8" t="n">
        <v>78</v>
      </c>
      <c r="X94" s="7" t="n">
        <f aca="false">IFERROR(S94/AH94,"")</f>
        <v>1.11346153846154</v>
      </c>
      <c r="Y94" s="9" t="n">
        <f aca="false">IFERROR(S94/AF94,"")</f>
        <v>0.133718244803695</v>
      </c>
      <c r="Z94" s="6" t="n">
        <v>1.6</v>
      </c>
      <c r="AA94" s="6" t="n">
        <v>5</v>
      </c>
      <c r="AB94" s="6" t="n">
        <v>8.55</v>
      </c>
      <c r="AC94" s="10" t="n">
        <v>0</v>
      </c>
      <c r="AD94" s="10" t="n">
        <v>0.455</v>
      </c>
      <c r="AE94" s="7" t="n">
        <v>0.954</v>
      </c>
      <c r="AF94" s="8" t="n">
        <v>433</v>
      </c>
      <c r="AG94" s="10" t="n">
        <v>0.486</v>
      </c>
      <c r="AH94" s="8" t="n">
        <v>52</v>
      </c>
      <c r="AI94" s="8" t="n">
        <v>52</v>
      </c>
      <c r="AJ94" s="6" t="n">
        <f aca="false">IFERROR(AI94/R94,"")</f>
        <v>4.72727272727273</v>
      </c>
      <c r="AK94" s="10" t="n">
        <v>0.144</v>
      </c>
      <c r="AL94" s="10" t="n">
        <v>0.119</v>
      </c>
      <c r="AM94" s="9" t="n">
        <v>0.2993</v>
      </c>
      <c r="AN94" s="8" t="n">
        <v>28</v>
      </c>
      <c r="AO94" s="10" t="n">
        <f aca="false">IFERROR(AN94/AI94,"")</f>
        <v>0.538461538461538</v>
      </c>
      <c r="AP94" s="8" t="n">
        <v>239</v>
      </c>
      <c r="AQ94" s="7" t="n">
        <f aca="false">IFERROR(AP94/AI94,"")</f>
        <v>4.59615384615385</v>
      </c>
      <c r="AR94" s="6" t="n">
        <v>7.019</v>
      </c>
      <c r="AS94" s="7" t="n">
        <v>4.107</v>
      </c>
      <c r="AT94" s="7" t="n">
        <v>0.655</v>
      </c>
      <c r="AU94" s="7" t="n">
        <v>2.53994125718566</v>
      </c>
      <c r="AV94" s="7" t="n">
        <v>5.71116279069767</v>
      </c>
      <c r="AW94" s="7" t="n">
        <v>-0.249072859662676</v>
      </c>
      <c r="AX94" s="10" t="n">
        <v>0.0385</v>
      </c>
      <c r="AY94" s="8" t="n">
        <v>6</v>
      </c>
      <c r="AZ94" s="8" t="n">
        <v>4</v>
      </c>
      <c r="BA94" s="8" t="n">
        <v>2</v>
      </c>
      <c r="BB94" s="8" t="n">
        <v>1</v>
      </c>
      <c r="BC94" s="7" t="n">
        <v>2.75</v>
      </c>
      <c r="BD94" s="7" t="n">
        <f aca="false">IFERROR(BB94-BC94,"")</f>
        <v>-1.75</v>
      </c>
      <c r="BE94" s="9" t="n">
        <f aca="false">IFERROR(BB94/AH94,"")</f>
        <v>0.0192307692307692</v>
      </c>
      <c r="BF94" s="6" t="n">
        <v>63.3</v>
      </c>
      <c r="BG94" s="6" t="n">
        <v>46.4</v>
      </c>
      <c r="BH94" s="6" t="n">
        <v>74.5</v>
      </c>
      <c r="BI94" s="7" t="n">
        <v>2.906</v>
      </c>
      <c r="BJ94" s="10" t="n">
        <v>0.1848</v>
      </c>
      <c r="BK94" s="10" t="n">
        <v>0.655172413793103</v>
      </c>
      <c r="BL94" s="7" t="n">
        <v>2.349</v>
      </c>
      <c r="BM94" s="10" t="n">
        <v>0.2125</v>
      </c>
      <c r="BN94" s="10" t="n">
        <v>0.0428</v>
      </c>
      <c r="BO94" s="7" t="n">
        <v>2.547</v>
      </c>
      <c r="BP94" s="10" t="n">
        <v>0.852</v>
      </c>
      <c r="BQ94" s="8" t="n">
        <v>4</v>
      </c>
      <c r="BR94" s="10" t="n">
        <v>-0.0088</v>
      </c>
      <c r="BS94" s="10" t="n">
        <v>0.5521</v>
      </c>
      <c r="BT94" s="6" t="n">
        <v>62.65</v>
      </c>
      <c r="BU94" s="6" t="n">
        <v>38</v>
      </c>
      <c r="BV94" s="7" t="n">
        <v>3.88</v>
      </c>
      <c r="BW94" s="6" t="n">
        <v>25.7</v>
      </c>
      <c r="BX94" s="9" t="n">
        <v>-0.0044</v>
      </c>
      <c r="BY94" s="9" t="n">
        <v>0.1587</v>
      </c>
      <c r="BZ94" s="8" t="n">
        <v>170</v>
      </c>
      <c r="CA94" s="10" t="n">
        <v>0.309</v>
      </c>
      <c r="CB94" s="8" t="n">
        <v>94</v>
      </c>
      <c r="CC94" s="10" t="n">
        <v>0.195</v>
      </c>
      <c r="CD94" s="8" t="n">
        <v>38</v>
      </c>
      <c r="CE94" s="7" t="n">
        <v>-0.125</v>
      </c>
      <c r="CF94" s="7" t="n">
        <v>-0.213</v>
      </c>
      <c r="CG94" s="4" t="s">
        <v>102</v>
      </c>
      <c r="CH94" s="4"/>
    </row>
    <row r="95" customFormat="false" ht="15" hidden="false" customHeight="false" outlineLevel="0" collapsed="false">
      <c r="A95" s="3" t="n">
        <v>93</v>
      </c>
      <c r="B95" s="4" t="s">
        <v>588</v>
      </c>
      <c r="C95" s="5" t="s">
        <v>99</v>
      </c>
      <c r="D95" s="4" t="s">
        <v>589</v>
      </c>
      <c r="E95" s="4" t="s">
        <v>183</v>
      </c>
      <c r="F95" s="4" t="s">
        <v>99</v>
      </c>
      <c r="G95" s="3" t="n">
        <v>3</v>
      </c>
      <c r="H95" s="6" t="n">
        <v>22</v>
      </c>
      <c r="I95" s="3" t="n">
        <v>0</v>
      </c>
      <c r="J95" s="3" t="n">
        <v>13</v>
      </c>
      <c r="K95" s="7" t="n">
        <v>251.76</v>
      </c>
      <c r="L95" s="7" t="n">
        <v>45.73</v>
      </c>
      <c r="M95" s="8" t="n">
        <v>154</v>
      </c>
      <c r="N95" s="8" t="n">
        <v>339</v>
      </c>
      <c r="O95" s="7" t="n">
        <v>251.76</v>
      </c>
      <c r="P95" s="6" t="n">
        <v>15.3</v>
      </c>
      <c r="Q95" s="4"/>
      <c r="R95" s="8"/>
      <c r="S95" s="6"/>
      <c r="T95" s="7"/>
      <c r="U95" s="6"/>
      <c r="V95" s="6"/>
      <c r="W95" s="8"/>
      <c r="X95" s="7"/>
      <c r="Y95" s="9"/>
      <c r="Z95" s="6"/>
      <c r="AA95" s="6"/>
      <c r="AB95" s="6"/>
      <c r="AC95" s="10"/>
      <c r="AD95" s="10"/>
      <c r="AE95" s="7"/>
      <c r="AF95" s="8"/>
      <c r="AG95" s="10"/>
      <c r="AH95" s="8"/>
      <c r="AI95" s="8"/>
      <c r="AJ95" s="6"/>
      <c r="AK95" s="10"/>
      <c r="AL95" s="10"/>
      <c r="AM95" s="9"/>
      <c r="AN95" s="8"/>
      <c r="AO95" s="10"/>
      <c r="AP95" s="8"/>
      <c r="AQ95" s="7"/>
      <c r="AR95" s="6"/>
      <c r="AS95" s="7"/>
      <c r="AT95" s="7"/>
      <c r="AU95" s="7"/>
      <c r="AV95" s="7"/>
      <c r="AW95" s="7"/>
      <c r="AX95" s="10"/>
      <c r="AY95" s="8"/>
      <c r="AZ95" s="8"/>
      <c r="BA95" s="8"/>
      <c r="BB95" s="8"/>
      <c r="BC95" s="7"/>
      <c r="BD95" s="7"/>
      <c r="BE95" s="9"/>
      <c r="BF95" s="6" t="n">
        <v>53.2</v>
      </c>
      <c r="BG95" s="6" t="n">
        <v>64.1</v>
      </c>
      <c r="BH95" s="6" t="n">
        <v>41</v>
      </c>
      <c r="BI95" s="7" t="n">
        <v>3.032</v>
      </c>
      <c r="BJ95" s="10" t="n">
        <v>0.1574</v>
      </c>
      <c r="BK95" s="10" t="n">
        <v>0.648648648648649</v>
      </c>
      <c r="BL95" s="7" t="n">
        <v>3.144</v>
      </c>
      <c r="BM95" s="10" t="n">
        <v>0.2725</v>
      </c>
      <c r="BN95" s="10" t="n">
        <v>0.0849</v>
      </c>
      <c r="BO95" s="7" t="n">
        <v>2.454</v>
      </c>
      <c r="BP95" s="10" t="n">
        <v>0.572</v>
      </c>
      <c r="BQ95" s="8" t="n">
        <v>2</v>
      </c>
      <c r="BR95" s="10" t="n">
        <v>-0.0884</v>
      </c>
      <c r="BS95" s="10" t="n">
        <v>0.4667</v>
      </c>
      <c r="BT95" s="6" t="n">
        <v>56.24</v>
      </c>
      <c r="BU95" s="6" t="n">
        <v>39</v>
      </c>
      <c r="BV95" s="7" t="n">
        <v>3.59</v>
      </c>
      <c r="BW95" s="6" t="n">
        <v>24.9</v>
      </c>
      <c r="BX95" s="9" t="n">
        <v>0.0996</v>
      </c>
      <c r="BY95" s="9" t="n">
        <v>-0.035</v>
      </c>
      <c r="BZ95" s="8" t="n">
        <v>75</v>
      </c>
      <c r="CA95" s="10" t="n">
        <v>0.184</v>
      </c>
      <c r="CB95" s="8" t="n">
        <v>64</v>
      </c>
      <c r="CC95" s="10" t="n">
        <v>0.126</v>
      </c>
      <c r="CD95" s="8" t="n">
        <v>26</v>
      </c>
      <c r="CE95" s="7"/>
      <c r="CF95" s="7"/>
      <c r="CG95" s="4"/>
      <c r="CH95" s="4" t="s">
        <v>206</v>
      </c>
    </row>
    <row r="96" customFormat="false" ht="15" hidden="false" customHeight="false" outlineLevel="0" collapsed="false">
      <c r="A96" s="3" t="n">
        <v>94</v>
      </c>
      <c r="B96" s="4" t="s">
        <v>594</v>
      </c>
      <c r="C96" s="5" t="s">
        <v>99</v>
      </c>
      <c r="D96" s="4" t="s">
        <v>595</v>
      </c>
      <c r="E96" s="4" t="s">
        <v>198</v>
      </c>
      <c r="F96" s="4" t="s">
        <v>99</v>
      </c>
      <c r="G96" s="3" t="n">
        <v>4</v>
      </c>
      <c r="H96" s="6" t="n">
        <v>22.1</v>
      </c>
      <c r="I96" s="3" t="n">
        <v>0</v>
      </c>
      <c r="J96" s="3" t="n">
        <v>10</v>
      </c>
      <c r="K96" s="7" t="n">
        <v>254.24</v>
      </c>
      <c r="L96" s="7" t="n">
        <v>35.2</v>
      </c>
      <c r="M96" s="8" t="n">
        <v>184</v>
      </c>
      <c r="N96" s="8" t="n">
        <v>351</v>
      </c>
      <c r="O96" s="7" t="n">
        <v>254.24</v>
      </c>
      <c r="P96" s="6" t="n">
        <v>9.4</v>
      </c>
      <c r="Q96" s="4"/>
      <c r="R96" s="8"/>
      <c r="S96" s="6"/>
      <c r="T96" s="7"/>
      <c r="U96" s="6"/>
      <c r="V96" s="6"/>
      <c r="W96" s="8"/>
      <c r="X96" s="7"/>
      <c r="Y96" s="9"/>
      <c r="Z96" s="6"/>
      <c r="AA96" s="6"/>
      <c r="AB96" s="6"/>
      <c r="AC96" s="10"/>
      <c r="AD96" s="10"/>
      <c r="AE96" s="7"/>
      <c r="AF96" s="8"/>
      <c r="AG96" s="10"/>
      <c r="AH96" s="8"/>
      <c r="AI96" s="8"/>
      <c r="AJ96" s="6"/>
      <c r="AK96" s="10"/>
      <c r="AL96" s="10"/>
      <c r="AM96" s="9"/>
      <c r="AN96" s="8"/>
      <c r="AO96" s="10"/>
      <c r="AP96" s="8"/>
      <c r="AQ96" s="7"/>
      <c r="AR96" s="6"/>
      <c r="AS96" s="7"/>
      <c r="AT96" s="7"/>
      <c r="AU96" s="7"/>
      <c r="AV96" s="7"/>
      <c r="AW96" s="7"/>
      <c r="AX96" s="10"/>
      <c r="AY96" s="8"/>
      <c r="AZ96" s="8"/>
      <c r="BA96" s="8"/>
      <c r="BB96" s="8"/>
      <c r="BC96" s="7"/>
      <c r="BD96" s="7"/>
      <c r="BE96" s="9"/>
      <c r="BF96" s="6" t="n">
        <v>57.4</v>
      </c>
      <c r="BG96" s="6" t="n">
        <v>46.3</v>
      </c>
      <c r="BH96" s="6" t="n">
        <v>65.4</v>
      </c>
      <c r="BI96" s="7" t="n">
        <v>2.736</v>
      </c>
      <c r="BJ96" s="10" t="n">
        <v>0.1938</v>
      </c>
      <c r="BK96" s="10" t="n">
        <v>0.708333333333333</v>
      </c>
      <c r="BL96" s="7" t="n">
        <v>2.699</v>
      </c>
      <c r="BM96" s="10" t="n">
        <v>0.172</v>
      </c>
      <c r="BN96" s="10" t="n">
        <v>0.0571</v>
      </c>
      <c r="BO96" s="7" t="n">
        <v>2.292</v>
      </c>
      <c r="BP96" s="10" t="n">
        <v>0.791</v>
      </c>
      <c r="BQ96" s="8" t="n">
        <v>4</v>
      </c>
      <c r="BR96" s="10" t="n">
        <v>-0.0347</v>
      </c>
      <c r="BS96" s="10" t="n">
        <v>0.5148</v>
      </c>
      <c r="BT96" s="6" t="n">
        <v>62.65</v>
      </c>
      <c r="BU96" s="6" t="n">
        <v>41</v>
      </c>
      <c r="BV96" s="7" t="n">
        <v>3.12</v>
      </c>
      <c r="BW96" s="6" t="n">
        <v>22.4</v>
      </c>
      <c r="BX96" s="9" t="n">
        <v>0.0138</v>
      </c>
      <c r="BY96" s="9" t="n">
        <v>-0.0264</v>
      </c>
      <c r="BZ96" s="8" t="n">
        <v>111</v>
      </c>
      <c r="CA96" s="10" t="n">
        <v>0.205</v>
      </c>
      <c r="CB96" s="8" t="n">
        <v>138</v>
      </c>
      <c r="CC96" s="10" t="n">
        <v>0.292</v>
      </c>
      <c r="CD96" s="8" t="n">
        <v>38</v>
      </c>
      <c r="CE96" s="7"/>
      <c r="CF96" s="7"/>
      <c r="CG96" s="4"/>
      <c r="CH96" s="4" t="s">
        <v>206</v>
      </c>
    </row>
    <row r="97" customFormat="false" ht="15" hidden="false" customHeight="false" outlineLevel="0" collapsed="false">
      <c r="A97" s="3" t="n">
        <v>95</v>
      </c>
      <c r="B97" s="4" t="s">
        <v>596</v>
      </c>
      <c r="C97" s="5" t="s">
        <v>99</v>
      </c>
      <c r="D97" s="4" t="s">
        <v>597</v>
      </c>
      <c r="E97" s="4" t="s">
        <v>115</v>
      </c>
      <c r="F97" s="4" t="s">
        <v>270</v>
      </c>
      <c r="G97" s="3" t="n">
        <v>2</v>
      </c>
      <c r="H97" s="6" t="n">
        <v>23.7</v>
      </c>
      <c r="I97" s="3" t="n">
        <v>2</v>
      </c>
      <c r="J97" s="3" t="n">
        <v>11</v>
      </c>
      <c r="K97" s="7" t="n">
        <v>254.68</v>
      </c>
      <c r="L97" s="7" t="n">
        <v>23.67</v>
      </c>
      <c r="M97" s="8" t="n">
        <v>197</v>
      </c>
      <c r="N97" s="8" t="n">
        <v>323</v>
      </c>
      <c r="O97" s="7" t="n">
        <v>254.68</v>
      </c>
      <c r="P97" s="6" t="n">
        <v>8.6</v>
      </c>
      <c r="Q97" s="4" t="s">
        <v>115</v>
      </c>
      <c r="R97" s="8" t="n">
        <v>8</v>
      </c>
      <c r="S97" s="6" t="n">
        <v>65.1</v>
      </c>
      <c r="T97" s="7" t="n">
        <f aca="false">IFERROR(S97/R97,"")</f>
        <v>8.1375</v>
      </c>
      <c r="U97" s="6" t="n">
        <v>58.6</v>
      </c>
      <c r="V97" s="6" t="n">
        <v>52.1</v>
      </c>
      <c r="W97" s="8" t="n">
        <v>76</v>
      </c>
      <c r="X97" s="7" t="n">
        <f aca="false">IFERROR(S97/AH97,"")</f>
        <v>2.95909090909091</v>
      </c>
      <c r="Y97" s="9" t="n">
        <f aca="false">IFERROR(S97/AF97,"")</f>
        <v>0.288053097345133</v>
      </c>
      <c r="Z97" s="6" t="n">
        <v>0</v>
      </c>
      <c r="AA97" s="6" t="n">
        <v>6.6</v>
      </c>
      <c r="AB97" s="6" t="n">
        <v>17.93</v>
      </c>
      <c r="AC97" s="10" t="n">
        <v>0.125</v>
      </c>
      <c r="AD97" s="10" t="n">
        <v>0.5</v>
      </c>
      <c r="AE97" s="7" t="n">
        <v>1.318</v>
      </c>
      <c r="AF97" s="8" t="n">
        <v>226</v>
      </c>
      <c r="AG97" s="10" t="n">
        <v>0.481</v>
      </c>
      <c r="AH97" s="8" t="n">
        <v>22</v>
      </c>
      <c r="AI97" s="8" t="n">
        <v>22</v>
      </c>
      <c r="AJ97" s="6" t="n">
        <f aca="false">IFERROR(AI97/R97,"")</f>
        <v>2.75</v>
      </c>
      <c r="AK97" s="10" t="n">
        <v>0.1063</v>
      </c>
      <c r="AL97" s="10" t="n">
        <v>0.1737</v>
      </c>
      <c r="AM97" s="9" t="n">
        <v>0.281</v>
      </c>
      <c r="AN97" s="8" t="n">
        <v>13</v>
      </c>
      <c r="AO97" s="10" t="n">
        <f aca="false">IFERROR(AN97/AI97,"")</f>
        <v>0.590909090909091</v>
      </c>
      <c r="AP97" s="8" t="n">
        <v>161</v>
      </c>
      <c r="AQ97" s="7" t="n">
        <f aca="false">IFERROR(AP97/AI97,"")</f>
        <v>7.31818181818182</v>
      </c>
      <c r="AR97" s="6" t="n">
        <v>15.318</v>
      </c>
      <c r="AS97" s="7" t="n">
        <v>2.538</v>
      </c>
      <c r="AT97" s="7" t="n">
        <v>0.478</v>
      </c>
      <c r="AU97" s="7"/>
      <c r="AV97" s="7"/>
      <c r="AW97" s="7"/>
      <c r="AX97" s="10" t="n">
        <v>0</v>
      </c>
      <c r="AY97" s="8" t="n">
        <v>4</v>
      </c>
      <c r="AZ97" s="8" t="n">
        <v>3</v>
      </c>
      <c r="BA97" s="8" t="n">
        <v>1</v>
      </c>
      <c r="BB97" s="8" t="n">
        <v>5</v>
      </c>
      <c r="BC97" s="7" t="n">
        <v>1.6</v>
      </c>
      <c r="BD97" s="7" t="n">
        <f aca="false">IFERROR(BB97-BC97,"")</f>
        <v>3.4</v>
      </c>
      <c r="BE97" s="9" t="n">
        <f aca="false">IFERROR(BB97/AH97,"")</f>
        <v>0.227272727272727</v>
      </c>
      <c r="BF97" s="6" t="n">
        <v>49.9</v>
      </c>
      <c r="BG97" s="6" t="n">
        <v>39.3</v>
      </c>
      <c r="BH97" s="6" t="n">
        <v>60.5</v>
      </c>
      <c r="BI97" s="7" t="n">
        <v>2.758</v>
      </c>
      <c r="BJ97" s="10" t="n">
        <v>0.2121</v>
      </c>
      <c r="BK97" s="10" t="n">
        <v>0.612903225806452</v>
      </c>
      <c r="BL97" s="7" t="n">
        <v>2.477</v>
      </c>
      <c r="BM97" s="10" t="n">
        <v>0.2266</v>
      </c>
      <c r="BN97" s="10" t="n">
        <v>0.0535</v>
      </c>
      <c r="BO97" s="7" t="n">
        <v>2.4</v>
      </c>
      <c r="BP97" s="10" t="n">
        <v>0.942</v>
      </c>
      <c r="BQ97" s="8" t="n">
        <v>5</v>
      </c>
      <c r="BR97" s="10" t="n">
        <v>-0.0677</v>
      </c>
      <c r="BS97" s="10" t="n">
        <v>0.5204</v>
      </c>
      <c r="BT97" s="6" t="n">
        <v>58.65</v>
      </c>
      <c r="BU97" s="6" t="n">
        <v>39</v>
      </c>
      <c r="BV97" s="7" t="n">
        <v>3.53</v>
      </c>
      <c r="BW97" s="6" t="n">
        <v>28.4</v>
      </c>
      <c r="BX97" s="9" t="n">
        <v>-0.0491</v>
      </c>
      <c r="BY97" s="9" t="n">
        <v>0.1122</v>
      </c>
      <c r="BZ97" s="8" t="n">
        <v>39</v>
      </c>
      <c r="CA97" s="10" t="n">
        <v>0.086</v>
      </c>
      <c r="CB97" s="8" t="n">
        <v>221</v>
      </c>
      <c r="CC97" s="10" t="n">
        <v>0.436</v>
      </c>
      <c r="CD97" s="8" t="n">
        <v>37</v>
      </c>
      <c r="CE97" s="7" t="n">
        <v>0.069</v>
      </c>
      <c r="CF97" s="7" t="n">
        <v>0.814</v>
      </c>
      <c r="CG97" s="4" t="s">
        <v>102</v>
      </c>
      <c r="CH97" s="4"/>
    </row>
    <row r="98" customFormat="false" ht="15" hidden="false" customHeight="false" outlineLevel="0" collapsed="false">
      <c r="A98" s="3" t="n">
        <v>96</v>
      </c>
      <c r="B98" s="4" t="s">
        <v>598</v>
      </c>
      <c r="C98" s="5" t="s">
        <v>99</v>
      </c>
      <c r="D98" s="4" t="s">
        <v>599</v>
      </c>
      <c r="E98" s="4" t="s">
        <v>178</v>
      </c>
      <c r="F98" s="4" t="s">
        <v>99</v>
      </c>
      <c r="G98" s="3" t="n">
        <v>5</v>
      </c>
      <c r="H98" s="6" t="n">
        <v>23</v>
      </c>
      <c r="I98" s="3" t="n">
        <v>0</v>
      </c>
      <c r="J98" s="3" t="n">
        <v>8</v>
      </c>
      <c r="K98" s="7" t="n">
        <v>254.83</v>
      </c>
      <c r="L98" s="7" t="n">
        <v>33.83</v>
      </c>
      <c r="M98" s="8" t="n">
        <v>190</v>
      </c>
      <c r="N98" s="8" t="n">
        <v>379</v>
      </c>
      <c r="O98" s="7" t="n">
        <v>254.83</v>
      </c>
      <c r="P98" s="6" t="n">
        <v>9.6</v>
      </c>
      <c r="Q98" s="4"/>
      <c r="R98" s="8"/>
      <c r="S98" s="6"/>
      <c r="T98" s="7"/>
      <c r="U98" s="6"/>
      <c r="V98" s="6"/>
      <c r="W98" s="8"/>
      <c r="X98" s="7"/>
      <c r="Y98" s="9"/>
      <c r="Z98" s="6"/>
      <c r="AA98" s="6"/>
      <c r="AB98" s="6"/>
      <c r="AC98" s="10"/>
      <c r="AD98" s="10"/>
      <c r="AE98" s="7"/>
      <c r="AF98" s="8"/>
      <c r="AG98" s="10"/>
      <c r="AH98" s="8"/>
      <c r="AI98" s="8"/>
      <c r="AJ98" s="6"/>
      <c r="AK98" s="10"/>
      <c r="AL98" s="10"/>
      <c r="AM98" s="9"/>
      <c r="AN98" s="8"/>
      <c r="AO98" s="10"/>
      <c r="AP98" s="8"/>
      <c r="AQ98" s="7"/>
      <c r="AR98" s="6"/>
      <c r="AS98" s="7"/>
      <c r="AT98" s="7"/>
      <c r="AU98" s="7"/>
      <c r="AV98" s="7"/>
      <c r="AW98" s="7"/>
      <c r="AX98" s="10"/>
      <c r="AY98" s="8"/>
      <c r="AZ98" s="8"/>
      <c r="BA98" s="8"/>
      <c r="BB98" s="8"/>
      <c r="BC98" s="7"/>
      <c r="BD98" s="7"/>
      <c r="BE98" s="9"/>
      <c r="BF98" s="6" t="n">
        <v>45.9</v>
      </c>
      <c r="BG98" s="6" t="n">
        <v>56.8</v>
      </c>
      <c r="BH98" s="6" t="n">
        <v>36.8</v>
      </c>
      <c r="BI98" s="7" t="n">
        <v>2.974</v>
      </c>
      <c r="BJ98" s="10" t="n">
        <v>0.1475</v>
      </c>
      <c r="BK98" s="10" t="n">
        <v>0.625</v>
      </c>
      <c r="BL98" s="7" t="n">
        <v>2.714</v>
      </c>
      <c r="BM98" s="10" t="n">
        <v>0.2947</v>
      </c>
      <c r="BN98" s="10" t="n">
        <v>0.076</v>
      </c>
      <c r="BO98" s="7" t="n">
        <v>2.388</v>
      </c>
      <c r="BP98" s="10" t="n">
        <v>0.723</v>
      </c>
      <c r="BQ98" s="8" t="n">
        <v>4</v>
      </c>
      <c r="BR98" s="10" t="n">
        <v>-0.0466</v>
      </c>
      <c r="BS98" s="10" t="n">
        <v>0.494</v>
      </c>
      <c r="BT98" s="6" t="n">
        <v>63.47</v>
      </c>
      <c r="BU98" s="6" t="n">
        <v>36</v>
      </c>
      <c r="BV98" s="7" t="n">
        <v>3.59</v>
      </c>
      <c r="BW98" s="6" t="n">
        <v>22.4</v>
      </c>
      <c r="BX98" s="9" t="n">
        <v>0.0356</v>
      </c>
      <c r="BY98" s="9" t="n">
        <v>-0.008</v>
      </c>
      <c r="BZ98" s="8" t="n">
        <v>177</v>
      </c>
      <c r="CA98" s="10" t="n">
        <v>0.352</v>
      </c>
      <c r="CB98" s="8" t="n">
        <v>3</v>
      </c>
      <c r="CC98" s="10" t="n">
        <v>0.006</v>
      </c>
      <c r="CD98" s="8" t="n">
        <v>21</v>
      </c>
      <c r="CE98" s="7"/>
      <c r="CF98" s="7"/>
      <c r="CG98" s="4"/>
      <c r="CH98" s="4" t="s">
        <v>206</v>
      </c>
    </row>
    <row r="99" customFormat="false" ht="15" hidden="false" customHeight="false" outlineLevel="0" collapsed="false">
      <c r="A99" s="3" t="n">
        <v>97</v>
      </c>
      <c r="B99" s="4" t="s">
        <v>604</v>
      </c>
      <c r="C99" s="5" t="s">
        <v>99</v>
      </c>
      <c r="D99" s="4" t="s">
        <v>605</v>
      </c>
      <c r="E99" s="4" t="s">
        <v>161</v>
      </c>
      <c r="F99" s="4"/>
      <c r="G99" s="3"/>
      <c r="H99" s="6" t="n">
        <v>32.5</v>
      </c>
      <c r="I99" s="3" t="n">
        <v>10</v>
      </c>
      <c r="J99" s="3"/>
      <c r="K99" s="7" t="n">
        <v>256.37</v>
      </c>
      <c r="L99" s="7" t="n">
        <v>47.4</v>
      </c>
      <c r="M99" s="8" t="n">
        <v>133</v>
      </c>
      <c r="N99" s="8" t="n">
        <v>340</v>
      </c>
      <c r="O99" s="7" t="n">
        <v>256.37</v>
      </c>
      <c r="P99" s="6" t="n">
        <v>18</v>
      </c>
      <c r="Q99" s="4" t="s">
        <v>161</v>
      </c>
      <c r="R99" s="8" t="n">
        <v>4</v>
      </c>
      <c r="S99" s="6" t="n">
        <v>53.5</v>
      </c>
      <c r="T99" s="7" t="n">
        <f aca="false">IFERROR(S99/R99,"")</f>
        <v>13.375</v>
      </c>
      <c r="U99" s="6" t="n">
        <v>43</v>
      </c>
      <c r="V99" s="6" t="n">
        <v>32.5</v>
      </c>
      <c r="W99" s="8" t="n">
        <v>81</v>
      </c>
      <c r="X99" s="7" t="n">
        <f aca="false">IFERROR(S99/AH99,"")</f>
        <v>1.8448275862069</v>
      </c>
      <c r="Y99" s="9" t="n">
        <f aca="false">IFERROR(S99/AF99,"")</f>
        <v>0.345161290322581</v>
      </c>
      <c r="Z99" s="6" t="n">
        <v>11.52</v>
      </c>
      <c r="AA99" s="6" t="n">
        <v>14.3</v>
      </c>
      <c r="AB99" s="6" t="n">
        <v>16.45</v>
      </c>
      <c r="AC99" s="10" t="n">
        <v>0</v>
      </c>
      <c r="AD99" s="10" t="n">
        <v>0</v>
      </c>
      <c r="AE99" s="7" t="n">
        <v>0.28</v>
      </c>
      <c r="AF99" s="8" t="n">
        <v>155</v>
      </c>
      <c r="AG99" s="10" t="n">
        <v>0.685</v>
      </c>
      <c r="AH99" s="8" t="n">
        <v>29</v>
      </c>
      <c r="AI99" s="8" t="n">
        <v>29</v>
      </c>
      <c r="AJ99" s="6" t="n">
        <f aca="false">IFERROR(AI99/R99,"")</f>
        <v>7.25</v>
      </c>
      <c r="AK99" s="10" t="n">
        <v>0.2397</v>
      </c>
      <c r="AL99" s="10" t="n">
        <v>0.4896</v>
      </c>
      <c r="AM99" s="9" t="n">
        <v>0.7023</v>
      </c>
      <c r="AN99" s="8" t="n">
        <v>21</v>
      </c>
      <c r="AO99" s="10" t="n">
        <f aca="false">IFERROR(AN99/AI99,"")</f>
        <v>0.724137931034483</v>
      </c>
      <c r="AP99" s="8" t="n">
        <v>265</v>
      </c>
      <c r="AQ99" s="7" t="n">
        <f aca="false">IFERROR(AP99/AI99,"")</f>
        <v>9.13793103448276</v>
      </c>
      <c r="AR99" s="6" t="n">
        <v>13.759</v>
      </c>
      <c r="AS99" s="7" t="n">
        <v>2.714</v>
      </c>
      <c r="AT99" s="7" t="n">
        <v>0.664</v>
      </c>
      <c r="AU99" s="7"/>
      <c r="AV99" s="7"/>
      <c r="AW99" s="7"/>
      <c r="AX99" s="10" t="n">
        <v>0</v>
      </c>
      <c r="AY99" s="8" t="n">
        <v>2</v>
      </c>
      <c r="AZ99" s="8" t="n">
        <v>2</v>
      </c>
      <c r="BA99" s="8" t="n">
        <v>1</v>
      </c>
      <c r="BB99" s="8" t="n">
        <v>1</v>
      </c>
      <c r="BC99" s="7" t="n">
        <v>1.23</v>
      </c>
      <c r="BD99" s="7" t="n">
        <f aca="false">IFERROR(BB99-BC99,"")</f>
        <v>-0.23</v>
      </c>
      <c r="BE99" s="9" t="n">
        <f aca="false">IFERROR(BB99/AH99,"")</f>
        <v>0.0344827586206897</v>
      </c>
      <c r="BF99" s="6" t="n">
        <v>38.6</v>
      </c>
      <c r="BG99" s="6" t="n">
        <v>37.5</v>
      </c>
      <c r="BH99" s="6" t="n">
        <v>44.5</v>
      </c>
      <c r="BI99" s="7" t="n">
        <v>2.839</v>
      </c>
      <c r="BJ99" s="10" t="n">
        <v>0.2101</v>
      </c>
      <c r="BK99" s="10" t="n">
        <v>0.586206896551724</v>
      </c>
      <c r="BL99" s="7" t="n">
        <v>2.199</v>
      </c>
      <c r="BM99" s="10" t="n">
        <v>0.2422</v>
      </c>
      <c r="BN99" s="10" t="n">
        <v>0.0727</v>
      </c>
      <c r="BO99" s="7" t="n">
        <v>2.29</v>
      </c>
      <c r="BP99" s="10" t="n">
        <v>0.672</v>
      </c>
      <c r="BQ99" s="8" t="n">
        <v>4</v>
      </c>
      <c r="BR99" s="10" t="n">
        <v>-0.0584</v>
      </c>
      <c r="BS99" s="10" t="n">
        <v>0.5279</v>
      </c>
      <c r="BT99" s="6" t="n">
        <v>55.41</v>
      </c>
      <c r="BU99" s="6" t="n">
        <v>41</v>
      </c>
      <c r="BV99" s="7" t="n">
        <v>2.82</v>
      </c>
      <c r="BW99" s="6" t="n">
        <v>20.4</v>
      </c>
      <c r="BX99" s="9" t="n">
        <v>-0.026</v>
      </c>
      <c r="BY99" s="9" t="n">
        <v>-0.0093</v>
      </c>
      <c r="BZ99" s="8" t="n">
        <v>209</v>
      </c>
      <c r="CA99" s="10" t="n">
        <v>0.452</v>
      </c>
      <c r="CB99" s="8" t="n">
        <v>28</v>
      </c>
      <c r="CC99" s="10" t="n">
        <v>0.065</v>
      </c>
      <c r="CD99" s="8" t="n">
        <v>32</v>
      </c>
      <c r="CE99" s="7" t="n">
        <v>-0.079</v>
      </c>
      <c r="CF99" s="7" t="n">
        <v>2.681</v>
      </c>
      <c r="CG99" s="4" t="s">
        <v>102</v>
      </c>
      <c r="CH99" s="4" t="s">
        <v>606</v>
      </c>
    </row>
    <row r="100" customFormat="false" ht="15" hidden="false" customHeight="false" outlineLevel="0" collapsed="false">
      <c r="A100" s="3" t="n">
        <v>98</v>
      </c>
      <c r="B100" s="4" t="s">
        <v>607</v>
      </c>
      <c r="C100" s="5" t="s">
        <v>99</v>
      </c>
      <c r="D100" s="4" t="s">
        <v>608</v>
      </c>
      <c r="E100" s="4" t="s">
        <v>161</v>
      </c>
      <c r="F100" s="4" t="s">
        <v>99</v>
      </c>
      <c r="G100" s="3" t="n">
        <v>3</v>
      </c>
      <c r="H100" s="6" t="n">
        <v>22.9</v>
      </c>
      <c r="I100" s="3" t="n">
        <v>0</v>
      </c>
      <c r="J100" s="3" t="n">
        <v>6</v>
      </c>
      <c r="K100" s="7" t="n">
        <v>257.79</v>
      </c>
      <c r="L100" s="7" t="n">
        <v>57.39</v>
      </c>
      <c r="M100" s="8" t="n">
        <v>164</v>
      </c>
      <c r="N100" s="8" t="n">
        <v>390</v>
      </c>
      <c r="O100" s="7" t="n">
        <v>257.79</v>
      </c>
      <c r="P100" s="6" t="n">
        <v>3.4</v>
      </c>
      <c r="Q100" s="4"/>
      <c r="R100" s="8"/>
      <c r="S100" s="6"/>
      <c r="T100" s="7"/>
      <c r="U100" s="6"/>
      <c r="V100" s="6"/>
      <c r="W100" s="8"/>
      <c r="X100" s="7"/>
      <c r="Y100" s="9"/>
      <c r="Z100" s="6"/>
      <c r="AA100" s="6"/>
      <c r="AB100" s="6"/>
      <c r="AC100" s="10"/>
      <c r="AD100" s="10"/>
      <c r="AE100" s="7"/>
      <c r="AF100" s="8"/>
      <c r="AG100" s="10"/>
      <c r="AH100" s="8"/>
      <c r="AI100" s="8"/>
      <c r="AJ100" s="6"/>
      <c r="AK100" s="10"/>
      <c r="AL100" s="10"/>
      <c r="AM100" s="9"/>
      <c r="AN100" s="8"/>
      <c r="AO100" s="10"/>
      <c r="AP100" s="8"/>
      <c r="AQ100" s="7"/>
      <c r="AR100" s="6"/>
      <c r="AS100" s="7"/>
      <c r="AT100" s="7"/>
      <c r="AU100" s="7"/>
      <c r="AV100" s="7"/>
      <c r="AW100" s="7"/>
      <c r="AX100" s="10"/>
      <c r="AY100" s="8"/>
      <c r="AZ100" s="8"/>
      <c r="BA100" s="8"/>
      <c r="BB100" s="8"/>
      <c r="BC100" s="7"/>
      <c r="BD100" s="7"/>
      <c r="BE100" s="9"/>
      <c r="BF100" s="6" t="n">
        <v>38.6</v>
      </c>
      <c r="BG100" s="6" t="n">
        <v>37.5</v>
      </c>
      <c r="BH100" s="6" t="n">
        <v>44.5</v>
      </c>
      <c r="BI100" s="7" t="n">
        <v>2.839</v>
      </c>
      <c r="BJ100" s="10" t="n">
        <v>0.2101</v>
      </c>
      <c r="BK100" s="10" t="n">
        <v>0.586206896551724</v>
      </c>
      <c r="BL100" s="7" t="n">
        <v>2.199</v>
      </c>
      <c r="BM100" s="10" t="n">
        <v>0.2422</v>
      </c>
      <c r="BN100" s="10" t="n">
        <v>0.0727</v>
      </c>
      <c r="BO100" s="7" t="n">
        <v>2.29</v>
      </c>
      <c r="BP100" s="10" t="n">
        <v>0.672</v>
      </c>
      <c r="BQ100" s="8" t="n">
        <v>4</v>
      </c>
      <c r="BR100" s="10" t="n">
        <v>-0.0584</v>
      </c>
      <c r="BS100" s="10" t="n">
        <v>0.5279</v>
      </c>
      <c r="BT100" s="6" t="n">
        <v>55.41</v>
      </c>
      <c r="BU100" s="6" t="n">
        <v>41</v>
      </c>
      <c r="BV100" s="7" t="n">
        <v>2.82</v>
      </c>
      <c r="BW100" s="6" t="n">
        <v>20.4</v>
      </c>
      <c r="BX100" s="9" t="n">
        <v>-0.026</v>
      </c>
      <c r="BY100" s="9" t="n">
        <v>-0.0093</v>
      </c>
      <c r="BZ100" s="8" t="n">
        <v>209</v>
      </c>
      <c r="CA100" s="10" t="n">
        <v>0.452</v>
      </c>
      <c r="CB100" s="8" t="n">
        <v>28</v>
      </c>
      <c r="CC100" s="10" t="n">
        <v>0.065</v>
      </c>
      <c r="CD100" s="8" t="n">
        <v>32</v>
      </c>
      <c r="CE100" s="7"/>
      <c r="CF100" s="7"/>
      <c r="CG100" s="4"/>
      <c r="CH100" s="4" t="s">
        <v>206</v>
      </c>
    </row>
    <row r="101" customFormat="false" ht="15" hidden="false" customHeight="false" outlineLevel="0" collapsed="false">
      <c r="A101" s="3" t="n">
        <v>99</v>
      </c>
      <c r="B101" s="4" t="s">
        <v>609</v>
      </c>
      <c r="C101" s="5" t="s">
        <v>99</v>
      </c>
      <c r="D101" s="4" t="s">
        <v>610</v>
      </c>
      <c r="E101" s="4" t="s">
        <v>183</v>
      </c>
      <c r="F101" s="4" t="s">
        <v>270</v>
      </c>
      <c r="G101" s="3" t="n">
        <v>2</v>
      </c>
      <c r="H101" s="6" t="n">
        <v>23.2</v>
      </c>
      <c r="I101" s="3" t="n">
        <v>0</v>
      </c>
      <c r="J101" s="3" t="n">
        <v>13</v>
      </c>
      <c r="K101" s="7" t="n">
        <v>258.99</v>
      </c>
      <c r="L101" s="7" t="n">
        <v>23.75</v>
      </c>
      <c r="M101" s="8" t="n">
        <v>208</v>
      </c>
      <c r="N101" s="8" t="n">
        <v>350</v>
      </c>
      <c r="O101" s="7" t="n">
        <v>258.99</v>
      </c>
      <c r="P101" s="6" t="n">
        <v>8.5</v>
      </c>
      <c r="Q101" s="4"/>
      <c r="R101" s="8"/>
      <c r="S101" s="6"/>
      <c r="T101" s="7"/>
      <c r="U101" s="6"/>
      <c r="V101" s="6"/>
      <c r="W101" s="8"/>
      <c r="X101" s="7"/>
      <c r="Y101" s="9"/>
      <c r="Z101" s="6"/>
      <c r="AA101" s="6"/>
      <c r="AB101" s="6"/>
      <c r="AC101" s="10"/>
      <c r="AD101" s="10"/>
      <c r="AE101" s="7"/>
      <c r="AF101" s="8"/>
      <c r="AG101" s="10"/>
      <c r="AH101" s="8"/>
      <c r="AI101" s="8"/>
      <c r="AJ101" s="6"/>
      <c r="AK101" s="10"/>
      <c r="AL101" s="10"/>
      <c r="AM101" s="9"/>
      <c r="AN101" s="8"/>
      <c r="AO101" s="10"/>
      <c r="AP101" s="8"/>
      <c r="AQ101" s="7"/>
      <c r="AR101" s="6"/>
      <c r="AS101" s="7"/>
      <c r="AT101" s="7"/>
      <c r="AU101" s="7"/>
      <c r="AV101" s="7"/>
      <c r="AW101" s="7"/>
      <c r="AX101" s="10"/>
      <c r="AY101" s="8"/>
      <c r="AZ101" s="8"/>
      <c r="BA101" s="8"/>
      <c r="BB101" s="8"/>
      <c r="BC101" s="7"/>
      <c r="BD101" s="7"/>
      <c r="BE101" s="9"/>
      <c r="BF101" s="6" t="n">
        <v>53.2</v>
      </c>
      <c r="BG101" s="6" t="n">
        <v>64.1</v>
      </c>
      <c r="BH101" s="6" t="n">
        <v>41</v>
      </c>
      <c r="BI101" s="7" t="n">
        <v>3.032</v>
      </c>
      <c r="BJ101" s="10" t="n">
        <v>0.1574</v>
      </c>
      <c r="BK101" s="10" t="n">
        <v>0.648648648648649</v>
      </c>
      <c r="BL101" s="7" t="n">
        <v>3.144</v>
      </c>
      <c r="BM101" s="10" t="n">
        <v>0.2725</v>
      </c>
      <c r="BN101" s="10" t="n">
        <v>0.0849</v>
      </c>
      <c r="BO101" s="7" t="n">
        <v>2.454</v>
      </c>
      <c r="BP101" s="10" t="n">
        <v>0.572</v>
      </c>
      <c r="BQ101" s="8" t="n">
        <v>2</v>
      </c>
      <c r="BR101" s="10" t="n">
        <v>-0.0884</v>
      </c>
      <c r="BS101" s="10" t="n">
        <v>0.4667</v>
      </c>
      <c r="BT101" s="6" t="n">
        <v>56.24</v>
      </c>
      <c r="BU101" s="6" t="n">
        <v>39</v>
      </c>
      <c r="BV101" s="7" t="n">
        <v>3.59</v>
      </c>
      <c r="BW101" s="6" t="n">
        <v>24.9</v>
      </c>
      <c r="BX101" s="9" t="n">
        <v>0.0996</v>
      </c>
      <c r="BY101" s="9" t="n">
        <v>-0.035</v>
      </c>
      <c r="BZ101" s="8" t="n">
        <v>75</v>
      </c>
      <c r="CA101" s="10" t="n">
        <v>0.184</v>
      </c>
      <c r="CB101" s="8" t="n">
        <v>64</v>
      </c>
      <c r="CC101" s="10" t="n">
        <v>0.126</v>
      </c>
      <c r="CD101" s="8" t="n">
        <v>26</v>
      </c>
      <c r="CE101" s="7"/>
      <c r="CF101" s="7"/>
      <c r="CG101" s="4"/>
      <c r="CH101" s="4" t="s">
        <v>206</v>
      </c>
    </row>
    <row r="102" customFormat="false" ht="15" hidden="false" customHeight="false" outlineLevel="0" collapsed="false">
      <c r="A102" s="3" t="n">
        <v>100</v>
      </c>
      <c r="B102" s="4" t="s">
        <v>611</v>
      </c>
      <c r="C102" s="5" t="s">
        <v>99</v>
      </c>
      <c r="D102" s="4" t="s">
        <v>612</v>
      </c>
      <c r="E102" s="4" t="s">
        <v>209</v>
      </c>
      <c r="F102" s="4" t="s">
        <v>270</v>
      </c>
      <c r="G102" s="3" t="n">
        <v>1</v>
      </c>
      <c r="H102" s="6" t="n">
        <v>24.4</v>
      </c>
      <c r="I102" s="3" t="n">
        <v>4</v>
      </c>
      <c r="J102" s="3" t="n">
        <v>10</v>
      </c>
      <c r="K102" s="7" t="n">
        <v>259.05</v>
      </c>
      <c r="L102" s="7" t="n">
        <v>24.21</v>
      </c>
      <c r="M102" s="8" t="n">
        <v>202</v>
      </c>
      <c r="N102" s="8" t="n">
        <v>299</v>
      </c>
      <c r="O102" s="7" t="n">
        <v>259.05</v>
      </c>
      <c r="P102" s="6" t="n">
        <v>6.5</v>
      </c>
      <c r="Q102" s="4" t="s">
        <v>209</v>
      </c>
      <c r="R102" s="8" t="n">
        <v>15</v>
      </c>
      <c r="S102" s="6" t="n">
        <v>95</v>
      </c>
      <c r="T102" s="7" t="n">
        <f aca="false">IFERROR(S102/R102,"")</f>
        <v>6.33333333333333</v>
      </c>
      <c r="U102" s="6" t="n">
        <v>76.5</v>
      </c>
      <c r="V102" s="6" t="n">
        <v>58</v>
      </c>
      <c r="W102" s="8" t="n">
        <v>62</v>
      </c>
      <c r="X102" s="7" t="n">
        <f aca="false">IFERROR(S102/AH102,"")</f>
        <v>1.50793650793651</v>
      </c>
      <c r="Y102" s="9" t="n">
        <f aca="false">IFERROR(S102/AF102,"")</f>
        <v>0.25065963060686</v>
      </c>
      <c r="Z102" s="6" t="n">
        <v>3.35</v>
      </c>
      <c r="AA102" s="6" t="n">
        <v>4.2</v>
      </c>
      <c r="AB102" s="6" t="n">
        <v>10.13</v>
      </c>
      <c r="AC102" s="10" t="n">
        <v>0.067</v>
      </c>
      <c r="AD102" s="10" t="n">
        <v>0.2</v>
      </c>
      <c r="AE102" s="7" t="n">
        <v>1.319</v>
      </c>
      <c r="AF102" s="8" t="n">
        <v>379</v>
      </c>
      <c r="AG102" s="10" t="n">
        <v>0.369</v>
      </c>
      <c r="AH102" s="8" t="n">
        <v>63</v>
      </c>
      <c r="AI102" s="8" t="n">
        <v>51</v>
      </c>
      <c r="AJ102" s="6" t="n">
        <f aca="false">IFERROR(AI102/R102,"")</f>
        <v>3.4</v>
      </c>
      <c r="AK102" s="10" t="n">
        <v>0.0975</v>
      </c>
      <c r="AL102" s="10" t="n">
        <v>0.1285</v>
      </c>
      <c r="AM102" s="9" t="n">
        <v>0.2362</v>
      </c>
      <c r="AN102" s="8" t="n">
        <v>37</v>
      </c>
      <c r="AO102" s="10" t="n">
        <f aca="false">IFERROR(AN102/AI102,"")</f>
        <v>0.725490196078431</v>
      </c>
      <c r="AP102" s="8" t="n">
        <v>322</v>
      </c>
      <c r="AQ102" s="7" t="n">
        <f aca="false">IFERROR(AP102/AI102,"")</f>
        <v>6.31372549019608</v>
      </c>
      <c r="AR102" s="6" t="n">
        <v>9.373</v>
      </c>
      <c r="AS102" s="7" t="n">
        <v>6.243</v>
      </c>
      <c r="AT102" s="7" t="n">
        <v>0.674</v>
      </c>
      <c r="AU102" s="7" t="n">
        <v>4.52869989411998</v>
      </c>
      <c r="AV102" s="7" t="n">
        <v>7.81641025641026</v>
      </c>
      <c r="AW102" s="7" t="n">
        <v>0.472529158532391</v>
      </c>
      <c r="AX102" s="10" t="n">
        <v>0.0196</v>
      </c>
      <c r="AY102" s="8" t="n">
        <v>5</v>
      </c>
      <c r="AZ102" s="8" t="n">
        <v>1</v>
      </c>
      <c r="BA102" s="8" t="n">
        <v>0</v>
      </c>
      <c r="BB102" s="8" t="n">
        <v>2</v>
      </c>
      <c r="BC102" s="7" t="n">
        <v>1.42</v>
      </c>
      <c r="BD102" s="7" t="n">
        <f aca="false">IFERROR(BB102-BC102,"")</f>
        <v>0.58</v>
      </c>
      <c r="BE102" s="9" t="n">
        <f aca="false">IFERROR(BB102/AH102,"")</f>
        <v>0.0317460317460317</v>
      </c>
      <c r="BF102" s="6" t="n">
        <v>63.2</v>
      </c>
      <c r="BG102" s="6" t="n">
        <v>50</v>
      </c>
      <c r="BH102" s="6" t="n">
        <v>70.8</v>
      </c>
      <c r="BI102" s="7" t="n">
        <v>2.952</v>
      </c>
      <c r="BJ102" s="10" t="n">
        <v>0.1682</v>
      </c>
      <c r="BK102" s="10" t="n">
        <v>0.551724137931035</v>
      </c>
      <c r="BL102" s="7" t="n">
        <v>2.592</v>
      </c>
      <c r="BM102" s="10" t="n">
        <v>0.2088</v>
      </c>
      <c r="BN102" s="10" t="n">
        <v>0.037</v>
      </c>
      <c r="BO102" s="7" t="n">
        <v>2.401</v>
      </c>
      <c r="BP102" s="10" t="n">
        <v>0.999</v>
      </c>
      <c r="BQ102" s="8" t="n">
        <v>5</v>
      </c>
      <c r="BR102" s="10" t="n">
        <v>0.0157</v>
      </c>
      <c r="BS102" s="10" t="n">
        <v>0.59</v>
      </c>
      <c r="BT102" s="6" t="n">
        <v>63.47</v>
      </c>
      <c r="BU102" s="6" t="n">
        <v>38</v>
      </c>
      <c r="BV102" s="7" t="n">
        <v>3.47</v>
      </c>
      <c r="BW102" s="6" t="n">
        <v>23.6</v>
      </c>
      <c r="BX102" s="9" t="n">
        <v>0.0004</v>
      </c>
      <c r="BY102" s="9" t="n">
        <v>0.0835</v>
      </c>
      <c r="BZ102" s="8" t="n">
        <v>4</v>
      </c>
      <c r="CA102" s="10" t="n">
        <v>0.007</v>
      </c>
      <c r="CB102" s="8" t="n">
        <v>0</v>
      </c>
      <c r="CC102" s="10" t="n">
        <v>0</v>
      </c>
      <c r="CD102" s="8" t="n">
        <v>1</v>
      </c>
      <c r="CE102" s="7" t="n">
        <v>0.86</v>
      </c>
      <c r="CF102" s="7" t="n">
        <v>0.421</v>
      </c>
      <c r="CG102" s="4" t="s">
        <v>232</v>
      </c>
      <c r="CH102" s="4"/>
    </row>
    <row r="103" customFormat="false" ht="15" hidden="false" customHeight="false" outlineLevel="0" collapsed="false">
      <c r="A103" s="3" t="n">
        <v>101</v>
      </c>
      <c r="B103" s="4" t="s">
        <v>613</v>
      </c>
      <c r="C103" s="5" t="s">
        <v>99</v>
      </c>
      <c r="D103" s="4" t="s">
        <v>614</v>
      </c>
      <c r="E103" s="4" t="s">
        <v>191</v>
      </c>
      <c r="F103" s="4" t="s">
        <v>99</v>
      </c>
      <c r="G103" s="3" t="n">
        <v>3</v>
      </c>
      <c r="H103" s="6" t="n">
        <v>25.5</v>
      </c>
      <c r="I103" s="3" t="n">
        <v>3</v>
      </c>
      <c r="J103" s="3" t="n">
        <v>5</v>
      </c>
      <c r="K103" s="7" t="n">
        <v>259.56</v>
      </c>
      <c r="L103" s="7" t="n">
        <v>31.85</v>
      </c>
      <c r="M103" s="8" t="n">
        <v>178</v>
      </c>
      <c r="N103" s="8" t="n">
        <v>332</v>
      </c>
      <c r="O103" s="7" t="n">
        <v>259.56</v>
      </c>
      <c r="P103" s="6" t="n">
        <v>2.9</v>
      </c>
      <c r="Q103" s="4" t="s">
        <v>191</v>
      </c>
      <c r="R103" s="8" t="n">
        <v>15</v>
      </c>
      <c r="S103" s="6" t="n">
        <v>89.3</v>
      </c>
      <c r="T103" s="7" t="n">
        <f aca="false">IFERROR(S103/R103,"")</f>
        <v>5.95333333333333</v>
      </c>
      <c r="U103" s="6" t="n">
        <v>71.8</v>
      </c>
      <c r="V103" s="6" t="n">
        <v>54.3</v>
      </c>
      <c r="W103" s="8" t="n">
        <v>64</v>
      </c>
      <c r="X103" s="7" t="n">
        <f aca="false">IFERROR(S103/AH103,"")</f>
        <v>1.37384615384615</v>
      </c>
      <c r="Y103" s="9" t="n">
        <f aca="false">IFERROR(S103/AF103,"")</f>
        <v>0.139096573208723</v>
      </c>
      <c r="Z103" s="6" t="n">
        <v>1.75</v>
      </c>
      <c r="AA103" s="6" t="n">
        <v>3.7</v>
      </c>
      <c r="AB103" s="6" t="n">
        <v>10.58</v>
      </c>
      <c r="AC103" s="10" t="n">
        <v>0.067</v>
      </c>
      <c r="AD103" s="10" t="n">
        <v>0.333</v>
      </c>
      <c r="AE103" s="7" t="n">
        <v>1.854</v>
      </c>
      <c r="AF103" s="8" t="n">
        <v>642</v>
      </c>
      <c r="AG103" s="10" t="n">
        <v>0.679</v>
      </c>
      <c r="AH103" s="8" t="n">
        <v>65</v>
      </c>
      <c r="AI103" s="8" t="n">
        <v>64</v>
      </c>
      <c r="AJ103" s="6" t="n">
        <f aca="false">IFERROR(AI103/R103,"")</f>
        <v>4.26666666666667</v>
      </c>
      <c r="AK103" s="10" t="n">
        <v>0.1509</v>
      </c>
      <c r="AL103" s="10" t="n">
        <v>0.2151</v>
      </c>
      <c r="AM103" s="9" t="n">
        <v>0.3769</v>
      </c>
      <c r="AN103" s="8" t="n">
        <v>35</v>
      </c>
      <c r="AO103" s="10" t="n">
        <f aca="false">IFERROR(AN103/AI103,"")</f>
        <v>0.546875</v>
      </c>
      <c r="AP103" s="8" t="n">
        <v>363</v>
      </c>
      <c r="AQ103" s="7" t="n">
        <f aca="false">IFERROR(AP103/AI103,"")</f>
        <v>5.671875</v>
      </c>
      <c r="AR103" s="6" t="n">
        <v>9.891</v>
      </c>
      <c r="AS103" s="7" t="n">
        <v>2.143</v>
      </c>
      <c r="AT103" s="7" t="n">
        <v>0.573</v>
      </c>
      <c r="AU103" s="7" t="n">
        <v>2.59962161301118</v>
      </c>
      <c r="AV103" s="7" t="n">
        <v>6.73344827586207</v>
      </c>
      <c r="AW103" s="7" t="n">
        <v>-0.571655106327481</v>
      </c>
      <c r="AX103" s="10" t="n">
        <v>0.0312</v>
      </c>
      <c r="AY103" s="8" t="n">
        <v>12</v>
      </c>
      <c r="AZ103" s="8" t="n">
        <v>3</v>
      </c>
      <c r="BA103" s="8" t="n">
        <v>2</v>
      </c>
      <c r="BB103" s="8" t="n">
        <v>3</v>
      </c>
      <c r="BC103" s="7" t="n">
        <v>3.35</v>
      </c>
      <c r="BD103" s="7" t="n">
        <f aca="false">IFERROR(BB103-BC103,"")</f>
        <v>-0.35</v>
      </c>
      <c r="BE103" s="9" t="n">
        <f aca="false">IFERROR(BB103/AH103,"")</f>
        <v>0.0461538461538462</v>
      </c>
      <c r="BF103" s="6" t="n">
        <v>56.6</v>
      </c>
      <c r="BG103" s="6" t="n">
        <v>63.1</v>
      </c>
      <c r="BH103" s="6" t="n">
        <v>47.3</v>
      </c>
      <c r="BI103" s="7" t="n">
        <v>3.179</v>
      </c>
      <c r="BJ103" s="10" t="n">
        <v>0.1391</v>
      </c>
      <c r="BK103" s="10" t="n">
        <v>0.689655172413793</v>
      </c>
      <c r="BL103" s="7" t="n">
        <v>2.49</v>
      </c>
      <c r="BM103" s="10" t="n">
        <v>0.2718</v>
      </c>
      <c r="BN103" s="10" t="n">
        <v>0.0629</v>
      </c>
      <c r="BO103" s="7" t="n">
        <v>2.4</v>
      </c>
      <c r="BP103" s="10" t="n">
        <v>0.596</v>
      </c>
      <c r="BQ103" s="8" t="n">
        <v>3</v>
      </c>
      <c r="BR103" s="10" t="n">
        <v>-0.061</v>
      </c>
      <c r="BS103" s="10" t="n">
        <v>0.5106</v>
      </c>
      <c r="BT103" s="6" t="n">
        <v>58.59</v>
      </c>
      <c r="BU103" s="6" t="n">
        <v>39</v>
      </c>
      <c r="BV103" s="7" t="n">
        <v>2.82</v>
      </c>
      <c r="BW103" s="6" t="n">
        <v>18.3</v>
      </c>
      <c r="BX103" s="9" t="n">
        <v>-0.0262</v>
      </c>
      <c r="BY103" s="9" t="n">
        <v>-0.0498</v>
      </c>
      <c r="BZ103" s="8" t="n">
        <v>50</v>
      </c>
      <c r="CA103" s="10" t="n">
        <v>0.104</v>
      </c>
      <c r="CB103" s="8" t="n">
        <v>242</v>
      </c>
      <c r="CC103" s="10" t="n">
        <v>0.525</v>
      </c>
      <c r="CD103" s="8" t="n">
        <v>40</v>
      </c>
      <c r="CE103" s="7" t="n">
        <v>0.807</v>
      </c>
      <c r="CF103" s="7" t="n">
        <v>0.413</v>
      </c>
      <c r="CG103" s="4" t="s">
        <v>232</v>
      </c>
      <c r="CH103" s="4"/>
    </row>
    <row r="104" customFormat="false" ht="15" hidden="false" customHeight="false" outlineLevel="0" collapsed="false">
      <c r="A104" s="3" t="n">
        <v>102</v>
      </c>
      <c r="B104" s="4" t="s">
        <v>629</v>
      </c>
      <c r="C104" s="5" t="s">
        <v>99</v>
      </c>
      <c r="D104" s="4" t="s">
        <v>630</v>
      </c>
      <c r="E104" s="4" t="s">
        <v>178</v>
      </c>
      <c r="F104" s="4" t="s">
        <v>99</v>
      </c>
      <c r="G104" s="3" t="n">
        <v>2</v>
      </c>
      <c r="H104" s="6" t="n">
        <v>29.6</v>
      </c>
      <c r="I104" s="3" t="n">
        <v>8</v>
      </c>
      <c r="J104" s="3" t="n">
        <v>8</v>
      </c>
      <c r="K104" s="7" t="n">
        <v>267.21</v>
      </c>
      <c r="L104" s="7" t="n">
        <v>28</v>
      </c>
      <c r="M104" s="8" t="n">
        <v>199</v>
      </c>
      <c r="N104" s="8" t="n">
        <v>371</v>
      </c>
      <c r="O104" s="7" t="n">
        <v>267.21</v>
      </c>
      <c r="P104" s="6" t="n">
        <v>3.8</v>
      </c>
      <c r="Q104" s="4" t="s">
        <v>178</v>
      </c>
      <c r="R104" s="8" t="n">
        <v>14</v>
      </c>
      <c r="S104" s="6" t="n">
        <v>98.8</v>
      </c>
      <c r="T104" s="7" t="n">
        <f aca="false">IFERROR(S104/R104,"")</f>
        <v>7.05714285714286</v>
      </c>
      <c r="U104" s="6" t="n">
        <v>80.3</v>
      </c>
      <c r="V104" s="6" t="n">
        <v>61.8</v>
      </c>
      <c r="W104" s="8" t="n">
        <v>61</v>
      </c>
      <c r="X104" s="7" t="n">
        <f aca="false">IFERROR(S104/AH104,"")</f>
        <v>1.56825396825397</v>
      </c>
      <c r="Y104" s="9" t="n">
        <f aca="false">IFERROR(S104/AF104,"")</f>
        <v>0.130860927152318</v>
      </c>
      <c r="Z104" s="6" t="n">
        <v>4.22</v>
      </c>
      <c r="AA104" s="6" t="n">
        <v>7.2</v>
      </c>
      <c r="AB104" s="6" t="n">
        <v>11.28</v>
      </c>
      <c r="AC104" s="10" t="n">
        <v>0</v>
      </c>
      <c r="AD104" s="10" t="n">
        <v>0.143</v>
      </c>
      <c r="AE104" s="7" t="n">
        <v>0.573</v>
      </c>
      <c r="AF104" s="8" t="n">
        <v>755</v>
      </c>
      <c r="AG104" s="10" t="n">
        <v>0.813</v>
      </c>
      <c r="AH104" s="8" t="n">
        <v>63</v>
      </c>
      <c r="AI104" s="8" t="n">
        <v>63</v>
      </c>
      <c r="AJ104" s="6" t="n">
        <f aca="false">IFERROR(AI104/R104,"")</f>
        <v>4.5</v>
      </c>
      <c r="AK104" s="10" t="n">
        <v>0.1518</v>
      </c>
      <c r="AL104" s="10" t="n">
        <v>0.24</v>
      </c>
      <c r="AM104" s="9" t="n">
        <v>0.3957</v>
      </c>
      <c r="AN104" s="8" t="n">
        <v>37</v>
      </c>
      <c r="AO104" s="10" t="n">
        <f aca="false">IFERROR(AN104/AI104,"")</f>
        <v>0.587301587301587</v>
      </c>
      <c r="AP104" s="8" t="n">
        <v>538</v>
      </c>
      <c r="AQ104" s="7" t="n">
        <f aca="false">IFERROR(AP104/AI104,"")</f>
        <v>8.53968253968254</v>
      </c>
      <c r="AR104" s="6" t="n">
        <v>13.381</v>
      </c>
      <c r="AS104" s="7" t="n">
        <v>5.351</v>
      </c>
      <c r="AT104" s="7" t="n">
        <v>0.638</v>
      </c>
      <c r="AU104" s="7" t="n">
        <v>2.7084140568845</v>
      </c>
      <c r="AV104" s="7" t="n">
        <v>5.72047619047619</v>
      </c>
      <c r="AW104" s="7" t="n">
        <v>0.782344891861625</v>
      </c>
      <c r="AX104" s="10" t="n">
        <v>0.0794</v>
      </c>
      <c r="AY104" s="8" t="n">
        <v>6</v>
      </c>
      <c r="AZ104" s="8" t="n">
        <v>5</v>
      </c>
      <c r="BA104" s="8" t="n">
        <v>0</v>
      </c>
      <c r="BB104" s="8" t="n">
        <v>1</v>
      </c>
      <c r="BC104" s="7" t="n">
        <v>2.36</v>
      </c>
      <c r="BD104" s="7" t="n">
        <f aca="false">IFERROR(BB104-BC104,"")</f>
        <v>-1.36</v>
      </c>
      <c r="BE104" s="9" t="n">
        <f aca="false">IFERROR(BB104/AH104,"")</f>
        <v>0.0158730158730159</v>
      </c>
      <c r="BF104" s="6" t="n">
        <v>45.9</v>
      </c>
      <c r="BG104" s="6" t="n">
        <v>56.8</v>
      </c>
      <c r="BH104" s="6" t="n">
        <v>36.8</v>
      </c>
      <c r="BI104" s="7" t="n">
        <v>2.974</v>
      </c>
      <c r="BJ104" s="10" t="n">
        <v>0.1475</v>
      </c>
      <c r="BK104" s="10" t="n">
        <v>0.625</v>
      </c>
      <c r="BL104" s="7" t="n">
        <v>2.714</v>
      </c>
      <c r="BM104" s="10" t="n">
        <v>0.2947</v>
      </c>
      <c r="BN104" s="10" t="n">
        <v>0.076</v>
      </c>
      <c r="BO104" s="7" t="n">
        <v>2.388</v>
      </c>
      <c r="BP104" s="10" t="n">
        <v>0.723</v>
      </c>
      <c r="BQ104" s="8" t="n">
        <v>4</v>
      </c>
      <c r="BR104" s="10" t="n">
        <v>-0.0466</v>
      </c>
      <c r="BS104" s="10" t="n">
        <v>0.494</v>
      </c>
      <c r="BT104" s="6" t="n">
        <v>63.47</v>
      </c>
      <c r="BU104" s="6" t="n">
        <v>36</v>
      </c>
      <c r="BV104" s="7" t="n">
        <v>3.59</v>
      </c>
      <c r="BW104" s="6" t="n">
        <v>22.4</v>
      </c>
      <c r="BX104" s="9" t="n">
        <v>0.0356</v>
      </c>
      <c r="BY104" s="9" t="n">
        <v>-0.008</v>
      </c>
      <c r="BZ104" s="8" t="n">
        <v>177</v>
      </c>
      <c r="CA104" s="10" t="n">
        <v>0.352</v>
      </c>
      <c r="CB104" s="8" t="n">
        <v>3</v>
      </c>
      <c r="CC104" s="10" t="n">
        <v>0.006</v>
      </c>
      <c r="CD104" s="8" t="n">
        <v>21</v>
      </c>
      <c r="CE104" s="7" t="n">
        <v>0.974</v>
      </c>
      <c r="CF104" s="7" t="n">
        <v>0.667</v>
      </c>
      <c r="CG104" s="4" t="s">
        <v>232</v>
      </c>
      <c r="CH104" s="4"/>
    </row>
    <row r="105" customFormat="false" ht="15" hidden="false" customHeight="false" outlineLevel="0" collapsed="false">
      <c r="A105" s="3" t="n">
        <v>103</v>
      </c>
      <c r="B105" s="4" t="s">
        <v>631</v>
      </c>
      <c r="C105" s="5" t="s">
        <v>99</v>
      </c>
      <c r="D105" s="4" t="s">
        <v>632</v>
      </c>
      <c r="E105" s="4" t="s">
        <v>164</v>
      </c>
      <c r="F105" s="4" t="s">
        <v>99</v>
      </c>
      <c r="G105" s="3" t="n">
        <v>3</v>
      </c>
      <c r="H105" s="6" t="n">
        <v>26</v>
      </c>
      <c r="I105" s="3" t="n">
        <v>5</v>
      </c>
      <c r="J105" s="3" t="n">
        <v>5</v>
      </c>
      <c r="K105" s="7" t="n">
        <v>267.62</v>
      </c>
      <c r="L105" s="7" t="n">
        <v>31.88</v>
      </c>
      <c r="M105" s="8" t="n">
        <v>170</v>
      </c>
      <c r="N105" s="8" t="n">
        <v>370</v>
      </c>
      <c r="O105" s="7" t="n">
        <v>267.62</v>
      </c>
      <c r="P105" s="6" t="n">
        <v>3.5</v>
      </c>
      <c r="Q105" s="4" t="s">
        <v>164</v>
      </c>
      <c r="R105" s="8" t="n">
        <v>12</v>
      </c>
      <c r="S105" s="6" t="n">
        <v>80.8</v>
      </c>
      <c r="T105" s="7" t="n">
        <f aca="false">IFERROR(S105/R105,"")</f>
        <v>6.73333333333333</v>
      </c>
      <c r="U105" s="6" t="n">
        <v>71.3</v>
      </c>
      <c r="V105" s="6" t="n">
        <v>61.8</v>
      </c>
      <c r="W105" s="8" t="n">
        <v>69</v>
      </c>
      <c r="X105" s="7" t="n">
        <f aca="false">IFERROR(S105/AH105,"")</f>
        <v>2.18378378378378</v>
      </c>
      <c r="Y105" s="9" t="n">
        <f aca="false">IFERROR(S105/AF105,"")</f>
        <v>0.219565217391304</v>
      </c>
      <c r="Z105" s="6" t="n">
        <v>2.92</v>
      </c>
      <c r="AA105" s="6" t="n">
        <v>6.4</v>
      </c>
      <c r="AB105" s="6" t="n">
        <v>12.66</v>
      </c>
      <c r="AC105" s="10" t="n">
        <v>0</v>
      </c>
      <c r="AD105" s="10" t="n">
        <v>0.25</v>
      </c>
      <c r="AE105" s="7" t="n">
        <v>0.892</v>
      </c>
      <c r="AF105" s="8" t="n">
        <v>368</v>
      </c>
      <c r="AG105" s="10" t="n">
        <v>0.39</v>
      </c>
      <c r="AH105" s="8" t="n">
        <v>37</v>
      </c>
      <c r="AI105" s="8" t="n">
        <v>37</v>
      </c>
      <c r="AJ105" s="6" t="n">
        <f aca="false">IFERROR(AI105/R105,"")</f>
        <v>3.08333333333333</v>
      </c>
      <c r="AK105" s="10" t="n">
        <v>0.0887</v>
      </c>
      <c r="AL105" s="10" t="n">
        <v>0.2805</v>
      </c>
      <c r="AM105" s="9" t="n">
        <v>0.3294</v>
      </c>
      <c r="AN105" s="8" t="n">
        <v>19</v>
      </c>
      <c r="AO105" s="10" t="n">
        <f aca="false">IFERROR(AN105/AI105,"")</f>
        <v>0.513513513513514</v>
      </c>
      <c r="AP105" s="8" t="n">
        <v>438</v>
      </c>
      <c r="AQ105" s="7" t="n">
        <f aca="false">IFERROR(AP105/AI105,"")</f>
        <v>11.8378378378378</v>
      </c>
      <c r="AR105" s="6" t="n">
        <v>26.892</v>
      </c>
      <c r="AS105" s="7" t="n">
        <v>3.105</v>
      </c>
      <c r="AT105" s="7" t="n">
        <v>0.44</v>
      </c>
      <c r="AU105" s="7"/>
      <c r="AV105" s="7"/>
      <c r="AW105" s="7"/>
      <c r="AX105" s="10" t="n">
        <v>0.0811</v>
      </c>
      <c r="AY105" s="8" t="n">
        <v>4</v>
      </c>
      <c r="AZ105" s="8" t="n">
        <v>2</v>
      </c>
      <c r="BA105" s="8" t="n">
        <v>2</v>
      </c>
      <c r="BB105" s="8" t="n">
        <v>3</v>
      </c>
      <c r="BC105" s="7" t="n">
        <v>1.72</v>
      </c>
      <c r="BD105" s="7" t="n">
        <f aca="false">IFERROR(BB105-BC105,"")</f>
        <v>1.28</v>
      </c>
      <c r="BE105" s="9" t="n">
        <f aca="false">IFERROR(BB105/AH105,"")</f>
        <v>0.0810810810810811</v>
      </c>
      <c r="BF105" s="6" t="n">
        <v>50.1</v>
      </c>
      <c r="BG105" s="6" t="n">
        <v>66.2</v>
      </c>
      <c r="BH105" s="6" t="n">
        <v>34</v>
      </c>
      <c r="BI105" s="7" t="n">
        <v>3.062</v>
      </c>
      <c r="BJ105" s="10" t="n">
        <v>0.1258</v>
      </c>
      <c r="BK105" s="10" t="n">
        <v>0.8125</v>
      </c>
      <c r="BL105" s="7" t="n">
        <v>2.623</v>
      </c>
      <c r="BM105" s="10" t="n">
        <v>0.2877</v>
      </c>
      <c r="BN105" s="10" t="n">
        <v>0.0659</v>
      </c>
      <c r="BO105" s="7" t="n">
        <v>2.212</v>
      </c>
      <c r="BP105" s="10" t="n">
        <v>0.864</v>
      </c>
      <c r="BQ105" s="8" t="n">
        <v>5</v>
      </c>
      <c r="BR105" s="10" t="n">
        <v>0.0395</v>
      </c>
      <c r="BS105" s="10" t="n">
        <v>0.5721</v>
      </c>
      <c r="BT105" s="6" t="n">
        <v>61.65</v>
      </c>
      <c r="BU105" s="6" t="n">
        <v>38</v>
      </c>
      <c r="BV105" s="7" t="n">
        <v>3.71</v>
      </c>
      <c r="BW105" s="6" t="n">
        <v>21.3</v>
      </c>
      <c r="BX105" s="9" t="n">
        <v>0.0273</v>
      </c>
      <c r="BY105" s="9" t="n">
        <v>0.0399</v>
      </c>
      <c r="BZ105" s="8" t="n">
        <v>147</v>
      </c>
      <c r="CA105" s="10" t="n">
        <v>0.268</v>
      </c>
      <c r="CB105" s="8" t="n">
        <v>129</v>
      </c>
      <c r="CC105" s="10" t="n">
        <v>0.3</v>
      </c>
      <c r="CD105" s="8" t="n">
        <v>43</v>
      </c>
      <c r="CE105" s="7" t="n">
        <v>0.659</v>
      </c>
      <c r="CF105" s="7" t="n">
        <v>0.571</v>
      </c>
      <c r="CG105" s="4" t="s">
        <v>232</v>
      </c>
      <c r="CH105" s="4"/>
    </row>
    <row r="106" customFormat="false" ht="15" hidden="false" customHeight="false" outlineLevel="0" collapsed="false">
      <c r="A106" s="3" t="n">
        <v>104</v>
      </c>
      <c r="B106" s="4" t="s">
        <v>633</v>
      </c>
      <c r="C106" s="5" t="s">
        <v>99</v>
      </c>
      <c r="D106" s="4" t="s">
        <v>634</v>
      </c>
      <c r="E106" s="4" t="s">
        <v>170</v>
      </c>
      <c r="F106" s="4"/>
      <c r="G106" s="3"/>
      <c r="H106" s="6" t="n">
        <v>34.3</v>
      </c>
      <c r="I106" s="3" t="n">
        <v>13</v>
      </c>
      <c r="J106" s="3" t="n">
        <v>7</v>
      </c>
      <c r="K106" s="7" t="n">
        <v>267.75</v>
      </c>
      <c r="L106" s="7" t="n">
        <v>28.87</v>
      </c>
      <c r="M106" s="8" t="n">
        <v>168</v>
      </c>
      <c r="N106" s="8" t="n">
        <v>298</v>
      </c>
      <c r="O106" s="7" t="n">
        <v>267.75</v>
      </c>
      <c r="P106" s="6" t="n">
        <v>6</v>
      </c>
      <c r="Q106" s="4" t="s">
        <v>170</v>
      </c>
      <c r="R106" s="8" t="n">
        <v>17</v>
      </c>
      <c r="S106" s="6" t="n">
        <v>182.7</v>
      </c>
      <c r="T106" s="7" t="n">
        <f aca="false">IFERROR(S106/R106,"")</f>
        <v>10.7470588235294</v>
      </c>
      <c r="U106" s="6" t="n">
        <v>142.2</v>
      </c>
      <c r="V106" s="6" t="n">
        <v>101.7</v>
      </c>
      <c r="W106" s="8" t="n">
        <v>29</v>
      </c>
      <c r="X106" s="7" t="n">
        <f aca="false">IFERROR(S106/AH106,"")</f>
        <v>1.49754098360656</v>
      </c>
      <c r="Y106" s="9" t="n">
        <f aca="false">IFERROR(S106/AF106,"")</f>
        <v>0.29</v>
      </c>
      <c r="Z106" s="6" t="n">
        <v>6.7</v>
      </c>
      <c r="AA106" s="6" t="n">
        <v>8.7</v>
      </c>
      <c r="AB106" s="6" t="n">
        <v>18.54</v>
      </c>
      <c r="AC106" s="10" t="n">
        <v>0.176</v>
      </c>
      <c r="AD106" s="10" t="n">
        <v>0</v>
      </c>
      <c r="AE106" s="7" t="n">
        <v>0.782</v>
      </c>
      <c r="AF106" s="8" t="n">
        <v>630</v>
      </c>
      <c r="AG106" s="10" t="n">
        <v>0.555</v>
      </c>
      <c r="AH106" s="8" t="n">
        <v>122</v>
      </c>
      <c r="AI106" s="8" t="n">
        <v>122</v>
      </c>
      <c r="AJ106" s="6" t="n">
        <f aca="false">IFERROR(AI106/R106,"")</f>
        <v>7.17647058823529</v>
      </c>
      <c r="AK106" s="10" t="n">
        <v>0.2243</v>
      </c>
      <c r="AL106" s="10" t="n">
        <v>0.233</v>
      </c>
      <c r="AM106" s="9" t="n">
        <v>0.4996</v>
      </c>
      <c r="AN106" s="8" t="n">
        <v>81</v>
      </c>
      <c r="AO106" s="10" t="n">
        <f aca="false">IFERROR(AN106/AI106,"")</f>
        <v>0.663934426229508</v>
      </c>
      <c r="AP106" s="8" t="n">
        <v>777</v>
      </c>
      <c r="AQ106" s="7" t="n">
        <f aca="false">IFERROR(AP106/AI106,"")</f>
        <v>6.36885245901639</v>
      </c>
      <c r="AR106" s="6" t="n">
        <v>8.418</v>
      </c>
      <c r="AS106" s="7" t="n">
        <v>2.852</v>
      </c>
      <c r="AT106" s="7" t="n">
        <v>0.757</v>
      </c>
      <c r="AU106" s="7" t="n">
        <v>2.56317384006557</v>
      </c>
      <c r="AV106" s="7" t="n">
        <v>6.1756779661017</v>
      </c>
      <c r="AW106" s="7" t="n">
        <v>0.31398707678399</v>
      </c>
      <c r="AX106" s="10" t="n">
        <v>0.0492</v>
      </c>
      <c r="AY106" s="8" t="n">
        <v>16</v>
      </c>
      <c r="AZ106" s="8" t="n">
        <v>7</v>
      </c>
      <c r="BA106" s="8" t="n">
        <v>3</v>
      </c>
      <c r="BB106" s="8" t="n">
        <v>4</v>
      </c>
      <c r="BC106" s="7" t="n">
        <v>5.73</v>
      </c>
      <c r="BD106" s="7" t="n">
        <f aca="false">IFERROR(BB106-BC106,"")</f>
        <v>-1.73</v>
      </c>
      <c r="BE106" s="9" t="n">
        <f aca="false">IFERROR(BB106/AH106,"")</f>
        <v>0.0327868852459016</v>
      </c>
      <c r="BF106" s="6" t="n">
        <v>26.9</v>
      </c>
      <c r="BG106" s="6" t="n">
        <v>40.7</v>
      </c>
      <c r="BH106" s="6" t="n">
        <v>23</v>
      </c>
      <c r="BI106" s="7" t="n">
        <v>2.77</v>
      </c>
      <c r="BJ106" s="10" t="n">
        <v>0.2195</v>
      </c>
      <c r="BK106" s="10" t="n">
        <v>0.611111111111111</v>
      </c>
      <c r="BL106" s="7" t="n">
        <v>2.614</v>
      </c>
      <c r="BM106" s="10" t="n">
        <v>0.3427</v>
      </c>
      <c r="BN106" s="10" t="n">
        <v>0.0832</v>
      </c>
      <c r="BO106" s="7" t="n">
        <v>2.37</v>
      </c>
      <c r="BP106" s="10" t="n">
        <v>0.205</v>
      </c>
      <c r="BQ106" s="8" t="n">
        <v>1</v>
      </c>
      <c r="BR106" s="10" t="n">
        <v>0.0064</v>
      </c>
      <c r="BS106" s="10" t="n">
        <v>0.579</v>
      </c>
      <c r="BT106" s="6" t="n">
        <v>63.53</v>
      </c>
      <c r="BU106" s="6" t="n">
        <v>39</v>
      </c>
      <c r="BV106" s="7" t="n">
        <v>3.47</v>
      </c>
      <c r="BW106" s="6" t="n">
        <v>21.6</v>
      </c>
      <c r="BX106" s="9" t="n">
        <v>0.0187</v>
      </c>
      <c r="BY106" s="9" t="n">
        <v>-0.0542</v>
      </c>
      <c r="BZ106" s="8" t="n">
        <v>15</v>
      </c>
      <c r="CA106" s="10" t="n">
        <v>0.028</v>
      </c>
      <c r="CB106" s="8" t="n">
        <v>23</v>
      </c>
      <c r="CC106" s="10" t="n">
        <v>0.049</v>
      </c>
      <c r="CD106" s="8" t="n">
        <v>2</v>
      </c>
      <c r="CE106" s="7" t="n">
        <v>2.447</v>
      </c>
      <c r="CF106" s="7" t="n">
        <v>1.965</v>
      </c>
      <c r="CG106" s="4" t="s">
        <v>321</v>
      </c>
      <c r="CH106" s="4" t="s">
        <v>606</v>
      </c>
    </row>
    <row r="107" customFormat="false" ht="15" hidden="false" customHeight="false" outlineLevel="0" collapsed="false">
      <c r="A107" s="3" t="n">
        <v>105</v>
      </c>
      <c r="B107" s="4" t="s">
        <v>641</v>
      </c>
      <c r="C107" s="5" t="s">
        <v>99</v>
      </c>
      <c r="D107" s="4" t="s">
        <v>642</v>
      </c>
      <c r="E107" s="4" t="s">
        <v>135</v>
      </c>
      <c r="F107" s="4" t="s">
        <v>281</v>
      </c>
      <c r="G107" s="3" t="n">
        <v>1</v>
      </c>
      <c r="H107" s="6" t="n">
        <v>23.8</v>
      </c>
      <c r="I107" s="3" t="n">
        <v>2</v>
      </c>
      <c r="J107" s="3" t="n">
        <v>11</v>
      </c>
      <c r="K107" s="7" t="n">
        <v>270.51</v>
      </c>
      <c r="L107" s="7" t="n">
        <v>32.31</v>
      </c>
      <c r="M107" s="8" t="n">
        <v>195</v>
      </c>
      <c r="N107" s="8" t="n">
        <v>343</v>
      </c>
      <c r="O107" s="7" t="n">
        <v>270.51</v>
      </c>
      <c r="P107" s="6" t="n">
        <v>4.5</v>
      </c>
      <c r="Q107" s="4" t="s">
        <v>135</v>
      </c>
      <c r="R107" s="8" t="n">
        <v>14</v>
      </c>
      <c r="S107" s="6" t="n">
        <v>49.2</v>
      </c>
      <c r="T107" s="7" t="n">
        <f aca="false">IFERROR(S107/R107,"")</f>
        <v>3.51428571428571</v>
      </c>
      <c r="U107" s="6" t="n">
        <v>44.2</v>
      </c>
      <c r="V107" s="6" t="n">
        <v>39.2</v>
      </c>
      <c r="W107" s="8" t="n">
        <v>82</v>
      </c>
      <c r="X107" s="7" t="n">
        <f aca="false">IFERROR(S107/AH107,"")</f>
        <v>2.13913043478261</v>
      </c>
      <c r="Y107" s="9" t="n">
        <f aca="false">IFERROR(S107/AF107,"")</f>
        <v>0.146428571428571</v>
      </c>
      <c r="Z107" s="6" t="n">
        <v>0</v>
      </c>
      <c r="AA107" s="6" t="n">
        <v>1.15</v>
      </c>
      <c r="AB107" s="6" t="n">
        <v>10.42</v>
      </c>
      <c r="AC107" s="10" t="n">
        <v>0</v>
      </c>
      <c r="AD107" s="10" t="n">
        <v>0.643</v>
      </c>
      <c r="AE107" s="7" t="n">
        <v>4.413</v>
      </c>
      <c r="AF107" s="8" t="n">
        <v>336</v>
      </c>
      <c r="AG107" s="10" t="n">
        <v>0.308</v>
      </c>
      <c r="AH107" s="8" t="n">
        <v>23</v>
      </c>
      <c r="AI107" s="8" t="n">
        <v>21</v>
      </c>
      <c r="AJ107" s="6" t="n">
        <f aca="false">IFERROR(AI107/R107,"")</f>
        <v>1.5</v>
      </c>
      <c r="AK107" s="10" t="n">
        <v>0.0515</v>
      </c>
      <c r="AL107" s="10" t="n">
        <v>0.1038</v>
      </c>
      <c r="AM107" s="9" t="n">
        <v>0.1499</v>
      </c>
      <c r="AN107" s="8" t="n">
        <v>10</v>
      </c>
      <c r="AO107" s="10" t="n">
        <f aca="false">IFERROR(AN107/AI107,"")</f>
        <v>0.476190476190476</v>
      </c>
      <c r="AP107" s="8" t="n">
        <v>209</v>
      </c>
      <c r="AQ107" s="7" t="n">
        <f aca="false">IFERROR(AP107/AI107,"")</f>
        <v>9.95238095238095</v>
      </c>
      <c r="AR107" s="6" t="n">
        <v>19.048</v>
      </c>
      <c r="AS107" s="7" t="n">
        <v>7.9</v>
      </c>
      <c r="AT107" s="7" t="n">
        <v>0.522</v>
      </c>
      <c r="AU107" s="7"/>
      <c r="AV107" s="7"/>
      <c r="AW107" s="7"/>
      <c r="AX107" s="10" t="n">
        <v>0.0476</v>
      </c>
      <c r="AY107" s="8" t="n">
        <v>0</v>
      </c>
      <c r="AZ107" s="8" t="n">
        <v>0</v>
      </c>
      <c r="BA107" s="8" t="n">
        <v>0</v>
      </c>
      <c r="BB107" s="8" t="n">
        <v>3</v>
      </c>
      <c r="BC107" s="7" t="n">
        <v>0.38</v>
      </c>
      <c r="BD107" s="7" t="n">
        <f aca="false">IFERROR(BB107-BC107,"")</f>
        <v>2.62</v>
      </c>
      <c r="BE107" s="9" t="n">
        <f aca="false">IFERROR(BB107/AH107,"")</f>
        <v>0.130434782608696</v>
      </c>
      <c r="BF107" s="6" t="n">
        <v>41.6</v>
      </c>
      <c r="BG107" s="6" t="n">
        <v>43.3</v>
      </c>
      <c r="BH107" s="6" t="n">
        <v>43.5</v>
      </c>
      <c r="BI107" s="7" t="n">
        <v>2.802</v>
      </c>
      <c r="BJ107" s="10" t="n">
        <v>0.1883</v>
      </c>
      <c r="BK107" s="10" t="n">
        <v>0.575757575757576</v>
      </c>
      <c r="BL107" s="7" t="n">
        <v>2.561</v>
      </c>
      <c r="BM107" s="10" t="n">
        <v>0.261</v>
      </c>
      <c r="BN107" s="10" t="n">
        <v>0.0789</v>
      </c>
      <c r="BO107" s="7" t="n">
        <v>2.406</v>
      </c>
      <c r="BP107" s="10" t="n">
        <v>0.533</v>
      </c>
      <c r="BQ107" s="8" t="n">
        <v>3</v>
      </c>
      <c r="BR107" s="10" t="n">
        <v>0.0242</v>
      </c>
      <c r="BS107" s="10" t="n">
        <v>0.5691</v>
      </c>
      <c r="BT107" s="6" t="n">
        <v>59.82</v>
      </c>
      <c r="BU107" s="6" t="n">
        <v>38</v>
      </c>
      <c r="BV107" s="7" t="n">
        <v>3.76</v>
      </c>
      <c r="BW107" s="6" t="n">
        <v>28.8</v>
      </c>
      <c r="BX107" s="9" t="n">
        <v>0.0077</v>
      </c>
      <c r="BY107" s="9" t="n">
        <v>0.2873</v>
      </c>
      <c r="BZ107" s="8" t="n">
        <v>128</v>
      </c>
      <c r="CA107" s="10" t="n">
        <v>0.266</v>
      </c>
      <c r="CB107" s="8" t="n">
        <v>10</v>
      </c>
      <c r="CC107" s="10" t="n">
        <v>0.02</v>
      </c>
      <c r="CD107" s="8" t="n">
        <v>17</v>
      </c>
      <c r="CE107" s="7" t="n">
        <v>0.16</v>
      </c>
      <c r="CF107" s="7" t="n">
        <v>0.028</v>
      </c>
      <c r="CG107" s="4" t="s">
        <v>102</v>
      </c>
      <c r="CH107" s="4"/>
    </row>
  </sheetData>
  <autoFilter ref="A2:CH107"/>
  <conditionalFormatting sqref="G3:G107">
    <cfRule type="colorScale" priority="2">
      <colorScale>
        <cfvo type="percentile" val="5"/>
        <cfvo type="percentile" val="50"/>
        <cfvo type="percentile" val="95"/>
        <color rgb="FF63BE7B"/>
        <color rgb="FFFFEB84"/>
        <color rgb="FFF8696B"/>
      </colorScale>
    </cfRule>
  </conditionalFormatting>
  <conditionalFormatting sqref="K3:K107">
    <cfRule type="colorScale" priority="3">
      <colorScale>
        <cfvo type="percentile" val="5"/>
        <cfvo type="percentile" val="50"/>
        <cfvo type="percentile" val="95"/>
        <color rgb="FF63BE7B"/>
        <color rgb="FFFFEB84"/>
        <color rgb="FFF8696B"/>
      </colorScale>
    </cfRule>
  </conditionalFormatting>
  <conditionalFormatting sqref="O3:O107">
    <cfRule type="colorScale" priority="4">
      <colorScale>
        <cfvo type="percentile" val="5"/>
        <cfvo type="percentile" val="50"/>
        <cfvo type="percentile" val="95"/>
        <color rgb="FF63BE7B"/>
        <color rgb="FFFFEB84"/>
        <color rgb="FFF8696B"/>
      </colorScale>
    </cfRule>
  </conditionalFormatting>
  <conditionalFormatting sqref="W3:W107">
    <cfRule type="colorScale" priority="5">
      <colorScale>
        <cfvo type="percentile" val="5"/>
        <cfvo type="percentile" val="50"/>
        <cfvo type="percentile" val="95"/>
        <color rgb="FF63BE7B"/>
        <color rgb="FFFFEB84"/>
        <color rgb="FFF8696B"/>
      </colorScale>
    </cfRule>
  </conditionalFormatting>
  <conditionalFormatting sqref="AD3:AD107">
    <cfRule type="colorScale" priority="6">
      <colorScale>
        <cfvo type="percentile" val="5"/>
        <cfvo type="percentile" val="50"/>
        <cfvo type="percentile" val="95"/>
        <color rgb="FF63BE7B"/>
        <color rgb="FFFFEB84"/>
        <color rgb="FFF8696B"/>
      </colorScale>
    </cfRule>
  </conditionalFormatting>
  <conditionalFormatting sqref="AE3:AE107">
    <cfRule type="colorScale" priority="7">
      <colorScale>
        <cfvo type="percentile" val="5"/>
        <cfvo type="percentile" val="50"/>
        <cfvo type="percentile" val="95"/>
        <color rgb="FF63BE7B"/>
        <color rgb="FFFFEB84"/>
        <color rgb="FFF8696B"/>
      </colorScale>
    </cfRule>
  </conditionalFormatting>
  <conditionalFormatting sqref="AX3:AX107">
    <cfRule type="colorScale" priority="8">
      <colorScale>
        <cfvo type="percentile" val="5"/>
        <cfvo type="percentile" val="50"/>
        <cfvo type="percentile" val="95"/>
        <color rgb="FF63BE7B"/>
        <color rgb="FFFFEB84"/>
        <color rgb="FFF8696B"/>
      </colorScale>
    </cfRule>
  </conditionalFormatting>
  <conditionalFormatting sqref="BJ3:BJ107">
    <cfRule type="colorScale" priority="9">
      <colorScale>
        <cfvo type="percentile" val="5"/>
        <cfvo type="percentile" val="50"/>
        <cfvo type="percentile" val="95"/>
        <color rgb="FF63BE7B"/>
        <color rgb="FFFFEB84"/>
        <color rgb="FFF8696B"/>
      </colorScale>
    </cfRule>
  </conditionalFormatting>
  <conditionalFormatting sqref="BM3:BM107">
    <cfRule type="colorScale" priority="10">
      <colorScale>
        <cfvo type="percentile" val="5"/>
        <cfvo type="percentile" val="50"/>
        <cfvo type="percentile" val="95"/>
        <color rgb="FF63BE7B"/>
        <color rgb="FFFFEB84"/>
        <color rgb="FFF8696B"/>
      </colorScale>
    </cfRule>
  </conditionalFormatting>
  <conditionalFormatting sqref="BN3:BN107">
    <cfRule type="colorScale" priority="11">
      <colorScale>
        <cfvo type="percentile" val="5"/>
        <cfvo type="percentile" val="50"/>
        <cfvo type="percentile" val="95"/>
        <color rgb="FF63BE7B"/>
        <color rgb="FFFFEB84"/>
        <color rgb="FFF8696B"/>
      </colorScale>
    </cfRule>
  </conditionalFormatting>
  <conditionalFormatting sqref="BU3:BU107">
    <cfRule type="colorScale" priority="12">
      <colorScale>
        <cfvo type="percentile" val="5"/>
        <cfvo type="percentile" val="50"/>
        <cfvo type="percentile" val="95"/>
        <color rgb="FF63BE7B"/>
        <color rgb="FFFFEB84"/>
        <color rgb="FFF8696B"/>
      </colorScale>
    </cfRule>
  </conditionalFormatting>
  <conditionalFormatting sqref="Y3:Y107">
    <cfRule type="colorScale" priority="13">
      <colorScale>
        <cfvo type="percentile" val="5"/>
        <cfvo type="percentile" val="50"/>
        <cfvo type="percentile" val="95"/>
        <color rgb="FFF8696B"/>
        <color rgb="FFFFEB84"/>
        <color rgb="FF63BE7B"/>
      </colorScale>
    </cfRule>
  </conditionalFormatting>
  <conditionalFormatting sqref="Z3:Z107">
    <cfRule type="colorScale" priority="14">
      <colorScale>
        <cfvo type="percentile" val="5"/>
        <cfvo type="percentile" val="50"/>
        <cfvo type="percentile" val="95"/>
        <color rgb="FFF8696B"/>
        <color rgb="FFFFEB84"/>
        <color rgb="FF63BE7B"/>
      </colorScale>
    </cfRule>
  </conditionalFormatting>
  <conditionalFormatting sqref="AA3:AA107">
    <cfRule type="colorScale" priority="15">
      <colorScale>
        <cfvo type="percentile" val="5"/>
        <cfvo type="percentile" val="50"/>
        <cfvo type="percentile" val="95"/>
        <color rgb="FFF8696B"/>
        <color rgb="FFFFEB84"/>
        <color rgb="FF63BE7B"/>
      </colorScale>
    </cfRule>
  </conditionalFormatting>
  <conditionalFormatting sqref="AB3:AB107">
    <cfRule type="colorScale" priority="16">
      <colorScale>
        <cfvo type="percentile" val="5"/>
        <cfvo type="percentile" val="50"/>
        <cfvo type="percentile" val="95"/>
        <color rgb="FFF8696B"/>
        <color rgb="FFFFEB84"/>
        <color rgb="FF63BE7B"/>
      </colorScale>
    </cfRule>
  </conditionalFormatting>
  <conditionalFormatting sqref="AC3:AC107">
    <cfRule type="colorScale" priority="17">
      <colorScale>
        <cfvo type="percentile" val="5"/>
        <cfvo type="percentile" val="50"/>
        <cfvo type="percentile" val="95"/>
        <color rgb="FFF8696B"/>
        <color rgb="FFFFEB84"/>
        <color rgb="FF63BE7B"/>
      </colorScale>
    </cfRule>
  </conditionalFormatting>
  <conditionalFormatting sqref="R3:R107">
    <cfRule type="colorScale" priority="18">
      <colorScale>
        <cfvo type="percentile" val="5"/>
        <cfvo type="percentile" val="50"/>
        <cfvo type="percentile" val="95"/>
        <color rgb="FFF8696B"/>
        <color rgb="FFFFEB84"/>
        <color rgb="FF63BE7B"/>
      </colorScale>
    </cfRule>
  </conditionalFormatting>
  <conditionalFormatting sqref="S3:S107">
    <cfRule type="colorScale" priority="19">
      <colorScale>
        <cfvo type="percentile" val="5"/>
        <cfvo type="percentile" val="50"/>
        <cfvo type="percentile" val="95"/>
        <color rgb="FFF8696B"/>
        <color rgb="FFFFEB84"/>
        <color rgb="FF63BE7B"/>
      </colorScale>
    </cfRule>
  </conditionalFormatting>
  <conditionalFormatting sqref="AF3:AF107">
    <cfRule type="colorScale" priority="20">
      <colorScale>
        <cfvo type="percentile" val="5"/>
        <cfvo type="percentile" val="50"/>
        <cfvo type="percentile" val="95"/>
        <color rgb="FFF8696B"/>
        <color rgb="FFFFEB84"/>
        <color rgb="FF63BE7B"/>
      </colorScale>
    </cfRule>
  </conditionalFormatting>
  <conditionalFormatting sqref="AG3:AG107">
    <cfRule type="colorScale" priority="21">
      <colorScale>
        <cfvo type="percentile" val="5"/>
        <cfvo type="percentile" val="50"/>
        <cfvo type="percentile" val="95"/>
        <color rgb="FFF8696B"/>
        <color rgb="FFFFEB84"/>
        <color rgb="FF63BE7B"/>
      </colorScale>
    </cfRule>
  </conditionalFormatting>
  <conditionalFormatting sqref="AH3:AH107">
    <cfRule type="colorScale" priority="22">
      <colorScale>
        <cfvo type="percentile" val="5"/>
        <cfvo type="percentile" val="50"/>
        <cfvo type="percentile" val="95"/>
        <color rgb="FFF8696B"/>
        <color rgb="FFFFEB84"/>
        <color rgb="FF63BE7B"/>
      </colorScale>
    </cfRule>
  </conditionalFormatting>
  <conditionalFormatting sqref="AI3:AI107">
    <cfRule type="colorScale" priority="23">
      <colorScale>
        <cfvo type="percentile" val="5"/>
        <cfvo type="percentile" val="50"/>
        <cfvo type="percentile" val="95"/>
        <color rgb="FFF8696B"/>
        <color rgb="FFFFEB84"/>
        <color rgb="FF63BE7B"/>
      </colorScale>
    </cfRule>
  </conditionalFormatting>
  <conditionalFormatting sqref="AJ3:AJ107">
    <cfRule type="colorScale" priority="24">
      <colorScale>
        <cfvo type="percentile" val="5"/>
        <cfvo type="percentile" val="50"/>
        <cfvo type="percentile" val="95"/>
        <color rgb="FFF8696B"/>
        <color rgb="FFFFEB84"/>
        <color rgb="FF63BE7B"/>
      </colorScale>
    </cfRule>
  </conditionalFormatting>
  <conditionalFormatting sqref="AK3:AK107">
    <cfRule type="colorScale" priority="25">
      <colorScale>
        <cfvo type="percentile" val="5"/>
        <cfvo type="percentile" val="50"/>
        <cfvo type="percentile" val="95"/>
        <color rgb="FFF8696B"/>
        <color rgb="FFFFEB84"/>
        <color rgb="FF63BE7B"/>
      </colorScale>
    </cfRule>
  </conditionalFormatting>
  <conditionalFormatting sqref="AL3:AL107">
    <cfRule type="colorScale" priority="26">
      <colorScale>
        <cfvo type="percentile" val="5"/>
        <cfvo type="percentile" val="50"/>
        <cfvo type="percentile" val="95"/>
        <color rgb="FFF8696B"/>
        <color rgb="FFFFEB84"/>
        <color rgb="FF63BE7B"/>
      </colorScale>
    </cfRule>
  </conditionalFormatting>
  <conditionalFormatting sqref="AM3:AM107">
    <cfRule type="colorScale" priority="27">
      <colorScale>
        <cfvo type="percentile" val="5"/>
        <cfvo type="percentile" val="50"/>
        <cfvo type="percentile" val="95"/>
        <color rgb="FFF8696B"/>
        <color rgb="FFFFEB84"/>
        <color rgb="FF63BE7B"/>
      </colorScale>
    </cfRule>
  </conditionalFormatting>
  <conditionalFormatting sqref="AN3:AN107">
    <cfRule type="colorScale" priority="28">
      <colorScale>
        <cfvo type="percentile" val="5"/>
        <cfvo type="percentile" val="50"/>
        <cfvo type="percentile" val="95"/>
        <color rgb="FFF8696B"/>
        <color rgb="FFFFEB84"/>
        <color rgb="FF63BE7B"/>
      </colorScale>
    </cfRule>
  </conditionalFormatting>
  <conditionalFormatting sqref="AO3:AO107">
    <cfRule type="colorScale" priority="29">
      <colorScale>
        <cfvo type="percentile" val="5"/>
        <cfvo type="percentile" val="50"/>
        <cfvo type="percentile" val="95"/>
        <color rgb="FFF8696B"/>
        <color rgb="FFFFEB84"/>
        <color rgb="FF63BE7B"/>
      </colorScale>
    </cfRule>
  </conditionalFormatting>
  <conditionalFormatting sqref="AP3:AP107">
    <cfRule type="colorScale" priority="30">
      <colorScale>
        <cfvo type="percentile" val="5"/>
        <cfvo type="percentile" val="50"/>
        <cfvo type="percentile" val="95"/>
        <color rgb="FFF8696B"/>
        <color rgb="FFFFEB84"/>
        <color rgb="FF63BE7B"/>
      </colorScale>
    </cfRule>
  </conditionalFormatting>
  <conditionalFormatting sqref="AQ3:AQ107">
    <cfRule type="colorScale" priority="31">
      <colorScale>
        <cfvo type="percentile" val="5"/>
        <cfvo type="percentile" val="50"/>
        <cfvo type="percentile" val="95"/>
        <color rgb="FFF8696B"/>
        <color rgb="FFFFEB84"/>
        <color rgb="FF63BE7B"/>
      </colorScale>
    </cfRule>
  </conditionalFormatting>
  <conditionalFormatting sqref="AS3:AS107">
    <cfRule type="colorScale" priority="32">
      <colorScale>
        <cfvo type="percentile" val="5"/>
        <cfvo type="percentile" val="50"/>
        <cfvo type="percentile" val="95"/>
        <color rgb="FFF8696B"/>
        <color rgb="FFFFEB84"/>
        <color rgb="FF63BE7B"/>
      </colorScale>
    </cfRule>
  </conditionalFormatting>
  <conditionalFormatting sqref="AT3:AT107">
    <cfRule type="colorScale" priority="33">
      <colorScale>
        <cfvo type="percentile" val="5"/>
        <cfvo type="percentile" val="50"/>
        <cfvo type="percentile" val="95"/>
        <color rgb="FFF8696B"/>
        <color rgb="FFFFEB84"/>
        <color rgb="FF63BE7B"/>
      </colorScale>
    </cfRule>
  </conditionalFormatting>
  <conditionalFormatting sqref="AU3:AU107">
    <cfRule type="colorScale" priority="34">
      <colorScale>
        <cfvo type="percentile" val="5"/>
        <cfvo type="percentile" val="50"/>
        <cfvo type="percentile" val="95"/>
        <color rgb="FFF8696B"/>
        <color rgb="FFFFEB84"/>
        <color rgb="FF63BE7B"/>
      </colorScale>
    </cfRule>
  </conditionalFormatting>
  <conditionalFormatting sqref="AW3:AW107">
    <cfRule type="colorScale" priority="35">
      <colorScale>
        <cfvo type="percentile" val="5"/>
        <cfvo type="percentile" val="50"/>
        <cfvo type="percentile" val="95"/>
        <color rgb="FFF8696B"/>
        <color rgb="FFFFEB84"/>
        <color rgb="FF63BE7B"/>
      </colorScale>
    </cfRule>
  </conditionalFormatting>
  <conditionalFormatting sqref="T3:T107">
    <cfRule type="colorScale" priority="36">
      <colorScale>
        <cfvo type="percentile" val="5"/>
        <cfvo type="percentile" val="50"/>
        <cfvo type="percentile" val="95"/>
        <color rgb="FFF8696B"/>
        <color rgb="FFFFEB84"/>
        <color rgb="FF63BE7B"/>
      </colorScale>
    </cfRule>
  </conditionalFormatting>
  <conditionalFormatting sqref="AY3:AY107">
    <cfRule type="colorScale" priority="37">
      <colorScale>
        <cfvo type="percentile" val="5"/>
        <cfvo type="percentile" val="50"/>
        <cfvo type="percentile" val="95"/>
        <color rgb="FFF8696B"/>
        <color rgb="FFFFEB84"/>
        <color rgb="FF63BE7B"/>
      </colorScale>
    </cfRule>
  </conditionalFormatting>
  <conditionalFormatting sqref="AZ3:AZ107">
    <cfRule type="colorScale" priority="38">
      <colorScale>
        <cfvo type="percentile" val="5"/>
        <cfvo type="percentile" val="50"/>
        <cfvo type="percentile" val="95"/>
        <color rgb="FFF8696B"/>
        <color rgb="FFFFEB84"/>
        <color rgb="FF63BE7B"/>
      </colorScale>
    </cfRule>
  </conditionalFormatting>
  <conditionalFormatting sqref="BA3:BA107">
    <cfRule type="colorScale" priority="39">
      <colorScale>
        <cfvo type="percentile" val="5"/>
        <cfvo type="percentile" val="50"/>
        <cfvo type="percentile" val="95"/>
        <color rgb="FFF8696B"/>
        <color rgb="FFFFEB84"/>
        <color rgb="FF63BE7B"/>
      </colorScale>
    </cfRule>
  </conditionalFormatting>
  <conditionalFormatting sqref="BB3:BB107">
    <cfRule type="colorScale" priority="40">
      <colorScale>
        <cfvo type="percentile" val="5"/>
        <cfvo type="percentile" val="50"/>
        <cfvo type="percentile" val="95"/>
        <color rgb="FFF8696B"/>
        <color rgb="FFFFEB84"/>
        <color rgb="FF63BE7B"/>
      </colorScale>
    </cfRule>
  </conditionalFormatting>
  <conditionalFormatting sqref="BC3:BC107">
    <cfRule type="colorScale" priority="41">
      <colorScale>
        <cfvo type="percentile" val="5"/>
        <cfvo type="percentile" val="50"/>
        <cfvo type="percentile" val="95"/>
        <color rgb="FFF8696B"/>
        <color rgb="FFFFEB84"/>
        <color rgb="FF63BE7B"/>
      </colorScale>
    </cfRule>
  </conditionalFormatting>
  <conditionalFormatting sqref="BE3:BE107">
    <cfRule type="colorScale" priority="42">
      <colorScale>
        <cfvo type="percentile" val="5"/>
        <cfvo type="percentile" val="50"/>
        <cfvo type="percentile" val="95"/>
        <color rgb="FFF8696B"/>
        <color rgb="FFFFEB84"/>
        <color rgb="FF63BE7B"/>
      </colorScale>
    </cfRule>
  </conditionalFormatting>
  <conditionalFormatting sqref="BF3:BF107">
    <cfRule type="colorScale" priority="43">
      <colorScale>
        <cfvo type="percentile" val="5"/>
        <cfvo type="percentile" val="50"/>
        <cfvo type="percentile" val="95"/>
        <color rgb="FFF8696B"/>
        <color rgb="FFFFEB84"/>
        <color rgb="FF63BE7B"/>
      </colorScale>
    </cfRule>
  </conditionalFormatting>
  <conditionalFormatting sqref="BG3:BG107">
    <cfRule type="colorScale" priority="44">
      <colorScale>
        <cfvo type="percentile" val="5"/>
        <cfvo type="percentile" val="50"/>
        <cfvo type="percentile" val="95"/>
        <color rgb="FFF8696B"/>
        <color rgb="FFFFEB84"/>
        <color rgb="FF63BE7B"/>
      </colorScale>
    </cfRule>
  </conditionalFormatting>
  <conditionalFormatting sqref="BH3:BH107">
    <cfRule type="colorScale" priority="45">
      <colorScale>
        <cfvo type="percentile" val="5"/>
        <cfvo type="percentile" val="50"/>
        <cfvo type="percentile" val="95"/>
        <color rgb="FFF8696B"/>
        <color rgb="FFFFEB84"/>
        <color rgb="FF63BE7B"/>
      </colorScale>
    </cfRule>
  </conditionalFormatting>
  <conditionalFormatting sqref="BI3:BI107">
    <cfRule type="colorScale" priority="46">
      <colorScale>
        <cfvo type="percentile" val="5"/>
        <cfvo type="percentile" val="50"/>
        <cfvo type="percentile" val="95"/>
        <color rgb="FFF8696B"/>
        <color rgb="FFFFEB84"/>
        <color rgb="FF63BE7B"/>
      </colorScale>
    </cfRule>
  </conditionalFormatting>
  <conditionalFormatting sqref="U3:U107">
    <cfRule type="colorScale" priority="47">
      <colorScale>
        <cfvo type="percentile" val="5"/>
        <cfvo type="percentile" val="50"/>
        <cfvo type="percentile" val="95"/>
        <color rgb="FFF8696B"/>
        <color rgb="FFFFEB84"/>
        <color rgb="FF63BE7B"/>
      </colorScale>
    </cfRule>
  </conditionalFormatting>
  <conditionalFormatting sqref="BK3:BK107">
    <cfRule type="colorScale" priority="48">
      <colorScale>
        <cfvo type="percentile" val="5"/>
        <cfvo type="percentile" val="50"/>
        <cfvo type="percentile" val="95"/>
        <color rgb="FFF8696B"/>
        <color rgb="FFFFEB84"/>
        <color rgb="FF63BE7B"/>
      </colorScale>
    </cfRule>
  </conditionalFormatting>
  <conditionalFormatting sqref="BL3:BL107">
    <cfRule type="colorScale" priority="49">
      <colorScale>
        <cfvo type="percentile" val="5"/>
        <cfvo type="percentile" val="50"/>
        <cfvo type="percentile" val="95"/>
        <color rgb="FFF8696B"/>
        <color rgb="FFFFEB84"/>
        <color rgb="FF63BE7B"/>
      </colorScale>
    </cfRule>
  </conditionalFormatting>
  <conditionalFormatting sqref="V3:V107">
    <cfRule type="colorScale" priority="50">
      <colorScale>
        <cfvo type="percentile" val="5"/>
        <cfvo type="percentile" val="50"/>
        <cfvo type="percentile" val="95"/>
        <color rgb="FFF8696B"/>
        <color rgb="FFFFEB84"/>
        <color rgb="FF63BE7B"/>
      </colorScale>
    </cfRule>
  </conditionalFormatting>
  <conditionalFormatting sqref="P3:P107">
    <cfRule type="colorScale" priority="51">
      <colorScale>
        <cfvo type="percentile" val="5"/>
        <cfvo type="percentile" val="50"/>
        <cfvo type="percentile" val="95"/>
        <color rgb="FFF8696B"/>
        <color rgb="FFFFEB84"/>
        <color rgb="FF63BE7B"/>
      </colorScale>
    </cfRule>
  </conditionalFormatting>
  <conditionalFormatting sqref="BO3:BO107">
    <cfRule type="colorScale" priority="52">
      <colorScale>
        <cfvo type="percentile" val="5"/>
        <cfvo type="percentile" val="50"/>
        <cfvo type="percentile" val="95"/>
        <color rgb="FFF8696B"/>
        <color rgb="FFFFEB84"/>
        <color rgb="FF63BE7B"/>
      </colorScale>
    </cfRule>
  </conditionalFormatting>
  <conditionalFormatting sqref="BP3:BP107">
    <cfRule type="colorScale" priority="53">
      <colorScale>
        <cfvo type="percentile" val="5"/>
        <cfvo type="percentile" val="50"/>
        <cfvo type="percentile" val="95"/>
        <color rgb="FFF8696B"/>
        <color rgb="FFFFEB84"/>
        <color rgb="FF63BE7B"/>
      </colorScale>
    </cfRule>
  </conditionalFormatting>
  <conditionalFormatting sqref="BQ3:BQ107">
    <cfRule type="colorScale" priority="54">
      <colorScale>
        <cfvo type="percentile" val="5"/>
        <cfvo type="percentile" val="50"/>
        <cfvo type="percentile" val="95"/>
        <color rgb="FFF8696B"/>
        <color rgb="FFFFEB84"/>
        <color rgb="FF63BE7B"/>
      </colorScale>
    </cfRule>
  </conditionalFormatting>
  <conditionalFormatting sqref="BT3:BT107">
    <cfRule type="colorScale" priority="55">
      <colorScale>
        <cfvo type="percentile" val="5"/>
        <cfvo type="percentile" val="50"/>
        <cfvo type="percentile" val="95"/>
        <color rgb="FFF8696B"/>
        <color rgb="FFFFEB84"/>
        <color rgb="FF63BE7B"/>
      </colorScale>
    </cfRule>
  </conditionalFormatting>
  <conditionalFormatting sqref="X3:X107">
    <cfRule type="colorScale" priority="56">
      <colorScale>
        <cfvo type="percentile" val="5"/>
        <cfvo type="percentile" val="50"/>
        <cfvo type="percentile" val="95"/>
        <color rgb="FFF8696B"/>
        <color rgb="FFFFEB84"/>
        <color rgb="FF63BE7B"/>
      </colorScale>
    </cfRule>
  </conditionalFormatting>
  <conditionalFormatting sqref="BV3:BV107">
    <cfRule type="colorScale" priority="57">
      <colorScale>
        <cfvo type="percentile" val="5"/>
        <cfvo type="percentile" val="50"/>
        <cfvo type="percentile" val="95"/>
        <color rgb="FFF8696B"/>
        <color rgb="FFFFEB84"/>
        <color rgb="FF63BE7B"/>
      </colorScale>
    </cfRule>
  </conditionalFormatting>
  <conditionalFormatting sqref="BW3:BW107">
    <cfRule type="colorScale" priority="58">
      <colorScale>
        <cfvo type="percentile" val="5"/>
        <cfvo type="percentile" val="50"/>
        <cfvo type="percentile" val="95"/>
        <color rgb="FFF8696B"/>
        <color rgb="FFFFEB84"/>
        <color rgb="FF63BE7B"/>
      </colorScale>
    </cfRule>
  </conditionalFormatting>
  <conditionalFormatting sqref="BX3:BX107">
    <cfRule type="colorScale" priority="59">
      <colorScale>
        <cfvo type="percentile" val="5"/>
        <cfvo type="percentile" val="50"/>
        <cfvo type="percentile" val="95"/>
        <color rgb="FFF8696B"/>
        <color rgb="FFFFEB84"/>
        <color rgb="FF63BE7B"/>
      </colorScale>
    </cfRule>
  </conditionalFormatting>
  <conditionalFormatting sqref="BY3:BY107">
    <cfRule type="colorScale" priority="60">
      <colorScale>
        <cfvo type="percentile" val="5"/>
        <cfvo type="percentile" val="50"/>
        <cfvo type="percentile" val="95"/>
        <color rgb="FFF8696B"/>
        <color rgb="FFFFEB84"/>
        <color rgb="FF63BE7B"/>
      </colorScale>
    </cfRule>
  </conditionalFormatting>
  <conditionalFormatting sqref="BZ3:BZ107">
    <cfRule type="colorScale" priority="61">
      <colorScale>
        <cfvo type="percentile" val="5"/>
        <cfvo type="percentile" val="50"/>
        <cfvo type="percentile" val="95"/>
        <color rgb="FFF8696B"/>
        <color rgb="FFFFEB84"/>
        <color rgb="FF63BE7B"/>
      </colorScale>
    </cfRule>
  </conditionalFormatting>
  <conditionalFormatting sqref="CA3:CA107">
    <cfRule type="colorScale" priority="62">
      <colorScale>
        <cfvo type="percentile" val="5"/>
        <cfvo type="percentile" val="50"/>
        <cfvo type="percentile" val="95"/>
        <color rgb="FFF8696B"/>
        <color rgb="FFFFEB84"/>
        <color rgb="FF63BE7B"/>
      </colorScale>
    </cfRule>
  </conditionalFormatting>
  <conditionalFormatting sqref="CB3:CB107">
    <cfRule type="colorScale" priority="63">
      <colorScale>
        <cfvo type="percentile" val="5"/>
        <cfvo type="percentile" val="50"/>
        <cfvo type="percentile" val="95"/>
        <color rgb="FFF8696B"/>
        <color rgb="FFFFEB84"/>
        <color rgb="FF63BE7B"/>
      </colorScale>
    </cfRule>
  </conditionalFormatting>
  <conditionalFormatting sqref="CC3:CC107">
    <cfRule type="colorScale" priority="64">
      <colorScale>
        <cfvo type="percentile" val="5"/>
        <cfvo type="percentile" val="50"/>
        <cfvo type="percentile" val="95"/>
        <color rgb="FFF8696B"/>
        <color rgb="FFFFEB84"/>
        <color rgb="FF63BE7B"/>
      </colorScale>
    </cfRule>
  </conditionalFormatting>
  <conditionalFormatting sqref="CD3:CD107">
    <cfRule type="colorScale" priority="65">
      <colorScale>
        <cfvo type="percentile" val="5"/>
        <cfvo type="percentile" val="50"/>
        <cfvo type="percentile" val="95"/>
        <color rgb="FFF8696B"/>
        <color rgb="FFFFEB84"/>
        <color rgb="FF63BE7B"/>
      </colorScale>
    </cfRule>
  </conditionalFormatting>
  <conditionalFormatting sqref="CE3:CE107">
    <cfRule type="colorScale" priority="66">
      <colorScale>
        <cfvo type="percentile" val="5"/>
        <cfvo type="percentile" val="50"/>
        <cfvo type="percentile" val="95"/>
        <color rgb="FFF8696B"/>
        <color rgb="FFFFEB84"/>
        <color rgb="FF63BE7B"/>
      </colorScale>
    </cfRule>
  </conditionalFormatting>
  <conditionalFormatting sqref="CF3:CF107">
    <cfRule type="colorScale" priority="67">
      <colorScale>
        <cfvo type="percentile" val="5"/>
        <cfvo type="percentile" val="50"/>
        <cfvo type="percentile" val="95"/>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5" min="3" style="0" width="9"/>
    <col collapsed="false" customWidth="true" hidden="false" outlineLevel="0" max="6" min="6" style="0" width="12"/>
    <col collapsed="false" customWidth="true" hidden="false" outlineLevel="0" max="15" min="7" style="0" width="9"/>
    <col collapsed="false" customWidth="true" hidden="false" outlineLevel="0" max="16" min="16" style="0" width="12"/>
    <col collapsed="false" customWidth="true" hidden="false" outlineLevel="0" max="20" min="17" style="0" width="9"/>
    <col collapsed="false" customWidth="true" hidden="false" outlineLevel="0" max="21" min="21" style="0" width="12"/>
    <col collapsed="false" customWidth="true" hidden="false" outlineLevel="0" max="22" min="22" style="0" width="9"/>
    <col collapsed="false" customWidth="true" hidden="false" outlineLevel="0" max="26" min="23" style="0" width="12"/>
    <col collapsed="false" customWidth="true" hidden="false" outlineLevel="0" max="27" min="27" style="0" width="9"/>
    <col collapsed="false" customWidth="true" hidden="false" outlineLevel="0" max="28" min="28" style="0" width="12"/>
    <col collapsed="false" customWidth="true" hidden="false" outlineLevel="0" max="30" min="29" style="0" width="9"/>
    <col collapsed="false" customWidth="true" hidden="false" outlineLevel="0" max="31" min="31" style="0" width="12"/>
    <col collapsed="false" customWidth="true" hidden="false" outlineLevel="0" max="33" min="32" style="0" width="9"/>
    <col collapsed="false" customWidth="true" hidden="false" outlineLevel="0" max="34" min="34" style="0" width="12"/>
    <col collapsed="false" customWidth="true" hidden="false" outlineLevel="0" max="36" min="35" style="0" width="9"/>
    <col collapsed="false" customWidth="true" hidden="false" outlineLevel="0" max="37" min="37" style="0" width="12"/>
    <col collapsed="false" customWidth="true" hidden="false" outlineLevel="0" max="47" min="38" style="0" width="9"/>
    <col collapsed="false" customWidth="true" hidden="false" outlineLevel="0" max="48" min="48" style="0" width="12"/>
    <col collapsed="false" customWidth="true" hidden="false" outlineLevel="0" max="54" min="49" style="0" width="9"/>
    <col collapsed="false" customWidth="true" hidden="false" outlineLevel="0" max="56" min="55" style="0" width="12"/>
    <col collapsed="false" customWidth="true" hidden="false" outlineLevel="0" max="57" min="57" style="0" width="9"/>
    <col collapsed="false" customWidth="true" hidden="false" outlineLevel="0" max="69" min="58" style="0" width="12"/>
    <col collapsed="false" customWidth="true" hidden="false" outlineLevel="0" max="70" min="70" style="0" width="9"/>
    <col collapsed="false" customWidth="true" hidden="false" outlineLevel="0" max="71" min="71" style="0" width="12"/>
    <col collapsed="false" customWidth="true" hidden="false" outlineLevel="0" max="73" min="72" style="0" width="9"/>
    <col collapsed="false" customWidth="true" hidden="false" outlineLevel="0" max="74" min="74" style="0" width="12"/>
    <col collapsed="false" customWidth="true" hidden="false" outlineLevel="0" max="75" min="75" style="0" width="9"/>
    <col collapsed="false" customWidth="true" hidden="false" outlineLevel="0" max="84" min="76" style="0" width="12"/>
    <col collapsed="false" customWidth="true" hidden="false" outlineLevel="0" max="85" min="85" style="0" width="22"/>
    <col collapsed="false" customWidth="true" hidden="false" outlineLevel="0" max="86" min="86" style="0" width="44"/>
  </cols>
  <sheetData>
    <row r="1" customFormat="false" ht="15" hidden="false" customHeight="false" outlineLevel="0" collapsed="false">
      <c r="A1" s="1" t="s">
        <v>655</v>
      </c>
    </row>
    <row r="2" customFormat="false" ht="33.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c r="AN2" s="2" t="s">
        <v>40</v>
      </c>
      <c r="AO2" s="2" t="s">
        <v>41</v>
      </c>
      <c r="AP2" s="2" t="s">
        <v>42</v>
      </c>
      <c r="AQ2" s="2" t="s">
        <v>43</v>
      </c>
      <c r="AR2" s="2" t="s">
        <v>44</v>
      </c>
      <c r="AS2" s="2" t="s">
        <v>45</v>
      </c>
      <c r="AT2" s="2" t="s">
        <v>46</v>
      </c>
      <c r="AU2" s="2" t="s">
        <v>47</v>
      </c>
      <c r="AV2" s="2" t="s">
        <v>48</v>
      </c>
      <c r="AW2" s="2" t="s">
        <v>49</v>
      </c>
      <c r="AX2" s="2" t="s">
        <v>50</v>
      </c>
      <c r="AY2" s="2" t="s">
        <v>62</v>
      </c>
      <c r="AZ2" s="2" t="s">
        <v>63</v>
      </c>
      <c r="BA2" s="2" t="s">
        <v>64</v>
      </c>
      <c r="BB2" s="2" t="s">
        <v>65</v>
      </c>
      <c r="BC2" s="2" t="s">
        <v>66</v>
      </c>
      <c r="BD2" s="2" t="s">
        <v>67</v>
      </c>
      <c r="BE2" s="2" t="s">
        <v>68</v>
      </c>
      <c r="BF2" s="2" t="s">
        <v>69</v>
      </c>
      <c r="BG2" s="2" t="s">
        <v>70</v>
      </c>
      <c r="BH2" s="2" t="s">
        <v>71</v>
      </c>
      <c r="BI2" s="2" t="s">
        <v>72</v>
      </c>
      <c r="BJ2" s="2" t="s">
        <v>73</v>
      </c>
      <c r="BK2" s="2" t="s">
        <v>74</v>
      </c>
      <c r="BL2" s="2" t="s">
        <v>75</v>
      </c>
      <c r="BM2" s="2" t="s">
        <v>76</v>
      </c>
      <c r="BN2" s="2" t="s">
        <v>77</v>
      </c>
      <c r="BO2" s="2" t="s">
        <v>78</v>
      </c>
      <c r="BP2" s="2" t="s">
        <v>79</v>
      </c>
      <c r="BQ2" s="2" t="s">
        <v>80</v>
      </c>
      <c r="BR2" s="2" t="s">
        <v>81</v>
      </c>
      <c r="BS2" s="2" t="s">
        <v>82</v>
      </c>
      <c r="BT2" s="2" t="s">
        <v>83</v>
      </c>
      <c r="BU2" s="2" t="s">
        <v>84</v>
      </c>
      <c r="BV2" s="2" t="s">
        <v>85</v>
      </c>
      <c r="BW2" s="2" t="s">
        <v>86</v>
      </c>
      <c r="BX2" s="2" t="s">
        <v>87</v>
      </c>
      <c r="BY2" s="2" t="s">
        <v>88</v>
      </c>
      <c r="BZ2" s="2" t="s">
        <v>89</v>
      </c>
      <c r="CA2" s="2" t="s">
        <v>90</v>
      </c>
      <c r="CB2" s="2" t="s">
        <v>91</v>
      </c>
      <c r="CC2" s="2" t="s">
        <v>92</v>
      </c>
      <c r="CD2" s="2" t="s">
        <v>93</v>
      </c>
      <c r="CE2" s="2" t="s">
        <v>94</v>
      </c>
      <c r="CF2" s="2" t="s">
        <v>95</v>
      </c>
      <c r="CG2" s="2" t="s">
        <v>96</v>
      </c>
      <c r="CH2" s="2" t="s">
        <v>97</v>
      </c>
    </row>
    <row r="3" customFormat="false" ht="15" hidden="false" customHeight="false" outlineLevel="0" collapsed="false">
      <c r="A3" s="3" t="n">
        <v>1</v>
      </c>
      <c r="B3" s="4" t="s">
        <v>148</v>
      </c>
      <c r="C3" s="12" t="s">
        <v>149</v>
      </c>
      <c r="D3" s="4" t="s">
        <v>150</v>
      </c>
      <c r="E3" s="4" t="s">
        <v>151</v>
      </c>
      <c r="F3" s="4" t="s">
        <v>149</v>
      </c>
      <c r="G3" s="3" t="n">
        <v>1</v>
      </c>
      <c r="H3" s="6" t="n">
        <v>26.7</v>
      </c>
      <c r="I3" s="3" t="n">
        <v>5</v>
      </c>
      <c r="J3" s="3" t="n">
        <v>14</v>
      </c>
      <c r="K3" s="7" t="n">
        <v>19.47</v>
      </c>
      <c r="L3" s="7" t="n">
        <v>5.73</v>
      </c>
      <c r="M3" s="8" t="n">
        <v>15</v>
      </c>
      <c r="N3" s="8" t="n">
        <v>33</v>
      </c>
      <c r="O3" s="7" t="n">
        <v>19.47</v>
      </c>
      <c r="P3" s="6" t="n">
        <v>99.4</v>
      </c>
      <c r="Q3" s="4" t="s">
        <v>151</v>
      </c>
      <c r="R3" s="8" t="n">
        <v>17</v>
      </c>
      <c r="S3" s="6" t="n">
        <v>315.9</v>
      </c>
      <c r="T3" s="7" t="n">
        <f aca="false">IFERROR(S3/R3,"")</f>
        <v>18.5823529411765</v>
      </c>
      <c r="U3" s="6" t="n">
        <v>252.9</v>
      </c>
      <c r="V3" s="6" t="n">
        <v>189.9</v>
      </c>
      <c r="W3" s="8" t="n">
        <v>1</v>
      </c>
      <c r="X3" s="7" t="n">
        <f aca="false">IFERROR(S3/AH3,"")</f>
        <v>1.86923076923077</v>
      </c>
      <c r="Y3" s="9" t="n">
        <f aca="false">IFERROR(S3/AF3,"")</f>
        <v>0.305808325266215</v>
      </c>
      <c r="Z3" s="6" t="n">
        <v>12.2</v>
      </c>
      <c r="AA3" s="6" t="n">
        <v>16.5</v>
      </c>
      <c r="AB3" s="6" t="n">
        <v>27.62</v>
      </c>
      <c r="AC3" s="10" t="n">
        <v>0.706</v>
      </c>
      <c r="AD3" s="10" t="n">
        <v>0</v>
      </c>
      <c r="AE3" s="7" t="n">
        <v>0.507</v>
      </c>
      <c r="AF3" s="8" t="n">
        <v>1033</v>
      </c>
      <c r="AG3" s="10" t="n">
        <v>0.914</v>
      </c>
      <c r="AH3" s="8" t="n">
        <v>169</v>
      </c>
      <c r="AI3" s="8" t="n">
        <v>169</v>
      </c>
      <c r="AJ3" s="6" t="n">
        <f aca="false">IFERROR(AI3/R3,"")</f>
        <v>9.94117647058824</v>
      </c>
      <c r="AK3" s="10" t="n">
        <v>0.2739</v>
      </c>
      <c r="AL3" s="10" t="n">
        <v>0.253</v>
      </c>
      <c r="AM3" s="9" t="n">
        <v>0.588</v>
      </c>
      <c r="AN3" s="8" t="n">
        <v>126</v>
      </c>
      <c r="AO3" s="10" t="n">
        <f aca="false">IFERROR(AN3/AI3,"")</f>
        <v>0.745562130177515</v>
      </c>
      <c r="AP3" s="8" t="n">
        <v>1239</v>
      </c>
      <c r="AQ3" s="7" t="n">
        <f aca="false">IFERROR(AP3/AI3,"")</f>
        <v>7.33136094674556</v>
      </c>
      <c r="AR3" s="6" t="n">
        <v>6.663</v>
      </c>
      <c r="AS3" s="7" t="n">
        <v>4.627</v>
      </c>
      <c r="AT3" s="7" t="n">
        <v>1.1</v>
      </c>
      <c r="AU3" s="7" t="n">
        <v>3.0601982826134</v>
      </c>
      <c r="AV3" s="7" t="n">
        <v>5.46022900763359</v>
      </c>
      <c r="AW3" s="7" t="n">
        <v>0.714653157622706</v>
      </c>
      <c r="AX3" s="10" t="n">
        <v>0.0118</v>
      </c>
      <c r="AY3" s="8" t="n">
        <v>33</v>
      </c>
      <c r="AZ3" s="8" t="n">
        <v>11</v>
      </c>
      <c r="BA3" s="8" t="n">
        <v>5</v>
      </c>
      <c r="BB3" s="8" t="n">
        <v>11</v>
      </c>
      <c r="BC3" s="7" t="n">
        <v>10.02</v>
      </c>
      <c r="BD3" s="7" t="n">
        <f aca="false">IFERROR(BB3-BC3,"")</f>
        <v>0.98</v>
      </c>
      <c r="BE3" s="9" t="n">
        <f aca="false">IFERROR(BB3/AH3,"")</f>
        <v>0.0650887573964497</v>
      </c>
      <c r="BF3" s="6" t="n">
        <v>36.9</v>
      </c>
      <c r="BG3" s="6" t="n">
        <v>43.8</v>
      </c>
      <c r="BH3" s="6" t="n">
        <v>35.6</v>
      </c>
      <c r="BI3" s="7" t="n">
        <v>2.771</v>
      </c>
      <c r="BJ3" s="10" t="n">
        <v>0.2005</v>
      </c>
      <c r="BK3" s="10" t="n">
        <v>0.65625</v>
      </c>
      <c r="BL3" s="7" t="n">
        <v>2.593</v>
      </c>
      <c r="BM3" s="10" t="n">
        <v>0.282</v>
      </c>
      <c r="BN3" s="10" t="n">
        <v>0.0839</v>
      </c>
      <c r="BO3" s="7" t="n">
        <v>2.373</v>
      </c>
      <c r="BP3" s="10" t="n">
        <v>0.686</v>
      </c>
      <c r="BQ3" s="8" t="n">
        <v>3</v>
      </c>
      <c r="BR3" s="10" t="n">
        <v>0.0399</v>
      </c>
      <c r="BS3" s="10" t="n">
        <v>0.6204</v>
      </c>
      <c r="BT3" s="6" t="n">
        <v>63.18</v>
      </c>
      <c r="BU3" s="6" t="n">
        <v>39</v>
      </c>
      <c r="BV3" s="7" t="n">
        <v>3.59</v>
      </c>
      <c r="BW3" s="6" t="n">
        <v>20.9</v>
      </c>
      <c r="BX3" s="9" t="n">
        <v>-0.0591</v>
      </c>
      <c r="BY3" s="9" t="n">
        <v>0.0023</v>
      </c>
      <c r="BZ3" s="8" t="n">
        <v>106</v>
      </c>
      <c r="CA3" s="10" t="n">
        <v>0.172</v>
      </c>
      <c r="CB3" s="8" t="n">
        <v>173</v>
      </c>
      <c r="CC3" s="10" t="n">
        <v>0.473</v>
      </c>
      <c r="CD3" s="8" t="n">
        <v>41</v>
      </c>
      <c r="CE3" s="7" t="n">
        <v>0.027</v>
      </c>
      <c r="CF3" s="7" t="n">
        <v>0.026</v>
      </c>
      <c r="CG3" s="4" t="s">
        <v>102</v>
      </c>
      <c r="CH3" s="4"/>
    </row>
    <row r="4" customFormat="false" ht="15" hidden="false" customHeight="false" outlineLevel="0" collapsed="false">
      <c r="A4" s="3" t="n">
        <v>2</v>
      </c>
      <c r="B4" s="4" t="s">
        <v>154</v>
      </c>
      <c r="C4" s="12" t="s">
        <v>149</v>
      </c>
      <c r="D4" s="4" t="s">
        <v>155</v>
      </c>
      <c r="E4" s="4" t="s">
        <v>142</v>
      </c>
      <c r="F4" s="4" t="s">
        <v>149</v>
      </c>
      <c r="G4" s="3" t="n">
        <v>1</v>
      </c>
      <c r="H4" s="6" t="n">
        <v>23.7</v>
      </c>
      <c r="I4" s="3" t="n">
        <v>3</v>
      </c>
      <c r="J4" s="3" t="n">
        <v>13</v>
      </c>
      <c r="K4" s="7" t="n">
        <v>20.44</v>
      </c>
      <c r="L4" s="7" t="n">
        <v>3.47</v>
      </c>
      <c r="M4" s="8" t="n">
        <v>11</v>
      </c>
      <c r="N4" s="8" t="n">
        <v>32</v>
      </c>
      <c r="O4" s="7" t="n">
        <v>20.44</v>
      </c>
      <c r="P4" s="6" t="n">
        <v>99.5</v>
      </c>
      <c r="Q4" s="4" t="s">
        <v>142</v>
      </c>
      <c r="R4" s="8" t="n">
        <v>12</v>
      </c>
      <c r="S4" s="6" t="n">
        <v>176.2</v>
      </c>
      <c r="T4" s="7" t="n">
        <f aca="false">IFERROR(S4/R4,"")</f>
        <v>14.6833333333333</v>
      </c>
      <c r="U4" s="6" t="n">
        <v>144.2</v>
      </c>
      <c r="V4" s="6" t="n">
        <v>112.2</v>
      </c>
      <c r="W4" s="8" t="n">
        <v>11</v>
      </c>
      <c r="X4" s="7" t="n">
        <f aca="false">IFERROR(S4/AH4,"")</f>
        <v>2.00227272727273</v>
      </c>
      <c r="Y4" s="9" t="n">
        <f aca="false">IFERROR(S4/AF4,"")</f>
        <v>0.291239669421488</v>
      </c>
      <c r="Z4" s="6" t="n">
        <v>9.4</v>
      </c>
      <c r="AA4" s="6" t="n">
        <v>12.85</v>
      </c>
      <c r="AB4" s="6" t="n">
        <v>17.75</v>
      </c>
      <c r="AC4" s="10" t="n">
        <v>0.333</v>
      </c>
      <c r="AD4" s="10" t="n">
        <v>0</v>
      </c>
      <c r="AE4" s="7" t="n">
        <v>0.788</v>
      </c>
      <c r="AF4" s="8" t="n">
        <v>605</v>
      </c>
      <c r="AG4" s="10" t="n">
        <v>0.859</v>
      </c>
      <c r="AH4" s="8" t="n">
        <v>88</v>
      </c>
      <c r="AI4" s="8" t="n">
        <v>86</v>
      </c>
      <c r="AJ4" s="6" t="n">
        <f aca="false">IFERROR(AI4/R4,"")</f>
        <v>7.16666666666667</v>
      </c>
      <c r="AK4" s="10" t="n">
        <v>0.2363</v>
      </c>
      <c r="AL4" s="10" t="n">
        <v>0.2297</v>
      </c>
      <c r="AM4" s="9" t="n">
        <v>0.5152</v>
      </c>
      <c r="AN4" s="8" t="n">
        <v>64</v>
      </c>
      <c r="AO4" s="10" t="n">
        <f aca="false">IFERROR(AN4/AI4,"")</f>
        <v>0.744186046511628</v>
      </c>
      <c r="AP4" s="8" t="n">
        <v>680</v>
      </c>
      <c r="AQ4" s="7" t="n">
        <f aca="false">IFERROR(AP4/AI4,"")</f>
        <v>7.90697674418605</v>
      </c>
      <c r="AR4" s="6" t="n">
        <v>6.512</v>
      </c>
      <c r="AS4" s="7" t="n">
        <v>4.766</v>
      </c>
      <c r="AT4" s="7" t="n">
        <v>1.214</v>
      </c>
      <c r="AU4" s="7" t="n">
        <v>3.05463787552995</v>
      </c>
      <c r="AV4" s="7" t="n">
        <v>6.14666666666667</v>
      </c>
      <c r="AW4" s="7" t="n">
        <v>0.948782688225947</v>
      </c>
      <c r="AX4" s="10" t="n">
        <v>0.0465</v>
      </c>
      <c r="AY4" s="8" t="n">
        <v>17</v>
      </c>
      <c r="AZ4" s="8" t="n">
        <v>9</v>
      </c>
      <c r="BA4" s="8" t="n">
        <v>2</v>
      </c>
      <c r="BB4" s="8" t="n">
        <v>7</v>
      </c>
      <c r="BC4" s="7" t="n">
        <v>5.13</v>
      </c>
      <c r="BD4" s="7" t="n">
        <f aca="false">IFERROR(BB4-BC4,"")</f>
        <v>1.87</v>
      </c>
      <c r="BE4" s="9" t="n">
        <f aca="false">IFERROR(BB4/AH4,"")</f>
        <v>0.0795454545454545</v>
      </c>
      <c r="BF4" s="6" t="n">
        <v>15.2</v>
      </c>
      <c r="BG4" s="6" t="n">
        <v>7.8</v>
      </c>
      <c r="BH4" s="6" t="n">
        <v>37.5</v>
      </c>
      <c r="BI4" s="7" t="n">
        <v>2.49</v>
      </c>
      <c r="BJ4" s="10" t="n">
        <v>0.2502</v>
      </c>
      <c r="BK4" s="10" t="n">
        <v>0.366666666666667</v>
      </c>
      <c r="BL4" s="7" t="n">
        <v>1.629</v>
      </c>
      <c r="BM4" s="10" t="n">
        <v>0.2641</v>
      </c>
      <c r="BN4" s="10" t="n">
        <v>0.1019</v>
      </c>
      <c r="BO4" s="7" t="n">
        <v>2.487</v>
      </c>
      <c r="BP4" s="10" t="n">
        <v>0.384</v>
      </c>
      <c r="BQ4" s="8" t="n">
        <v>2</v>
      </c>
      <c r="BR4" s="10" t="n">
        <v>-0.0175</v>
      </c>
      <c r="BS4" s="10" t="n">
        <v>0.5679</v>
      </c>
      <c r="BT4" s="6" t="n">
        <v>55.41</v>
      </c>
      <c r="BU4" s="6" t="n">
        <v>38</v>
      </c>
      <c r="BV4" s="7" t="n">
        <v>2.24</v>
      </c>
      <c r="BW4" s="6" t="n">
        <v>14.2</v>
      </c>
      <c r="BX4" s="9" t="n">
        <v>-0.2605</v>
      </c>
      <c r="BY4" s="9" t="n">
        <v>-0.187</v>
      </c>
      <c r="BZ4" s="8" t="n">
        <v>55</v>
      </c>
      <c r="CA4" s="10" t="n">
        <v>0.111</v>
      </c>
      <c r="CB4" s="8" t="n">
        <v>58</v>
      </c>
      <c r="CC4" s="10" t="n">
        <v>0.157</v>
      </c>
      <c r="CD4" s="8" t="n">
        <v>13</v>
      </c>
      <c r="CE4" s="7" t="n">
        <v>-0.376</v>
      </c>
      <c r="CF4" s="7" t="n">
        <v>0.018</v>
      </c>
      <c r="CG4" s="4" t="s">
        <v>121</v>
      </c>
      <c r="CH4" s="4"/>
    </row>
    <row r="5" customFormat="false" ht="15" hidden="false" customHeight="false" outlineLevel="0" collapsed="false">
      <c r="A5" s="3" t="n">
        <v>3</v>
      </c>
      <c r="B5" s="4" t="s">
        <v>201</v>
      </c>
      <c r="C5" s="12" t="s">
        <v>149</v>
      </c>
      <c r="D5" s="4" t="s">
        <v>202</v>
      </c>
      <c r="E5" s="4" t="s">
        <v>203</v>
      </c>
      <c r="F5" s="4" t="s">
        <v>149</v>
      </c>
      <c r="G5" s="3" t="n">
        <v>1</v>
      </c>
      <c r="H5" s="6" t="n">
        <v>22.4</v>
      </c>
      <c r="I5" s="3" t="n">
        <v>2</v>
      </c>
      <c r="J5" s="3" t="n">
        <v>10</v>
      </c>
      <c r="K5" s="7" t="n">
        <v>37.97</v>
      </c>
      <c r="L5" s="7" t="n">
        <v>14.42</v>
      </c>
      <c r="M5" s="8" t="n">
        <v>22</v>
      </c>
      <c r="N5" s="8" t="n">
        <v>97</v>
      </c>
      <c r="O5" s="7" t="n">
        <v>37.97</v>
      </c>
      <c r="P5" s="6" t="n">
        <v>99.1</v>
      </c>
      <c r="Q5" s="4" t="s">
        <v>203</v>
      </c>
      <c r="R5" s="8" t="n">
        <v>16</v>
      </c>
      <c r="S5" s="6" t="n">
        <v>165.1</v>
      </c>
      <c r="T5" s="7" t="n">
        <f aca="false">IFERROR(S5/R5,"")</f>
        <v>10.31875</v>
      </c>
      <c r="U5" s="6" t="n">
        <v>136.1</v>
      </c>
      <c r="V5" s="6" t="n">
        <v>107.1</v>
      </c>
      <c r="W5" s="8" t="n">
        <v>12</v>
      </c>
      <c r="X5" s="7" t="n">
        <f aca="false">IFERROR(S5/AH5,"")</f>
        <v>1.98915662650602</v>
      </c>
      <c r="Y5" s="9" t="n">
        <f aca="false">IFERROR(S5/AF5,"")</f>
        <v>0.235520684736091</v>
      </c>
      <c r="Z5" s="6" t="n">
        <v>5.08</v>
      </c>
      <c r="AA5" s="6" t="n">
        <v>6.9</v>
      </c>
      <c r="AB5" s="6" t="n">
        <v>19.77</v>
      </c>
      <c r="AC5" s="10" t="n">
        <v>0.25</v>
      </c>
      <c r="AD5" s="10" t="n">
        <v>0.062</v>
      </c>
      <c r="AE5" s="7" t="n">
        <v>1.232</v>
      </c>
      <c r="AF5" s="8" t="n">
        <v>701</v>
      </c>
      <c r="AG5" s="10" t="n">
        <v>0.645</v>
      </c>
      <c r="AH5" s="8" t="n">
        <v>83</v>
      </c>
      <c r="AI5" s="8" t="n">
        <v>82</v>
      </c>
      <c r="AJ5" s="6" t="n">
        <f aca="false">IFERROR(AI5/R5,"")</f>
        <v>5.125</v>
      </c>
      <c r="AK5" s="10" t="n">
        <v>0.1653</v>
      </c>
      <c r="AL5" s="10" t="n">
        <v>0.1728</v>
      </c>
      <c r="AM5" s="9" t="n">
        <v>0.3689</v>
      </c>
      <c r="AN5" s="8" t="n">
        <v>58</v>
      </c>
      <c r="AO5" s="10" t="n">
        <f aca="false">IFERROR(AN5/AI5,"")</f>
        <v>0.707317073170732</v>
      </c>
      <c r="AP5" s="8" t="n">
        <v>713</v>
      </c>
      <c r="AQ5" s="7" t="n">
        <f aca="false">IFERROR(AP5/AI5,"")</f>
        <v>8.69512195121951</v>
      </c>
      <c r="AR5" s="6" t="n">
        <v>9.098</v>
      </c>
      <c r="AS5" s="7" t="n">
        <v>4.31</v>
      </c>
      <c r="AT5" s="7" t="n">
        <v>0.956</v>
      </c>
      <c r="AU5" s="7" t="n">
        <v>3.6848323272703</v>
      </c>
      <c r="AV5" s="7" t="n">
        <v>5.38375</v>
      </c>
      <c r="AW5" s="7" t="n">
        <v>0.742548228414731</v>
      </c>
      <c r="AX5" s="10" t="n">
        <v>0.0122</v>
      </c>
      <c r="AY5" s="8" t="n">
        <v>15</v>
      </c>
      <c r="AZ5" s="8" t="n">
        <v>7</v>
      </c>
      <c r="BA5" s="8" t="n">
        <v>4</v>
      </c>
      <c r="BB5" s="8" t="n">
        <v>6</v>
      </c>
      <c r="BC5" s="7" t="n">
        <v>5.13</v>
      </c>
      <c r="BD5" s="7" t="n">
        <f aca="false">IFERROR(BB5-BC5,"")</f>
        <v>0.87</v>
      </c>
      <c r="BE5" s="9" t="n">
        <f aca="false">IFERROR(BB5/AH5,"")</f>
        <v>0.072289156626506</v>
      </c>
      <c r="BF5" s="6" t="n">
        <v>76.3</v>
      </c>
      <c r="BG5" s="6" t="n">
        <v>80.3</v>
      </c>
      <c r="BH5" s="6" t="n">
        <v>61.1</v>
      </c>
      <c r="BI5" s="7" t="n">
        <v>3.337</v>
      </c>
      <c r="BJ5" s="10" t="n">
        <v>0.1354</v>
      </c>
      <c r="BK5" s="10" t="n">
        <v>0.794117647058824</v>
      </c>
      <c r="BL5" s="7" t="n">
        <v>3.125</v>
      </c>
      <c r="BM5" s="10" t="n">
        <v>0.2787</v>
      </c>
      <c r="BN5" s="10" t="n">
        <v>0.0358</v>
      </c>
      <c r="BO5" s="7" t="n">
        <v>2.496</v>
      </c>
      <c r="BP5" s="10" t="n">
        <v>0.802</v>
      </c>
      <c r="BQ5" s="8" t="n">
        <v>4</v>
      </c>
      <c r="BR5" s="10" t="n">
        <v>-0.039</v>
      </c>
      <c r="BS5" s="10" t="n">
        <v>0.5233</v>
      </c>
      <c r="BT5" s="6" t="n">
        <v>64.47</v>
      </c>
      <c r="BU5" s="6" t="n">
        <v>37</v>
      </c>
      <c r="BV5" s="7" t="n">
        <v>3.41</v>
      </c>
      <c r="BW5" s="6" t="n">
        <v>25.9</v>
      </c>
      <c r="BX5" s="9" t="n">
        <v>0.0786</v>
      </c>
      <c r="BY5" s="9" t="n">
        <v>0.0802</v>
      </c>
      <c r="BZ5" s="8" t="n">
        <v>161</v>
      </c>
      <c r="CA5" s="10" t="n">
        <v>0.303</v>
      </c>
      <c r="CB5" s="8" t="n">
        <v>20</v>
      </c>
      <c r="CC5" s="10" t="n">
        <v>0.04</v>
      </c>
      <c r="CD5" s="8" t="n">
        <v>26</v>
      </c>
      <c r="CE5" s="7" t="n">
        <v>-0.384</v>
      </c>
      <c r="CF5" s="7" t="n">
        <v>-0.56</v>
      </c>
      <c r="CG5" s="4" t="s">
        <v>121</v>
      </c>
      <c r="CH5" s="4"/>
    </row>
    <row r="6" customFormat="false" ht="15" hidden="false" customHeight="false" outlineLevel="0" collapsed="false">
      <c r="A6" s="3" t="n">
        <v>4</v>
      </c>
      <c r="B6" s="4" t="s">
        <v>238</v>
      </c>
      <c r="C6" s="12" t="s">
        <v>149</v>
      </c>
      <c r="D6" s="4" t="s">
        <v>239</v>
      </c>
      <c r="E6" s="4" t="s">
        <v>130</v>
      </c>
      <c r="F6" s="4" t="s">
        <v>149</v>
      </c>
      <c r="G6" s="3" t="n">
        <v>1</v>
      </c>
      <c r="H6" s="6" t="n">
        <v>24.2</v>
      </c>
      <c r="I6" s="3" t="n">
        <v>2</v>
      </c>
      <c r="J6" s="3" t="n">
        <v>13</v>
      </c>
      <c r="K6" s="7" t="n">
        <v>53.48</v>
      </c>
      <c r="L6" s="7" t="n">
        <v>10.41</v>
      </c>
      <c r="M6" s="8" t="n">
        <v>22</v>
      </c>
      <c r="N6" s="8" t="n">
        <v>87</v>
      </c>
      <c r="O6" s="7" t="n">
        <v>53.48</v>
      </c>
      <c r="P6" s="6" t="n">
        <v>98.5</v>
      </c>
      <c r="Q6" s="4" t="s">
        <v>130</v>
      </c>
      <c r="R6" s="8" t="n">
        <v>17</v>
      </c>
      <c r="S6" s="6" t="n">
        <v>188.5</v>
      </c>
      <c r="T6" s="7" t="n">
        <f aca="false">IFERROR(S6/R6,"")</f>
        <v>11.0882352941176</v>
      </c>
      <c r="U6" s="6" t="n">
        <v>150.5</v>
      </c>
      <c r="V6" s="6" t="n">
        <v>112.5</v>
      </c>
      <c r="W6" s="8" t="n">
        <v>4</v>
      </c>
      <c r="X6" s="7" t="n">
        <f aca="false">IFERROR(S6/AH6,"")</f>
        <v>1.59745762711864</v>
      </c>
      <c r="Y6" s="9" t="n">
        <f aca="false">IFERROR(S6/AF6,"")</f>
        <v>0.209677419354839</v>
      </c>
      <c r="Z6" s="6" t="n">
        <v>7.6</v>
      </c>
      <c r="AA6" s="6" t="n">
        <v>9.5</v>
      </c>
      <c r="AB6" s="6" t="n">
        <v>17.5</v>
      </c>
      <c r="AC6" s="10" t="n">
        <v>0.235</v>
      </c>
      <c r="AD6" s="10" t="n">
        <v>0</v>
      </c>
      <c r="AE6" s="7" t="n">
        <v>0.514</v>
      </c>
      <c r="AF6" s="8" t="n">
        <v>899</v>
      </c>
      <c r="AG6" s="10" t="n">
        <v>0.838</v>
      </c>
      <c r="AH6" s="8" t="n">
        <v>118</v>
      </c>
      <c r="AI6" s="8" t="n">
        <v>112</v>
      </c>
      <c r="AJ6" s="6" t="n">
        <f aca="false">IFERROR(AI6/R6,"")</f>
        <v>6.58823529411765</v>
      </c>
      <c r="AK6" s="10" t="n">
        <v>0.2113</v>
      </c>
      <c r="AL6" s="10" t="n">
        <v>0.1408</v>
      </c>
      <c r="AM6" s="9" t="n">
        <v>0.4155</v>
      </c>
      <c r="AN6" s="8" t="n">
        <v>76</v>
      </c>
      <c r="AO6" s="10" t="n">
        <f aca="false">IFERROR(AN6/AI6,"")</f>
        <v>0.678571428571429</v>
      </c>
      <c r="AP6" s="8" t="n">
        <v>817</v>
      </c>
      <c r="AQ6" s="7" t="n">
        <f aca="false">IFERROR(AP6/AI6,"")</f>
        <v>7.29464285714286</v>
      </c>
      <c r="AR6" s="6" t="n">
        <v>5.375</v>
      </c>
      <c r="AS6" s="7" t="n">
        <v>6.237</v>
      </c>
      <c r="AT6" s="7" t="n">
        <v>1.357</v>
      </c>
      <c r="AU6" s="7" t="n">
        <v>3.3098936455412</v>
      </c>
      <c r="AV6" s="7" t="n">
        <v>5.91195402298851</v>
      </c>
      <c r="AW6" s="7" t="n">
        <v>0.619173877050571</v>
      </c>
      <c r="AX6" s="10" t="n">
        <v>0.0179</v>
      </c>
      <c r="AY6" s="8" t="n">
        <v>25</v>
      </c>
      <c r="AZ6" s="8" t="n">
        <v>15</v>
      </c>
      <c r="BA6" s="8" t="n">
        <v>7</v>
      </c>
      <c r="BB6" s="8" t="n">
        <v>5</v>
      </c>
      <c r="BC6" s="7" t="n">
        <v>8.44</v>
      </c>
      <c r="BD6" s="7" t="n">
        <f aca="false">IFERROR(BB6-BC6,"")</f>
        <v>-3.44</v>
      </c>
      <c r="BE6" s="9" t="n">
        <f aca="false">IFERROR(BB6/AH6,"")</f>
        <v>0.0423728813559322</v>
      </c>
      <c r="BF6" s="6" t="n">
        <v>60.3</v>
      </c>
      <c r="BG6" s="6" t="n">
        <v>57.7</v>
      </c>
      <c r="BH6" s="6" t="n">
        <v>58.5</v>
      </c>
      <c r="BI6" s="7" t="n">
        <v>3.072</v>
      </c>
      <c r="BJ6" s="10" t="n">
        <v>0.1487</v>
      </c>
      <c r="BK6" s="10" t="n">
        <v>0.6875</v>
      </c>
      <c r="BL6" s="7" t="n">
        <v>2.428</v>
      </c>
      <c r="BM6" s="10" t="n">
        <v>0.2121</v>
      </c>
      <c r="BN6" s="10" t="n">
        <v>0.047</v>
      </c>
      <c r="BO6" s="7" t="n">
        <v>2.237</v>
      </c>
      <c r="BP6" s="10" t="n">
        <v>0.832</v>
      </c>
      <c r="BQ6" s="8" t="n">
        <v>5</v>
      </c>
      <c r="BR6" s="10" t="n">
        <v>-0.0091</v>
      </c>
      <c r="BS6" s="10" t="n">
        <v>0.5637</v>
      </c>
      <c r="BT6" s="6" t="n">
        <v>59.47</v>
      </c>
      <c r="BU6" s="6" t="n">
        <v>39</v>
      </c>
      <c r="BV6" s="7" t="n">
        <v>4.12</v>
      </c>
      <c r="BW6" s="6" t="n">
        <v>27.4</v>
      </c>
      <c r="BX6" s="9" t="n">
        <v>0.094</v>
      </c>
      <c r="BY6" s="9" t="n">
        <v>0.0558</v>
      </c>
      <c r="BZ6" s="8" t="n">
        <v>147</v>
      </c>
      <c r="CA6" s="10" t="n">
        <v>0.277</v>
      </c>
      <c r="CB6" s="8" t="n">
        <v>24</v>
      </c>
      <c r="CC6" s="10" t="n">
        <v>0.054</v>
      </c>
      <c r="CD6" s="8" t="n">
        <v>20</v>
      </c>
      <c r="CE6" s="7" t="n">
        <v>0.002</v>
      </c>
      <c r="CF6" s="7" t="n">
        <v>-0.262</v>
      </c>
      <c r="CG6" s="4" t="s">
        <v>102</v>
      </c>
      <c r="CH6" s="4"/>
    </row>
    <row r="7" customFormat="false" ht="15" hidden="false" customHeight="false" outlineLevel="0" collapsed="false">
      <c r="A7" s="3" t="n">
        <v>5</v>
      </c>
      <c r="B7" s="4" t="s">
        <v>277</v>
      </c>
      <c r="C7" s="12" t="s">
        <v>149</v>
      </c>
      <c r="D7" s="4" t="s">
        <v>278</v>
      </c>
      <c r="E7" s="4" t="s">
        <v>218</v>
      </c>
      <c r="F7" s="4" t="s">
        <v>149</v>
      </c>
      <c r="G7" s="3" t="n">
        <v>1</v>
      </c>
      <c r="H7" s="6" t="n">
        <v>25.8</v>
      </c>
      <c r="I7" s="3" t="n">
        <v>4</v>
      </c>
      <c r="J7" s="3" t="n">
        <v>11</v>
      </c>
      <c r="K7" s="7" t="n">
        <v>72.87</v>
      </c>
      <c r="L7" s="7" t="n">
        <v>12.62</v>
      </c>
      <c r="M7" s="8" t="n">
        <v>32</v>
      </c>
      <c r="N7" s="8" t="n">
        <v>111</v>
      </c>
      <c r="O7" s="7" t="n">
        <v>72.87</v>
      </c>
      <c r="P7" s="6" t="n">
        <v>92.5</v>
      </c>
      <c r="Q7" s="4" t="s">
        <v>218</v>
      </c>
      <c r="R7" s="8" t="n">
        <v>8</v>
      </c>
      <c r="S7" s="6" t="n">
        <v>117.2</v>
      </c>
      <c r="T7" s="7" t="n">
        <f aca="false">IFERROR(S7/R7,"")</f>
        <v>14.65</v>
      </c>
      <c r="U7" s="6" t="n">
        <v>101.2</v>
      </c>
      <c r="V7" s="6" t="n">
        <v>85.2</v>
      </c>
      <c r="W7" s="8" t="n">
        <v>22</v>
      </c>
      <c r="X7" s="7" t="n">
        <f aca="false">IFERROR(S7/AH7,"")</f>
        <v>2.60444444444444</v>
      </c>
      <c r="Y7" s="9" t="n">
        <f aca="false">IFERROR(S7/AF7,"")</f>
        <v>0.266970387243736</v>
      </c>
      <c r="Z7" s="6" t="n">
        <v>8.9</v>
      </c>
      <c r="AA7" s="6" t="n">
        <v>11.45</v>
      </c>
      <c r="AB7" s="6" t="n">
        <v>24.02</v>
      </c>
      <c r="AC7" s="10" t="n">
        <v>0.25</v>
      </c>
      <c r="AD7" s="10" t="n">
        <v>0</v>
      </c>
      <c r="AE7" s="7" t="n">
        <v>0.862</v>
      </c>
      <c r="AF7" s="8" t="n">
        <v>439</v>
      </c>
      <c r="AG7" s="10" t="n">
        <v>0.86</v>
      </c>
      <c r="AH7" s="8" t="n">
        <v>45</v>
      </c>
      <c r="AI7" s="8" t="n">
        <v>44</v>
      </c>
      <c r="AJ7" s="6" t="n">
        <f aca="false">IFERROR(AI7/R7,"")</f>
        <v>5.5</v>
      </c>
      <c r="AK7" s="10" t="n">
        <v>0.188</v>
      </c>
      <c r="AL7" s="10" t="n">
        <v>0.1089</v>
      </c>
      <c r="AM7" s="9" t="n">
        <v>0.3582</v>
      </c>
      <c r="AN7" s="8" t="n">
        <v>32</v>
      </c>
      <c r="AO7" s="10" t="n">
        <f aca="false">IFERROR(AN7/AI7,"")</f>
        <v>0.727272727272727</v>
      </c>
      <c r="AP7" s="8" t="n">
        <v>489</v>
      </c>
      <c r="AQ7" s="7" t="n">
        <f aca="false">IFERROR(AP7/AI7,"")</f>
        <v>11.1136363636364</v>
      </c>
      <c r="AR7" s="6" t="n">
        <v>4.568</v>
      </c>
      <c r="AS7" s="7" t="n">
        <v>10.75</v>
      </c>
      <c r="AT7" s="7" t="n">
        <v>2.433</v>
      </c>
      <c r="AU7" s="7"/>
      <c r="AV7" s="7"/>
      <c r="AW7" s="7"/>
      <c r="AX7" s="10" t="n">
        <v>0.0682</v>
      </c>
      <c r="AY7" s="8" t="n">
        <v>12</v>
      </c>
      <c r="AZ7" s="8" t="n">
        <v>3</v>
      </c>
      <c r="BA7" s="8" t="n">
        <v>0</v>
      </c>
      <c r="BB7" s="8" t="n">
        <v>6</v>
      </c>
      <c r="BC7" s="7" t="n">
        <v>2.86</v>
      </c>
      <c r="BD7" s="7" t="n">
        <f aca="false">IFERROR(BB7-BC7,"")</f>
        <v>3.14</v>
      </c>
      <c r="BE7" s="9" t="n">
        <f aca="false">IFERROR(BB7/AH7,"")</f>
        <v>0.133333333333333</v>
      </c>
      <c r="BF7" s="6" t="n">
        <v>52.5</v>
      </c>
      <c r="BG7" s="6" t="n">
        <v>45.3</v>
      </c>
      <c r="BH7" s="6" t="n">
        <v>58.7</v>
      </c>
      <c r="BI7" s="7" t="n">
        <v>2.905</v>
      </c>
      <c r="BJ7" s="10" t="n">
        <v>0.1629</v>
      </c>
      <c r="BK7" s="10" t="n">
        <v>0.604651162790698</v>
      </c>
      <c r="BL7" s="7" t="n">
        <v>2.199</v>
      </c>
      <c r="BM7" s="10" t="n">
        <v>0.2454</v>
      </c>
      <c r="BN7" s="10" t="n">
        <v>0.0493</v>
      </c>
      <c r="BO7" s="7" t="n">
        <v>2.41</v>
      </c>
      <c r="BP7" s="10" t="n">
        <v>0.704</v>
      </c>
      <c r="BQ7" s="8" t="n">
        <v>4</v>
      </c>
      <c r="BR7" s="10" t="n">
        <v>-0.0441</v>
      </c>
      <c r="BS7" s="10" t="n">
        <v>0.5063</v>
      </c>
      <c r="BT7" s="6" t="n">
        <v>58.41</v>
      </c>
      <c r="BU7" s="6" t="n">
        <v>39</v>
      </c>
      <c r="BV7" s="7" t="n">
        <v>3.47</v>
      </c>
      <c r="BW7" s="6" t="n">
        <v>23</v>
      </c>
      <c r="BX7" s="9" t="n">
        <v>-0.0102</v>
      </c>
      <c r="BY7" s="9" t="n">
        <v>0.229</v>
      </c>
      <c r="BZ7" s="8" t="n">
        <v>155</v>
      </c>
      <c r="CA7" s="10" t="n">
        <v>0.337</v>
      </c>
      <c r="CB7" s="8" t="n">
        <v>148</v>
      </c>
      <c r="CC7" s="10" t="n">
        <v>0.301</v>
      </c>
      <c r="CD7" s="8" t="n">
        <v>52</v>
      </c>
      <c r="CE7" s="7" t="n">
        <v>-0.752</v>
      </c>
      <c r="CF7" s="7" t="n">
        <v>0.037</v>
      </c>
      <c r="CG7" s="4" t="s">
        <v>121</v>
      </c>
      <c r="CH7" s="4"/>
    </row>
    <row r="8" customFormat="false" ht="15" hidden="false" customHeight="false" outlineLevel="0" collapsed="false">
      <c r="A8" s="3" t="n">
        <v>6</v>
      </c>
      <c r="B8" s="4" t="s">
        <v>285</v>
      </c>
      <c r="C8" s="12" t="s">
        <v>149</v>
      </c>
      <c r="D8" s="4" t="s">
        <v>286</v>
      </c>
      <c r="E8" s="4" t="s">
        <v>258</v>
      </c>
      <c r="F8" s="4" t="s">
        <v>149</v>
      </c>
      <c r="G8" s="3" t="n">
        <v>1</v>
      </c>
      <c r="H8" s="6" t="n">
        <v>22.1</v>
      </c>
      <c r="I8" s="3" t="n">
        <v>2</v>
      </c>
      <c r="J8" s="3" t="n">
        <v>11</v>
      </c>
      <c r="K8" s="7" t="n">
        <v>76.95</v>
      </c>
      <c r="L8" s="7" t="n">
        <v>15.73</v>
      </c>
      <c r="M8" s="8" t="n">
        <v>32</v>
      </c>
      <c r="N8" s="8" t="n">
        <v>173</v>
      </c>
      <c r="O8" s="7" t="n">
        <v>76.95</v>
      </c>
      <c r="P8" s="6" t="n">
        <v>94.2</v>
      </c>
      <c r="Q8" s="4" t="s">
        <v>258</v>
      </c>
      <c r="R8" s="8" t="n">
        <v>16</v>
      </c>
      <c r="S8" s="6" t="n">
        <v>186.4</v>
      </c>
      <c r="T8" s="7" t="n">
        <f aca="false">IFERROR(S8/R8,"")</f>
        <v>11.65</v>
      </c>
      <c r="U8" s="6" t="n">
        <v>150.4</v>
      </c>
      <c r="V8" s="6" t="n">
        <v>114.4</v>
      </c>
      <c r="W8" s="8" t="n">
        <v>6</v>
      </c>
      <c r="X8" s="7" t="n">
        <f aca="false">IFERROR(S8/AH8,"")</f>
        <v>1.63508771929825</v>
      </c>
      <c r="Y8" s="9" t="n">
        <f aca="false">IFERROR(S8/AF8,"")</f>
        <v>0.237150127226463</v>
      </c>
      <c r="Z8" s="6" t="n">
        <v>8.2</v>
      </c>
      <c r="AA8" s="6" t="n">
        <v>11.15</v>
      </c>
      <c r="AB8" s="6" t="n">
        <v>17.58</v>
      </c>
      <c r="AC8" s="10" t="n">
        <v>0.25</v>
      </c>
      <c r="AD8" s="10" t="n">
        <v>0</v>
      </c>
      <c r="AE8" s="7" t="n">
        <v>0.514</v>
      </c>
      <c r="AF8" s="8" t="n">
        <v>786</v>
      </c>
      <c r="AG8" s="10" t="n">
        <v>0.759</v>
      </c>
      <c r="AH8" s="8" t="n">
        <v>114</v>
      </c>
      <c r="AI8" s="8" t="n">
        <v>107</v>
      </c>
      <c r="AJ8" s="6" t="n">
        <f aca="false">IFERROR(AI8/R8,"")</f>
        <v>6.6875</v>
      </c>
      <c r="AK8" s="10" t="n">
        <v>0.2136</v>
      </c>
      <c r="AL8" s="10" t="n">
        <v>0.19</v>
      </c>
      <c r="AM8" s="9" t="n">
        <v>0.4534</v>
      </c>
      <c r="AN8" s="8" t="n">
        <v>72</v>
      </c>
      <c r="AO8" s="10" t="n">
        <f aca="false">IFERROR(AN8/AI8,"")</f>
        <v>0.672897196261682</v>
      </c>
      <c r="AP8" s="8" t="n">
        <v>731</v>
      </c>
      <c r="AQ8" s="7" t="n">
        <f aca="false">IFERROR(AP8/AI8,"")</f>
        <v>6.83177570093458</v>
      </c>
      <c r="AR8" s="6" t="n">
        <v>6.037</v>
      </c>
      <c r="AS8" s="7" t="n">
        <v>4.889</v>
      </c>
      <c r="AT8" s="7" t="n">
        <v>1.132</v>
      </c>
      <c r="AU8" s="7" t="n">
        <v>2.94057543117714</v>
      </c>
      <c r="AV8" s="7" t="n">
        <v>5.69824175824176</v>
      </c>
      <c r="AW8" s="7" t="n">
        <v>1.21517382711858</v>
      </c>
      <c r="AX8" s="10" t="n">
        <v>0.0374</v>
      </c>
      <c r="AY8" s="8" t="n">
        <v>12</v>
      </c>
      <c r="AZ8" s="8" t="n">
        <v>4</v>
      </c>
      <c r="BA8" s="8" t="n">
        <v>3</v>
      </c>
      <c r="BB8" s="8" t="n">
        <v>7</v>
      </c>
      <c r="BC8" s="7" t="n">
        <v>4.44</v>
      </c>
      <c r="BD8" s="7" t="n">
        <f aca="false">IFERROR(BB8-BC8,"")</f>
        <v>2.56</v>
      </c>
      <c r="BE8" s="9" t="n">
        <f aca="false">IFERROR(BB8/AH8,"")</f>
        <v>0.0614035087719298</v>
      </c>
      <c r="BF8" s="6" t="n">
        <v>15.1</v>
      </c>
      <c r="BG8" s="6" t="n">
        <v>18.5</v>
      </c>
      <c r="BH8" s="6" t="n">
        <v>26.5</v>
      </c>
      <c r="BI8" s="7" t="n">
        <v>2.392</v>
      </c>
      <c r="BJ8" s="10" t="n">
        <v>0.225</v>
      </c>
      <c r="BK8" s="10" t="n">
        <v>0.666666666666667</v>
      </c>
      <c r="BL8" s="7" t="n">
        <v>1.808</v>
      </c>
      <c r="BM8" s="10" t="n">
        <v>0.3405</v>
      </c>
      <c r="BN8" s="10" t="n">
        <v>0.0842</v>
      </c>
      <c r="BO8" s="7" t="n">
        <v>2.444</v>
      </c>
      <c r="BP8" s="10" t="n">
        <v>0.261</v>
      </c>
      <c r="BQ8" s="8" t="n">
        <v>1</v>
      </c>
      <c r="BR8" s="10" t="n">
        <v>-0.0372</v>
      </c>
      <c r="BS8" s="10" t="n">
        <v>0.5161</v>
      </c>
      <c r="BT8" s="6" t="n">
        <v>60.47</v>
      </c>
      <c r="BU8" s="6" t="n">
        <v>39</v>
      </c>
      <c r="BV8" s="7" t="n">
        <v>2.47</v>
      </c>
      <c r="BW8" s="6" t="n">
        <v>16.4</v>
      </c>
      <c r="BX8" s="9" t="n">
        <v>-0.0478</v>
      </c>
      <c r="BY8" s="9" t="n">
        <v>-0.2882</v>
      </c>
      <c r="BZ8" s="8" t="n">
        <v>88</v>
      </c>
      <c r="CA8" s="10" t="n">
        <v>0.169</v>
      </c>
      <c r="CB8" s="8" t="n">
        <v>37</v>
      </c>
      <c r="CC8" s="10" t="n">
        <v>0.088</v>
      </c>
      <c r="CD8" s="8" t="n">
        <v>23</v>
      </c>
      <c r="CE8" s="7" t="n">
        <v>-0.015</v>
      </c>
      <c r="CF8" s="7" t="n">
        <v>-0.103</v>
      </c>
      <c r="CG8" s="4" t="s">
        <v>102</v>
      </c>
      <c r="CH8" s="4"/>
    </row>
    <row r="9" customFormat="false" ht="15" hidden="false" customHeight="false" outlineLevel="0" collapsed="false">
      <c r="A9" s="3" t="n">
        <v>7</v>
      </c>
      <c r="B9" s="4" t="s">
        <v>301</v>
      </c>
      <c r="C9" s="12" t="s">
        <v>149</v>
      </c>
      <c r="D9" s="4" t="s">
        <v>302</v>
      </c>
      <c r="E9" s="4" t="s">
        <v>106</v>
      </c>
      <c r="F9" s="4" t="s">
        <v>149</v>
      </c>
      <c r="G9" s="3" t="n">
        <v>1</v>
      </c>
      <c r="H9" s="6" t="n">
        <v>25.6</v>
      </c>
      <c r="I9" s="3" t="n">
        <v>4</v>
      </c>
      <c r="J9" s="3" t="n">
        <v>6</v>
      </c>
      <c r="K9" s="7" t="n">
        <v>82.49</v>
      </c>
      <c r="L9" s="7" t="n">
        <v>10.07</v>
      </c>
      <c r="M9" s="8" t="n">
        <v>54</v>
      </c>
      <c r="N9" s="8" t="n">
        <v>97</v>
      </c>
      <c r="O9" s="7" t="n">
        <v>82.49</v>
      </c>
      <c r="P9" s="6" t="n">
        <v>95.1</v>
      </c>
      <c r="Q9" s="4" t="s">
        <v>106</v>
      </c>
      <c r="R9" s="8" t="n">
        <v>9</v>
      </c>
      <c r="S9" s="6" t="n">
        <v>106.9</v>
      </c>
      <c r="T9" s="7" t="n">
        <f aca="false">IFERROR(S9/R9,"")</f>
        <v>11.8777777777778</v>
      </c>
      <c r="U9" s="6" t="n">
        <v>86.9</v>
      </c>
      <c r="V9" s="6" t="n">
        <v>66.9</v>
      </c>
      <c r="W9" s="8" t="n">
        <v>25</v>
      </c>
      <c r="X9" s="7" t="n">
        <f aca="false">IFERROR(S9/AH9,"")</f>
        <v>2.18163265306122</v>
      </c>
      <c r="Y9" s="9" t="n">
        <f aca="false">IFERROR(S9/AF9,"")</f>
        <v>0.206769825918762</v>
      </c>
      <c r="Z9" s="6" t="n">
        <v>6.9</v>
      </c>
      <c r="AA9" s="6" t="n">
        <v>10.3</v>
      </c>
      <c r="AB9" s="6" t="n">
        <v>19.46</v>
      </c>
      <c r="AC9" s="10" t="n">
        <v>0.444</v>
      </c>
      <c r="AD9" s="10" t="n">
        <v>0</v>
      </c>
      <c r="AE9" s="7" t="n">
        <v>0.627</v>
      </c>
      <c r="AF9" s="8" t="n">
        <v>517</v>
      </c>
      <c r="AG9" s="10" t="n">
        <v>0.907</v>
      </c>
      <c r="AH9" s="8" t="n">
        <v>49</v>
      </c>
      <c r="AI9" s="8" t="n">
        <v>49</v>
      </c>
      <c r="AJ9" s="6" t="n">
        <f aca="false">IFERROR(AI9/R9,"")</f>
        <v>5.44444444444445</v>
      </c>
      <c r="AK9" s="10" t="n">
        <v>0.1863</v>
      </c>
      <c r="AL9" s="10" t="n">
        <v>0.1582</v>
      </c>
      <c r="AM9" s="9" t="n">
        <v>0.3902</v>
      </c>
      <c r="AN9" s="8" t="n">
        <v>40</v>
      </c>
      <c r="AO9" s="10" t="n">
        <f aca="false">IFERROR(AN9/AI9,"")</f>
        <v>0.816326530612245</v>
      </c>
      <c r="AP9" s="8" t="n">
        <v>489</v>
      </c>
      <c r="AQ9" s="7" t="n">
        <f aca="false">IFERROR(AP9/AI9,"")</f>
        <v>9.97959183673469</v>
      </c>
      <c r="AR9" s="6" t="n">
        <v>5.653</v>
      </c>
      <c r="AS9" s="7" t="n">
        <v>6.85</v>
      </c>
      <c r="AT9" s="7" t="n">
        <v>1.765</v>
      </c>
      <c r="AU9" s="7" t="n">
        <v>3.37479424630989</v>
      </c>
      <c r="AV9" s="7" t="n">
        <v>6.3658064516129</v>
      </c>
      <c r="AW9" s="7" t="n">
        <v>0.954262279869766</v>
      </c>
      <c r="AX9" s="10" t="n">
        <v>0</v>
      </c>
      <c r="AY9" s="8" t="n">
        <v>6</v>
      </c>
      <c r="AZ9" s="8" t="n">
        <v>3</v>
      </c>
      <c r="BA9" s="8" t="n">
        <v>1</v>
      </c>
      <c r="BB9" s="8" t="n">
        <v>3</v>
      </c>
      <c r="BC9" s="7" t="n">
        <v>2.23</v>
      </c>
      <c r="BD9" s="7" t="n">
        <f aca="false">IFERROR(BB9-BC9,"")</f>
        <v>0.77</v>
      </c>
      <c r="BE9" s="9" t="n">
        <f aca="false">IFERROR(BB9/AH9,"")</f>
        <v>0.0612244897959184</v>
      </c>
      <c r="BF9" s="6" t="n">
        <v>46.7</v>
      </c>
      <c r="BG9" s="6" t="n">
        <v>50</v>
      </c>
      <c r="BH9" s="6" t="n">
        <v>44.8</v>
      </c>
      <c r="BI9" s="7" t="n">
        <v>2.796</v>
      </c>
      <c r="BJ9" s="10" t="n">
        <v>0.1795</v>
      </c>
      <c r="BK9" s="10" t="n">
        <v>0.645161290322581</v>
      </c>
      <c r="BL9" s="7" t="n">
        <v>2.844</v>
      </c>
      <c r="BM9" s="10" t="n">
        <v>0.2646</v>
      </c>
      <c r="BN9" s="10" t="n">
        <v>0.0608</v>
      </c>
      <c r="BO9" s="7" t="n">
        <v>2.297</v>
      </c>
      <c r="BP9" s="10" t="n">
        <v>0.521</v>
      </c>
      <c r="BQ9" s="8" t="n">
        <v>3</v>
      </c>
      <c r="BR9" s="10" t="n">
        <v>-0.0456</v>
      </c>
      <c r="BS9" s="10" t="n">
        <v>0.5469</v>
      </c>
      <c r="BT9" s="6" t="n">
        <v>61.82</v>
      </c>
      <c r="BU9" s="6" t="n">
        <v>38</v>
      </c>
      <c r="BV9" s="7" t="n">
        <v>3.82</v>
      </c>
      <c r="BW9" s="6" t="n">
        <v>28.3</v>
      </c>
      <c r="BX9" s="9" t="n">
        <v>-0.0408</v>
      </c>
      <c r="BY9" s="9" t="n">
        <v>0.1681</v>
      </c>
      <c r="BZ9" s="8" t="n">
        <v>79</v>
      </c>
      <c r="CA9" s="10" t="n">
        <v>0.144</v>
      </c>
      <c r="CB9" s="8" t="n">
        <v>167</v>
      </c>
      <c r="CC9" s="10" t="n">
        <v>0.378</v>
      </c>
      <c r="CD9" s="8" t="n">
        <v>45</v>
      </c>
      <c r="CE9" s="7" t="n">
        <v>-0.812</v>
      </c>
      <c r="CF9" s="7" t="n">
        <v>-0.024</v>
      </c>
      <c r="CG9" s="4" t="s">
        <v>121</v>
      </c>
      <c r="CH9" s="4"/>
    </row>
    <row r="10" customFormat="false" ht="15" hidden="false" customHeight="false" outlineLevel="0" collapsed="false">
      <c r="A10" s="3" t="n">
        <v>8</v>
      </c>
      <c r="B10" s="4" t="s">
        <v>303</v>
      </c>
      <c r="C10" s="12" t="s">
        <v>149</v>
      </c>
      <c r="D10" s="4" t="s">
        <v>304</v>
      </c>
      <c r="E10" s="4" t="s">
        <v>112</v>
      </c>
      <c r="F10" s="4" t="s">
        <v>149</v>
      </c>
      <c r="G10" s="3" t="n">
        <v>1</v>
      </c>
      <c r="H10" s="6" t="n">
        <v>25.9</v>
      </c>
      <c r="I10" s="3" t="n">
        <v>6</v>
      </c>
      <c r="J10" s="3" t="n">
        <v>11</v>
      </c>
      <c r="K10" s="7" t="n">
        <v>82.88</v>
      </c>
      <c r="L10" s="7" t="n">
        <v>9.33</v>
      </c>
      <c r="M10" s="8" t="n">
        <v>66</v>
      </c>
      <c r="N10" s="8" t="n">
        <v>111</v>
      </c>
      <c r="O10" s="7" t="n">
        <v>82.88</v>
      </c>
      <c r="P10" s="6" t="n">
        <v>95.1</v>
      </c>
      <c r="Q10" s="4" t="s">
        <v>112</v>
      </c>
      <c r="R10" s="8" t="n">
        <v>17</v>
      </c>
      <c r="S10" s="6" t="n">
        <v>210.8</v>
      </c>
      <c r="T10" s="7" t="n">
        <f aca="false">IFERROR(S10/R10,"")</f>
        <v>12.4</v>
      </c>
      <c r="U10" s="6" t="n">
        <v>166.8</v>
      </c>
      <c r="V10" s="6" t="n">
        <v>122.8</v>
      </c>
      <c r="W10" s="8" t="n">
        <v>2</v>
      </c>
      <c r="X10" s="7" t="n">
        <f aca="false">IFERROR(S10/AH10,"")</f>
        <v>1.7864406779661</v>
      </c>
      <c r="Y10" s="9" t="n">
        <f aca="false">IFERROR(S10/AF10,"")</f>
        <v>0.219354838709677</v>
      </c>
      <c r="Z10" s="6" t="n">
        <v>5.8</v>
      </c>
      <c r="AA10" s="6" t="n">
        <v>11.8</v>
      </c>
      <c r="AB10" s="6" t="n">
        <v>16.88</v>
      </c>
      <c r="AC10" s="10" t="n">
        <v>0.353</v>
      </c>
      <c r="AD10" s="10" t="n">
        <v>0</v>
      </c>
      <c r="AE10" s="7" t="n">
        <v>0.842</v>
      </c>
      <c r="AF10" s="8" t="n">
        <v>961</v>
      </c>
      <c r="AG10" s="10" t="n">
        <v>0.88</v>
      </c>
      <c r="AH10" s="8" t="n">
        <v>118</v>
      </c>
      <c r="AI10" s="8" t="n">
        <v>118</v>
      </c>
      <c r="AJ10" s="6" t="n">
        <f aca="false">IFERROR(AI10/R10,"")</f>
        <v>6.94117647058824</v>
      </c>
      <c r="AK10" s="10" t="n">
        <v>0.2274</v>
      </c>
      <c r="AL10" s="10" t="n">
        <v>0.2077</v>
      </c>
      <c r="AM10" s="9" t="n">
        <v>0.4865</v>
      </c>
      <c r="AN10" s="8" t="n">
        <v>88</v>
      </c>
      <c r="AO10" s="10" t="n">
        <f aca="false">IFERROR(AN10/AI10,"")</f>
        <v>0.745762711864407</v>
      </c>
      <c r="AP10" s="8" t="n">
        <v>928</v>
      </c>
      <c r="AQ10" s="7" t="n">
        <f aca="false">IFERROR(AP10/AI10,"")</f>
        <v>7.86440677966102</v>
      </c>
      <c r="AR10" s="6" t="n">
        <v>7.364</v>
      </c>
      <c r="AS10" s="7" t="n">
        <v>4.545</v>
      </c>
      <c r="AT10" s="7" t="n">
        <v>1.068</v>
      </c>
      <c r="AU10" s="7" t="n">
        <v>3.55477532261254</v>
      </c>
      <c r="AV10" s="7" t="n">
        <v>5.60723404255319</v>
      </c>
      <c r="AW10" s="7" t="n">
        <v>-0.878331083591696</v>
      </c>
      <c r="AX10" s="10" t="n">
        <v>0.0169</v>
      </c>
      <c r="AY10" s="8" t="n">
        <v>12</v>
      </c>
      <c r="AZ10" s="8" t="n">
        <v>6</v>
      </c>
      <c r="BA10" s="8" t="n">
        <v>1</v>
      </c>
      <c r="BB10" s="8" t="n">
        <v>5</v>
      </c>
      <c r="BC10" s="7" t="n">
        <v>4.64</v>
      </c>
      <c r="BD10" s="7" t="n">
        <f aca="false">IFERROR(BB10-BC10,"")</f>
        <v>0.36</v>
      </c>
      <c r="BE10" s="9" t="n">
        <f aca="false">IFERROR(BB10/AH10,"")</f>
        <v>0.0423728813559322</v>
      </c>
      <c r="BF10" s="6" t="n">
        <v>62.4</v>
      </c>
      <c r="BG10" s="6" t="n">
        <v>52.7</v>
      </c>
      <c r="BH10" s="6" t="n">
        <v>66.9</v>
      </c>
      <c r="BI10" s="7" t="n">
        <v>3.071</v>
      </c>
      <c r="BJ10" s="10" t="n">
        <v>0.1627</v>
      </c>
      <c r="BK10" s="10" t="n">
        <v>0.523809523809524</v>
      </c>
      <c r="BL10" s="7" t="n">
        <v>2.522</v>
      </c>
      <c r="BM10" s="10" t="n">
        <v>0.2037</v>
      </c>
      <c r="BN10" s="10" t="n">
        <v>0.0494</v>
      </c>
      <c r="BO10" s="7" t="n">
        <v>2.4</v>
      </c>
      <c r="BP10" s="10" t="n">
        <v>0.798</v>
      </c>
      <c r="BQ10" s="8" t="n">
        <v>4</v>
      </c>
      <c r="BR10" s="10" t="n">
        <v>-0.0621</v>
      </c>
      <c r="BS10" s="10" t="n">
        <v>0.549</v>
      </c>
      <c r="BT10" s="6" t="n">
        <v>60.94</v>
      </c>
      <c r="BU10" s="6" t="n">
        <v>38</v>
      </c>
      <c r="BV10" s="7" t="n">
        <v>3.12</v>
      </c>
      <c r="BW10" s="6" t="n">
        <v>20.8</v>
      </c>
      <c r="BX10" s="9" t="n">
        <v>-0.0314</v>
      </c>
      <c r="BY10" s="9" t="n">
        <v>-0.0132</v>
      </c>
      <c r="BZ10" s="8" t="n">
        <v>151</v>
      </c>
      <c r="CA10" s="10" t="n">
        <v>0.291</v>
      </c>
      <c r="CB10" s="8" t="n">
        <v>160</v>
      </c>
      <c r="CC10" s="10" t="n">
        <v>0.335</v>
      </c>
      <c r="CD10" s="8" t="n">
        <v>49</v>
      </c>
      <c r="CE10" s="7" t="n">
        <v>0.231</v>
      </c>
      <c r="CF10" s="7" t="n">
        <v>0.099</v>
      </c>
      <c r="CG10" s="4" t="s">
        <v>102</v>
      </c>
      <c r="CH10" s="4"/>
    </row>
    <row r="11" customFormat="false" ht="15" hidden="false" customHeight="false" outlineLevel="0" collapsed="false">
      <c r="A11" s="3" t="n">
        <v>9</v>
      </c>
      <c r="B11" s="4" t="s">
        <v>330</v>
      </c>
      <c r="C11" s="12" t="s">
        <v>149</v>
      </c>
      <c r="D11" s="4" t="s">
        <v>331</v>
      </c>
      <c r="E11" s="4" t="s">
        <v>164</v>
      </c>
      <c r="F11" s="4" t="s">
        <v>149</v>
      </c>
      <c r="G11" s="3" t="n">
        <v>1</v>
      </c>
      <c r="H11" s="6" t="n">
        <v>36.9</v>
      </c>
      <c r="I11" s="3" t="n">
        <v>14</v>
      </c>
      <c r="J11" s="3" t="n">
        <v>5</v>
      </c>
      <c r="K11" s="7" t="n">
        <v>98.69</v>
      </c>
      <c r="L11" s="7" t="n">
        <v>13.65</v>
      </c>
      <c r="M11" s="8" t="n">
        <v>66</v>
      </c>
      <c r="N11" s="8" t="n">
        <v>138</v>
      </c>
      <c r="O11" s="7" t="n">
        <v>98.69</v>
      </c>
      <c r="P11" s="6" t="n">
        <v>88.9</v>
      </c>
      <c r="Q11" s="4" t="s">
        <v>164</v>
      </c>
      <c r="R11" s="8" t="n">
        <v>17</v>
      </c>
      <c r="S11" s="6" t="n">
        <v>193.2</v>
      </c>
      <c r="T11" s="7" t="n">
        <f aca="false">IFERROR(S11/R11,"")</f>
        <v>11.3647058823529</v>
      </c>
      <c r="U11" s="6" t="n">
        <v>155.2</v>
      </c>
      <c r="V11" s="6" t="n">
        <v>117.2</v>
      </c>
      <c r="W11" s="8" t="n">
        <v>3</v>
      </c>
      <c r="X11" s="7" t="n">
        <f aca="false">IFERROR(S11/AH11,"")</f>
        <v>1.77247706422018</v>
      </c>
      <c r="Y11" s="9" t="n">
        <f aca="false">IFERROR(S11/AF11,"")</f>
        <v>0.214190687361419</v>
      </c>
      <c r="Z11" s="6" t="n">
        <v>8.4</v>
      </c>
      <c r="AA11" s="6" t="n">
        <v>10.1</v>
      </c>
      <c r="AB11" s="6" t="n">
        <v>17.66</v>
      </c>
      <c r="AC11" s="10" t="n">
        <v>0.235</v>
      </c>
      <c r="AD11" s="10" t="n">
        <v>0.059</v>
      </c>
      <c r="AE11" s="7" t="n">
        <v>0.634</v>
      </c>
      <c r="AF11" s="8" t="n">
        <v>902</v>
      </c>
      <c r="AG11" s="10" t="n">
        <v>0.819</v>
      </c>
      <c r="AH11" s="8" t="n">
        <v>109</v>
      </c>
      <c r="AI11" s="8" t="n">
        <v>108</v>
      </c>
      <c r="AJ11" s="6" t="n">
        <f aca="false">IFERROR(AI11/R11,"")</f>
        <v>6.35294117647059</v>
      </c>
      <c r="AK11" s="10" t="n">
        <v>0.1967</v>
      </c>
      <c r="AL11" s="10" t="n">
        <v>0.171</v>
      </c>
      <c r="AM11" s="9" t="n">
        <v>0.4148</v>
      </c>
      <c r="AN11" s="8" t="n">
        <v>76</v>
      </c>
      <c r="AO11" s="10" t="n">
        <f aca="false">IFERROR(AN11/AI11,"")</f>
        <v>0.703703703703704</v>
      </c>
      <c r="AP11" s="8" t="n">
        <v>851</v>
      </c>
      <c r="AQ11" s="7" t="n">
        <f aca="false">IFERROR(AP11/AI11,"")</f>
        <v>7.87962962962963</v>
      </c>
      <c r="AR11" s="6" t="n">
        <v>6.806</v>
      </c>
      <c r="AS11" s="7" t="n">
        <v>5.579</v>
      </c>
      <c r="AT11" s="7" t="n">
        <v>1.158</v>
      </c>
      <c r="AU11" s="7" t="n">
        <v>3.21107209819751</v>
      </c>
      <c r="AV11" s="7" t="n">
        <v>5.64223529411765</v>
      </c>
      <c r="AW11" s="7" t="n">
        <v>0.4268428877584</v>
      </c>
      <c r="AX11" s="10" t="n">
        <v>0.0648</v>
      </c>
      <c r="AY11" s="8" t="n">
        <v>13</v>
      </c>
      <c r="AZ11" s="8" t="n">
        <v>8</v>
      </c>
      <c r="BA11" s="8" t="n">
        <v>4</v>
      </c>
      <c r="BB11" s="8" t="n">
        <v>5</v>
      </c>
      <c r="BC11" s="7" t="n">
        <v>5.36</v>
      </c>
      <c r="BD11" s="7" t="n">
        <f aca="false">IFERROR(BB11-BC11,"")</f>
        <v>-0.36</v>
      </c>
      <c r="BE11" s="9" t="n">
        <f aca="false">IFERROR(BB11/AH11,"")</f>
        <v>0.0458715596330275</v>
      </c>
      <c r="BF11" s="6" t="n">
        <v>50.1</v>
      </c>
      <c r="BG11" s="6" t="n">
        <v>66.2</v>
      </c>
      <c r="BH11" s="6" t="n">
        <v>34</v>
      </c>
      <c r="BI11" s="7" t="n">
        <v>3.062</v>
      </c>
      <c r="BJ11" s="10" t="n">
        <v>0.1258</v>
      </c>
      <c r="BK11" s="10" t="n">
        <v>0.8125</v>
      </c>
      <c r="BL11" s="7" t="n">
        <v>2.623</v>
      </c>
      <c r="BM11" s="10" t="n">
        <v>0.2877</v>
      </c>
      <c r="BN11" s="10" t="n">
        <v>0.0659</v>
      </c>
      <c r="BO11" s="7" t="n">
        <v>2.212</v>
      </c>
      <c r="BP11" s="10" t="n">
        <v>0.864</v>
      </c>
      <c r="BQ11" s="8" t="n">
        <v>5</v>
      </c>
      <c r="BR11" s="10" t="n">
        <v>0.0395</v>
      </c>
      <c r="BS11" s="10" t="n">
        <v>0.5721</v>
      </c>
      <c r="BT11" s="6" t="n">
        <v>61.65</v>
      </c>
      <c r="BU11" s="6" t="n">
        <v>38</v>
      </c>
      <c r="BV11" s="7" t="n">
        <v>3.71</v>
      </c>
      <c r="BW11" s="6" t="n">
        <v>21.3</v>
      </c>
      <c r="BX11" s="9" t="n">
        <v>0.0273</v>
      </c>
      <c r="BY11" s="9" t="n">
        <v>0.0399</v>
      </c>
      <c r="BZ11" s="8" t="n">
        <v>147</v>
      </c>
      <c r="CA11" s="10" t="n">
        <v>0.268</v>
      </c>
      <c r="CB11" s="8" t="n">
        <v>129</v>
      </c>
      <c r="CC11" s="10" t="n">
        <v>0.3</v>
      </c>
      <c r="CD11" s="8" t="n">
        <v>43</v>
      </c>
      <c r="CE11" s="7" t="n">
        <v>0.222</v>
      </c>
      <c r="CF11" s="7" t="n">
        <v>-0.041</v>
      </c>
      <c r="CG11" s="4" t="s">
        <v>102</v>
      </c>
      <c r="CH11" s="4"/>
    </row>
    <row r="12" customFormat="false" ht="15" hidden="false" customHeight="false" outlineLevel="0" collapsed="false">
      <c r="A12" s="3" t="n">
        <v>10</v>
      </c>
      <c r="B12" s="4" t="s">
        <v>348</v>
      </c>
      <c r="C12" s="12" t="s">
        <v>149</v>
      </c>
      <c r="D12" s="4" t="s">
        <v>349</v>
      </c>
      <c r="E12" s="4" t="s">
        <v>124</v>
      </c>
      <c r="F12" s="4" t="s">
        <v>149</v>
      </c>
      <c r="G12" s="3" t="n">
        <v>1</v>
      </c>
      <c r="H12" s="6" t="n">
        <v>32.9</v>
      </c>
      <c r="I12" s="3" t="n">
        <v>10</v>
      </c>
      <c r="J12" s="3" t="n">
        <v>8</v>
      </c>
      <c r="K12" s="7" t="n">
        <v>105.31</v>
      </c>
      <c r="L12" s="7" t="n">
        <v>21.17</v>
      </c>
      <c r="M12" s="8" t="n">
        <v>73</v>
      </c>
      <c r="N12" s="8" t="n">
        <v>229</v>
      </c>
      <c r="O12" s="7" t="n">
        <v>105.31</v>
      </c>
      <c r="P12" s="6" t="n">
        <v>89.6</v>
      </c>
      <c r="Q12" s="4" t="s">
        <v>124</v>
      </c>
      <c r="R12" s="8" t="n">
        <v>11</v>
      </c>
      <c r="S12" s="6" t="n">
        <v>161.5</v>
      </c>
      <c r="T12" s="7" t="n">
        <f aca="false">IFERROR(S12/R12,"")</f>
        <v>14.6818181818182</v>
      </c>
      <c r="U12" s="6" t="n">
        <v>133</v>
      </c>
      <c r="V12" s="6" t="n">
        <v>104.5</v>
      </c>
      <c r="W12" s="8" t="n">
        <v>13</v>
      </c>
      <c r="X12" s="7" t="n">
        <f aca="false">IFERROR(S12/AH12,"")</f>
        <v>2.30714285714286</v>
      </c>
      <c r="Y12" s="9" t="n">
        <f aca="false">IFERROR(S12/AF12,"")</f>
        <v>0.291516245487365</v>
      </c>
      <c r="Z12" s="6" t="n">
        <v>9.3</v>
      </c>
      <c r="AA12" s="6" t="n">
        <v>13.8</v>
      </c>
      <c r="AB12" s="6" t="n">
        <v>23.95</v>
      </c>
      <c r="AC12" s="10" t="n">
        <v>0.455</v>
      </c>
      <c r="AD12" s="10" t="n">
        <v>0.091</v>
      </c>
      <c r="AE12" s="7" t="n">
        <v>0.599</v>
      </c>
      <c r="AF12" s="8" t="n">
        <v>554</v>
      </c>
      <c r="AG12" s="10" t="n">
        <v>0.812</v>
      </c>
      <c r="AH12" s="8" t="n">
        <v>70</v>
      </c>
      <c r="AI12" s="8" t="n">
        <v>69</v>
      </c>
      <c r="AJ12" s="6" t="n">
        <f aca="false">IFERROR(AI12/R12,"")</f>
        <v>6.27272727272727</v>
      </c>
      <c r="AK12" s="10" t="n">
        <v>0.2163</v>
      </c>
      <c r="AL12" s="10" t="n">
        <v>0.191</v>
      </c>
      <c r="AM12" s="9" t="n">
        <v>0.4582</v>
      </c>
      <c r="AN12" s="8" t="n">
        <v>57</v>
      </c>
      <c r="AO12" s="10" t="n">
        <f aca="false">IFERROR(AN12/AI12,"")</f>
        <v>0.826086956521739</v>
      </c>
      <c r="AP12" s="8" t="n">
        <v>628</v>
      </c>
      <c r="AQ12" s="7" t="n">
        <f aca="false">IFERROR(AP12/AI12,"")</f>
        <v>9.10144927536232</v>
      </c>
      <c r="AR12" s="6" t="n">
        <v>6.667</v>
      </c>
      <c r="AS12" s="7" t="n">
        <v>4.421</v>
      </c>
      <c r="AT12" s="7" t="n">
        <v>1.365</v>
      </c>
      <c r="AU12" s="7" t="n">
        <v>3.64551135987787</v>
      </c>
      <c r="AV12" s="7" t="n">
        <v>5.13867924528302</v>
      </c>
      <c r="AW12" s="7" t="n">
        <v>0.892990684542919</v>
      </c>
      <c r="AX12" s="10" t="n">
        <v>0.0145</v>
      </c>
      <c r="AY12" s="8" t="n">
        <v>14</v>
      </c>
      <c r="AZ12" s="8" t="n">
        <v>5</v>
      </c>
      <c r="BA12" s="8" t="n">
        <v>3</v>
      </c>
      <c r="BB12" s="8" t="n">
        <v>7</v>
      </c>
      <c r="BC12" s="7" t="n">
        <v>4.4</v>
      </c>
      <c r="BD12" s="7" t="n">
        <f aca="false">IFERROR(BB12-BC12,"")</f>
        <v>2.6</v>
      </c>
      <c r="BE12" s="9" t="n">
        <f aca="false">IFERROR(BB12/AH12,"")</f>
        <v>0.1</v>
      </c>
      <c r="BF12" s="6" t="n">
        <v>63.3</v>
      </c>
      <c r="BG12" s="6" t="n">
        <v>46.4</v>
      </c>
      <c r="BH12" s="6" t="n">
        <v>74.5</v>
      </c>
      <c r="BI12" s="7" t="n">
        <v>2.906</v>
      </c>
      <c r="BJ12" s="10" t="n">
        <v>0.1848</v>
      </c>
      <c r="BK12" s="10" t="n">
        <v>0.655172413793103</v>
      </c>
      <c r="BL12" s="7" t="n">
        <v>2.349</v>
      </c>
      <c r="BM12" s="10" t="n">
        <v>0.2125</v>
      </c>
      <c r="BN12" s="10" t="n">
        <v>0.0428</v>
      </c>
      <c r="BO12" s="7" t="n">
        <v>2.547</v>
      </c>
      <c r="BP12" s="10" t="n">
        <v>0.852</v>
      </c>
      <c r="BQ12" s="8" t="n">
        <v>4</v>
      </c>
      <c r="BR12" s="10" t="n">
        <v>-0.0088</v>
      </c>
      <c r="BS12" s="10" t="n">
        <v>0.5521</v>
      </c>
      <c r="BT12" s="6" t="n">
        <v>62.65</v>
      </c>
      <c r="BU12" s="6" t="n">
        <v>38</v>
      </c>
      <c r="BV12" s="7" t="n">
        <v>3.88</v>
      </c>
      <c r="BW12" s="6" t="n">
        <v>25.7</v>
      </c>
      <c r="BX12" s="9" t="n">
        <v>-0.0044</v>
      </c>
      <c r="BY12" s="9" t="n">
        <v>0.1587</v>
      </c>
      <c r="BZ12" s="8" t="n">
        <v>170</v>
      </c>
      <c r="CA12" s="10" t="n">
        <v>0.309</v>
      </c>
      <c r="CB12" s="8" t="n">
        <v>94</v>
      </c>
      <c r="CC12" s="10" t="n">
        <v>0.195</v>
      </c>
      <c r="CD12" s="8" t="n">
        <v>38</v>
      </c>
      <c r="CE12" s="7" t="n">
        <v>-0.18</v>
      </c>
      <c r="CF12" s="7" t="n">
        <v>0.257</v>
      </c>
      <c r="CG12" s="4" t="s">
        <v>102</v>
      </c>
      <c r="CH12" s="4"/>
    </row>
    <row r="13" customFormat="false" ht="15" hidden="false" customHeight="false" outlineLevel="0" collapsed="false">
      <c r="A13" s="3" t="n">
        <v>11</v>
      </c>
      <c r="B13" s="4" t="s">
        <v>369</v>
      </c>
      <c r="C13" s="12" t="s">
        <v>149</v>
      </c>
      <c r="D13" s="4" t="s">
        <v>370</v>
      </c>
      <c r="E13" s="4" t="s">
        <v>120</v>
      </c>
      <c r="F13" s="4" t="s">
        <v>149</v>
      </c>
      <c r="G13" s="3" t="n">
        <v>1</v>
      </c>
      <c r="H13" s="6" t="n">
        <v>27.6</v>
      </c>
      <c r="I13" s="3" t="n">
        <v>5</v>
      </c>
      <c r="J13" s="3" t="n">
        <v>14</v>
      </c>
      <c r="K13" s="7" t="n">
        <v>113.4</v>
      </c>
      <c r="L13" s="7" t="n">
        <v>15.91</v>
      </c>
      <c r="M13" s="8" t="n">
        <v>73</v>
      </c>
      <c r="N13" s="8" t="n">
        <v>160</v>
      </c>
      <c r="O13" s="7" t="n">
        <v>113.4</v>
      </c>
      <c r="P13" s="6" t="n">
        <v>85.5</v>
      </c>
      <c r="Q13" s="4" t="s">
        <v>120</v>
      </c>
      <c r="R13" s="8" t="n">
        <v>17</v>
      </c>
      <c r="S13" s="6" t="n">
        <v>188.1</v>
      </c>
      <c r="T13" s="7" t="n">
        <f aca="false">IFERROR(S13/R13,"")</f>
        <v>11.0647058823529</v>
      </c>
      <c r="U13" s="6" t="n">
        <v>147.1</v>
      </c>
      <c r="V13" s="6" t="n">
        <v>106.1</v>
      </c>
      <c r="W13" s="8" t="n">
        <v>5</v>
      </c>
      <c r="X13" s="7" t="n">
        <f aca="false">IFERROR(S13/AH13,"")</f>
        <v>1.82621359223301</v>
      </c>
      <c r="Y13" s="9" t="n">
        <f aca="false">IFERROR(S13/AF13,"")</f>
        <v>0.239312977099237</v>
      </c>
      <c r="Z13" s="6" t="n">
        <v>7.3</v>
      </c>
      <c r="AA13" s="6" t="n">
        <v>10.8</v>
      </c>
      <c r="AB13" s="6" t="n">
        <v>19.52</v>
      </c>
      <c r="AC13" s="10" t="n">
        <v>0.294</v>
      </c>
      <c r="AD13" s="10" t="n">
        <v>0.118</v>
      </c>
      <c r="AE13" s="7" t="n">
        <v>0.656</v>
      </c>
      <c r="AF13" s="8" t="n">
        <v>786</v>
      </c>
      <c r="AG13" s="10" t="n">
        <v>0.667</v>
      </c>
      <c r="AH13" s="8" t="n">
        <v>103</v>
      </c>
      <c r="AI13" s="8" t="n">
        <v>102</v>
      </c>
      <c r="AJ13" s="6" t="n">
        <f aca="false">IFERROR(AI13/R13,"")</f>
        <v>6</v>
      </c>
      <c r="AK13" s="10" t="n">
        <v>0.168</v>
      </c>
      <c r="AL13" s="10" t="n">
        <v>0.0964</v>
      </c>
      <c r="AM13" s="9" t="n">
        <v>0.3195</v>
      </c>
      <c r="AN13" s="8" t="n">
        <v>82</v>
      </c>
      <c r="AO13" s="10" t="n">
        <f aca="false">IFERROR(AN13/AI13,"")</f>
        <v>0.803921568627451</v>
      </c>
      <c r="AP13" s="8" t="n">
        <v>600</v>
      </c>
      <c r="AQ13" s="7" t="n">
        <f aca="false">IFERROR(AP13/AI13,"")</f>
        <v>5.88235294117647</v>
      </c>
      <c r="AR13" s="6" t="n">
        <v>4.657</v>
      </c>
      <c r="AS13" s="7" t="n">
        <v>3.744</v>
      </c>
      <c r="AT13" s="7" t="n">
        <v>1.263</v>
      </c>
      <c r="AU13" s="7" t="n">
        <v>3.30694351807252</v>
      </c>
      <c r="AV13" s="7" t="n">
        <v>5.87453333333333</v>
      </c>
      <c r="AW13" s="7" t="n">
        <v>0.180553571777997</v>
      </c>
      <c r="AX13" s="10" t="n">
        <v>0.0196</v>
      </c>
      <c r="AY13" s="8" t="n">
        <v>24</v>
      </c>
      <c r="AZ13" s="8" t="n">
        <v>13</v>
      </c>
      <c r="BA13" s="8" t="n">
        <v>8</v>
      </c>
      <c r="BB13" s="8" t="n">
        <v>8</v>
      </c>
      <c r="BC13" s="7" t="n">
        <v>8.06</v>
      </c>
      <c r="BD13" s="7" t="n">
        <f aca="false">IFERROR(BB13-BC13,"")</f>
        <v>-0.0600000000000005</v>
      </c>
      <c r="BE13" s="9" t="n">
        <f aca="false">IFERROR(BB13/AH13,"")</f>
        <v>0.0776699029126214</v>
      </c>
      <c r="BF13" s="6" t="n">
        <v>65.1</v>
      </c>
      <c r="BG13" s="6" t="n">
        <v>61.6</v>
      </c>
      <c r="BH13" s="6" t="n">
        <v>62.2</v>
      </c>
      <c r="BI13" s="7" t="n">
        <v>3.074</v>
      </c>
      <c r="BJ13" s="10" t="n">
        <v>0.1352</v>
      </c>
      <c r="BK13" s="10" t="n">
        <v>0.705882352941177</v>
      </c>
      <c r="BL13" s="7" t="n">
        <v>2.563</v>
      </c>
      <c r="BM13" s="10" t="n">
        <v>0.2356</v>
      </c>
      <c r="BN13" s="10" t="n">
        <v>0.044</v>
      </c>
      <c r="BO13" s="7" t="n">
        <v>2.396</v>
      </c>
      <c r="BP13" s="10" t="n">
        <v>0.848</v>
      </c>
      <c r="BQ13" s="8" t="n">
        <v>5</v>
      </c>
      <c r="BR13" s="10" t="n">
        <v>-0.0098</v>
      </c>
      <c r="BS13" s="10" t="n">
        <v>0.5628</v>
      </c>
      <c r="BT13" s="6" t="n">
        <v>64.94</v>
      </c>
      <c r="BU13" s="6" t="n">
        <v>36</v>
      </c>
      <c r="BV13" s="7" t="n">
        <v>3.82</v>
      </c>
      <c r="BW13" s="6" t="n">
        <v>27.7</v>
      </c>
      <c r="BX13" s="9" t="n">
        <v>0.005</v>
      </c>
      <c r="BY13" s="9" t="n">
        <v>0.1615</v>
      </c>
      <c r="BZ13" s="8" t="n">
        <v>34</v>
      </c>
      <c r="CA13" s="10" t="n">
        <v>0.056</v>
      </c>
      <c r="CB13" s="8" t="n">
        <v>0</v>
      </c>
      <c r="CC13" s="10" t="n">
        <v>0</v>
      </c>
      <c r="CD13" s="8" t="n">
        <v>4</v>
      </c>
      <c r="CE13" s="7" t="n">
        <v>0.206</v>
      </c>
      <c r="CF13" s="7" t="n">
        <v>-0.058</v>
      </c>
      <c r="CG13" s="4" t="s">
        <v>102</v>
      </c>
      <c r="CH13" s="4"/>
    </row>
    <row r="14" customFormat="false" ht="15" hidden="false" customHeight="false" outlineLevel="0" collapsed="false">
      <c r="A14" s="3" t="n">
        <v>12</v>
      </c>
      <c r="B14" s="4" t="s">
        <v>373</v>
      </c>
      <c r="C14" s="12" t="s">
        <v>149</v>
      </c>
      <c r="D14" s="4" t="s">
        <v>374</v>
      </c>
      <c r="E14" s="4" t="s">
        <v>147</v>
      </c>
      <c r="F14" s="4" t="s">
        <v>149</v>
      </c>
      <c r="G14" s="3" t="n">
        <v>1</v>
      </c>
      <c r="H14" s="6" t="n">
        <v>26.8</v>
      </c>
      <c r="I14" s="3" t="n">
        <v>4</v>
      </c>
      <c r="J14" s="3" t="n">
        <v>7</v>
      </c>
      <c r="K14" s="7" t="n">
        <v>114.64</v>
      </c>
      <c r="L14" s="7" t="n">
        <v>14.17</v>
      </c>
      <c r="M14" s="8" t="n">
        <v>95</v>
      </c>
      <c r="N14" s="8" t="n">
        <v>155</v>
      </c>
      <c r="O14" s="7" t="n">
        <v>114.64</v>
      </c>
      <c r="P14" s="6" t="n">
        <v>80</v>
      </c>
      <c r="Q14" s="4" t="s">
        <v>147</v>
      </c>
      <c r="R14" s="8" t="n">
        <v>12</v>
      </c>
      <c r="S14" s="6" t="n">
        <v>126.1</v>
      </c>
      <c r="T14" s="7" t="n">
        <f aca="false">IFERROR(S14/R14,"")</f>
        <v>10.5083333333333</v>
      </c>
      <c r="U14" s="6" t="n">
        <v>106.6</v>
      </c>
      <c r="V14" s="6" t="n">
        <v>87.1</v>
      </c>
      <c r="W14" s="8" t="n">
        <v>18</v>
      </c>
      <c r="X14" s="7" t="n">
        <f aca="false">IFERROR(S14/AH14,"")</f>
        <v>2.5734693877551</v>
      </c>
      <c r="Y14" s="9" t="n">
        <f aca="false">IFERROR(S14/AF14,"")</f>
        <v>0.417549668874172</v>
      </c>
      <c r="Z14" s="6" t="n">
        <v>6.22</v>
      </c>
      <c r="AA14" s="6" t="n">
        <v>8.8</v>
      </c>
      <c r="AB14" s="6" t="n">
        <v>17.08</v>
      </c>
      <c r="AC14" s="10" t="n">
        <v>0.25</v>
      </c>
      <c r="AD14" s="10" t="n">
        <v>0.083</v>
      </c>
      <c r="AE14" s="7" t="n">
        <v>0.746</v>
      </c>
      <c r="AF14" s="8" t="n">
        <v>302</v>
      </c>
      <c r="AG14" s="10" t="n">
        <v>0.374</v>
      </c>
      <c r="AH14" s="8" t="n">
        <v>49</v>
      </c>
      <c r="AI14" s="8" t="n">
        <v>49</v>
      </c>
      <c r="AJ14" s="6" t="n">
        <f aca="false">IFERROR(AI14/R14,"")</f>
        <v>4.08333333333333</v>
      </c>
      <c r="AK14" s="10" t="n">
        <v>0.1463</v>
      </c>
      <c r="AL14" s="10" t="n">
        <v>0.1931</v>
      </c>
      <c r="AM14" s="9" t="n">
        <v>0.3546</v>
      </c>
      <c r="AN14" s="8" t="n">
        <v>39</v>
      </c>
      <c r="AO14" s="10" t="n">
        <f aca="false">IFERROR(AN14/AI14,"")</f>
        <v>0.795918367346939</v>
      </c>
      <c r="AP14" s="8" t="n">
        <v>571</v>
      </c>
      <c r="AQ14" s="7" t="n">
        <f aca="false">IFERROR(AP14/AI14,"")</f>
        <v>11.6530612244898</v>
      </c>
      <c r="AR14" s="6" t="n">
        <v>9.49</v>
      </c>
      <c r="AS14" s="7" t="n">
        <v>6.641</v>
      </c>
      <c r="AT14" s="7" t="n">
        <v>1.228</v>
      </c>
      <c r="AU14" s="7" t="n">
        <v>3.42080991315709</v>
      </c>
      <c r="AV14" s="7" t="n">
        <v>5.96763157894737</v>
      </c>
      <c r="AW14" s="7" t="n">
        <v>1.02367101195219</v>
      </c>
      <c r="AX14" s="10" t="n">
        <v>0.0204</v>
      </c>
      <c r="AY14" s="8" t="n">
        <v>8</v>
      </c>
      <c r="AZ14" s="8" t="n">
        <v>4</v>
      </c>
      <c r="BA14" s="8" t="n">
        <v>1</v>
      </c>
      <c r="BB14" s="8" t="n">
        <v>5</v>
      </c>
      <c r="BC14" s="7" t="n">
        <v>2.55</v>
      </c>
      <c r="BD14" s="7" t="n">
        <f aca="false">IFERROR(BB14-BC14,"")</f>
        <v>2.45</v>
      </c>
      <c r="BE14" s="9" t="n">
        <f aca="false">IFERROR(BB14/AH14,"")</f>
        <v>0.102040816326531</v>
      </c>
      <c r="BF14" s="6" t="n">
        <v>73.6</v>
      </c>
      <c r="BG14" s="6" t="n">
        <v>72.8</v>
      </c>
      <c r="BH14" s="6" t="n">
        <v>64.4</v>
      </c>
      <c r="BI14" s="7" t="n">
        <v>3.397</v>
      </c>
      <c r="BJ14" s="10" t="n">
        <v>0.1265</v>
      </c>
      <c r="BK14" s="10" t="n">
        <v>0.540540540540541</v>
      </c>
      <c r="BL14" s="7" t="n">
        <v>2.905</v>
      </c>
      <c r="BM14" s="10" t="n">
        <v>0.2</v>
      </c>
      <c r="BN14" s="10" t="n">
        <v>0.0702</v>
      </c>
      <c r="BO14" s="7" t="n">
        <v>2.507</v>
      </c>
      <c r="BP14" s="10" t="n">
        <v>0.763</v>
      </c>
      <c r="BQ14" s="8" t="n">
        <v>4</v>
      </c>
      <c r="BR14" s="10" t="n">
        <v>-0.0352</v>
      </c>
      <c r="BS14" s="10" t="n">
        <v>0.5028</v>
      </c>
      <c r="BT14" s="6" t="n">
        <v>62.65</v>
      </c>
      <c r="BU14" s="6" t="n">
        <v>40</v>
      </c>
      <c r="BV14" s="7" t="n">
        <v>4</v>
      </c>
      <c r="BW14" s="6" t="n">
        <v>28.3</v>
      </c>
      <c r="BX14" s="9" t="n">
        <v>0.1102</v>
      </c>
      <c r="BY14" s="9" t="n">
        <v>0.1599</v>
      </c>
      <c r="BZ14" s="8" t="n">
        <v>19</v>
      </c>
      <c r="CA14" s="10" t="n">
        <v>0.04</v>
      </c>
      <c r="CB14" s="8" t="n">
        <v>17</v>
      </c>
      <c r="CC14" s="10" t="n">
        <v>0.031</v>
      </c>
      <c r="CD14" s="8" t="n">
        <v>2</v>
      </c>
      <c r="CE14" s="7" t="n">
        <v>-0.329</v>
      </c>
      <c r="CF14" s="7" t="n">
        <v>-0.154</v>
      </c>
      <c r="CG14" s="4" t="s">
        <v>102</v>
      </c>
      <c r="CH14" s="4"/>
    </row>
    <row r="15" customFormat="false" ht="15" hidden="false" customHeight="false" outlineLevel="0" collapsed="false">
      <c r="A15" s="3" t="n">
        <v>13</v>
      </c>
      <c r="B15" s="4" t="s">
        <v>375</v>
      </c>
      <c r="C15" s="12" t="s">
        <v>149</v>
      </c>
      <c r="D15" s="4" t="s">
        <v>376</v>
      </c>
      <c r="E15" s="4" t="s">
        <v>178</v>
      </c>
      <c r="F15" s="4" t="s">
        <v>149</v>
      </c>
      <c r="G15" s="3" t="n">
        <v>1</v>
      </c>
      <c r="H15" s="6" t="n">
        <v>26.3</v>
      </c>
      <c r="I15" s="3" t="n">
        <v>5</v>
      </c>
      <c r="J15" s="3" t="n">
        <v>8</v>
      </c>
      <c r="K15" s="7" t="n">
        <v>116.67</v>
      </c>
      <c r="L15" s="7" t="n">
        <v>25.51</v>
      </c>
      <c r="M15" s="8" t="n">
        <v>85</v>
      </c>
      <c r="N15" s="8" t="n">
        <v>229</v>
      </c>
      <c r="O15" s="7" t="n">
        <v>116.67</v>
      </c>
      <c r="P15" s="6" t="n">
        <v>82</v>
      </c>
      <c r="Q15" s="4" t="s">
        <v>183</v>
      </c>
      <c r="R15" s="8" t="n">
        <v>12</v>
      </c>
      <c r="S15" s="6" t="n">
        <v>61.7</v>
      </c>
      <c r="T15" s="7" t="n">
        <f aca="false">IFERROR(S15/R15,"")</f>
        <v>5.14166666666667</v>
      </c>
      <c r="U15" s="6" t="n">
        <v>48.2</v>
      </c>
      <c r="V15" s="6" t="n">
        <v>34.7</v>
      </c>
      <c r="W15" s="8" t="n">
        <v>31</v>
      </c>
      <c r="X15" s="7" t="n">
        <f aca="false">IFERROR(S15/AH15,"")</f>
        <v>1.71388888888889</v>
      </c>
      <c r="Y15" s="9" t="n">
        <f aca="false">IFERROR(S15/AF15,"")</f>
        <v>0.126694045174538</v>
      </c>
      <c r="Z15" s="6" t="n">
        <v>2.5</v>
      </c>
      <c r="AA15" s="6" t="n">
        <v>3.6</v>
      </c>
      <c r="AB15" s="6" t="n">
        <v>10.22</v>
      </c>
      <c r="AC15" s="10" t="n">
        <v>0</v>
      </c>
      <c r="AD15" s="10" t="n">
        <v>0.083</v>
      </c>
      <c r="AE15" s="7" t="n">
        <v>1.14</v>
      </c>
      <c r="AF15" s="8" t="n">
        <v>487</v>
      </c>
      <c r="AG15" s="10" t="n">
        <v>0.559</v>
      </c>
      <c r="AH15" s="8" t="n">
        <v>36</v>
      </c>
      <c r="AI15" s="8" t="n">
        <v>36</v>
      </c>
      <c r="AJ15" s="6" t="n">
        <f aca="false">IFERROR(AI15/R15,"")</f>
        <v>3</v>
      </c>
      <c r="AK15" s="10" t="n">
        <v>0.1241</v>
      </c>
      <c r="AL15" s="10" t="n">
        <v>0.1211</v>
      </c>
      <c r="AM15" s="9" t="n">
        <v>0.2709</v>
      </c>
      <c r="AN15" s="8" t="n">
        <v>27</v>
      </c>
      <c r="AO15" s="10" t="n">
        <f aca="false">IFERROR(AN15/AI15,"")</f>
        <v>0.75</v>
      </c>
      <c r="AP15" s="8" t="n">
        <v>307</v>
      </c>
      <c r="AQ15" s="7" t="n">
        <f aca="false">IFERROR(AP15/AI15,"")</f>
        <v>8.52777777777778</v>
      </c>
      <c r="AR15" s="6" t="n">
        <v>7.972</v>
      </c>
      <c r="AS15" s="7" t="n">
        <v>4.333</v>
      </c>
      <c r="AT15" s="7" t="n">
        <v>1.07</v>
      </c>
      <c r="AU15" s="7"/>
      <c r="AV15" s="7"/>
      <c r="AW15" s="7"/>
      <c r="AX15" s="10" t="n">
        <v>0.0278</v>
      </c>
      <c r="AY15" s="8" t="n">
        <v>6</v>
      </c>
      <c r="AZ15" s="8" t="n">
        <v>2</v>
      </c>
      <c r="BA15" s="8" t="n">
        <v>2</v>
      </c>
      <c r="BB15" s="8" t="n">
        <v>1</v>
      </c>
      <c r="BC15" s="7" t="n">
        <v>2.07</v>
      </c>
      <c r="BD15" s="7" t="n">
        <f aca="false">IFERROR(BB15-BC15,"")</f>
        <v>-1.07</v>
      </c>
      <c r="BE15" s="9" t="n">
        <f aca="false">IFERROR(BB15/AH15,"")</f>
        <v>0.0277777777777778</v>
      </c>
      <c r="BF15" s="6" t="n">
        <v>45.9</v>
      </c>
      <c r="BG15" s="6" t="n">
        <v>56.8</v>
      </c>
      <c r="BH15" s="6" t="n">
        <v>36.8</v>
      </c>
      <c r="BI15" s="7" t="n">
        <v>2.974</v>
      </c>
      <c r="BJ15" s="10" t="n">
        <v>0.1475</v>
      </c>
      <c r="BK15" s="10" t="n">
        <v>0.625</v>
      </c>
      <c r="BL15" s="7" t="n">
        <v>2.714</v>
      </c>
      <c r="BM15" s="10" t="n">
        <v>0.2947</v>
      </c>
      <c r="BN15" s="10" t="n">
        <v>0.076</v>
      </c>
      <c r="BO15" s="7" t="n">
        <v>2.388</v>
      </c>
      <c r="BP15" s="10" t="n">
        <v>0.723</v>
      </c>
      <c r="BQ15" s="8" t="n">
        <v>4</v>
      </c>
      <c r="BR15" s="10" t="n">
        <v>-0.0466</v>
      </c>
      <c r="BS15" s="10" t="n">
        <v>0.494</v>
      </c>
      <c r="BT15" s="6" t="n">
        <v>63.47</v>
      </c>
      <c r="BU15" s="6" t="n">
        <v>36</v>
      </c>
      <c r="BV15" s="7" t="n">
        <v>3.59</v>
      </c>
      <c r="BW15" s="6" t="n">
        <v>22.4</v>
      </c>
      <c r="BX15" s="9" t="n">
        <v>0.0356</v>
      </c>
      <c r="BY15" s="9" t="n">
        <v>-0.008</v>
      </c>
      <c r="BZ15" s="8" t="n">
        <v>177</v>
      </c>
      <c r="CA15" s="10" t="n">
        <v>0.352</v>
      </c>
      <c r="CB15" s="8" t="n">
        <v>3</v>
      </c>
      <c r="CC15" s="10" t="n">
        <v>0.006</v>
      </c>
      <c r="CD15" s="8" t="n">
        <v>21</v>
      </c>
      <c r="CE15" s="7" t="n">
        <v>-0.863</v>
      </c>
      <c r="CF15" s="7" t="n">
        <v>-0.863</v>
      </c>
      <c r="CG15" s="4" t="s">
        <v>121</v>
      </c>
      <c r="CH15" s="4"/>
    </row>
    <row r="16" customFormat="false" ht="15" hidden="false" customHeight="false" outlineLevel="0" collapsed="false">
      <c r="A16" s="3" t="n">
        <v>14</v>
      </c>
      <c r="B16" s="4" t="s">
        <v>385</v>
      </c>
      <c r="C16" s="12" t="s">
        <v>149</v>
      </c>
      <c r="D16" s="4" t="s">
        <v>386</v>
      </c>
      <c r="E16" s="4" t="s">
        <v>136</v>
      </c>
      <c r="F16" s="4" t="s">
        <v>149</v>
      </c>
      <c r="G16" s="3" t="n">
        <v>1</v>
      </c>
      <c r="H16" s="6" t="n">
        <v>31.6</v>
      </c>
      <c r="I16" s="3" t="n">
        <v>9</v>
      </c>
      <c r="J16" s="3" t="n">
        <v>10</v>
      </c>
      <c r="K16" s="7" t="n">
        <v>122.31</v>
      </c>
      <c r="L16" s="7" t="n">
        <v>16.33</v>
      </c>
      <c r="M16" s="8" t="n">
        <v>87</v>
      </c>
      <c r="N16" s="8" t="n">
        <v>158</v>
      </c>
      <c r="O16" s="7" t="n">
        <v>122.31</v>
      </c>
      <c r="P16" s="6" t="n">
        <v>85.2</v>
      </c>
      <c r="Q16" s="4" t="s">
        <v>136</v>
      </c>
      <c r="R16" s="8" t="n">
        <v>15</v>
      </c>
      <c r="S16" s="6" t="n">
        <v>185.1</v>
      </c>
      <c r="T16" s="7" t="n">
        <f aca="false">IFERROR(S16/R16,"")</f>
        <v>12.34</v>
      </c>
      <c r="U16" s="6" t="n">
        <v>155.1</v>
      </c>
      <c r="V16" s="6" t="n">
        <v>125.1</v>
      </c>
      <c r="W16" s="8" t="n">
        <v>7</v>
      </c>
      <c r="X16" s="7" t="n">
        <f aca="false">IFERROR(S16/AH16,"")</f>
        <v>2.25731707317073</v>
      </c>
      <c r="Y16" s="9" t="n">
        <f aca="false">IFERROR(S16/AF16,"")</f>
        <v>0.235196950444727</v>
      </c>
      <c r="Z16" s="6" t="n">
        <v>6.55</v>
      </c>
      <c r="AA16" s="6" t="n">
        <v>10.9</v>
      </c>
      <c r="AB16" s="6" t="n">
        <v>19.51</v>
      </c>
      <c r="AC16" s="10" t="n">
        <v>0.333</v>
      </c>
      <c r="AD16" s="10" t="n">
        <v>0</v>
      </c>
      <c r="AE16" s="7" t="n">
        <v>0.658</v>
      </c>
      <c r="AF16" s="8" t="n">
        <v>787</v>
      </c>
      <c r="AG16" s="10" t="n">
        <v>0.846</v>
      </c>
      <c r="AH16" s="8" t="n">
        <v>82</v>
      </c>
      <c r="AI16" s="8" t="n">
        <v>82</v>
      </c>
      <c r="AJ16" s="6" t="n">
        <f aca="false">IFERROR(AI16/R16,"")</f>
        <v>5.46666666666667</v>
      </c>
      <c r="AK16" s="10" t="n">
        <v>0.2005</v>
      </c>
      <c r="AL16" s="10" t="n">
        <v>0.1565</v>
      </c>
      <c r="AM16" s="9" t="n">
        <v>0.4103</v>
      </c>
      <c r="AN16" s="8" t="n">
        <v>60</v>
      </c>
      <c r="AO16" s="10" t="n">
        <f aca="false">IFERROR(AN16/AI16,"")</f>
        <v>0.731707317073171</v>
      </c>
      <c r="AP16" s="8" t="n">
        <v>591</v>
      </c>
      <c r="AQ16" s="7" t="n">
        <f aca="false">IFERROR(AP16/AI16,"")</f>
        <v>7.20731707317073</v>
      </c>
      <c r="AR16" s="6" t="n">
        <v>7.11</v>
      </c>
      <c r="AS16" s="7" t="n">
        <v>3.9</v>
      </c>
      <c r="AT16" s="7" t="n">
        <v>1.014</v>
      </c>
      <c r="AU16" s="7" t="n">
        <v>3.36071490356762</v>
      </c>
      <c r="AV16" s="7" t="n">
        <v>5.98582089552239</v>
      </c>
      <c r="AW16" s="7" t="n">
        <v>0.107270280217043</v>
      </c>
      <c r="AX16" s="10" t="n">
        <v>0.0488</v>
      </c>
      <c r="AY16" s="8" t="n">
        <v>15</v>
      </c>
      <c r="AZ16" s="8" t="n">
        <v>9</v>
      </c>
      <c r="BA16" s="8" t="n">
        <v>8</v>
      </c>
      <c r="BB16" s="8" t="n">
        <v>11</v>
      </c>
      <c r="BC16" s="7" t="n">
        <v>6.36</v>
      </c>
      <c r="BD16" s="7" t="n">
        <f aca="false">IFERROR(BB16-BC16,"")</f>
        <v>4.64</v>
      </c>
      <c r="BE16" s="9" t="n">
        <f aca="false">IFERROR(BB16/AH16,"")</f>
        <v>0.134146341463415</v>
      </c>
      <c r="BF16" s="6" t="n">
        <v>48.2</v>
      </c>
      <c r="BG16" s="6" t="n">
        <v>35.6</v>
      </c>
      <c r="BH16" s="6" t="n">
        <v>61.6</v>
      </c>
      <c r="BI16" s="7" t="n">
        <v>2.749</v>
      </c>
      <c r="BJ16" s="10" t="n">
        <v>0.2192</v>
      </c>
      <c r="BK16" s="10" t="n">
        <v>0.466666666666667</v>
      </c>
      <c r="BL16" s="7" t="n">
        <v>2.6</v>
      </c>
      <c r="BM16" s="10" t="n">
        <v>0.2334</v>
      </c>
      <c r="BN16" s="10" t="n">
        <v>0.0577</v>
      </c>
      <c r="BO16" s="7" t="n">
        <v>2.491</v>
      </c>
      <c r="BP16" s="10" t="n">
        <v>0.909</v>
      </c>
      <c r="BQ16" s="8" t="n">
        <v>5</v>
      </c>
      <c r="BR16" s="10" t="n">
        <v>-0.0248</v>
      </c>
      <c r="BS16" s="10" t="n">
        <v>0.5347</v>
      </c>
      <c r="BT16" s="6" t="n">
        <v>58.53</v>
      </c>
      <c r="BU16" s="6" t="n">
        <v>39</v>
      </c>
      <c r="BV16" s="7" t="n">
        <v>2.76</v>
      </c>
      <c r="BW16" s="6" t="n">
        <v>22.3</v>
      </c>
      <c r="BX16" s="9" t="n">
        <v>0.0054</v>
      </c>
      <c r="BY16" s="9" t="n">
        <v>0.0436</v>
      </c>
      <c r="BZ16" s="8" t="n">
        <v>175</v>
      </c>
      <c r="CA16" s="10" t="n">
        <v>0.377</v>
      </c>
      <c r="CB16" s="8" t="n">
        <v>12</v>
      </c>
      <c r="CC16" s="10" t="n">
        <v>0.025</v>
      </c>
      <c r="CD16" s="8" t="n">
        <v>23</v>
      </c>
      <c r="CE16" s="7" t="n">
        <v>0.224</v>
      </c>
      <c r="CF16" s="7" t="n">
        <v>0.268</v>
      </c>
      <c r="CG16" s="4" t="s">
        <v>102</v>
      </c>
      <c r="CH16" s="4"/>
    </row>
    <row r="17" customFormat="false" ht="15" hidden="false" customHeight="false" outlineLevel="0" collapsed="false">
      <c r="A17" s="3" t="n">
        <v>15</v>
      </c>
      <c r="B17" s="4" t="s">
        <v>397</v>
      </c>
      <c r="C17" s="12" t="s">
        <v>149</v>
      </c>
      <c r="D17" s="4" t="s">
        <v>398</v>
      </c>
      <c r="E17" s="4" t="s">
        <v>183</v>
      </c>
      <c r="F17" s="4" t="s">
        <v>149</v>
      </c>
      <c r="G17" s="3" t="n">
        <v>1</v>
      </c>
      <c r="H17" s="6" t="n">
        <v>30.9</v>
      </c>
      <c r="I17" s="3" t="n">
        <v>9</v>
      </c>
      <c r="J17" s="3" t="n">
        <v>13</v>
      </c>
      <c r="K17" s="7" t="n">
        <v>127.48</v>
      </c>
      <c r="L17" s="7" t="n">
        <v>20.12</v>
      </c>
      <c r="M17" s="8" t="n">
        <v>95</v>
      </c>
      <c r="N17" s="8" t="n">
        <v>173</v>
      </c>
      <c r="O17" s="7" t="n">
        <v>127.48</v>
      </c>
      <c r="P17" s="6" t="n">
        <v>81.9</v>
      </c>
      <c r="Q17" s="4" t="s">
        <v>183</v>
      </c>
      <c r="R17" s="8" t="n">
        <v>17</v>
      </c>
      <c r="S17" s="6" t="n">
        <v>131</v>
      </c>
      <c r="T17" s="7" t="n">
        <f aca="false">IFERROR(S17/R17,"")</f>
        <v>7.70588235294118</v>
      </c>
      <c r="U17" s="6" t="n">
        <v>107</v>
      </c>
      <c r="V17" s="6" t="n">
        <v>83</v>
      </c>
      <c r="W17" s="8" t="n">
        <v>16</v>
      </c>
      <c r="X17" s="7" t="n">
        <f aca="false">IFERROR(S17/AH17,"")</f>
        <v>1.6375</v>
      </c>
      <c r="Y17" s="9" t="n">
        <f aca="false">IFERROR(S17/AF17,"")</f>
        <v>0.207936507936508</v>
      </c>
      <c r="Z17" s="6" t="n">
        <v>3.4</v>
      </c>
      <c r="AA17" s="6" t="n">
        <v>6.4</v>
      </c>
      <c r="AB17" s="6" t="n">
        <v>13.58</v>
      </c>
      <c r="AC17" s="10" t="n">
        <v>0.176</v>
      </c>
      <c r="AD17" s="10" t="n">
        <v>0.059</v>
      </c>
      <c r="AE17" s="7" t="n">
        <v>1.06</v>
      </c>
      <c r="AF17" s="8" t="n">
        <v>630</v>
      </c>
      <c r="AG17" s="10" t="n">
        <v>0.617</v>
      </c>
      <c r="AH17" s="8" t="n">
        <v>80</v>
      </c>
      <c r="AI17" s="8" t="n">
        <v>70</v>
      </c>
      <c r="AJ17" s="6" t="n">
        <f aca="false">IFERROR(AI17/R17,"")</f>
        <v>4.11764705882353</v>
      </c>
      <c r="AK17" s="10" t="n">
        <v>0.172</v>
      </c>
      <c r="AL17" s="10" t="n">
        <v>0.1505</v>
      </c>
      <c r="AM17" s="9" t="n">
        <v>0.3634</v>
      </c>
      <c r="AN17" s="8" t="n">
        <v>48</v>
      </c>
      <c r="AO17" s="10" t="n">
        <f aca="false">IFERROR(AN17/AI17,"")</f>
        <v>0.685714285714286</v>
      </c>
      <c r="AP17" s="8" t="n">
        <v>422</v>
      </c>
      <c r="AQ17" s="7" t="n">
        <f aca="false">IFERROR(AP17/AI17,"")</f>
        <v>6.02857142857143</v>
      </c>
      <c r="AR17" s="6" t="n">
        <v>7.257</v>
      </c>
      <c r="AS17" s="7" t="n">
        <v>2.104</v>
      </c>
      <c r="AT17" s="7" t="n">
        <v>0.831</v>
      </c>
      <c r="AU17" s="7" t="n">
        <v>2.91067902892665</v>
      </c>
      <c r="AV17" s="7" t="n">
        <v>4.64952380952381</v>
      </c>
      <c r="AW17" s="7" t="n">
        <v>-0.408672437986961</v>
      </c>
      <c r="AX17" s="10" t="n">
        <v>0.0429</v>
      </c>
      <c r="AY17" s="8" t="n">
        <v>18</v>
      </c>
      <c r="AZ17" s="8" t="n">
        <v>12</v>
      </c>
      <c r="BA17" s="8" t="n">
        <v>10</v>
      </c>
      <c r="BB17" s="8" t="n">
        <v>6</v>
      </c>
      <c r="BC17" s="7" t="n">
        <v>7.27</v>
      </c>
      <c r="BD17" s="7" t="n">
        <f aca="false">IFERROR(BB17-BC17,"")</f>
        <v>-1.27</v>
      </c>
      <c r="BE17" s="9" t="n">
        <f aca="false">IFERROR(BB17/AH17,"")</f>
        <v>0.075</v>
      </c>
      <c r="BF17" s="6" t="n">
        <v>53.2</v>
      </c>
      <c r="BG17" s="6" t="n">
        <v>64.1</v>
      </c>
      <c r="BH17" s="6" t="n">
        <v>41</v>
      </c>
      <c r="BI17" s="7" t="n">
        <v>3.032</v>
      </c>
      <c r="BJ17" s="10" t="n">
        <v>0.1574</v>
      </c>
      <c r="BK17" s="10" t="n">
        <v>0.648648648648649</v>
      </c>
      <c r="BL17" s="7" t="n">
        <v>3.144</v>
      </c>
      <c r="BM17" s="10" t="n">
        <v>0.2725</v>
      </c>
      <c r="BN17" s="10" t="n">
        <v>0.0849</v>
      </c>
      <c r="BO17" s="7" t="n">
        <v>2.454</v>
      </c>
      <c r="BP17" s="10" t="n">
        <v>0.572</v>
      </c>
      <c r="BQ17" s="8" t="n">
        <v>2</v>
      </c>
      <c r="BR17" s="10" t="n">
        <v>-0.0884</v>
      </c>
      <c r="BS17" s="10" t="n">
        <v>0.4667</v>
      </c>
      <c r="BT17" s="6" t="n">
        <v>56.24</v>
      </c>
      <c r="BU17" s="6" t="n">
        <v>39</v>
      </c>
      <c r="BV17" s="7" t="n">
        <v>3.59</v>
      </c>
      <c r="BW17" s="6" t="n">
        <v>24.9</v>
      </c>
      <c r="BX17" s="9" t="n">
        <v>0.0996</v>
      </c>
      <c r="BY17" s="9" t="n">
        <v>-0.035</v>
      </c>
      <c r="BZ17" s="8" t="n">
        <v>75</v>
      </c>
      <c r="CA17" s="10" t="n">
        <v>0.184</v>
      </c>
      <c r="CB17" s="8" t="n">
        <v>64</v>
      </c>
      <c r="CC17" s="10" t="n">
        <v>0.126</v>
      </c>
      <c r="CD17" s="8" t="n">
        <v>26</v>
      </c>
      <c r="CE17" s="7" t="n">
        <v>-0.135</v>
      </c>
      <c r="CF17" s="7" t="n">
        <v>-0.442</v>
      </c>
      <c r="CG17" s="4" t="s">
        <v>102</v>
      </c>
      <c r="CH17" s="4"/>
    </row>
    <row r="18" customFormat="false" ht="15" hidden="false" customHeight="false" outlineLevel="0" collapsed="false">
      <c r="A18" s="3" t="n">
        <v>16</v>
      </c>
      <c r="B18" s="4" t="s">
        <v>423</v>
      </c>
      <c r="C18" s="12" t="s">
        <v>149</v>
      </c>
      <c r="D18" s="4" t="s">
        <v>424</v>
      </c>
      <c r="E18" s="4" t="s">
        <v>158</v>
      </c>
      <c r="F18" s="4" t="s">
        <v>149</v>
      </c>
      <c r="G18" s="3" t="n">
        <v>1</v>
      </c>
      <c r="H18" s="6" t="n">
        <v>29.9</v>
      </c>
      <c r="I18" s="3" t="n">
        <v>7</v>
      </c>
      <c r="J18" s="3" t="n">
        <v>8</v>
      </c>
      <c r="K18" s="7" t="n">
        <v>143.94</v>
      </c>
      <c r="L18" s="7" t="n">
        <v>21.06</v>
      </c>
      <c r="M18" s="8" t="n">
        <v>106</v>
      </c>
      <c r="N18" s="8" t="n">
        <v>209</v>
      </c>
      <c r="O18" s="7" t="n">
        <v>143.94</v>
      </c>
      <c r="P18" s="6" t="n">
        <v>40.5</v>
      </c>
      <c r="Q18" s="4" t="s">
        <v>158</v>
      </c>
      <c r="R18" s="8" t="n">
        <v>17</v>
      </c>
      <c r="S18" s="6" t="n">
        <v>179.9</v>
      </c>
      <c r="T18" s="7" t="n">
        <f aca="false">IFERROR(S18/R18,"")</f>
        <v>10.5823529411765</v>
      </c>
      <c r="U18" s="6" t="n">
        <v>141.4</v>
      </c>
      <c r="V18" s="6" t="n">
        <v>102.9</v>
      </c>
      <c r="W18" s="8" t="n">
        <v>8</v>
      </c>
      <c r="X18" s="7" t="n">
        <f aca="false">IFERROR(S18/AH18,"")</f>
        <v>1.76372549019608</v>
      </c>
      <c r="Y18" s="9" t="n">
        <f aca="false">IFERROR(S18/AF18,"")</f>
        <v>0.211647058823529</v>
      </c>
      <c r="Z18" s="6" t="n">
        <v>7.1</v>
      </c>
      <c r="AA18" s="6" t="n">
        <v>10.6</v>
      </c>
      <c r="AB18" s="6" t="n">
        <v>15.78</v>
      </c>
      <c r="AC18" s="10" t="n">
        <v>0.235</v>
      </c>
      <c r="AD18" s="10" t="n">
        <v>0.059</v>
      </c>
      <c r="AE18" s="7" t="n">
        <v>0.455</v>
      </c>
      <c r="AF18" s="8" t="n">
        <v>850</v>
      </c>
      <c r="AG18" s="10" t="n">
        <v>0.75</v>
      </c>
      <c r="AH18" s="8" t="n">
        <v>102</v>
      </c>
      <c r="AI18" s="8" t="n">
        <v>102</v>
      </c>
      <c r="AJ18" s="6" t="n">
        <f aca="false">IFERROR(AI18/R18,"")</f>
        <v>6</v>
      </c>
      <c r="AK18" s="10" t="n">
        <v>0.1805</v>
      </c>
      <c r="AL18" s="10" t="n">
        <v>0.1652</v>
      </c>
      <c r="AM18" s="9" t="n">
        <v>0.3864</v>
      </c>
      <c r="AN18" s="8" t="n">
        <v>77</v>
      </c>
      <c r="AO18" s="10" t="n">
        <f aca="false">IFERROR(AN18/AI18,"")</f>
        <v>0.754901960784314</v>
      </c>
      <c r="AP18" s="8" t="n">
        <v>889</v>
      </c>
      <c r="AQ18" s="7" t="n">
        <f aca="false">IFERROR(AP18/AI18,"")</f>
        <v>8.7156862745098</v>
      </c>
      <c r="AR18" s="6" t="n">
        <v>7.578</v>
      </c>
      <c r="AS18" s="7" t="n">
        <v>4.701</v>
      </c>
      <c r="AT18" s="7" t="n">
        <v>1.15</v>
      </c>
      <c r="AU18" s="7" t="n">
        <v>3.64880989742619</v>
      </c>
      <c r="AV18" s="7" t="n">
        <v>5.99666666666667</v>
      </c>
      <c r="AW18" s="7" t="n">
        <v>0.088777625175851</v>
      </c>
      <c r="AX18" s="10" t="n">
        <v>0.0588</v>
      </c>
      <c r="AY18" s="8" t="n">
        <v>8</v>
      </c>
      <c r="AZ18" s="8" t="n">
        <v>1</v>
      </c>
      <c r="BA18" s="8" t="n">
        <v>0</v>
      </c>
      <c r="BB18" s="8" t="n">
        <v>3</v>
      </c>
      <c r="BC18" s="7" t="n">
        <v>2.98</v>
      </c>
      <c r="BD18" s="7" t="n">
        <f aca="false">IFERROR(BB18-BC18,"")</f>
        <v>0.02</v>
      </c>
      <c r="BE18" s="9" t="n">
        <f aca="false">IFERROR(BB18/AH18,"")</f>
        <v>0.0294117647058824</v>
      </c>
      <c r="BF18" s="6" t="n">
        <v>41.9</v>
      </c>
      <c r="BG18" s="6" t="n">
        <v>42.4</v>
      </c>
      <c r="BH18" s="6" t="n">
        <v>44.9</v>
      </c>
      <c r="BI18" s="7" t="n">
        <v>2.883</v>
      </c>
      <c r="BJ18" s="10" t="n">
        <v>0.1505</v>
      </c>
      <c r="BK18" s="10" t="n">
        <v>0.55</v>
      </c>
      <c r="BL18" s="7" t="n">
        <v>2.057</v>
      </c>
      <c r="BM18" s="10" t="n">
        <v>0.2132</v>
      </c>
      <c r="BN18" s="10" t="n">
        <v>0.0763</v>
      </c>
      <c r="BO18" s="7" t="n">
        <v>2.2</v>
      </c>
      <c r="BP18" s="10" t="n">
        <v>0.784</v>
      </c>
      <c r="BQ18" s="8" t="n">
        <v>4</v>
      </c>
      <c r="BR18" s="10" t="n">
        <v>-0.0301</v>
      </c>
      <c r="BS18" s="10" t="n">
        <v>0.5383</v>
      </c>
      <c r="BT18" s="6" t="n">
        <v>62.59</v>
      </c>
      <c r="BU18" s="6" t="n">
        <v>35</v>
      </c>
      <c r="BV18" s="7" t="n">
        <v>2.82</v>
      </c>
      <c r="BW18" s="6" t="n">
        <v>18</v>
      </c>
      <c r="BX18" s="9" t="n">
        <v>-0.1008</v>
      </c>
      <c r="BY18" s="9" t="n">
        <v>-0.0795</v>
      </c>
      <c r="BZ18" s="8" t="n">
        <v>127</v>
      </c>
      <c r="CA18" s="10" t="n">
        <v>0.225</v>
      </c>
      <c r="CB18" s="8" t="n">
        <v>21</v>
      </c>
      <c r="CC18" s="10" t="n">
        <v>0.048</v>
      </c>
      <c r="CD18" s="8" t="n">
        <v>15</v>
      </c>
      <c r="CE18" s="7" t="n">
        <v>0.251</v>
      </c>
      <c r="CF18" s="7" t="n">
        <v>0.076</v>
      </c>
      <c r="CG18" s="4" t="s">
        <v>102</v>
      </c>
      <c r="CH18" s="4"/>
    </row>
    <row r="19" customFormat="false" ht="15" hidden="false" customHeight="false" outlineLevel="0" collapsed="false">
      <c r="A19" s="3" t="n">
        <v>17</v>
      </c>
      <c r="B19" s="4" t="s">
        <v>437</v>
      </c>
      <c r="C19" s="12" t="s">
        <v>149</v>
      </c>
      <c r="D19" s="4" t="s">
        <v>438</v>
      </c>
      <c r="E19" s="4" t="s">
        <v>221</v>
      </c>
      <c r="F19" s="4" t="s">
        <v>149</v>
      </c>
      <c r="G19" s="3" t="n">
        <v>1</v>
      </c>
      <c r="H19" s="6" t="n">
        <v>26.9</v>
      </c>
      <c r="I19" s="3" t="n">
        <v>5</v>
      </c>
      <c r="J19" s="3" t="n">
        <v>7</v>
      </c>
      <c r="K19" s="7" t="n">
        <v>153.41</v>
      </c>
      <c r="L19" s="7" t="n">
        <v>26.85</v>
      </c>
      <c r="M19" s="8" t="n">
        <v>111</v>
      </c>
      <c r="N19" s="8" t="n">
        <v>229</v>
      </c>
      <c r="O19" s="7" t="n">
        <v>153.41</v>
      </c>
      <c r="P19" s="6" t="n">
        <v>38.5</v>
      </c>
      <c r="Q19" s="4" t="s">
        <v>265</v>
      </c>
      <c r="R19" s="8" t="n">
        <v>17</v>
      </c>
      <c r="S19" s="6" t="n">
        <v>124</v>
      </c>
      <c r="T19" s="7" t="n">
        <f aca="false">IFERROR(S19/R19,"")</f>
        <v>7.29411764705882</v>
      </c>
      <c r="U19" s="6" t="n">
        <v>96</v>
      </c>
      <c r="V19" s="6" t="n">
        <v>68</v>
      </c>
      <c r="W19" s="8" t="n">
        <v>19</v>
      </c>
      <c r="X19" s="7" t="n">
        <f aca="false">IFERROR(S19/AH19,"")</f>
        <v>1.56962025316456</v>
      </c>
      <c r="Y19" s="9" t="n">
        <f aca="false">IFERROR(S19/AF19,"")</f>
        <v>0.186186186186186</v>
      </c>
      <c r="Z19" s="6" t="n">
        <v>4</v>
      </c>
      <c r="AA19" s="6" t="n">
        <v>7.3</v>
      </c>
      <c r="AB19" s="6" t="n">
        <v>11.2</v>
      </c>
      <c r="AC19" s="10" t="n">
        <v>0.118</v>
      </c>
      <c r="AD19" s="10" t="n">
        <v>0.118</v>
      </c>
      <c r="AE19" s="7" t="n">
        <v>0.614</v>
      </c>
      <c r="AF19" s="8" t="n">
        <v>666</v>
      </c>
      <c r="AG19" s="10" t="n">
        <v>0.637</v>
      </c>
      <c r="AH19" s="8" t="n">
        <v>79</v>
      </c>
      <c r="AI19" s="8" t="n">
        <v>79</v>
      </c>
      <c r="AJ19" s="6" t="n">
        <f aca="false">IFERROR(AI19/R19,"")</f>
        <v>4.64705882352941</v>
      </c>
      <c r="AK19" s="10" t="n">
        <v>0.1491</v>
      </c>
      <c r="AL19" s="10" t="n">
        <v>0.0933</v>
      </c>
      <c r="AM19" s="9" t="n">
        <v>0.289</v>
      </c>
      <c r="AN19" s="8" t="n">
        <v>56</v>
      </c>
      <c r="AO19" s="10" t="n">
        <f aca="false">IFERROR(AN19/AI19,"")</f>
        <v>0.708860759493671</v>
      </c>
      <c r="AP19" s="8" t="n">
        <v>560</v>
      </c>
      <c r="AQ19" s="7" t="n">
        <f aca="false">IFERROR(AP19/AI19,"")</f>
        <v>7.08860759493671</v>
      </c>
      <c r="AR19" s="6" t="n">
        <v>4.633</v>
      </c>
      <c r="AS19" s="7" t="n">
        <v>6.107</v>
      </c>
      <c r="AT19" s="7" t="n">
        <v>1.53</v>
      </c>
      <c r="AU19" s="7" t="n">
        <v>3.8640859936595</v>
      </c>
      <c r="AV19" s="7" t="n">
        <v>5.80684210526316</v>
      </c>
      <c r="AW19" s="7" t="n">
        <v>1.17209589774727</v>
      </c>
      <c r="AX19" s="10" t="n">
        <v>0.0633</v>
      </c>
      <c r="AY19" s="8" t="n">
        <v>5</v>
      </c>
      <c r="AZ19" s="8" t="n">
        <v>3</v>
      </c>
      <c r="BA19" s="8" t="n">
        <v>0</v>
      </c>
      <c r="BB19" s="8" t="n">
        <v>2</v>
      </c>
      <c r="BC19" s="7" t="n">
        <v>2.18</v>
      </c>
      <c r="BD19" s="7" t="n">
        <f aca="false">IFERROR(BB19-BC19,"")</f>
        <v>-0.18</v>
      </c>
      <c r="BE19" s="9" t="n">
        <f aca="false">IFERROR(BB19/AH19,"")</f>
        <v>0.0253164556962025</v>
      </c>
      <c r="BF19" s="6" t="n">
        <v>54.8</v>
      </c>
      <c r="BG19" s="6" t="n">
        <v>50.7</v>
      </c>
      <c r="BH19" s="6" t="n">
        <v>56.8</v>
      </c>
      <c r="BI19" s="7" t="n">
        <v>2.998</v>
      </c>
      <c r="BJ19" s="10" t="n">
        <v>0.1651</v>
      </c>
      <c r="BK19" s="10" t="n">
        <v>0.548387096774194</v>
      </c>
      <c r="BL19" s="7" t="n">
        <v>2.512</v>
      </c>
      <c r="BM19" s="10" t="n">
        <v>0.2217</v>
      </c>
      <c r="BN19" s="10" t="n">
        <v>0.0606</v>
      </c>
      <c r="BO19" s="7" t="n">
        <v>2.36</v>
      </c>
      <c r="BP19" s="10" t="n">
        <v>0.706</v>
      </c>
      <c r="BQ19" s="8" t="n">
        <v>4</v>
      </c>
      <c r="BR19" s="10" t="n">
        <v>-0.0427</v>
      </c>
      <c r="BS19" s="10" t="n">
        <v>0.4747</v>
      </c>
      <c r="BT19" s="6" t="n">
        <v>57.59</v>
      </c>
      <c r="BU19" s="6" t="n">
        <v>38</v>
      </c>
      <c r="BV19" s="7" t="n">
        <v>2.94</v>
      </c>
      <c r="BW19" s="6" t="n">
        <v>20.9</v>
      </c>
      <c r="BX19" s="9" t="n">
        <v>0.0192</v>
      </c>
      <c r="BY19" s="9" t="n">
        <v>-0.0055</v>
      </c>
      <c r="BZ19" s="8" t="n">
        <v>138</v>
      </c>
      <c r="CA19" s="10" t="n">
        <v>0.319</v>
      </c>
      <c r="CB19" s="8" t="n">
        <v>142</v>
      </c>
      <c r="CC19" s="10" t="n">
        <v>0.293</v>
      </c>
      <c r="CD19" s="8" t="n">
        <v>56</v>
      </c>
      <c r="CE19" s="7" t="n">
        <v>-0.195</v>
      </c>
      <c r="CF19" s="7" t="n">
        <v>-0.503</v>
      </c>
      <c r="CG19" s="4" t="s">
        <v>102</v>
      </c>
      <c r="CH19" s="4"/>
    </row>
    <row r="20" customFormat="false" ht="15" hidden="false" customHeight="false" outlineLevel="0" collapsed="false">
      <c r="A20" s="3" t="n">
        <v>18</v>
      </c>
      <c r="B20" s="4" t="s">
        <v>441</v>
      </c>
      <c r="C20" s="12" t="s">
        <v>149</v>
      </c>
      <c r="D20" s="4" t="s">
        <v>442</v>
      </c>
      <c r="E20" s="4" t="s">
        <v>235</v>
      </c>
      <c r="F20" s="4" t="s">
        <v>149</v>
      </c>
      <c r="G20" s="3" t="n">
        <v>1</v>
      </c>
      <c r="H20" s="6" t="n">
        <v>25.6</v>
      </c>
      <c r="I20" s="3" t="n">
        <v>4</v>
      </c>
      <c r="J20" s="3" t="n">
        <v>7</v>
      </c>
      <c r="K20" s="7" t="n">
        <v>156.63</v>
      </c>
      <c r="L20" s="7" t="n">
        <v>25.26</v>
      </c>
      <c r="M20" s="8" t="n">
        <v>111</v>
      </c>
      <c r="N20" s="8" t="n">
        <v>236</v>
      </c>
      <c r="O20" s="7" t="n">
        <v>156.63</v>
      </c>
      <c r="P20" s="6" t="n">
        <v>43.4</v>
      </c>
      <c r="Q20" s="4" t="s">
        <v>235</v>
      </c>
      <c r="R20" s="8" t="n">
        <v>12</v>
      </c>
      <c r="S20" s="6" t="n">
        <v>118</v>
      </c>
      <c r="T20" s="7" t="n">
        <f aca="false">IFERROR(S20/R20,"")</f>
        <v>9.83333333333333</v>
      </c>
      <c r="U20" s="6" t="n">
        <v>95</v>
      </c>
      <c r="V20" s="6" t="n">
        <v>72</v>
      </c>
      <c r="W20" s="8" t="n">
        <v>21</v>
      </c>
      <c r="X20" s="7" t="n">
        <f aca="false">IFERROR(S20/AH20,"")</f>
        <v>1.96666666666667</v>
      </c>
      <c r="Y20" s="9" t="n">
        <f aca="false">IFERROR(S20/AF20,"")</f>
        <v>0.199661590524535</v>
      </c>
      <c r="Z20" s="6" t="n">
        <v>5.45</v>
      </c>
      <c r="AA20" s="6" t="n">
        <v>10.2</v>
      </c>
      <c r="AB20" s="6" t="n">
        <v>14.51</v>
      </c>
      <c r="AC20" s="10" t="n">
        <v>0.167</v>
      </c>
      <c r="AD20" s="10" t="n">
        <v>0</v>
      </c>
      <c r="AE20" s="7" t="n">
        <v>0.465</v>
      </c>
      <c r="AF20" s="8" t="n">
        <v>591</v>
      </c>
      <c r="AG20" s="10" t="n">
        <v>0.748</v>
      </c>
      <c r="AH20" s="8" t="n">
        <v>60</v>
      </c>
      <c r="AI20" s="8" t="n">
        <v>60</v>
      </c>
      <c r="AJ20" s="6" t="n">
        <f aca="false">IFERROR(AI20/R20,"")</f>
        <v>5</v>
      </c>
      <c r="AK20" s="10" t="n">
        <v>0.1579</v>
      </c>
      <c r="AL20" s="10" t="n">
        <v>0.1215</v>
      </c>
      <c r="AM20" s="9" t="n">
        <v>0.3219</v>
      </c>
      <c r="AN20" s="8" t="n">
        <v>46</v>
      </c>
      <c r="AO20" s="10" t="n">
        <f aca="false">IFERROR(AN20/AI20,"")</f>
        <v>0.766666666666667</v>
      </c>
      <c r="AP20" s="8" t="n">
        <v>540</v>
      </c>
      <c r="AQ20" s="7" t="n">
        <f aca="false">IFERROR(AP20/AI20,"")</f>
        <v>9</v>
      </c>
      <c r="AR20" s="6" t="n">
        <v>6.9</v>
      </c>
      <c r="AS20" s="7" t="n">
        <v>5.37</v>
      </c>
      <c r="AT20" s="7" t="n">
        <v>1.304</v>
      </c>
      <c r="AU20" s="7" t="n">
        <v>3.90547401628174</v>
      </c>
      <c r="AV20" s="7" t="n">
        <v>6.4606</v>
      </c>
      <c r="AW20" s="7" t="n">
        <v>-0.228699741922007</v>
      </c>
      <c r="AX20" s="10" t="n">
        <v>0.0667</v>
      </c>
      <c r="AY20" s="8" t="n">
        <v>10</v>
      </c>
      <c r="AZ20" s="8" t="n">
        <v>3</v>
      </c>
      <c r="BA20" s="8" t="n">
        <v>1</v>
      </c>
      <c r="BB20" s="8" t="n">
        <v>3</v>
      </c>
      <c r="BC20" s="7" t="n">
        <v>2.96</v>
      </c>
      <c r="BD20" s="7" t="n">
        <f aca="false">IFERROR(BB20-BC20,"")</f>
        <v>0.04</v>
      </c>
      <c r="BE20" s="9" t="n">
        <f aca="false">IFERROR(BB20/AH20,"")</f>
        <v>0.05</v>
      </c>
      <c r="BF20" s="6" t="n">
        <v>44.3</v>
      </c>
      <c r="BG20" s="6" t="n">
        <v>40.2</v>
      </c>
      <c r="BH20" s="6" t="n">
        <v>50.8</v>
      </c>
      <c r="BI20" s="7" t="n">
        <v>2.885</v>
      </c>
      <c r="BJ20" s="10" t="n">
        <v>0.1784</v>
      </c>
      <c r="BK20" s="10" t="n">
        <v>0.5</v>
      </c>
      <c r="BL20" s="7" t="n">
        <v>2.219</v>
      </c>
      <c r="BM20" s="10" t="n">
        <v>0.2504</v>
      </c>
      <c r="BN20" s="10" t="n">
        <v>0.0647</v>
      </c>
      <c r="BO20" s="7" t="n">
        <v>2.395</v>
      </c>
      <c r="BP20" s="10" t="n">
        <v>1</v>
      </c>
      <c r="BQ20" s="8" t="n">
        <v>5</v>
      </c>
      <c r="BR20" s="10" t="n">
        <v>0.0164</v>
      </c>
      <c r="BS20" s="10" t="n">
        <v>0.5756</v>
      </c>
      <c r="BT20" s="6" t="n">
        <v>63.18</v>
      </c>
      <c r="BU20" s="6" t="n">
        <v>40</v>
      </c>
      <c r="BV20" s="7" t="n">
        <v>4.24</v>
      </c>
      <c r="BW20" s="6" t="n">
        <v>27.9</v>
      </c>
      <c r="BX20" s="9" t="n">
        <v>-0.0041</v>
      </c>
      <c r="BY20" s="9" t="n">
        <v>0.0592</v>
      </c>
      <c r="BZ20" s="8" t="n">
        <v>132</v>
      </c>
      <c r="CA20" s="10" t="n">
        <v>0.241</v>
      </c>
      <c r="CB20" s="8" t="n">
        <v>271</v>
      </c>
      <c r="CC20" s="10" t="n">
        <v>0.554</v>
      </c>
      <c r="CD20" s="8" t="n">
        <v>85</v>
      </c>
      <c r="CE20" s="7" t="n">
        <v>-0.248</v>
      </c>
      <c r="CF20" s="7" t="n">
        <v>-0.073</v>
      </c>
      <c r="CG20" s="4" t="s">
        <v>102</v>
      </c>
      <c r="CH20" s="4"/>
    </row>
    <row r="21" customFormat="false" ht="15" hidden="false" customHeight="false" outlineLevel="0" collapsed="false">
      <c r="A21" s="3" t="n">
        <v>19</v>
      </c>
      <c r="B21" s="4" t="s">
        <v>455</v>
      </c>
      <c r="C21" s="12" t="s">
        <v>149</v>
      </c>
      <c r="D21" s="4" t="s">
        <v>456</v>
      </c>
      <c r="E21" s="4" t="s">
        <v>135</v>
      </c>
      <c r="F21" s="4" t="s">
        <v>149</v>
      </c>
      <c r="G21" s="3" t="n">
        <v>1</v>
      </c>
      <c r="H21" s="6" t="n">
        <v>31.7</v>
      </c>
      <c r="I21" s="3" t="n">
        <v>11</v>
      </c>
      <c r="J21" s="3" t="n">
        <v>11</v>
      </c>
      <c r="K21" s="7" t="n">
        <v>166.29</v>
      </c>
      <c r="L21" s="7" t="n">
        <v>22.34</v>
      </c>
      <c r="M21" s="8" t="n">
        <v>131</v>
      </c>
      <c r="N21" s="8" t="n">
        <v>228</v>
      </c>
      <c r="O21" s="7" t="n">
        <v>166.29</v>
      </c>
      <c r="P21" s="6" t="n">
        <v>63.7</v>
      </c>
      <c r="Q21" s="4" t="s">
        <v>135</v>
      </c>
      <c r="R21" s="8" t="n">
        <v>17</v>
      </c>
      <c r="S21" s="6" t="n">
        <v>178.8</v>
      </c>
      <c r="T21" s="7" t="n">
        <f aca="false">IFERROR(S21/R21,"")</f>
        <v>10.5176470588235</v>
      </c>
      <c r="U21" s="6" t="n">
        <v>148.8</v>
      </c>
      <c r="V21" s="6" t="n">
        <v>118.8</v>
      </c>
      <c r="W21" s="8" t="n">
        <v>9</v>
      </c>
      <c r="X21" s="7" t="n">
        <f aca="false">IFERROR(S21/AH21,"")</f>
        <v>2.0551724137931</v>
      </c>
      <c r="Y21" s="9" t="n">
        <f aca="false">IFERROR(S21/AF21,"")</f>
        <v>0.205753739930955</v>
      </c>
      <c r="Z21" s="6" t="n">
        <v>6.6</v>
      </c>
      <c r="AA21" s="6" t="n">
        <v>9.1</v>
      </c>
      <c r="AB21" s="6" t="n">
        <v>14.86</v>
      </c>
      <c r="AC21" s="10" t="n">
        <v>0.118</v>
      </c>
      <c r="AD21" s="10" t="n">
        <v>0.059</v>
      </c>
      <c r="AE21" s="7" t="n">
        <v>0.8</v>
      </c>
      <c r="AF21" s="8" t="n">
        <v>869</v>
      </c>
      <c r="AG21" s="10" t="n">
        <v>0.794</v>
      </c>
      <c r="AH21" s="8" t="n">
        <v>87</v>
      </c>
      <c r="AI21" s="8" t="n">
        <v>87</v>
      </c>
      <c r="AJ21" s="6" t="n">
        <f aca="false">IFERROR(AI21/R21,"")</f>
        <v>5.11764705882353</v>
      </c>
      <c r="AK21" s="10" t="n">
        <v>0.1805</v>
      </c>
      <c r="AL21" s="10" t="n">
        <v>0.1587</v>
      </c>
      <c r="AM21" s="9" t="n">
        <v>0.3818</v>
      </c>
      <c r="AN21" s="8" t="n">
        <v>60</v>
      </c>
      <c r="AO21" s="10" t="n">
        <f aca="false">IFERROR(AN21/AI21,"")</f>
        <v>0.689655172413793</v>
      </c>
      <c r="AP21" s="8" t="n">
        <v>768</v>
      </c>
      <c r="AQ21" s="7" t="n">
        <f aca="false">IFERROR(AP21/AI21,"")</f>
        <v>8.82758620689655</v>
      </c>
      <c r="AR21" s="6" t="n">
        <v>8.161</v>
      </c>
      <c r="AS21" s="7" t="n">
        <v>5.583</v>
      </c>
      <c r="AT21" s="7" t="n">
        <v>1.082</v>
      </c>
      <c r="AU21" s="7" t="n">
        <v>3.01504326959347</v>
      </c>
      <c r="AV21" s="7" t="n">
        <v>6.01625</v>
      </c>
      <c r="AW21" s="7" t="n">
        <v>0.324564541084164</v>
      </c>
      <c r="AX21" s="10" t="n">
        <v>0.0345</v>
      </c>
      <c r="AY21" s="8" t="n">
        <v>22</v>
      </c>
      <c r="AZ21" s="8" t="n">
        <v>10</v>
      </c>
      <c r="BA21" s="8" t="n">
        <v>6</v>
      </c>
      <c r="BB21" s="8" t="n">
        <v>7</v>
      </c>
      <c r="BC21" s="7" t="n">
        <v>6.95</v>
      </c>
      <c r="BD21" s="7" t="n">
        <f aca="false">IFERROR(BB21-BC21,"")</f>
        <v>0.0499999999999998</v>
      </c>
      <c r="BE21" s="9" t="n">
        <f aca="false">IFERROR(BB21/AH21,"")</f>
        <v>0.0804597701149425</v>
      </c>
      <c r="BF21" s="6" t="n">
        <v>41.6</v>
      </c>
      <c r="BG21" s="6" t="n">
        <v>43.3</v>
      </c>
      <c r="BH21" s="6" t="n">
        <v>43.5</v>
      </c>
      <c r="BI21" s="7" t="n">
        <v>2.802</v>
      </c>
      <c r="BJ21" s="10" t="n">
        <v>0.1883</v>
      </c>
      <c r="BK21" s="10" t="n">
        <v>0.575757575757576</v>
      </c>
      <c r="BL21" s="7" t="n">
        <v>2.561</v>
      </c>
      <c r="BM21" s="10" t="n">
        <v>0.261</v>
      </c>
      <c r="BN21" s="10" t="n">
        <v>0.0789</v>
      </c>
      <c r="BO21" s="7" t="n">
        <v>2.406</v>
      </c>
      <c r="BP21" s="10" t="n">
        <v>0.533</v>
      </c>
      <c r="BQ21" s="8" t="n">
        <v>3</v>
      </c>
      <c r="BR21" s="10" t="n">
        <v>0.0242</v>
      </c>
      <c r="BS21" s="10" t="n">
        <v>0.5691</v>
      </c>
      <c r="BT21" s="6" t="n">
        <v>59.82</v>
      </c>
      <c r="BU21" s="6" t="n">
        <v>38</v>
      </c>
      <c r="BV21" s="7" t="n">
        <v>3.76</v>
      </c>
      <c r="BW21" s="6" t="n">
        <v>28.8</v>
      </c>
      <c r="BX21" s="9" t="n">
        <v>0.0077</v>
      </c>
      <c r="BY21" s="9" t="n">
        <v>0.2873</v>
      </c>
      <c r="BZ21" s="8" t="n">
        <v>128</v>
      </c>
      <c r="CA21" s="10" t="n">
        <v>0.266</v>
      </c>
      <c r="CB21" s="8" t="n">
        <v>10</v>
      </c>
      <c r="CC21" s="10" t="n">
        <v>0.02</v>
      </c>
      <c r="CD21" s="8" t="n">
        <v>17</v>
      </c>
      <c r="CE21" s="7" t="n">
        <v>0.314</v>
      </c>
      <c r="CF21" s="7" t="n">
        <v>0.138</v>
      </c>
      <c r="CG21" s="4" t="s">
        <v>102</v>
      </c>
      <c r="CH21" s="4"/>
    </row>
    <row r="22" customFormat="false" ht="15" hidden="false" customHeight="false" outlineLevel="0" collapsed="false">
      <c r="A22" s="3" t="n">
        <v>20</v>
      </c>
      <c r="B22" s="4" t="s">
        <v>474</v>
      </c>
      <c r="C22" s="12" t="s">
        <v>149</v>
      </c>
      <c r="D22" s="4" t="s">
        <v>475</v>
      </c>
      <c r="E22" s="4" t="s">
        <v>170</v>
      </c>
      <c r="F22" s="4" t="s">
        <v>149</v>
      </c>
      <c r="G22" s="3" t="n">
        <v>1</v>
      </c>
      <c r="H22" s="6" t="n">
        <v>23.1</v>
      </c>
      <c r="I22" s="3" t="n">
        <v>2</v>
      </c>
      <c r="J22" s="3" t="n">
        <v>7</v>
      </c>
      <c r="K22" s="7" t="n">
        <v>178.5</v>
      </c>
      <c r="L22" s="7" t="n">
        <v>35.54</v>
      </c>
      <c r="M22" s="8" t="n">
        <v>97</v>
      </c>
      <c r="N22" s="8" t="n">
        <v>246</v>
      </c>
      <c r="O22" s="7" t="n">
        <v>178.5</v>
      </c>
      <c r="P22" s="6" t="n">
        <v>44.9</v>
      </c>
      <c r="Q22" s="4" t="s">
        <v>170</v>
      </c>
      <c r="R22" s="8" t="n">
        <v>15</v>
      </c>
      <c r="S22" s="6" t="n">
        <v>131.4</v>
      </c>
      <c r="T22" s="7" t="n">
        <f aca="false">IFERROR(S22/R22,"")</f>
        <v>8.76</v>
      </c>
      <c r="U22" s="6" t="n">
        <v>106.9</v>
      </c>
      <c r="V22" s="6" t="n">
        <v>82.4</v>
      </c>
      <c r="W22" s="8" t="n">
        <v>15</v>
      </c>
      <c r="X22" s="7" t="n">
        <f aca="false">IFERROR(S22/AH22,"")</f>
        <v>1.90434782608696</v>
      </c>
      <c r="Y22" s="9" t="n">
        <f aca="false">IFERROR(S22/AF22,"")</f>
        <v>0.209569377990431</v>
      </c>
      <c r="Z22" s="6" t="n">
        <v>3.65</v>
      </c>
      <c r="AA22" s="6" t="n">
        <v>6.1</v>
      </c>
      <c r="AB22" s="6" t="n">
        <v>12.16</v>
      </c>
      <c r="AC22" s="10" t="n">
        <v>0.133</v>
      </c>
      <c r="AD22" s="10" t="n">
        <v>0.067</v>
      </c>
      <c r="AE22" s="7" t="n">
        <v>1.237</v>
      </c>
      <c r="AF22" s="8" t="n">
        <v>627</v>
      </c>
      <c r="AG22" s="10" t="n">
        <v>0.626</v>
      </c>
      <c r="AH22" s="8" t="n">
        <v>69</v>
      </c>
      <c r="AI22" s="8" t="n">
        <v>69</v>
      </c>
      <c r="AJ22" s="6" t="n">
        <f aca="false">IFERROR(AI22/R22,"")</f>
        <v>4.6</v>
      </c>
      <c r="AK22" s="10" t="n">
        <v>0.1429</v>
      </c>
      <c r="AL22" s="10" t="n">
        <v>0.1633</v>
      </c>
      <c r="AM22" s="9" t="n">
        <v>0.3287</v>
      </c>
      <c r="AN22" s="8" t="n">
        <v>49</v>
      </c>
      <c r="AO22" s="10" t="n">
        <f aca="false">IFERROR(AN22/AI22,"")</f>
        <v>0.710144927536232</v>
      </c>
      <c r="AP22" s="8" t="n">
        <v>664</v>
      </c>
      <c r="AQ22" s="7" t="n">
        <f aca="false">IFERROR(AP22/AI22,"")</f>
        <v>9.6231884057971</v>
      </c>
      <c r="AR22" s="6" t="n">
        <v>9.043</v>
      </c>
      <c r="AS22" s="7" t="n">
        <v>4.51</v>
      </c>
      <c r="AT22" s="7" t="n">
        <v>1.064</v>
      </c>
      <c r="AU22" s="7" t="n">
        <v>3.16367343364934</v>
      </c>
      <c r="AV22" s="7" t="n">
        <v>5.95758620689655</v>
      </c>
      <c r="AW22" s="7" t="n">
        <v>1.34867647299471</v>
      </c>
      <c r="AX22" s="10" t="n">
        <v>0.0725</v>
      </c>
      <c r="AY22" s="8" t="n">
        <v>15</v>
      </c>
      <c r="AZ22" s="8" t="n">
        <v>5</v>
      </c>
      <c r="BA22" s="8" t="n">
        <v>1</v>
      </c>
      <c r="BB22" s="8" t="n">
        <v>3</v>
      </c>
      <c r="BC22" s="7" t="n">
        <v>3.98</v>
      </c>
      <c r="BD22" s="7" t="n">
        <f aca="false">IFERROR(BB22-BC22,"")</f>
        <v>-0.98</v>
      </c>
      <c r="BE22" s="9" t="n">
        <f aca="false">IFERROR(BB22/AH22,"")</f>
        <v>0.0434782608695652</v>
      </c>
      <c r="BF22" s="6" t="n">
        <v>26.9</v>
      </c>
      <c r="BG22" s="6" t="n">
        <v>40.7</v>
      </c>
      <c r="BH22" s="6" t="n">
        <v>23</v>
      </c>
      <c r="BI22" s="7" t="n">
        <v>2.77</v>
      </c>
      <c r="BJ22" s="10" t="n">
        <v>0.2195</v>
      </c>
      <c r="BK22" s="10" t="n">
        <v>0.611111111111111</v>
      </c>
      <c r="BL22" s="7" t="n">
        <v>2.614</v>
      </c>
      <c r="BM22" s="10" t="n">
        <v>0.3427</v>
      </c>
      <c r="BN22" s="10" t="n">
        <v>0.0832</v>
      </c>
      <c r="BO22" s="7" t="n">
        <v>2.37</v>
      </c>
      <c r="BP22" s="10" t="n">
        <v>0.205</v>
      </c>
      <c r="BQ22" s="8" t="n">
        <v>1</v>
      </c>
      <c r="BR22" s="10" t="n">
        <v>0.0064</v>
      </c>
      <c r="BS22" s="10" t="n">
        <v>0.579</v>
      </c>
      <c r="BT22" s="6" t="n">
        <v>63.53</v>
      </c>
      <c r="BU22" s="6" t="n">
        <v>39</v>
      </c>
      <c r="BV22" s="7" t="n">
        <v>3.47</v>
      </c>
      <c r="BW22" s="6" t="n">
        <v>21.6</v>
      </c>
      <c r="BX22" s="9" t="n">
        <v>0.0187</v>
      </c>
      <c r="BY22" s="9" t="n">
        <v>-0.0542</v>
      </c>
      <c r="BZ22" s="8" t="n">
        <v>15</v>
      </c>
      <c r="CA22" s="10" t="n">
        <v>0.028</v>
      </c>
      <c r="CB22" s="8" t="n">
        <v>23</v>
      </c>
      <c r="CC22" s="10" t="n">
        <v>0.049</v>
      </c>
      <c r="CD22" s="8" t="n">
        <v>2</v>
      </c>
      <c r="CE22" s="7" t="n">
        <v>0.086</v>
      </c>
      <c r="CF22" s="7" t="n">
        <v>-0.09</v>
      </c>
      <c r="CG22" s="4" t="s">
        <v>102</v>
      </c>
      <c r="CH22" s="4"/>
    </row>
    <row r="23" customFormat="false" ht="15" hidden="false" customHeight="false" outlineLevel="0" collapsed="false">
      <c r="A23" s="3" t="n">
        <v>21</v>
      </c>
      <c r="B23" s="4" t="s">
        <v>476</v>
      </c>
      <c r="C23" s="12" t="s">
        <v>149</v>
      </c>
      <c r="D23" s="4" t="s">
        <v>477</v>
      </c>
      <c r="E23" s="4" t="s">
        <v>139</v>
      </c>
      <c r="F23" s="4" t="s">
        <v>149</v>
      </c>
      <c r="G23" s="3" t="n">
        <v>1</v>
      </c>
      <c r="H23" s="6" t="n">
        <v>30.1</v>
      </c>
      <c r="I23" s="3" t="n">
        <v>9</v>
      </c>
      <c r="J23" s="3" t="n">
        <v>8</v>
      </c>
      <c r="K23" s="7" t="n">
        <v>178.88</v>
      </c>
      <c r="L23" s="7" t="n">
        <v>25.34</v>
      </c>
      <c r="M23" s="8" t="n">
        <v>97</v>
      </c>
      <c r="N23" s="8" t="n">
        <v>229</v>
      </c>
      <c r="O23" s="7" t="n">
        <v>178.88</v>
      </c>
      <c r="P23" s="6" t="n">
        <v>26.9</v>
      </c>
      <c r="Q23" s="4" t="s">
        <v>139</v>
      </c>
      <c r="R23" s="8" t="n">
        <v>17</v>
      </c>
      <c r="S23" s="6" t="n">
        <v>177.7</v>
      </c>
      <c r="T23" s="7" t="n">
        <f aca="false">IFERROR(S23/R23,"")</f>
        <v>10.4529411764706</v>
      </c>
      <c r="U23" s="6" t="n">
        <v>136.7</v>
      </c>
      <c r="V23" s="6" t="n">
        <v>95.7</v>
      </c>
      <c r="W23" s="8" t="n">
        <v>10</v>
      </c>
      <c r="X23" s="7" t="n">
        <f aca="false">IFERROR(S23/AH23,"")</f>
        <v>1.67641509433962</v>
      </c>
      <c r="Y23" s="9" t="n">
        <f aca="false">IFERROR(S23/AF23,"")</f>
        <v>0.214873035066505</v>
      </c>
      <c r="Z23" s="6" t="n">
        <v>5.8</v>
      </c>
      <c r="AA23" s="6" t="n">
        <v>11</v>
      </c>
      <c r="AB23" s="6" t="n">
        <v>16.78</v>
      </c>
      <c r="AC23" s="10" t="n">
        <v>0.118</v>
      </c>
      <c r="AD23" s="10" t="n">
        <v>0</v>
      </c>
      <c r="AE23" s="7" t="n">
        <v>0.513</v>
      </c>
      <c r="AF23" s="8" t="n">
        <v>827</v>
      </c>
      <c r="AG23" s="10" t="n">
        <v>0.711</v>
      </c>
      <c r="AH23" s="8" t="n">
        <v>106</v>
      </c>
      <c r="AI23" s="8" t="n">
        <v>106</v>
      </c>
      <c r="AJ23" s="6" t="n">
        <f aca="false">IFERROR(AI23/R23,"")</f>
        <v>6.23529411764706</v>
      </c>
      <c r="AK23" s="10" t="n">
        <v>0.1917</v>
      </c>
      <c r="AL23" s="10" t="n">
        <v>0.1434</v>
      </c>
      <c r="AM23" s="9" t="n">
        <v>0.3879</v>
      </c>
      <c r="AN23" s="8" t="n">
        <v>82</v>
      </c>
      <c r="AO23" s="10" t="n">
        <f aca="false">IFERROR(AN23/AI23,"")</f>
        <v>0.773584905660377</v>
      </c>
      <c r="AP23" s="8" t="n">
        <v>777</v>
      </c>
      <c r="AQ23" s="7" t="n">
        <f aca="false">IFERROR(AP23/AI23,"")</f>
        <v>7.33018867924528</v>
      </c>
      <c r="AR23" s="6" t="n">
        <v>6.217</v>
      </c>
      <c r="AS23" s="7" t="n">
        <v>4.366</v>
      </c>
      <c r="AT23" s="7" t="n">
        <v>1.179</v>
      </c>
      <c r="AU23" s="7" t="n">
        <v>3.76798020900135</v>
      </c>
      <c r="AV23" s="7" t="n">
        <v>5.42714285714286</v>
      </c>
      <c r="AW23" s="7" t="n">
        <v>0.101724123836226</v>
      </c>
      <c r="AX23" s="10" t="n">
        <v>0.0189</v>
      </c>
      <c r="AY23" s="8" t="n">
        <v>11</v>
      </c>
      <c r="AZ23" s="8" t="n">
        <v>6</v>
      </c>
      <c r="BA23" s="8" t="n">
        <v>4</v>
      </c>
      <c r="BB23" s="8" t="n">
        <v>3</v>
      </c>
      <c r="BC23" s="7" t="n">
        <v>4.83</v>
      </c>
      <c r="BD23" s="7" t="n">
        <f aca="false">IFERROR(BB23-BC23,"")</f>
        <v>-1.83</v>
      </c>
      <c r="BE23" s="9" t="n">
        <f aca="false">IFERROR(BB23/AH23,"")</f>
        <v>0.0283018867924528</v>
      </c>
      <c r="BF23" s="6" t="n">
        <v>45.8</v>
      </c>
      <c r="BG23" s="6" t="n">
        <v>34.1</v>
      </c>
      <c r="BH23" s="6" t="n">
        <v>59.3</v>
      </c>
      <c r="BI23" s="7" t="n">
        <v>2.812</v>
      </c>
      <c r="BJ23" s="10" t="n">
        <v>0.1937</v>
      </c>
      <c r="BK23" s="10" t="n">
        <v>0.485714285714286</v>
      </c>
      <c r="BL23" s="7" t="n">
        <v>2.099</v>
      </c>
      <c r="BM23" s="10" t="n">
        <v>0.2216</v>
      </c>
      <c r="BN23" s="10" t="n">
        <v>0.0526</v>
      </c>
      <c r="BO23" s="7" t="n">
        <v>2.345</v>
      </c>
      <c r="BP23" s="10" t="n">
        <v>0.713</v>
      </c>
      <c r="BQ23" s="8" t="n">
        <v>2</v>
      </c>
      <c r="BR23" s="10" t="n">
        <v>-0.0098</v>
      </c>
      <c r="BS23" s="10" t="n">
        <v>0.5638</v>
      </c>
      <c r="BT23" s="6" t="n">
        <v>63.41</v>
      </c>
      <c r="BU23" s="6" t="n">
        <v>38</v>
      </c>
      <c r="BV23" s="7" t="n">
        <v>3.41</v>
      </c>
      <c r="BW23" s="6" t="n">
        <v>23.8</v>
      </c>
      <c r="BX23" s="9" t="n">
        <v>-0.0779</v>
      </c>
      <c r="BY23" s="9" t="n">
        <v>0.036</v>
      </c>
      <c r="BZ23" s="8" t="n">
        <v>82</v>
      </c>
      <c r="CA23" s="10" t="n">
        <v>0.148</v>
      </c>
      <c r="CB23" s="8" t="n">
        <v>21</v>
      </c>
      <c r="CC23" s="10" t="n">
        <v>0.044</v>
      </c>
      <c r="CD23" s="8" t="n">
        <v>18</v>
      </c>
      <c r="CE23" s="7" t="n">
        <v>0.341</v>
      </c>
      <c r="CF23" s="7" t="n">
        <v>0.121</v>
      </c>
      <c r="CG23" s="4" t="s">
        <v>102</v>
      </c>
      <c r="CH23" s="4"/>
    </row>
    <row r="24" customFormat="false" ht="15" hidden="false" customHeight="false" outlineLevel="0" collapsed="false">
      <c r="A24" s="3" t="n">
        <v>22</v>
      </c>
      <c r="B24" s="4" t="s">
        <v>484</v>
      </c>
      <c r="C24" s="12" t="s">
        <v>149</v>
      </c>
      <c r="D24" s="4" t="s">
        <v>485</v>
      </c>
      <c r="E24" s="4" t="s">
        <v>127</v>
      </c>
      <c r="F24" s="4" t="s">
        <v>149</v>
      </c>
      <c r="G24" s="3" t="n">
        <v>1</v>
      </c>
      <c r="H24" s="6" t="n">
        <v>29.1</v>
      </c>
      <c r="I24" s="3" t="n">
        <v>8</v>
      </c>
      <c r="J24" s="3" t="n">
        <v>6</v>
      </c>
      <c r="K24" s="7" t="n">
        <v>191.24</v>
      </c>
      <c r="L24" s="7" t="n">
        <v>21.43</v>
      </c>
      <c r="M24" s="8" t="n">
        <v>124</v>
      </c>
      <c r="N24" s="8" t="n">
        <v>246</v>
      </c>
      <c r="O24" s="7" t="n">
        <v>191.24</v>
      </c>
      <c r="P24" s="6" t="n">
        <v>49.7</v>
      </c>
      <c r="Q24" s="4" t="s">
        <v>127</v>
      </c>
      <c r="R24" s="8" t="n">
        <v>15</v>
      </c>
      <c r="S24" s="6" t="n">
        <v>112.8</v>
      </c>
      <c r="T24" s="7" t="n">
        <f aca="false">IFERROR(S24/R24,"")</f>
        <v>7.52</v>
      </c>
      <c r="U24" s="6" t="n">
        <v>87.3</v>
      </c>
      <c r="V24" s="6" t="n">
        <v>61.8</v>
      </c>
      <c r="W24" s="8" t="n">
        <v>24</v>
      </c>
      <c r="X24" s="7" t="n">
        <f aca="false">IFERROR(S24/AH24,"")</f>
        <v>1.68358208955224</v>
      </c>
      <c r="Y24" s="9" t="n">
        <f aca="false">IFERROR(S24/AF24,"")</f>
        <v>0.163241678726483</v>
      </c>
      <c r="Z24" s="6" t="n">
        <v>4.55</v>
      </c>
      <c r="AA24" s="6" t="n">
        <v>7.9</v>
      </c>
      <c r="AB24" s="6" t="n">
        <v>10.57</v>
      </c>
      <c r="AC24" s="10" t="n">
        <v>0.067</v>
      </c>
      <c r="AD24" s="10" t="n">
        <v>0.133</v>
      </c>
      <c r="AE24" s="7" t="n">
        <v>0.511</v>
      </c>
      <c r="AF24" s="8" t="n">
        <v>691</v>
      </c>
      <c r="AG24" s="10" t="n">
        <v>0.779</v>
      </c>
      <c r="AH24" s="8" t="n">
        <v>67</v>
      </c>
      <c r="AI24" s="8" t="n">
        <v>66</v>
      </c>
      <c r="AJ24" s="6" t="n">
        <f aca="false">IFERROR(AI24/R24,"")</f>
        <v>4.4</v>
      </c>
      <c r="AK24" s="10" t="n">
        <v>0.1557</v>
      </c>
      <c r="AL24" s="10" t="n">
        <v>0.0947</v>
      </c>
      <c r="AM24" s="9" t="n">
        <v>0.2998</v>
      </c>
      <c r="AN24" s="8" t="n">
        <v>51</v>
      </c>
      <c r="AO24" s="10" t="n">
        <f aca="false">IFERROR(AN24/AI24,"")</f>
        <v>0.772727272727273</v>
      </c>
      <c r="AP24" s="8" t="n">
        <v>438</v>
      </c>
      <c r="AQ24" s="7" t="n">
        <f aca="false">IFERROR(AP24/AI24,"")</f>
        <v>6.63636363636364</v>
      </c>
      <c r="AR24" s="6" t="n">
        <v>4.985</v>
      </c>
      <c r="AS24" s="7" t="n">
        <v>4.294</v>
      </c>
      <c r="AT24" s="7" t="n">
        <v>1.331</v>
      </c>
      <c r="AU24" s="7" t="n">
        <v>3.75453022718054</v>
      </c>
      <c r="AV24" s="7" t="n">
        <v>6.19933333333333</v>
      </c>
      <c r="AW24" s="7" t="n">
        <v>-0.148333656963932</v>
      </c>
      <c r="AX24" s="10" t="n">
        <v>0.0455</v>
      </c>
      <c r="AY24" s="8" t="n">
        <v>12</v>
      </c>
      <c r="AZ24" s="8" t="n">
        <v>3</v>
      </c>
      <c r="BA24" s="8" t="n">
        <v>2</v>
      </c>
      <c r="BB24" s="8" t="n">
        <v>3</v>
      </c>
      <c r="BC24" s="7" t="n">
        <v>3.36</v>
      </c>
      <c r="BD24" s="7" t="n">
        <f aca="false">IFERROR(BB24-BC24,"")</f>
        <v>-0.36</v>
      </c>
      <c r="BE24" s="9" t="n">
        <f aca="false">IFERROR(BB24/AH24,"")</f>
        <v>0.0447761194029851</v>
      </c>
      <c r="BF24" s="6" t="n">
        <v>36</v>
      </c>
      <c r="BG24" s="6" t="n">
        <v>51.8</v>
      </c>
      <c r="BH24" s="6" t="n">
        <v>26.2</v>
      </c>
      <c r="BI24" s="7" t="n">
        <v>2.961</v>
      </c>
      <c r="BJ24" s="10" t="n">
        <v>0.1751</v>
      </c>
      <c r="BK24" s="10" t="n">
        <v>0.7</v>
      </c>
      <c r="BL24" s="7" t="n">
        <v>2.441</v>
      </c>
      <c r="BM24" s="10" t="n">
        <v>0.3037</v>
      </c>
      <c r="BN24" s="10" t="n">
        <v>0.1028</v>
      </c>
      <c r="BO24" s="7" t="n">
        <v>2.429</v>
      </c>
      <c r="BP24" s="10" t="n">
        <v>0.819</v>
      </c>
      <c r="BQ24" s="8" t="n">
        <v>5</v>
      </c>
      <c r="BR24" s="10" t="n">
        <v>-0.012</v>
      </c>
      <c r="BS24" s="10" t="n">
        <v>0.5369</v>
      </c>
      <c r="BT24" s="6" t="n">
        <v>55.47</v>
      </c>
      <c r="BU24" s="6" t="n">
        <v>39</v>
      </c>
      <c r="BV24" s="7" t="n">
        <v>3.12</v>
      </c>
      <c r="BW24" s="6" t="n">
        <v>20.2</v>
      </c>
      <c r="BX24" s="9" t="n">
        <v>-0.0149</v>
      </c>
      <c r="BY24" s="9" t="n">
        <v>-0.1883</v>
      </c>
      <c r="BZ24" s="8" t="n">
        <v>82</v>
      </c>
      <c r="CA24" s="10" t="n">
        <v>0.175</v>
      </c>
      <c r="CB24" s="8" t="n">
        <v>24</v>
      </c>
      <c r="CC24" s="10" t="n">
        <v>0.059</v>
      </c>
      <c r="CD24" s="8" t="n">
        <v>17</v>
      </c>
      <c r="CE24" s="7" t="n">
        <v>-0.237</v>
      </c>
      <c r="CF24" s="7" t="n">
        <v>-0.282</v>
      </c>
      <c r="CG24" s="4" t="s">
        <v>102</v>
      </c>
      <c r="CH24" s="4"/>
    </row>
    <row r="25" customFormat="false" ht="15" hidden="false" customHeight="false" outlineLevel="0" collapsed="false">
      <c r="A25" s="3" t="n">
        <v>23</v>
      </c>
      <c r="B25" s="4" t="s">
        <v>506</v>
      </c>
      <c r="C25" s="12" t="s">
        <v>149</v>
      </c>
      <c r="D25" s="4" t="s">
        <v>507</v>
      </c>
      <c r="E25" s="4" t="s">
        <v>161</v>
      </c>
      <c r="F25" s="4" t="s">
        <v>149</v>
      </c>
      <c r="G25" s="3" t="n">
        <v>1</v>
      </c>
      <c r="H25" s="6" t="n">
        <v>26.4</v>
      </c>
      <c r="I25" s="3" t="n">
        <v>5</v>
      </c>
      <c r="J25" s="3" t="n">
        <v>6</v>
      </c>
      <c r="K25" s="7" t="n">
        <v>200.16</v>
      </c>
      <c r="L25" s="7" t="n">
        <v>43.44</v>
      </c>
      <c r="M25" s="8" t="n">
        <v>131</v>
      </c>
      <c r="N25" s="8" t="n">
        <v>306</v>
      </c>
      <c r="O25" s="7" t="n">
        <v>200.16</v>
      </c>
      <c r="P25" s="6" t="n">
        <v>14.8</v>
      </c>
      <c r="Q25" s="4" t="s">
        <v>161</v>
      </c>
      <c r="R25" s="8" t="n">
        <v>9</v>
      </c>
      <c r="S25" s="6" t="n">
        <v>62.8</v>
      </c>
      <c r="T25" s="7" t="n">
        <f aca="false">IFERROR(S25/R25,"")</f>
        <v>6.97777777777778</v>
      </c>
      <c r="U25" s="6" t="n">
        <v>49.8</v>
      </c>
      <c r="V25" s="6" t="n">
        <v>36.8</v>
      </c>
      <c r="W25" s="8" t="n">
        <v>30</v>
      </c>
      <c r="X25" s="7" t="n">
        <f aca="false">IFERROR(S25/AH25,"")</f>
        <v>1.84705882352941</v>
      </c>
      <c r="Y25" s="9" t="n">
        <f aca="false">IFERROR(S25/AF25,"")</f>
        <v>0.256326530612245</v>
      </c>
      <c r="Z25" s="6" t="n">
        <v>4.4</v>
      </c>
      <c r="AA25" s="6" t="n">
        <v>6.1</v>
      </c>
      <c r="AB25" s="6" t="n">
        <v>9.34</v>
      </c>
      <c r="AC25" s="10" t="n">
        <v>0.111</v>
      </c>
      <c r="AD25" s="10" t="n">
        <v>0</v>
      </c>
      <c r="AE25" s="7" t="n">
        <v>0.65</v>
      </c>
      <c r="AF25" s="8" t="n">
        <v>245</v>
      </c>
      <c r="AG25" s="10" t="n">
        <v>0.422</v>
      </c>
      <c r="AH25" s="8" t="n">
        <v>34</v>
      </c>
      <c r="AI25" s="8" t="n">
        <v>33</v>
      </c>
      <c r="AJ25" s="6" t="n">
        <f aca="false">IFERROR(AI25/R25,"")</f>
        <v>3.66666666666667</v>
      </c>
      <c r="AK25" s="10" t="n">
        <v>0.15</v>
      </c>
      <c r="AL25" s="10" t="n">
        <v>0.0922</v>
      </c>
      <c r="AM25" s="9" t="n">
        <v>0.2895</v>
      </c>
      <c r="AN25" s="8" t="n">
        <v>26</v>
      </c>
      <c r="AO25" s="10" t="n">
        <f aca="false">IFERROR(AN25/AI25,"")</f>
        <v>0.787878787878788</v>
      </c>
      <c r="AP25" s="8" t="n">
        <v>335</v>
      </c>
      <c r="AQ25" s="7" t="n">
        <f aca="false">IFERROR(AP25/AI25,"")</f>
        <v>10.1515151515152</v>
      </c>
      <c r="AR25" s="6" t="n">
        <v>4.697</v>
      </c>
      <c r="AS25" s="7" t="n">
        <v>7.654</v>
      </c>
      <c r="AT25" s="7" t="n">
        <v>2.161</v>
      </c>
      <c r="AU25" s="7"/>
      <c r="AV25" s="7"/>
      <c r="AW25" s="7"/>
      <c r="AX25" s="10" t="n">
        <v>0</v>
      </c>
      <c r="AY25" s="8" t="n">
        <v>7</v>
      </c>
      <c r="AZ25" s="8" t="n">
        <v>3</v>
      </c>
      <c r="BA25" s="8" t="n">
        <v>1</v>
      </c>
      <c r="BB25" s="8" t="n">
        <v>1</v>
      </c>
      <c r="BC25" s="7" t="n">
        <v>1.79</v>
      </c>
      <c r="BD25" s="7" t="n">
        <f aca="false">IFERROR(BB25-BC25,"")</f>
        <v>-0.79</v>
      </c>
      <c r="BE25" s="9" t="n">
        <f aca="false">IFERROR(BB25/AH25,"")</f>
        <v>0.0294117647058824</v>
      </c>
      <c r="BF25" s="6" t="n">
        <v>38.6</v>
      </c>
      <c r="BG25" s="6" t="n">
        <v>37.5</v>
      </c>
      <c r="BH25" s="6" t="n">
        <v>44.5</v>
      </c>
      <c r="BI25" s="7" t="n">
        <v>2.839</v>
      </c>
      <c r="BJ25" s="10" t="n">
        <v>0.2101</v>
      </c>
      <c r="BK25" s="10" t="n">
        <v>0.586206896551724</v>
      </c>
      <c r="BL25" s="7" t="n">
        <v>2.199</v>
      </c>
      <c r="BM25" s="10" t="n">
        <v>0.2422</v>
      </c>
      <c r="BN25" s="10" t="n">
        <v>0.0727</v>
      </c>
      <c r="BO25" s="7" t="n">
        <v>2.29</v>
      </c>
      <c r="BP25" s="10" t="n">
        <v>0.672</v>
      </c>
      <c r="BQ25" s="8" t="n">
        <v>4</v>
      </c>
      <c r="BR25" s="10" t="n">
        <v>-0.0584</v>
      </c>
      <c r="BS25" s="10" t="n">
        <v>0.5279</v>
      </c>
      <c r="BT25" s="6" t="n">
        <v>55.41</v>
      </c>
      <c r="BU25" s="6" t="n">
        <v>41</v>
      </c>
      <c r="BV25" s="7" t="n">
        <v>2.82</v>
      </c>
      <c r="BW25" s="6" t="n">
        <v>20.4</v>
      </c>
      <c r="BX25" s="9" t="n">
        <v>-0.026</v>
      </c>
      <c r="BY25" s="9" t="n">
        <v>-0.0093</v>
      </c>
      <c r="BZ25" s="8" t="n">
        <v>209</v>
      </c>
      <c r="CA25" s="10" t="n">
        <v>0.452</v>
      </c>
      <c r="CB25" s="8" t="n">
        <v>28</v>
      </c>
      <c r="CC25" s="10" t="n">
        <v>0.065</v>
      </c>
      <c r="CD25" s="8" t="n">
        <v>32</v>
      </c>
      <c r="CE25" s="7" t="n">
        <v>-0.465</v>
      </c>
      <c r="CF25" s="7" t="n">
        <v>-0.334</v>
      </c>
      <c r="CG25" s="4" t="s">
        <v>121</v>
      </c>
      <c r="CH25" s="4"/>
    </row>
    <row r="26" customFormat="false" ht="15" hidden="false" customHeight="false" outlineLevel="0" collapsed="false">
      <c r="A26" s="3" t="n">
        <v>24</v>
      </c>
      <c r="B26" s="4" t="s">
        <v>518</v>
      </c>
      <c r="C26" s="12" t="s">
        <v>149</v>
      </c>
      <c r="D26" s="4" t="s">
        <v>519</v>
      </c>
      <c r="E26" s="4" t="s">
        <v>115</v>
      </c>
      <c r="F26" s="4" t="s">
        <v>149</v>
      </c>
      <c r="G26" s="3" t="n">
        <v>1</v>
      </c>
      <c r="H26" s="6" t="n">
        <v>24.3</v>
      </c>
      <c r="I26" s="3" t="n">
        <v>3</v>
      </c>
      <c r="J26" s="3" t="n">
        <v>11</v>
      </c>
      <c r="K26" s="7" t="n">
        <v>208.35</v>
      </c>
      <c r="L26" s="7" t="n">
        <v>25.25</v>
      </c>
      <c r="M26" s="8" t="n">
        <v>138</v>
      </c>
      <c r="N26" s="8" t="n">
        <v>261</v>
      </c>
      <c r="O26" s="7" t="n">
        <v>208.35</v>
      </c>
      <c r="P26" s="6" t="n">
        <v>24.1</v>
      </c>
      <c r="Q26" s="4" t="s">
        <v>115</v>
      </c>
      <c r="R26" s="8" t="n">
        <v>17</v>
      </c>
      <c r="S26" s="6" t="n">
        <v>147.3</v>
      </c>
      <c r="T26" s="7" t="n">
        <f aca="false">IFERROR(S26/R26,"")</f>
        <v>8.66470588235294</v>
      </c>
      <c r="U26" s="6" t="n">
        <v>121.3</v>
      </c>
      <c r="V26" s="6" t="n">
        <v>95.3</v>
      </c>
      <c r="W26" s="8" t="n">
        <v>14</v>
      </c>
      <c r="X26" s="7" t="n">
        <f aca="false">IFERROR(S26/AH26,"")</f>
        <v>1.88846153846154</v>
      </c>
      <c r="Y26" s="9" t="n">
        <f aca="false">IFERROR(S26/AF26,"")</f>
        <v>0.178113663845224</v>
      </c>
      <c r="Z26" s="6" t="n">
        <v>3.4</v>
      </c>
      <c r="AA26" s="6" t="n">
        <v>7.7</v>
      </c>
      <c r="AB26" s="6" t="n">
        <v>14.32</v>
      </c>
      <c r="AC26" s="10" t="n">
        <v>0.118</v>
      </c>
      <c r="AD26" s="10" t="n">
        <v>0.176</v>
      </c>
      <c r="AE26" s="7" t="n">
        <v>0.843</v>
      </c>
      <c r="AF26" s="8" t="n">
        <v>827</v>
      </c>
      <c r="AG26" s="10" t="n">
        <v>0.773</v>
      </c>
      <c r="AH26" s="8" t="n">
        <v>78</v>
      </c>
      <c r="AI26" s="8" t="n">
        <v>68</v>
      </c>
      <c r="AJ26" s="6" t="n">
        <f aca="false">IFERROR(AI26/R26,"")</f>
        <v>4</v>
      </c>
      <c r="AK26" s="10" t="n">
        <v>0.1495</v>
      </c>
      <c r="AL26" s="10" t="n">
        <v>0.081</v>
      </c>
      <c r="AM26" s="9" t="n">
        <v>0.281</v>
      </c>
      <c r="AN26" s="8" t="n">
        <v>52</v>
      </c>
      <c r="AO26" s="10" t="n">
        <f aca="false">IFERROR(AN26/AI26,"")</f>
        <v>0.764705882352941</v>
      </c>
      <c r="AP26" s="8" t="n">
        <v>519</v>
      </c>
      <c r="AQ26" s="7" t="n">
        <f aca="false">IFERROR(AP26/AI26,"")</f>
        <v>7.63235294117647</v>
      </c>
      <c r="AR26" s="6" t="n">
        <v>4.368</v>
      </c>
      <c r="AS26" s="7" t="n">
        <v>5.212</v>
      </c>
      <c r="AT26" s="7" t="n">
        <v>1.747</v>
      </c>
      <c r="AU26" s="7" t="n">
        <v>4.10358006488218</v>
      </c>
      <c r="AV26" s="7" t="n">
        <v>4.62185185185185</v>
      </c>
      <c r="AW26" s="7" t="n">
        <v>0.781411886688211</v>
      </c>
      <c r="AX26" s="10" t="n">
        <v>0.0294</v>
      </c>
      <c r="AY26" s="8" t="n">
        <v>16</v>
      </c>
      <c r="AZ26" s="8" t="n">
        <v>8</v>
      </c>
      <c r="BA26" s="8" t="n">
        <v>4</v>
      </c>
      <c r="BB26" s="8" t="n">
        <v>7</v>
      </c>
      <c r="BC26" s="7" t="n">
        <v>5.08</v>
      </c>
      <c r="BD26" s="7" t="n">
        <f aca="false">IFERROR(BB26-BC26,"")</f>
        <v>1.92</v>
      </c>
      <c r="BE26" s="9" t="n">
        <f aca="false">IFERROR(BB26/AH26,"")</f>
        <v>0.0897435897435897</v>
      </c>
      <c r="BF26" s="6" t="n">
        <v>49.9</v>
      </c>
      <c r="BG26" s="6" t="n">
        <v>39.3</v>
      </c>
      <c r="BH26" s="6" t="n">
        <v>60.5</v>
      </c>
      <c r="BI26" s="7" t="n">
        <v>2.758</v>
      </c>
      <c r="BJ26" s="10" t="n">
        <v>0.2121</v>
      </c>
      <c r="BK26" s="10" t="n">
        <v>0.612903225806452</v>
      </c>
      <c r="BL26" s="7" t="n">
        <v>2.477</v>
      </c>
      <c r="BM26" s="10" t="n">
        <v>0.2266</v>
      </c>
      <c r="BN26" s="10" t="n">
        <v>0.0535</v>
      </c>
      <c r="BO26" s="7" t="n">
        <v>2.4</v>
      </c>
      <c r="BP26" s="10" t="n">
        <v>0.942</v>
      </c>
      <c r="BQ26" s="8" t="n">
        <v>5</v>
      </c>
      <c r="BR26" s="10" t="n">
        <v>-0.0677</v>
      </c>
      <c r="BS26" s="10" t="n">
        <v>0.5204</v>
      </c>
      <c r="BT26" s="6" t="n">
        <v>58.65</v>
      </c>
      <c r="BU26" s="6" t="n">
        <v>39</v>
      </c>
      <c r="BV26" s="7" t="n">
        <v>3.53</v>
      </c>
      <c r="BW26" s="6" t="n">
        <v>28.4</v>
      </c>
      <c r="BX26" s="9" t="n">
        <v>-0.0491</v>
      </c>
      <c r="BY26" s="9" t="n">
        <v>0.1122</v>
      </c>
      <c r="BZ26" s="8" t="n">
        <v>39</v>
      </c>
      <c r="CA26" s="10" t="n">
        <v>0.086</v>
      </c>
      <c r="CB26" s="8" t="n">
        <v>221</v>
      </c>
      <c r="CC26" s="10" t="n">
        <v>0.436</v>
      </c>
      <c r="CD26" s="8" t="n">
        <v>37</v>
      </c>
      <c r="CE26" s="7" t="n">
        <v>0.272</v>
      </c>
      <c r="CF26" s="7" t="n">
        <v>0.008</v>
      </c>
      <c r="CG26" s="4" t="s">
        <v>102</v>
      </c>
      <c r="CH26" s="4"/>
    </row>
    <row r="27" customFormat="false" ht="15" hidden="false" customHeight="false" outlineLevel="0" collapsed="false">
      <c r="A27" s="3" t="n">
        <v>25</v>
      </c>
      <c r="B27" s="4" t="s">
        <v>530</v>
      </c>
      <c r="C27" s="12" t="s">
        <v>149</v>
      </c>
      <c r="D27" s="4" t="s">
        <v>531</v>
      </c>
      <c r="E27" s="4" t="s">
        <v>186</v>
      </c>
      <c r="F27" s="4" t="s">
        <v>149</v>
      </c>
      <c r="G27" s="3" t="n">
        <v>1</v>
      </c>
      <c r="H27" s="6" t="n">
        <v>21.5</v>
      </c>
      <c r="I27" s="3" t="n">
        <v>0</v>
      </c>
      <c r="J27" s="3" t="n">
        <v>13</v>
      </c>
      <c r="K27" s="7" t="n">
        <v>218.32</v>
      </c>
      <c r="L27" s="7" t="n">
        <v>37.7</v>
      </c>
      <c r="M27" s="8" t="n">
        <v>144</v>
      </c>
      <c r="N27" s="8" t="n">
        <v>392</v>
      </c>
      <c r="O27" s="7" t="n">
        <v>218.32</v>
      </c>
      <c r="P27" s="6" t="n">
        <v>57</v>
      </c>
      <c r="Q27" s="4"/>
      <c r="R27" s="8"/>
      <c r="S27" s="6"/>
      <c r="T27" s="7"/>
      <c r="U27" s="6"/>
      <c r="V27" s="6"/>
      <c r="W27" s="8"/>
      <c r="X27" s="7"/>
      <c r="Y27" s="9"/>
      <c r="Z27" s="6"/>
      <c r="AA27" s="6"/>
      <c r="AB27" s="6"/>
      <c r="AC27" s="10"/>
      <c r="AD27" s="10"/>
      <c r="AE27" s="7"/>
      <c r="AF27" s="8"/>
      <c r="AG27" s="10"/>
      <c r="AH27" s="8"/>
      <c r="AI27" s="8"/>
      <c r="AJ27" s="6"/>
      <c r="AK27" s="10"/>
      <c r="AL27" s="10"/>
      <c r="AM27" s="9"/>
      <c r="AN27" s="8"/>
      <c r="AO27" s="10"/>
      <c r="AP27" s="8"/>
      <c r="AQ27" s="7"/>
      <c r="AR27" s="6"/>
      <c r="AS27" s="7"/>
      <c r="AT27" s="7"/>
      <c r="AU27" s="7"/>
      <c r="AV27" s="7"/>
      <c r="AW27" s="7"/>
      <c r="AX27" s="10"/>
      <c r="AY27" s="8"/>
      <c r="AZ27" s="8"/>
      <c r="BA27" s="8"/>
      <c r="BB27" s="8"/>
      <c r="BC27" s="7"/>
      <c r="BD27" s="7"/>
      <c r="BE27" s="9"/>
      <c r="BF27" s="6" t="n">
        <v>38.6</v>
      </c>
      <c r="BG27" s="6" t="n">
        <v>56.3</v>
      </c>
      <c r="BH27" s="6" t="n">
        <v>25.8</v>
      </c>
      <c r="BI27" s="7" t="n">
        <v>2.892</v>
      </c>
      <c r="BJ27" s="10" t="n">
        <v>0.1813</v>
      </c>
      <c r="BK27" s="10" t="n">
        <v>0.739130434782609</v>
      </c>
      <c r="BL27" s="7" t="n">
        <v>2.899</v>
      </c>
      <c r="BM27" s="10" t="n">
        <v>0.3117</v>
      </c>
      <c r="BN27" s="10" t="n">
        <v>0.0989</v>
      </c>
      <c r="BO27" s="7" t="n">
        <v>2.423</v>
      </c>
      <c r="BP27" s="10" t="n">
        <v>0.808</v>
      </c>
      <c r="BQ27" s="8" t="n">
        <v>3</v>
      </c>
      <c r="BR27" s="10" t="n">
        <v>-0.0877</v>
      </c>
      <c r="BS27" s="10" t="n">
        <v>0.4319</v>
      </c>
      <c r="BT27" s="6" t="n">
        <v>59.35</v>
      </c>
      <c r="BU27" s="6" t="n">
        <v>38</v>
      </c>
      <c r="BV27" s="7" t="n">
        <v>2.47</v>
      </c>
      <c r="BW27" s="6" t="n">
        <v>17.6</v>
      </c>
      <c r="BX27" s="9" t="n">
        <v>-0.061</v>
      </c>
      <c r="BY27" s="9" t="n">
        <v>-0.1799</v>
      </c>
      <c r="BZ27" s="8" t="n">
        <v>76</v>
      </c>
      <c r="CA27" s="10" t="n">
        <v>0.161</v>
      </c>
      <c r="CB27" s="8" t="n">
        <v>117</v>
      </c>
      <c r="CC27" s="10" t="n">
        <v>0.257</v>
      </c>
      <c r="CD27" s="8" t="n">
        <v>27</v>
      </c>
      <c r="CE27" s="7"/>
      <c r="CF27" s="7"/>
      <c r="CG27" s="4"/>
      <c r="CH27" s="4" t="s">
        <v>206</v>
      </c>
    </row>
    <row r="28" customFormat="false" ht="15" hidden="false" customHeight="false" outlineLevel="0" collapsed="false">
      <c r="A28" s="3" t="n">
        <v>26</v>
      </c>
      <c r="B28" s="4" t="s">
        <v>542</v>
      </c>
      <c r="C28" s="12" t="s">
        <v>149</v>
      </c>
      <c r="D28" s="4" t="s">
        <v>543</v>
      </c>
      <c r="E28" s="4" t="s">
        <v>265</v>
      </c>
      <c r="F28" s="4" t="s">
        <v>149</v>
      </c>
      <c r="G28" s="3" t="n">
        <v>1</v>
      </c>
      <c r="H28" s="6" t="n">
        <v>23.9</v>
      </c>
      <c r="I28" s="3" t="n">
        <v>2</v>
      </c>
      <c r="J28" s="3" t="n">
        <v>9</v>
      </c>
      <c r="K28" s="7" t="n">
        <v>222.29</v>
      </c>
      <c r="L28" s="7" t="n">
        <v>26.71</v>
      </c>
      <c r="M28" s="8" t="n">
        <v>153</v>
      </c>
      <c r="N28" s="8" t="n">
        <v>290</v>
      </c>
      <c r="O28" s="7" t="n">
        <v>222.29</v>
      </c>
      <c r="P28" s="6" t="n">
        <v>14</v>
      </c>
      <c r="Q28" s="4" t="s">
        <v>265</v>
      </c>
      <c r="R28" s="8" t="n">
        <v>16</v>
      </c>
      <c r="S28" s="6" t="n">
        <v>91.7</v>
      </c>
      <c r="T28" s="7" t="n">
        <f aca="false">IFERROR(S28/R28,"")</f>
        <v>5.73125</v>
      </c>
      <c r="U28" s="6" t="n">
        <v>69.7</v>
      </c>
      <c r="V28" s="6" t="n">
        <v>47.7</v>
      </c>
      <c r="W28" s="8" t="n">
        <v>27</v>
      </c>
      <c r="X28" s="7" t="n">
        <f aca="false">IFERROR(S28/AH28,"")</f>
        <v>1.66727272727273</v>
      </c>
      <c r="Y28" s="9" t="n">
        <f aca="false">IFERROR(S28/AF28,"")</f>
        <v>0.172045028142589</v>
      </c>
      <c r="Z28" s="6" t="n">
        <v>2.58</v>
      </c>
      <c r="AA28" s="6" t="n">
        <v>4.6</v>
      </c>
      <c r="AB28" s="6" t="n">
        <v>9.8</v>
      </c>
      <c r="AC28" s="10" t="n">
        <v>0</v>
      </c>
      <c r="AD28" s="10" t="n">
        <v>0.125</v>
      </c>
      <c r="AE28" s="7" t="n">
        <v>0.867</v>
      </c>
      <c r="AF28" s="8" t="n">
        <v>533</v>
      </c>
      <c r="AG28" s="10" t="n">
        <v>0.526</v>
      </c>
      <c r="AH28" s="8" t="n">
        <v>55</v>
      </c>
      <c r="AI28" s="8" t="n">
        <v>55</v>
      </c>
      <c r="AJ28" s="6" t="n">
        <f aca="false">IFERROR(AI28/R28,"")</f>
        <v>3.4375</v>
      </c>
      <c r="AK28" s="10" t="n">
        <v>0.1107</v>
      </c>
      <c r="AL28" s="10" t="n">
        <v>0.0798</v>
      </c>
      <c r="AM28" s="9" t="n">
        <v>0.2219</v>
      </c>
      <c r="AN28" s="8" t="n">
        <v>44</v>
      </c>
      <c r="AO28" s="10" t="n">
        <f aca="false">IFERROR(AN28/AI28,"")</f>
        <v>0.8</v>
      </c>
      <c r="AP28" s="8" t="n">
        <v>357</v>
      </c>
      <c r="AQ28" s="7" t="n">
        <f aca="false">IFERROR(AP28/AI28,"")</f>
        <v>6.49090909090909</v>
      </c>
      <c r="AR28" s="6" t="n">
        <v>5.509</v>
      </c>
      <c r="AS28" s="7" t="n">
        <v>3.614</v>
      </c>
      <c r="AT28" s="7" t="n">
        <v>1.178</v>
      </c>
      <c r="AU28" s="7" t="n">
        <v>3.52239567631081</v>
      </c>
      <c r="AV28" s="7" t="n">
        <v>4.87368421052632</v>
      </c>
      <c r="AW28" s="7" t="n">
        <v>-0.813668106756964</v>
      </c>
      <c r="AX28" s="10" t="n">
        <v>0.0364</v>
      </c>
      <c r="AY28" s="8" t="n">
        <v>8</v>
      </c>
      <c r="AZ28" s="8" t="n">
        <v>3</v>
      </c>
      <c r="BA28" s="8" t="n">
        <v>1</v>
      </c>
      <c r="BB28" s="8" t="n">
        <v>2</v>
      </c>
      <c r="BC28" s="7" t="n">
        <v>2.67</v>
      </c>
      <c r="BD28" s="7" t="n">
        <f aca="false">IFERROR(BB28-BC28,"")</f>
        <v>-0.67</v>
      </c>
      <c r="BE28" s="9" t="n">
        <f aca="false">IFERROR(BB28/AH28,"")</f>
        <v>0.0363636363636364</v>
      </c>
      <c r="BF28" s="6" t="n">
        <v>41.1</v>
      </c>
      <c r="BG28" s="6" t="n">
        <v>58.4</v>
      </c>
      <c r="BH28" s="6" t="n">
        <v>27.6</v>
      </c>
      <c r="BI28" s="7" t="n">
        <v>3.085</v>
      </c>
      <c r="BJ28" s="10" t="n">
        <v>0.1549</v>
      </c>
      <c r="BK28" s="10" t="n">
        <v>0.666666666666667</v>
      </c>
      <c r="BL28" s="7" t="n">
        <v>2.54</v>
      </c>
      <c r="BM28" s="10" t="n">
        <v>0.3175</v>
      </c>
      <c r="BN28" s="10" t="n">
        <v>0.0872</v>
      </c>
      <c r="BO28" s="7" t="n">
        <v>2.389</v>
      </c>
      <c r="BP28" s="10" t="n">
        <v>0.527</v>
      </c>
      <c r="BQ28" s="8" t="n">
        <v>3</v>
      </c>
      <c r="BR28" s="10" t="n">
        <v>-0.0385</v>
      </c>
      <c r="BS28" s="10" t="n">
        <v>0.5401</v>
      </c>
      <c r="BT28" s="6" t="n">
        <v>58.53</v>
      </c>
      <c r="BU28" s="6" t="n">
        <v>40</v>
      </c>
      <c r="BV28" s="7" t="n">
        <v>2.06</v>
      </c>
      <c r="BW28" s="6" t="n">
        <v>16.7</v>
      </c>
      <c r="BX28" s="9" t="n">
        <v>-0.0573</v>
      </c>
      <c r="BY28" s="9" t="n">
        <v>-0.2208</v>
      </c>
      <c r="BZ28" s="8" t="n">
        <v>152</v>
      </c>
      <c r="CA28" s="10" t="n">
        <v>0.287</v>
      </c>
      <c r="CB28" s="8" t="n">
        <v>0</v>
      </c>
      <c r="CC28" s="10" t="n">
        <v>0</v>
      </c>
      <c r="CD28" s="8" t="n">
        <v>8</v>
      </c>
      <c r="CE28" s="7" t="n">
        <v>-0.227</v>
      </c>
      <c r="CF28" s="7" t="n">
        <v>-0.359</v>
      </c>
      <c r="CG28" s="4" t="s">
        <v>102</v>
      </c>
      <c r="CH28" s="4"/>
    </row>
    <row r="29" customFormat="false" ht="15" hidden="false" customHeight="false" outlineLevel="0" collapsed="false">
      <c r="A29" s="3" t="n">
        <v>27</v>
      </c>
      <c r="B29" s="4" t="s">
        <v>556</v>
      </c>
      <c r="C29" s="12" t="s">
        <v>149</v>
      </c>
      <c r="D29" s="4" t="s">
        <v>557</v>
      </c>
      <c r="E29" s="4" t="s">
        <v>109</v>
      </c>
      <c r="F29" s="4" t="s">
        <v>149</v>
      </c>
      <c r="G29" s="3" t="n">
        <v>3</v>
      </c>
      <c r="H29" s="6" t="n">
        <v>23.4</v>
      </c>
      <c r="I29" s="3" t="n">
        <v>2</v>
      </c>
      <c r="J29" s="3" t="n">
        <v>11</v>
      </c>
      <c r="K29" s="7" t="n">
        <v>235.18</v>
      </c>
      <c r="L29" s="7" t="n">
        <v>24.88</v>
      </c>
      <c r="M29" s="8" t="n">
        <v>173</v>
      </c>
      <c r="N29" s="8" t="n">
        <v>290</v>
      </c>
      <c r="O29" s="7" t="n">
        <v>235.18</v>
      </c>
      <c r="P29" s="6" t="n">
        <v>18.5</v>
      </c>
      <c r="Q29" s="4" t="s">
        <v>109</v>
      </c>
      <c r="R29" s="8" t="n">
        <v>11</v>
      </c>
      <c r="S29" s="6" t="n">
        <v>52.1</v>
      </c>
      <c r="T29" s="7" t="n">
        <f aca="false">IFERROR(S29/R29,"")</f>
        <v>4.73636363636364</v>
      </c>
      <c r="U29" s="6" t="n">
        <v>46.6</v>
      </c>
      <c r="V29" s="6" t="n">
        <v>41.1</v>
      </c>
      <c r="W29" s="8" t="n">
        <v>32</v>
      </c>
      <c r="X29" s="7" t="n">
        <f aca="false">IFERROR(S29/AH29,"")</f>
        <v>2.00384615384615</v>
      </c>
      <c r="Y29" s="9" t="n">
        <f aca="false">IFERROR(S29/AF29,"")</f>
        <v>0.146348314606742</v>
      </c>
      <c r="Z29" s="6" t="n">
        <v>0</v>
      </c>
      <c r="AA29" s="6" t="n">
        <v>3.1</v>
      </c>
      <c r="AB29" s="6" t="n">
        <v>11.2</v>
      </c>
      <c r="AC29" s="10" t="n">
        <v>0</v>
      </c>
      <c r="AD29" s="10" t="n">
        <v>0.455</v>
      </c>
      <c r="AE29" s="7" t="n">
        <v>1.678</v>
      </c>
      <c r="AF29" s="8" t="n">
        <v>356</v>
      </c>
      <c r="AG29" s="10" t="n">
        <v>0.367</v>
      </c>
      <c r="AH29" s="8" t="n">
        <v>26</v>
      </c>
      <c r="AI29" s="8" t="n">
        <v>25</v>
      </c>
      <c r="AJ29" s="6" t="n">
        <f aca="false">IFERROR(AI29/R29,"")</f>
        <v>2.27272727272727</v>
      </c>
      <c r="AK29" s="10" t="n">
        <v>0.0651</v>
      </c>
      <c r="AL29" s="10" t="n">
        <v>0.1215</v>
      </c>
      <c r="AM29" s="9" t="n">
        <v>0.1827</v>
      </c>
      <c r="AN29" s="8" t="n">
        <v>11</v>
      </c>
      <c r="AO29" s="10" t="n">
        <f aca="false">IFERROR(AN29/AI29,"")</f>
        <v>0.44</v>
      </c>
      <c r="AP29" s="8" t="n">
        <v>231</v>
      </c>
      <c r="AQ29" s="7" t="n">
        <f aca="false">IFERROR(AP29/AI29,"")</f>
        <v>9.24</v>
      </c>
      <c r="AR29" s="6" t="n">
        <v>18.64</v>
      </c>
      <c r="AS29" s="7" t="n">
        <v>3.636</v>
      </c>
      <c r="AT29" s="7" t="n">
        <v>0.496</v>
      </c>
      <c r="AU29" s="7"/>
      <c r="AV29" s="7"/>
      <c r="AW29" s="7"/>
      <c r="AX29" s="10" t="n">
        <v>0</v>
      </c>
      <c r="AY29" s="8" t="n">
        <v>4</v>
      </c>
      <c r="AZ29" s="8" t="n">
        <v>3</v>
      </c>
      <c r="BA29" s="8" t="n">
        <v>1</v>
      </c>
      <c r="BB29" s="8" t="n">
        <v>3</v>
      </c>
      <c r="BC29" s="7" t="n">
        <v>1.48</v>
      </c>
      <c r="BD29" s="7" t="n">
        <f aca="false">IFERROR(BB29-BC29,"")</f>
        <v>1.52</v>
      </c>
      <c r="BE29" s="9" t="n">
        <f aca="false">IFERROR(BB29/AH29,"")</f>
        <v>0.115384615384615</v>
      </c>
      <c r="BF29" s="6" t="n">
        <v>80.4</v>
      </c>
      <c r="BG29" s="6" t="n">
        <v>76.4</v>
      </c>
      <c r="BH29" s="6" t="n">
        <v>71.5</v>
      </c>
      <c r="BI29" s="7" t="n">
        <v>3.462</v>
      </c>
      <c r="BJ29" s="10" t="n">
        <v>0.1266</v>
      </c>
      <c r="BK29" s="10" t="n">
        <v>0.638297872340426</v>
      </c>
      <c r="BL29" s="7" t="n">
        <v>2.811</v>
      </c>
      <c r="BM29" s="10" t="n">
        <v>0.194</v>
      </c>
      <c r="BN29" s="10" t="n">
        <v>0.0424</v>
      </c>
      <c r="BO29" s="7" t="n">
        <v>2.396</v>
      </c>
      <c r="BP29" s="10" t="n">
        <v>0.904</v>
      </c>
      <c r="BQ29" s="8" t="n">
        <v>5</v>
      </c>
      <c r="BR29" s="10" t="n">
        <v>0.0296</v>
      </c>
      <c r="BS29" s="10" t="n">
        <v>0.6185</v>
      </c>
      <c r="BT29" s="6" t="n">
        <v>62.12</v>
      </c>
      <c r="BU29" s="6" t="n">
        <v>37</v>
      </c>
      <c r="BV29" s="7" t="n">
        <v>4.47</v>
      </c>
      <c r="BW29" s="6" t="n">
        <v>30.5</v>
      </c>
      <c r="BX29" s="9" t="n">
        <v>0.0262</v>
      </c>
      <c r="BY29" s="9" t="n">
        <v>0.2292</v>
      </c>
      <c r="BZ29" s="8" t="n">
        <v>15</v>
      </c>
      <c r="CA29" s="10" t="n">
        <v>0.026</v>
      </c>
      <c r="CB29" s="8" t="n">
        <v>0</v>
      </c>
      <c r="CC29" s="10" t="n">
        <v>0</v>
      </c>
      <c r="CD29" s="8" t="n">
        <v>1</v>
      </c>
      <c r="CE29" s="7" t="n">
        <v>-0.411</v>
      </c>
      <c r="CF29" s="7" t="n">
        <v>-0.411</v>
      </c>
      <c r="CG29" s="4" t="s">
        <v>121</v>
      </c>
      <c r="CH29" s="4"/>
    </row>
    <row r="30" customFormat="false" ht="15" hidden="false" customHeight="false" outlineLevel="0" collapsed="false">
      <c r="A30" s="3" t="n">
        <v>28</v>
      </c>
      <c r="B30" s="4" t="s">
        <v>560</v>
      </c>
      <c r="C30" s="12" t="s">
        <v>149</v>
      </c>
      <c r="D30" s="4" t="s">
        <v>561</v>
      </c>
      <c r="E30" s="4" t="s">
        <v>284</v>
      </c>
      <c r="F30" s="4" t="s">
        <v>149</v>
      </c>
      <c r="G30" s="3" t="n">
        <v>1</v>
      </c>
      <c r="H30" s="6" t="n">
        <v>27.8</v>
      </c>
      <c r="I30" s="3" t="n">
        <v>6</v>
      </c>
      <c r="J30" s="3" t="n">
        <v>9</v>
      </c>
      <c r="K30" s="7" t="n">
        <v>236.54</v>
      </c>
      <c r="L30" s="7" t="n">
        <v>30.48</v>
      </c>
      <c r="M30" s="8" t="n">
        <v>131</v>
      </c>
      <c r="N30" s="8" t="n">
        <v>332</v>
      </c>
      <c r="O30" s="7" t="n">
        <v>236.54</v>
      </c>
      <c r="P30" s="6" t="n">
        <v>14.1</v>
      </c>
      <c r="Q30" s="4" t="s">
        <v>284</v>
      </c>
      <c r="R30" s="8" t="n">
        <v>15</v>
      </c>
      <c r="S30" s="6" t="n">
        <v>113.6</v>
      </c>
      <c r="T30" s="7" t="n">
        <f aca="false">IFERROR(S30/R30,"")</f>
        <v>7.57333333333333</v>
      </c>
      <c r="U30" s="6" t="n">
        <v>93.1</v>
      </c>
      <c r="V30" s="6" t="n">
        <v>72.6</v>
      </c>
      <c r="W30" s="8" t="n">
        <v>23</v>
      </c>
      <c r="X30" s="7" t="n">
        <f aca="false">IFERROR(S30/AH30,"")</f>
        <v>2.1037037037037</v>
      </c>
      <c r="Y30" s="9" t="n">
        <f aca="false">IFERROR(S30/AF30,"")</f>
        <v>0.217624521072797</v>
      </c>
      <c r="Z30" s="6" t="n">
        <v>3.6</v>
      </c>
      <c r="AA30" s="6" t="n">
        <v>6.1</v>
      </c>
      <c r="AB30" s="6" t="n">
        <v>10.74</v>
      </c>
      <c r="AC30" s="10" t="n">
        <v>0.067</v>
      </c>
      <c r="AD30" s="10" t="n">
        <v>0.067</v>
      </c>
      <c r="AE30" s="7" t="n">
        <v>1.057</v>
      </c>
      <c r="AF30" s="8" t="n">
        <v>522</v>
      </c>
      <c r="AG30" s="10" t="n">
        <v>0.504</v>
      </c>
      <c r="AH30" s="8" t="n">
        <v>54</v>
      </c>
      <c r="AI30" s="8" t="n">
        <v>54</v>
      </c>
      <c r="AJ30" s="6" t="n">
        <f aca="false">IFERROR(AI30/R30,"")</f>
        <v>3.6</v>
      </c>
      <c r="AK30" s="10" t="n">
        <v>0.113</v>
      </c>
      <c r="AL30" s="10" t="n">
        <v>0.1088</v>
      </c>
      <c r="AM30" s="9" t="n">
        <v>0.2457</v>
      </c>
      <c r="AN30" s="8" t="n">
        <v>41</v>
      </c>
      <c r="AO30" s="10" t="n">
        <f aca="false">IFERROR(AN30/AI30,"")</f>
        <v>0.759259259259259</v>
      </c>
      <c r="AP30" s="8" t="n">
        <v>486</v>
      </c>
      <c r="AQ30" s="7" t="n">
        <f aca="false">IFERROR(AP30/AI30,"")</f>
        <v>9</v>
      </c>
      <c r="AR30" s="6" t="n">
        <v>5.981</v>
      </c>
      <c r="AS30" s="7" t="n">
        <v>6.22</v>
      </c>
      <c r="AT30" s="7" t="n">
        <v>1.505</v>
      </c>
      <c r="AU30" s="7" t="n">
        <v>3.18591447513813</v>
      </c>
      <c r="AV30" s="7" t="n">
        <v>5.44577777777778</v>
      </c>
      <c r="AW30" s="7" t="n">
        <v>2.36043236544098</v>
      </c>
      <c r="AX30" s="10" t="n">
        <v>0</v>
      </c>
      <c r="AY30" s="8" t="n">
        <v>9</v>
      </c>
      <c r="AZ30" s="8" t="n">
        <v>4</v>
      </c>
      <c r="BA30" s="8" t="n">
        <v>2</v>
      </c>
      <c r="BB30" s="8" t="n">
        <v>4</v>
      </c>
      <c r="BC30" s="7" t="n">
        <v>2.77</v>
      </c>
      <c r="BD30" s="7" t="n">
        <f aca="false">IFERROR(BB30-BC30,"")</f>
        <v>1.23</v>
      </c>
      <c r="BE30" s="9" t="n">
        <f aca="false">IFERROR(BB30/AH30,"")</f>
        <v>0.0740740740740741</v>
      </c>
      <c r="BF30" s="6" t="n">
        <v>57.4</v>
      </c>
      <c r="BG30" s="6" t="n">
        <v>46.5</v>
      </c>
      <c r="BH30" s="6" t="n">
        <v>65.1</v>
      </c>
      <c r="BI30" s="7" t="n">
        <v>2.87</v>
      </c>
      <c r="BJ30" s="10" t="n">
        <v>0.172</v>
      </c>
      <c r="BK30" s="10" t="n">
        <v>0.68</v>
      </c>
      <c r="BL30" s="7" t="n">
        <v>2.285</v>
      </c>
      <c r="BM30" s="10" t="n">
        <v>0.1636</v>
      </c>
      <c r="BN30" s="10" t="n">
        <v>0.0526</v>
      </c>
      <c r="BO30" s="7" t="n">
        <v>2.209</v>
      </c>
      <c r="BP30" s="10" t="n">
        <v>0.824</v>
      </c>
      <c r="BQ30" s="8" t="n">
        <v>5</v>
      </c>
      <c r="BR30" s="10" t="n">
        <v>-0.007</v>
      </c>
      <c r="BS30" s="10" t="n">
        <v>0.5795</v>
      </c>
      <c r="BT30" s="6" t="n">
        <v>57.35</v>
      </c>
      <c r="BU30" s="6" t="n">
        <v>40</v>
      </c>
      <c r="BV30" s="7" t="n">
        <v>3</v>
      </c>
      <c r="BW30" s="6" t="n">
        <v>23.4</v>
      </c>
      <c r="BX30" s="9" t="n">
        <v>0.0188</v>
      </c>
      <c r="BY30" s="9" t="n">
        <v>0.0312</v>
      </c>
      <c r="BZ30" s="8" t="n">
        <v>179</v>
      </c>
      <c r="CA30" s="10" t="n">
        <v>0.343</v>
      </c>
      <c r="CB30" s="8" t="n">
        <v>129</v>
      </c>
      <c r="CC30" s="10" t="n">
        <v>0.317</v>
      </c>
      <c r="CD30" s="8" t="n">
        <v>59</v>
      </c>
      <c r="CE30" s="7" t="n">
        <v>0.019</v>
      </c>
      <c r="CF30" s="7" t="n">
        <v>-0.025</v>
      </c>
      <c r="CG30" s="4" t="s">
        <v>102</v>
      </c>
      <c r="CH30" s="4"/>
    </row>
    <row r="31" customFormat="false" ht="15" hidden="false" customHeight="false" outlineLevel="0" collapsed="false">
      <c r="A31" s="3" t="n">
        <v>29</v>
      </c>
      <c r="B31" s="4" t="s">
        <v>566</v>
      </c>
      <c r="C31" s="12" t="s">
        <v>149</v>
      </c>
      <c r="D31" s="4" t="s">
        <v>567</v>
      </c>
      <c r="E31" s="4" t="s">
        <v>198</v>
      </c>
      <c r="F31" s="4" t="s">
        <v>149</v>
      </c>
      <c r="G31" s="3" t="n">
        <v>1</v>
      </c>
      <c r="H31" s="6" t="n">
        <v>27.3</v>
      </c>
      <c r="I31" s="3" t="n">
        <v>5</v>
      </c>
      <c r="J31" s="3" t="n">
        <v>10</v>
      </c>
      <c r="K31" s="7" t="n">
        <v>242.56</v>
      </c>
      <c r="L31" s="7" t="n">
        <v>21.79</v>
      </c>
      <c r="M31" s="8" t="n">
        <v>158</v>
      </c>
      <c r="N31" s="8" t="n">
        <v>290</v>
      </c>
      <c r="O31" s="7" t="n">
        <v>242.56</v>
      </c>
      <c r="P31" s="6" t="n">
        <v>15.3</v>
      </c>
      <c r="Q31" s="4" t="s">
        <v>198</v>
      </c>
      <c r="R31" s="8" t="n">
        <v>15</v>
      </c>
      <c r="S31" s="6" t="n">
        <v>122.2</v>
      </c>
      <c r="T31" s="7" t="n">
        <f aca="false">IFERROR(S31/R31,"")</f>
        <v>8.14666666666667</v>
      </c>
      <c r="U31" s="6" t="n">
        <v>92.7</v>
      </c>
      <c r="V31" s="6" t="n">
        <v>63.2</v>
      </c>
      <c r="W31" s="8" t="n">
        <v>20</v>
      </c>
      <c r="X31" s="7" t="n">
        <f aca="false">IFERROR(S31/AH31,"")</f>
        <v>1.50864197530864</v>
      </c>
      <c r="Y31" s="9" t="n">
        <f aca="false">IFERROR(S31/AF31,"")</f>
        <v>0.123061430010071</v>
      </c>
      <c r="Z31" s="6" t="n">
        <v>4.35</v>
      </c>
      <c r="AA31" s="6" t="n">
        <v>6.1</v>
      </c>
      <c r="AB31" s="6" t="n">
        <v>13.36</v>
      </c>
      <c r="AC31" s="10" t="n">
        <v>0.133</v>
      </c>
      <c r="AD31" s="10" t="n">
        <v>0.067</v>
      </c>
      <c r="AE31" s="7" t="n">
        <v>0.98</v>
      </c>
      <c r="AF31" s="8" t="n">
        <v>993</v>
      </c>
      <c r="AG31" s="10" t="n">
        <v>0.935</v>
      </c>
      <c r="AH31" s="8" t="n">
        <v>81</v>
      </c>
      <c r="AI31" s="8" t="n">
        <v>81</v>
      </c>
      <c r="AJ31" s="6" t="n">
        <f aca="false">IFERROR(AI31/R31,"")</f>
        <v>5.4</v>
      </c>
      <c r="AK31" s="10" t="n">
        <v>0.1688</v>
      </c>
      <c r="AL31" s="10" t="n">
        <v>0.1121</v>
      </c>
      <c r="AM31" s="9" t="n">
        <v>0.3317</v>
      </c>
      <c r="AN31" s="8" t="n">
        <v>59</v>
      </c>
      <c r="AO31" s="10" t="n">
        <f aca="false">IFERROR(AN31/AI31,"")</f>
        <v>0.728395061728395</v>
      </c>
      <c r="AP31" s="8" t="n">
        <v>572</v>
      </c>
      <c r="AQ31" s="7" t="n">
        <f aca="false">IFERROR(AP31/AI31,"")</f>
        <v>7.06172839506173</v>
      </c>
      <c r="AR31" s="6" t="n">
        <v>5.173</v>
      </c>
      <c r="AS31" s="7" t="n">
        <v>5.237</v>
      </c>
      <c r="AT31" s="7" t="n">
        <v>1.365</v>
      </c>
      <c r="AU31" s="7" t="n">
        <v>3.50057388828325</v>
      </c>
      <c r="AV31" s="7" t="n">
        <v>5.56191176470588</v>
      </c>
      <c r="AW31" s="7" t="n">
        <v>0.732540436512259</v>
      </c>
      <c r="AX31" s="10" t="n">
        <v>0.0123</v>
      </c>
      <c r="AY31" s="8" t="n">
        <v>6</v>
      </c>
      <c r="AZ31" s="8" t="n">
        <v>2</v>
      </c>
      <c r="BA31" s="8" t="n">
        <v>0</v>
      </c>
      <c r="BB31" s="8" t="n">
        <v>1</v>
      </c>
      <c r="BC31" s="7" t="n">
        <v>2.36</v>
      </c>
      <c r="BD31" s="7" t="n">
        <f aca="false">IFERROR(BB31-BC31,"")</f>
        <v>-1.36</v>
      </c>
      <c r="BE31" s="9" t="n">
        <f aca="false">IFERROR(BB31/AH31,"")</f>
        <v>0.0123456790123457</v>
      </c>
      <c r="BF31" s="6" t="n">
        <v>57.4</v>
      </c>
      <c r="BG31" s="6" t="n">
        <v>46.3</v>
      </c>
      <c r="BH31" s="6" t="n">
        <v>65.4</v>
      </c>
      <c r="BI31" s="7" t="n">
        <v>2.736</v>
      </c>
      <c r="BJ31" s="10" t="n">
        <v>0.1938</v>
      </c>
      <c r="BK31" s="10" t="n">
        <v>0.708333333333333</v>
      </c>
      <c r="BL31" s="7" t="n">
        <v>2.699</v>
      </c>
      <c r="BM31" s="10" t="n">
        <v>0.172</v>
      </c>
      <c r="BN31" s="10" t="n">
        <v>0.0571</v>
      </c>
      <c r="BO31" s="7" t="n">
        <v>2.292</v>
      </c>
      <c r="BP31" s="10" t="n">
        <v>0.791</v>
      </c>
      <c r="BQ31" s="8" t="n">
        <v>4</v>
      </c>
      <c r="BR31" s="10" t="n">
        <v>-0.0347</v>
      </c>
      <c r="BS31" s="10" t="n">
        <v>0.5148</v>
      </c>
      <c r="BT31" s="6" t="n">
        <v>62.65</v>
      </c>
      <c r="BU31" s="6" t="n">
        <v>41</v>
      </c>
      <c r="BV31" s="7" t="n">
        <v>3.12</v>
      </c>
      <c r="BW31" s="6" t="n">
        <v>22.4</v>
      </c>
      <c r="BX31" s="9" t="n">
        <v>0.0138</v>
      </c>
      <c r="BY31" s="9" t="n">
        <v>-0.0264</v>
      </c>
      <c r="BZ31" s="8" t="n">
        <v>111</v>
      </c>
      <c r="CA31" s="10" t="n">
        <v>0.205</v>
      </c>
      <c r="CB31" s="8" t="n">
        <v>138</v>
      </c>
      <c r="CC31" s="10" t="n">
        <v>0.292</v>
      </c>
      <c r="CD31" s="8" t="n">
        <v>38</v>
      </c>
      <c r="CE31" s="7" t="n">
        <v>0.186</v>
      </c>
      <c r="CF31" s="7" t="n">
        <v>0.142</v>
      </c>
      <c r="CG31" s="4" t="s">
        <v>102</v>
      </c>
      <c r="CH31" s="4"/>
    </row>
    <row r="32" customFormat="false" ht="15" hidden="false" customHeight="false" outlineLevel="0" collapsed="false">
      <c r="A32" s="3" t="n">
        <v>30</v>
      </c>
      <c r="B32" s="4" t="s">
        <v>578</v>
      </c>
      <c r="C32" s="12" t="s">
        <v>149</v>
      </c>
      <c r="D32" s="4" t="s">
        <v>579</v>
      </c>
      <c r="E32" s="4" t="s">
        <v>170</v>
      </c>
      <c r="F32" s="4" t="s">
        <v>149</v>
      </c>
      <c r="G32" s="3" t="n">
        <v>2</v>
      </c>
      <c r="H32" s="6" t="n">
        <v>30.1</v>
      </c>
      <c r="I32" s="3" t="n">
        <v>12</v>
      </c>
      <c r="J32" s="3" t="n">
        <v>7</v>
      </c>
      <c r="K32" s="7" t="n">
        <v>248.9</v>
      </c>
      <c r="L32" s="7" t="n">
        <v>21.8</v>
      </c>
      <c r="M32" s="8" t="n">
        <v>173</v>
      </c>
      <c r="N32" s="8" t="n">
        <v>299</v>
      </c>
      <c r="O32" s="7" t="n">
        <v>248.9</v>
      </c>
      <c r="P32" s="6" t="n">
        <v>15.5</v>
      </c>
      <c r="Q32" s="4" t="s">
        <v>258</v>
      </c>
      <c r="R32" s="8" t="n">
        <v>11</v>
      </c>
      <c r="S32" s="6" t="n">
        <v>86.3</v>
      </c>
      <c r="T32" s="7" t="n">
        <f aca="false">IFERROR(S32/R32,"")</f>
        <v>7.84545454545455</v>
      </c>
      <c r="U32" s="6" t="n">
        <v>69.8</v>
      </c>
      <c r="V32" s="6" t="n">
        <v>53.3</v>
      </c>
      <c r="W32" s="8" t="n">
        <v>28</v>
      </c>
      <c r="X32" s="7" t="n">
        <f aca="false">IFERROR(S32/AH32,"")</f>
        <v>1.79791666666667</v>
      </c>
      <c r="Y32" s="9" t="n">
        <f aca="false">IFERROR(S32/AF32,"")</f>
        <v>0.167898832684825</v>
      </c>
      <c r="Z32" s="6" t="n">
        <v>4.45</v>
      </c>
      <c r="AA32" s="6" t="n">
        <v>7.1</v>
      </c>
      <c r="AB32" s="6" t="n">
        <v>11.9</v>
      </c>
      <c r="AC32" s="10" t="n">
        <v>0</v>
      </c>
      <c r="AD32" s="10" t="n">
        <v>0.091</v>
      </c>
      <c r="AE32" s="7" t="n">
        <v>0.711</v>
      </c>
      <c r="AF32" s="8" t="n">
        <v>514</v>
      </c>
      <c r="AG32" s="10" t="n">
        <v>0.639</v>
      </c>
      <c r="AH32" s="8" t="n">
        <v>48</v>
      </c>
      <c r="AI32" s="8" t="n">
        <v>48</v>
      </c>
      <c r="AJ32" s="6" t="n">
        <f aca="false">IFERROR(AI32/R32,"")</f>
        <v>4.36363636363636</v>
      </c>
      <c r="AK32" s="10" t="n">
        <v>0.125</v>
      </c>
      <c r="AL32" s="10" t="n">
        <v>0.0962</v>
      </c>
      <c r="AM32" s="9" t="n">
        <v>0.2548</v>
      </c>
      <c r="AN32" s="8" t="n">
        <v>33</v>
      </c>
      <c r="AO32" s="10" t="n">
        <f aca="false">IFERROR(AN32/AI32,"")</f>
        <v>0.6875</v>
      </c>
      <c r="AP32" s="8" t="n">
        <v>293</v>
      </c>
      <c r="AQ32" s="7" t="n">
        <f aca="false">IFERROR(AP32/AI32,"")</f>
        <v>6.10416666666667</v>
      </c>
      <c r="AR32" s="6" t="n">
        <v>5.271</v>
      </c>
      <c r="AS32" s="7" t="n">
        <v>4.848</v>
      </c>
      <c r="AT32" s="7" t="n">
        <v>1.158</v>
      </c>
      <c r="AU32" s="7" t="n">
        <v>2.66460427128804</v>
      </c>
      <c r="AV32" s="7" t="n">
        <v>5.68121212121212</v>
      </c>
      <c r="AW32" s="7" t="n">
        <v>0.79688818545724</v>
      </c>
      <c r="AX32" s="10" t="n">
        <v>0.0208</v>
      </c>
      <c r="AY32" s="8" t="n">
        <v>9</v>
      </c>
      <c r="AZ32" s="8" t="n">
        <v>3</v>
      </c>
      <c r="BA32" s="8" t="n">
        <v>1</v>
      </c>
      <c r="BB32" s="8" t="n">
        <v>4</v>
      </c>
      <c r="BC32" s="7" t="n">
        <v>2.59</v>
      </c>
      <c r="BD32" s="7" t="n">
        <f aca="false">IFERROR(BB32-BC32,"")</f>
        <v>1.41</v>
      </c>
      <c r="BE32" s="9" t="n">
        <f aca="false">IFERROR(BB32/AH32,"")</f>
        <v>0.0833333333333333</v>
      </c>
      <c r="BF32" s="6" t="n">
        <v>26.9</v>
      </c>
      <c r="BG32" s="6" t="n">
        <v>40.7</v>
      </c>
      <c r="BH32" s="6" t="n">
        <v>23</v>
      </c>
      <c r="BI32" s="7" t="n">
        <v>2.77</v>
      </c>
      <c r="BJ32" s="10" t="n">
        <v>0.2195</v>
      </c>
      <c r="BK32" s="10" t="n">
        <v>0.611111111111111</v>
      </c>
      <c r="BL32" s="7" t="n">
        <v>2.614</v>
      </c>
      <c r="BM32" s="10" t="n">
        <v>0.3427</v>
      </c>
      <c r="BN32" s="10" t="n">
        <v>0.0832</v>
      </c>
      <c r="BO32" s="7" t="n">
        <v>2.37</v>
      </c>
      <c r="BP32" s="10" t="n">
        <v>0.205</v>
      </c>
      <c r="BQ32" s="8" t="n">
        <v>1</v>
      </c>
      <c r="BR32" s="10" t="n">
        <v>0.0064</v>
      </c>
      <c r="BS32" s="10" t="n">
        <v>0.579</v>
      </c>
      <c r="BT32" s="6" t="n">
        <v>63.53</v>
      </c>
      <c r="BU32" s="6" t="n">
        <v>39</v>
      </c>
      <c r="BV32" s="7" t="n">
        <v>3.47</v>
      </c>
      <c r="BW32" s="6" t="n">
        <v>21.6</v>
      </c>
      <c r="BX32" s="9" t="n">
        <v>0.0187</v>
      </c>
      <c r="BY32" s="9" t="n">
        <v>-0.0542</v>
      </c>
      <c r="BZ32" s="8" t="n">
        <v>15</v>
      </c>
      <c r="CA32" s="10" t="n">
        <v>0.028</v>
      </c>
      <c r="CB32" s="8" t="n">
        <v>23</v>
      </c>
      <c r="CC32" s="10" t="n">
        <v>0.049</v>
      </c>
      <c r="CD32" s="8" t="n">
        <v>2</v>
      </c>
      <c r="CE32" s="7" t="n">
        <v>-0.129</v>
      </c>
      <c r="CF32" s="7" t="n">
        <v>0.133</v>
      </c>
      <c r="CG32" s="4" t="s">
        <v>102</v>
      </c>
      <c r="CH32" s="4"/>
    </row>
    <row r="33" customFormat="false" ht="15" hidden="false" customHeight="false" outlineLevel="0" collapsed="false">
      <c r="A33" s="3" t="n">
        <v>31</v>
      </c>
      <c r="B33" s="4" t="s">
        <v>590</v>
      </c>
      <c r="C33" s="12" t="s">
        <v>149</v>
      </c>
      <c r="D33" s="4" t="s">
        <v>591</v>
      </c>
      <c r="E33" s="4" t="s">
        <v>209</v>
      </c>
      <c r="F33" s="4" t="s">
        <v>149</v>
      </c>
      <c r="G33" s="3" t="n">
        <v>1</v>
      </c>
      <c r="H33" s="6" t="n">
        <v>32</v>
      </c>
      <c r="I33" s="3" t="n">
        <v>10</v>
      </c>
      <c r="J33" s="3" t="n">
        <v>10</v>
      </c>
      <c r="K33" s="7" t="n">
        <v>253.2</v>
      </c>
      <c r="L33" s="7" t="n">
        <v>26.19</v>
      </c>
      <c r="M33" s="8" t="n">
        <v>138</v>
      </c>
      <c r="N33" s="8" t="n">
        <v>300</v>
      </c>
      <c r="O33" s="7" t="n">
        <v>253.2</v>
      </c>
      <c r="P33" s="6" t="n">
        <v>8.3</v>
      </c>
      <c r="Q33" s="4" t="s">
        <v>209</v>
      </c>
      <c r="R33" s="8" t="n">
        <v>16</v>
      </c>
      <c r="S33" s="6" t="n">
        <v>102.8</v>
      </c>
      <c r="T33" s="7" t="n">
        <f aca="false">IFERROR(S33/R33,"")</f>
        <v>6.425</v>
      </c>
      <c r="U33" s="6" t="n">
        <v>77.8</v>
      </c>
      <c r="V33" s="6" t="n">
        <v>52.8</v>
      </c>
      <c r="W33" s="8" t="n">
        <v>26</v>
      </c>
      <c r="X33" s="7" t="n">
        <f aca="false">IFERROR(S33/AH33,"")</f>
        <v>1.33506493506494</v>
      </c>
      <c r="Y33" s="9" t="n">
        <f aca="false">IFERROR(S33/AF33,"")</f>
        <v>0.224454148471616</v>
      </c>
      <c r="Z33" s="6" t="n">
        <v>3.1</v>
      </c>
      <c r="AA33" s="6" t="n">
        <v>6.5</v>
      </c>
      <c r="AB33" s="6" t="n">
        <v>9.72</v>
      </c>
      <c r="AC33" s="10" t="n">
        <v>0.062</v>
      </c>
      <c r="AD33" s="10" t="n">
        <v>0.125</v>
      </c>
      <c r="AE33" s="7" t="n">
        <v>0.602</v>
      </c>
      <c r="AF33" s="8" t="n">
        <v>458</v>
      </c>
      <c r="AG33" s="10" t="n">
        <v>0.421</v>
      </c>
      <c r="AH33" s="8" t="n">
        <v>77</v>
      </c>
      <c r="AI33" s="8" t="n">
        <v>76</v>
      </c>
      <c r="AJ33" s="6" t="n">
        <f aca="false">IFERROR(AI33/R33,"")</f>
        <v>4.75</v>
      </c>
      <c r="AK33" s="10" t="n">
        <v>0.1355</v>
      </c>
      <c r="AL33" s="10" t="n">
        <v>0.0799</v>
      </c>
      <c r="AM33" s="9" t="n">
        <v>0.2592</v>
      </c>
      <c r="AN33" s="8" t="n">
        <v>50</v>
      </c>
      <c r="AO33" s="10" t="n">
        <f aca="false">IFERROR(AN33/AI33,"")</f>
        <v>0.657894736842105</v>
      </c>
      <c r="AP33" s="8" t="n">
        <v>461</v>
      </c>
      <c r="AQ33" s="7" t="n">
        <f aca="false">IFERROR(AP33/AI33,"")</f>
        <v>6.06578947368421</v>
      </c>
      <c r="AR33" s="6" t="n">
        <v>4.355</v>
      </c>
      <c r="AS33" s="7" t="n">
        <v>6.04</v>
      </c>
      <c r="AT33" s="7" t="n">
        <v>1.393</v>
      </c>
      <c r="AU33" s="7" t="n">
        <v>4.5777356159887</v>
      </c>
      <c r="AV33" s="7" t="n">
        <v>6.77365384615385</v>
      </c>
      <c r="AW33" s="7" t="n">
        <v>-0.0837162753851661</v>
      </c>
      <c r="AX33" s="10" t="n">
        <v>0.1053</v>
      </c>
      <c r="AY33" s="8" t="n">
        <v>10</v>
      </c>
      <c r="AZ33" s="8" t="n">
        <v>0</v>
      </c>
      <c r="BA33" s="8" t="n">
        <v>0</v>
      </c>
      <c r="BB33" s="8" t="n">
        <v>1</v>
      </c>
      <c r="BC33" s="7" t="n">
        <v>2.3</v>
      </c>
      <c r="BD33" s="7" t="n">
        <f aca="false">IFERROR(BB33-BC33,"")</f>
        <v>-1.3</v>
      </c>
      <c r="BE33" s="9" t="n">
        <f aca="false">IFERROR(BB33/AH33,"")</f>
        <v>0.012987012987013</v>
      </c>
      <c r="BF33" s="6" t="n">
        <v>63.2</v>
      </c>
      <c r="BG33" s="6" t="n">
        <v>50</v>
      </c>
      <c r="BH33" s="6" t="n">
        <v>70.8</v>
      </c>
      <c r="BI33" s="7" t="n">
        <v>2.952</v>
      </c>
      <c r="BJ33" s="10" t="n">
        <v>0.1682</v>
      </c>
      <c r="BK33" s="10" t="n">
        <v>0.551724137931035</v>
      </c>
      <c r="BL33" s="7" t="n">
        <v>2.592</v>
      </c>
      <c r="BM33" s="10" t="n">
        <v>0.2088</v>
      </c>
      <c r="BN33" s="10" t="n">
        <v>0.037</v>
      </c>
      <c r="BO33" s="7" t="n">
        <v>2.401</v>
      </c>
      <c r="BP33" s="10" t="n">
        <v>0.999</v>
      </c>
      <c r="BQ33" s="8" t="n">
        <v>5</v>
      </c>
      <c r="BR33" s="10" t="n">
        <v>0.0157</v>
      </c>
      <c r="BS33" s="10" t="n">
        <v>0.59</v>
      </c>
      <c r="BT33" s="6" t="n">
        <v>63.47</v>
      </c>
      <c r="BU33" s="6" t="n">
        <v>38</v>
      </c>
      <c r="BV33" s="7" t="n">
        <v>3.47</v>
      </c>
      <c r="BW33" s="6" t="n">
        <v>23.6</v>
      </c>
      <c r="BX33" s="9" t="n">
        <v>0.0004</v>
      </c>
      <c r="BY33" s="9" t="n">
        <v>0.0835</v>
      </c>
      <c r="BZ33" s="8" t="n">
        <v>4</v>
      </c>
      <c r="CA33" s="10" t="n">
        <v>0.007</v>
      </c>
      <c r="CB33" s="8" t="n">
        <v>0</v>
      </c>
      <c r="CC33" s="10" t="n">
        <v>0</v>
      </c>
      <c r="CD33" s="8" t="n">
        <v>1</v>
      </c>
      <c r="CE33" s="7" t="n">
        <v>-0.006</v>
      </c>
      <c r="CF33" s="7" t="n">
        <v>-0.094</v>
      </c>
      <c r="CG33" s="4" t="s">
        <v>102</v>
      </c>
      <c r="CH33" s="4"/>
    </row>
    <row r="34" customFormat="false" ht="15" hidden="false" customHeight="false" outlineLevel="0" collapsed="false">
      <c r="A34" s="3" t="n">
        <v>32</v>
      </c>
      <c r="B34" s="4" t="s">
        <v>617</v>
      </c>
      <c r="C34" s="12" t="s">
        <v>149</v>
      </c>
      <c r="D34" s="4" t="s">
        <v>618</v>
      </c>
      <c r="E34" s="4" t="s">
        <v>109</v>
      </c>
      <c r="F34" s="4" t="s">
        <v>149</v>
      </c>
      <c r="G34" s="3" t="n">
        <v>1</v>
      </c>
      <c r="H34" s="6" t="n">
        <v>27.6</v>
      </c>
      <c r="I34" s="3" t="n">
        <v>7</v>
      </c>
      <c r="J34" s="3" t="n">
        <v>11</v>
      </c>
      <c r="K34" s="7" t="n">
        <v>262.81</v>
      </c>
      <c r="L34" s="7" t="n">
        <v>20.19</v>
      </c>
      <c r="M34" s="8" t="n">
        <v>214</v>
      </c>
      <c r="N34" s="8" t="n">
        <v>353</v>
      </c>
      <c r="O34" s="7" t="n">
        <v>262.81</v>
      </c>
      <c r="P34" s="6" t="n">
        <v>11.6</v>
      </c>
      <c r="Q34" s="4" t="s">
        <v>109</v>
      </c>
      <c r="R34" s="8" t="n">
        <v>14</v>
      </c>
      <c r="S34" s="6" t="n">
        <v>129.8</v>
      </c>
      <c r="T34" s="7" t="n">
        <f aca="false">IFERROR(S34/R34,"")</f>
        <v>9.27142857142857</v>
      </c>
      <c r="U34" s="6" t="n">
        <v>108.3</v>
      </c>
      <c r="V34" s="6" t="n">
        <v>86.8</v>
      </c>
      <c r="W34" s="8" t="n">
        <v>17</v>
      </c>
      <c r="X34" s="7" t="n">
        <f aca="false">IFERROR(S34/AH34,"")</f>
        <v>2.31785714285714</v>
      </c>
      <c r="Y34" s="9" t="n">
        <f aca="false">IFERROR(S34/AF34,"")</f>
        <v>0.209017713365539</v>
      </c>
      <c r="Z34" s="6" t="n">
        <v>3.8</v>
      </c>
      <c r="AA34" s="6" t="n">
        <v>8.55</v>
      </c>
      <c r="AB34" s="6" t="n">
        <v>14.37</v>
      </c>
      <c r="AC34" s="10" t="n">
        <v>0.214</v>
      </c>
      <c r="AD34" s="10" t="n">
        <v>0.143</v>
      </c>
      <c r="AE34" s="7" t="n">
        <v>0.851</v>
      </c>
      <c r="AF34" s="8" t="n">
        <v>621</v>
      </c>
      <c r="AG34" s="10" t="n">
        <v>0.604</v>
      </c>
      <c r="AH34" s="8" t="n">
        <v>56</v>
      </c>
      <c r="AI34" s="8" t="n">
        <v>56</v>
      </c>
      <c r="AJ34" s="6" t="n">
        <f aca="false">IFERROR(AI34/R34,"")</f>
        <v>4</v>
      </c>
      <c r="AK34" s="10" t="n">
        <v>0.1143</v>
      </c>
      <c r="AL34" s="10" t="n">
        <v>0.0534</v>
      </c>
      <c r="AM34" s="9" t="n">
        <v>0.2088</v>
      </c>
      <c r="AN34" s="8" t="n">
        <v>43</v>
      </c>
      <c r="AO34" s="10" t="n">
        <f aca="false">IFERROR(AN34/AI34,"")</f>
        <v>0.767857142857143</v>
      </c>
      <c r="AP34" s="8" t="n">
        <v>408</v>
      </c>
      <c r="AQ34" s="7" t="n">
        <f aca="false">IFERROR(AP34/AI34,"")</f>
        <v>7.28571428571429</v>
      </c>
      <c r="AR34" s="6" t="n">
        <v>4.429</v>
      </c>
      <c r="AS34" s="7" t="n">
        <v>6.302</v>
      </c>
      <c r="AT34" s="7" t="n">
        <v>1.645</v>
      </c>
      <c r="AU34" s="7" t="n">
        <v>3.54799210641913</v>
      </c>
      <c r="AV34" s="7" t="n">
        <v>5.72297872340426</v>
      </c>
      <c r="AW34" s="7" t="n">
        <v>0.438194024447579</v>
      </c>
      <c r="AX34" s="10" t="n">
        <v>0.0536</v>
      </c>
      <c r="AY34" s="8" t="n">
        <v>22</v>
      </c>
      <c r="AZ34" s="8" t="n">
        <v>10</v>
      </c>
      <c r="BA34" s="8" t="n">
        <v>2</v>
      </c>
      <c r="BB34" s="8" t="n">
        <v>8</v>
      </c>
      <c r="BC34" s="7" t="n">
        <v>5.87</v>
      </c>
      <c r="BD34" s="7" t="n">
        <f aca="false">IFERROR(BB34-BC34,"")</f>
        <v>2.13</v>
      </c>
      <c r="BE34" s="9" t="n">
        <f aca="false">IFERROR(BB34/AH34,"")</f>
        <v>0.142857142857143</v>
      </c>
      <c r="BF34" s="6" t="n">
        <v>80.4</v>
      </c>
      <c r="BG34" s="6" t="n">
        <v>76.4</v>
      </c>
      <c r="BH34" s="6" t="n">
        <v>71.5</v>
      </c>
      <c r="BI34" s="7" t="n">
        <v>3.462</v>
      </c>
      <c r="BJ34" s="10" t="n">
        <v>0.1266</v>
      </c>
      <c r="BK34" s="10" t="n">
        <v>0.638297872340426</v>
      </c>
      <c r="BL34" s="7" t="n">
        <v>2.811</v>
      </c>
      <c r="BM34" s="10" t="n">
        <v>0.194</v>
      </c>
      <c r="BN34" s="10" t="n">
        <v>0.0424</v>
      </c>
      <c r="BO34" s="7" t="n">
        <v>2.396</v>
      </c>
      <c r="BP34" s="10" t="n">
        <v>0.904</v>
      </c>
      <c r="BQ34" s="8" t="n">
        <v>5</v>
      </c>
      <c r="BR34" s="10" t="n">
        <v>0.0296</v>
      </c>
      <c r="BS34" s="10" t="n">
        <v>0.6185</v>
      </c>
      <c r="BT34" s="6" t="n">
        <v>62.12</v>
      </c>
      <c r="BU34" s="6" t="n">
        <v>37</v>
      </c>
      <c r="BV34" s="7" t="n">
        <v>4.47</v>
      </c>
      <c r="BW34" s="6" t="n">
        <v>30.5</v>
      </c>
      <c r="BX34" s="9" t="n">
        <v>0.0262</v>
      </c>
      <c r="BY34" s="9" t="n">
        <v>0.2292</v>
      </c>
      <c r="BZ34" s="8" t="n">
        <v>15</v>
      </c>
      <c r="CA34" s="10" t="n">
        <v>0.026</v>
      </c>
      <c r="CB34" s="8" t="n">
        <v>0</v>
      </c>
      <c r="CC34" s="10" t="n">
        <v>0</v>
      </c>
      <c r="CD34" s="8" t="n">
        <v>1</v>
      </c>
      <c r="CE34" s="7" t="n">
        <v>0.423</v>
      </c>
      <c r="CF34" s="7" t="n">
        <v>0.379</v>
      </c>
      <c r="CG34" s="4" t="s">
        <v>232</v>
      </c>
      <c r="CH34" s="4"/>
    </row>
    <row r="35" customFormat="false" ht="15" hidden="false" customHeight="false" outlineLevel="0" collapsed="false">
      <c r="A35" s="3" t="n">
        <v>33</v>
      </c>
      <c r="B35" s="4" t="s">
        <v>639</v>
      </c>
      <c r="C35" s="12" t="s">
        <v>149</v>
      </c>
      <c r="D35" s="4" t="s">
        <v>640</v>
      </c>
      <c r="E35" s="4" t="s">
        <v>101</v>
      </c>
      <c r="F35" s="4" t="s">
        <v>149</v>
      </c>
      <c r="G35" s="3" t="n">
        <v>1</v>
      </c>
      <c r="H35" s="6" t="n">
        <v>30.9</v>
      </c>
      <c r="I35" s="3" t="n">
        <v>9</v>
      </c>
      <c r="J35" s="3" t="n">
        <v>6</v>
      </c>
      <c r="K35" s="7" t="n">
        <v>270.5</v>
      </c>
      <c r="L35" s="7" t="n">
        <v>25.05</v>
      </c>
      <c r="M35" s="8" t="n">
        <v>226</v>
      </c>
      <c r="N35" s="8" t="n">
        <v>355</v>
      </c>
      <c r="O35" s="7" t="n">
        <v>270.5</v>
      </c>
      <c r="P35" s="6" t="n">
        <v>7.9</v>
      </c>
      <c r="Q35" s="4" t="s">
        <v>101</v>
      </c>
      <c r="R35" s="8" t="n">
        <v>12</v>
      </c>
      <c r="S35" s="6" t="n">
        <v>70.7</v>
      </c>
      <c r="T35" s="7" t="n">
        <f aca="false">IFERROR(S35/R35,"")</f>
        <v>5.89166666666667</v>
      </c>
      <c r="U35" s="6" t="n">
        <v>56.7</v>
      </c>
      <c r="V35" s="6" t="n">
        <v>42.7</v>
      </c>
      <c r="W35" s="8" t="n">
        <v>29</v>
      </c>
      <c r="X35" s="7" t="n">
        <f aca="false">IFERROR(S35/AH35,"")</f>
        <v>1.68333333333333</v>
      </c>
      <c r="Y35" s="9" t="n">
        <f aca="false">IFERROR(S35/AF35,"")</f>
        <v>0.220249221183801</v>
      </c>
      <c r="Z35" s="6" t="n">
        <v>2.33</v>
      </c>
      <c r="AA35" s="6" t="n">
        <v>3.7</v>
      </c>
      <c r="AB35" s="6" t="n">
        <v>9.25</v>
      </c>
      <c r="AC35" s="10" t="n">
        <v>0.083</v>
      </c>
      <c r="AD35" s="10" t="n">
        <v>0.167</v>
      </c>
      <c r="AE35" s="7" t="n">
        <v>1.508</v>
      </c>
      <c r="AF35" s="8" t="n">
        <v>321</v>
      </c>
      <c r="AG35" s="10" t="n">
        <v>0.385</v>
      </c>
      <c r="AH35" s="8" t="n">
        <v>42</v>
      </c>
      <c r="AI35" s="8" t="n">
        <v>42</v>
      </c>
      <c r="AJ35" s="6" t="n">
        <f aca="false">IFERROR(AI35/R35,"")</f>
        <v>3.5</v>
      </c>
      <c r="AK35" s="10" t="n">
        <v>0.1034</v>
      </c>
      <c r="AL35" s="10" t="n">
        <v>0.1336</v>
      </c>
      <c r="AM35" s="9" t="n">
        <v>0.2486</v>
      </c>
      <c r="AN35" s="8" t="n">
        <v>28</v>
      </c>
      <c r="AO35" s="10" t="n">
        <f aca="false">IFERROR(AN35/AI35,"")</f>
        <v>0.666666666666667</v>
      </c>
      <c r="AP35" s="8" t="n">
        <v>307</v>
      </c>
      <c r="AQ35" s="7" t="n">
        <f aca="false">IFERROR(AP35/AI35,"")</f>
        <v>7.30952380952381</v>
      </c>
      <c r="AR35" s="6" t="n">
        <v>9.952</v>
      </c>
      <c r="AS35" s="7" t="n">
        <v>2.25</v>
      </c>
      <c r="AT35" s="7" t="n">
        <v>0.734</v>
      </c>
      <c r="AU35" s="7"/>
      <c r="AV35" s="7"/>
      <c r="AW35" s="7"/>
      <c r="AX35" s="10" t="n">
        <v>0.0238</v>
      </c>
      <c r="AY35" s="8" t="n">
        <v>7</v>
      </c>
      <c r="AZ35" s="8" t="n">
        <v>4</v>
      </c>
      <c r="BA35" s="8" t="n">
        <v>3</v>
      </c>
      <c r="BB35" s="8" t="n">
        <v>2</v>
      </c>
      <c r="BC35" s="7" t="n">
        <v>2.77</v>
      </c>
      <c r="BD35" s="7" t="n">
        <f aca="false">IFERROR(BB35-BC35,"")</f>
        <v>-0.77</v>
      </c>
      <c r="BE35" s="9" t="n">
        <f aca="false">IFERROR(BB35/AH35,"")</f>
        <v>0.0476190476190476</v>
      </c>
      <c r="BF35" s="6" t="n">
        <v>60.4</v>
      </c>
      <c r="BG35" s="6" t="n">
        <v>63.4</v>
      </c>
      <c r="BH35" s="6" t="n">
        <v>53</v>
      </c>
      <c r="BI35" s="7" t="n">
        <v>3.212</v>
      </c>
      <c r="BJ35" s="10" t="n">
        <v>0.1072</v>
      </c>
      <c r="BK35" s="10" t="n">
        <v>0.657142857142857</v>
      </c>
      <c r="BL35" s="7" t="n">
        <v>2.249</v>
      </c>
      <c r="BM35" s="10" t="n">
        <v>0.2234</v>
      </c>
      <c r="BN35" s="10" t="n">
        <v>0.0527</v>
      </c>
      <c r="BO35" s="7" t="n">
        <v>2.22</v>
      </c>
      <c r="BP35" s="10" t="n">
        <v>0.996</v>
      </c>
      <c r="BQ35" s="8" t="n">
        <v>5</v>
      </c>
      <c r="BR35" s="10" t="n">
        <v>0.0172</v>
      </c>
      <c r="BS35" s="10" t="n">
        <v>0.6322</v>
      </c>
      <c r="BT35" s="6" t="n">
        <v>61.71</v>
      </c>
      <c r="BU35" s="6" t="n">
        <v>38</v>
      </c>
      <c r="BV35" s="7" t="n">
        <v>3.29</v>
      </c>
      <c r="BW35" s="6" t="n">
        <v>24.4</v>
      </c>
      <c r="BX35" s="9" t="n">
        <v>0.0246</v>
      </c>
      <c r="BY35" s="9" t="n">
        <v>-0.0266</v>
      </c>
      <c r="BZ35" s="8" t="n">
        <v>41</v>
      </c>
      <c r="CA35" s="10" t="n">
        <v>0.067</v>
      </c>
      <c r="CB35" s="8" t="n">
        <v>9</v>
      </c>
      <c r="CC35" s="10" t="n">
        <v>0.024</v>
      </c>
      <c r="CD35" s="8" t="n">
        <v>6</v>
      </c>
      <c r="CE35" s="7" t="n">
        <v>-0.067</v>
      </c>
      <c r="CF35" s="7" t="n">
        <v>-0.067</v>
      </c>
      <c r="CG35" s="4" t="s">
        <v>102</v>
      </c>
      <c r="CH35" s="4"/>
    </row>
  </sheetData>
  <autoFilter ref="A2:CH35"/>
  <conditionalFormatting sqref="G3:G35">
    <cfRule type="colorScale" priority="2">
      <colorScale>
        <cfvo type="percentile" val="5"/>
        <cfvo type="percentile" val="50"/>
        <cfvo type="percentile" val="95"/>
        <color rgb="FF63BE7B"/>
        <color rgb="FFFFEB84"/>
        <color rgb="FFF8696B"/>
      </colorScale>
    </cfRule>
  </conditionalFormatting>
  <conditionalFormatting sqref="K3:K35">
    <cfRule type="colorScale" priority="3">
      <colorScale>
        <cfvo type="percentile" val="5"/>
        <cfvo type="percentile" val="50"/>
        <cfvo type="percentile" val="95"/>
        <color rgb="FF63BE7B"/>
        <color rgb="FFFFEB84"/>
        <color rgb="FFF8696B"/>
      </colorScale>
    </cfRule>
  </conditionalFormatting>
  <conditionalFormatting sqref="O3:O35">
    <cfRule type="colorScale" priority="4">
      <colorScale>
        <cfvo type="percentile" val="5"/>
        <cfvo type="percentile" val="50"/>
        <cfvo type="percentile" val="95"/>
        <color rgb="FF63BE7B"/>
        <color rgb="FFFFEB84"/>
        <color rgb="FFF8696B"/>
      </colorScale>
    </cfRule>
  </conditionalFormatting>
  <conditionalFormatting sqref="W3:W35">
    <cfRule type="colorScale" priority="5">
      <colorScale>
        <cfvo type="percentile" val="5"/>
        <cfvo type="percentile" val="50"/>
        <cfvo type="percentile" val="95"/>
        <color rgb="FF63BE7B"/>
        <color rgb="FFFFEB84"/>
        <color rgb="FFF8696B"/>
      </colorScale>
    </cfRule>
  </conditionalFormatting>
  <conditionalFormatting sqref="AD3:AD35">
    <cfRule type="colorScale" priority="6">
      <colorScale>
        <cfvo type="percentile" val="5"/>
        <cfvo type="percentile" val="50"/>
        <cfvo type="percentile" val="95"/>
        <color rgb="FF63BE7B"/>
        <color rgb="FFFFEB84"/>
        <color rgb="FFF8696B"/>
      </colorScale>
    </cfRule>
  </conditionalFormatting>
  <conditionalFormatting sqref="AE3:AE35">
    <cfRule type="colorScale" priority="7">
      <colorScale>
        <cfvo type="percentile" val="5"/>
        <cfvo type="percentile" val="50"/>
        <cfvo type="percentile" val="95"/>
        <color rgb="FF63BE7B"/>
        <color rgb="FFFFEB84"/>
        <color rgb="FFF8696B"/>
      </colorScale>
    </cfRule>
  </conditionalFormatting>
  <conditionalFormatting sqref="AX3:AX35">
    <cfRule type="colorScale" priority="8">
      <colorScale>
        <cfvo type="percentile" val="5"/>
        <cfvo type="percentile" val="50"/>
        <cfvo type="percentile" val="95"/>
        <color rgb="FF63BE7B"/>
        <color rgb="FFFFEB84"/>
        <color rgb="FFF8696B"/>
      </colorScale>
    </cfRule>
  </conditionalFormatting>
  <conditionalFormatting sqref="BJ3:BJ35">
    <cfRule type="colorScale" priority="9">
      <colorScale>
        <cfvo type="percentile" val="5"/>
        <cfvo type="percentile" val="50"/>
        <cfvo type="percentile" val="95"/>
        <color rgb="FF63BE7B"/>
        <color rgb="FFFFEB84"/>
        <color rgb="FFF8696B"/>
      </colorScale>
    </cfRule>
  </conditionalFormatting>
  <conditionalFormatting sqref="BM3:BM35">
    <cfRule type="colorScale" priority="10">
      <colorScale>
        <cfvo type="percentile" val="5"/>
        <cfvo type="percentile" val="50"/>
        <cfvo type="percentile" val="95"/>
        <color rgb="FF63BE7B"/>
        <color rgb="FFFFEB84"/>
        <color rgb="FFF8696B"/>
      </colorScale>
    </cfRule>
  </conditionalFormatting>
  <conditionalFormatting sqref="BN3:BN35">
    <cfRule type="colorScale" priority="11">
      <colorScale>
        <cfvo type="percentile" val="5"/>
        <cfvo type="percentile" val="50"/>
        <cfvo type="percentile" val="95"/>
        <color rgb="FF63BE7B"/>
        <color rgb="FFFFEB84"/>
        <color rgb="FFF8696B"/>
      </colorScale>
    </cfRule>
  </conditionalFormatting>
  <conditionalFormatting sqref="BU3:BU35">
    <cfRule type="colorScale" priority="12">
      <colorScale>
        <cfvo type="percentile" val="5"/>
        <cfvo type="percentile" val="50"/>
        <cfvo type="percentile" val="95"/>
        <color rgb="FF63BE7B"/>
        <color rgb="FFFFEB84"/>
        <color rgb="FFF8696B"/>
      </colorScale>
    </cfRule>
  </conditionalFormatting>
  <conditionalFormatting sqref="Y3:Y35">
    <cfRule type="colorScale" priority="13">
      <colorScale>
        <cfvo type="percentile" val="5"/>
        <cfvo type="percentile" val="50"/>
        <cfvo type="percentile" val="95"/>
        <color rgb="FFF8696B"/>
        <color rgb="FFFFEB84"/>
        <color rgb="FF63BE7B"/>
      </colorScale>
    </cfRule>
  </conditionalFormatting>
  <conditionalFormatting sqref="Z3:Z35">
    <cfRule type="colorScale" priority="14">
      <colorScale>
        <cfvo type="percentile" val="5"/>
        <cfvo type="percentile" val="50"/>
        <cfvo type="percentile" val="95"/>
        <color rgb="FFF8696B"/>
        <color rgb="FFFFEB84"/>
        <color rgb="FF63BE7B"/>
      </colorScale>
    </cfRule>
  </conditionalFormatting>
  <conditionalFormatting sqref="AA3:AA35">
    <cfRule type="colorScale" priority="15">
      <colorScale>
        <cfvo type="percentile" val="5"/>
        <cfvo type="percentile" val="50"/>
        <cfvo type="percentile" val="95"/>
        <color rgb="FFF8696B"/>
        <color rgb="FFFFEB84"/>
        <color rgb="FF63BE7B"/>
      </colorScale>
    </cfRule>
  </conditionalFormatting>
  <conditionalFormatting sqref="AB3:AB35">
    <cfRule type="colorScale" priority="16">
      <colorScale>
        <cfvo type="percentile" val="5"/>
        <cfvo type="percentile" val="50"/>
        <cfvo type="percentile" val="95"/>
        <color rgb="FFF8696B"/>
        <color rgb="FFFFEB84"/>
        <color rgb="FF63BE7B"/>
      </colorScale>
    </cfRule>
  </conditionalFormatting>
  <conditionalFormatting sqref="AC3:AC35">
    <cfRule type="colorScale" priority="17">
      <colorScale>
        <cfvo type="percentile" val="5"/>
        <cfvo type="percentile" val="50"/>
        <cfvo type="percentile" val="95"/>
        <color rgb="FFF8696B"/>
        <color rgb="FFFFEB84"/>
        <color rgb="FF63BE7B"/>
      </colorScale>
    </cfRule>
  </conditionalFormatting>
  <conditionalFormatting sqref="R3:R35">
    <cfRule type="colorScale" priority="18">
      <colorScale>
        <cfvo type="percentile" val="5"/>
        <cfvo type="percentile" val="50"/>
        <cfvo type="percentile" val="95"/>
        <color rgb="FFF8696B"/>
        <color rgb="FFFFEB84"/>
        <color rgb="FF63BE7B"/>
      </colorScale>
    </cfRule>
  </conditionalFormatting>
  <conditionalFormatting sqref="S3:S35">
    <cfRule type="colorScale" priority="19">
      <colorScale>
        <cfvo type="percentile" val="5"/>
        <cfvo type="percentile" val="50"/>
        <cfvo type="percentile" val="95"/>
        <color rgb="FFF8696B"/>
        <color rgb="FFFFEB84"/>
        <color rgb="FF63BE7B"/>
      </colorScale>
    </cfRule>
  </conditionalFormatting>
  <conditionalFormatting sqref="AF3:AF35">
    <cfRule type="colorScale" priority="20">
      <colorScale>
        <cfvo type="percentile" val="5"/>
        <cfvo type="percentile" val="50"/>
        <cfvo type="percentile" val="95"/>
        <color rgb="FFF8696B"/>
        <color rgb="FFFFEB84"/>
        <color rgb="FF63BE7B"/>
      </colorScale>
    </cfRule>
  </conditionalFormatting>
  <conditionalFormatting sqref="AG3:AG35">
    <cfRule type="colorScale" priority="21">
      <colorScale>
        <cfvo type="percentile" val="5"/>
        <cfvo type="percentile" val="50"/>
        <cfvo type="percentile" val="95"/>
        <color rgb="FFF8696B"/>
        <color rgb="FFFFEB84"/>
        <color rgb="FF63BE7B"/>
      </colorScale>
    </cfRule>
  </conditionalFormatting>
  <conditionalFormatting sqref="AH3:AH35">
    <cfRule type="colorScale" priority="22">
      <colorScale>
        <cfvo type="percentile" val="5"/>
        <cfvo type="percentile" val="50"/>
        <cfvo type="percentile" val="95"/>
        <color rgb="FFF8696B"/>
        <color rgb="FFFFEB84"/>
        <color rgb="FF63BE7B"/>
      </colorScale>
    </cfRule>
  </conditionalFormatting>
  <conditionalFormatting sqref="AI3:AI35">
    <cfRule type="colorScale" priority="23">
      <colorScale>
        <cfvo type="percentile" val="5"/>
        <cfvo type="percentile" val="50"/>
        <cfvo type="percentile" val="95"/>
        <color rgb="FFF8696B"/>
        <color rgb="FFFFEB84"/>
        <color rgb="FF63BE7B"/>
      </colorScale>
    </cfRule>
  </conditionalFormatting>
  <conditionalFormatting sqref="AJ3:AJ35">
    <cfRule type="colorScale" priority="24">
      <colorScale>
        <cfvo type="percentile" val="5"/>
        <cfvo type="percentile" val="50"/>
        <cfvo type="percentile" val="95"/>
        <color rgb="FFF8696B"/>
        <color rgb="FFFFEB84"/>
        <color rgb="FF63BE7B"/>
      </colorScale>
    </cfRule>
  </conditionalFormatting>
  <conditionalFormatting sqref="AK3:AK35">
    <cfRule type="colorScale" priority="25">
      <colorScale>
        <cfvo type="percentile" val="5"/>
        <cfvo type="percentile" val="50"/>
        <cfvo type="percentile" val="95"/>
        <color rgb="FFF8696B"/>
        <color rgb="FFFFEB84"/>
        <color rgb="FF63BE7B"/>
      </colorScale>
    </cfRule>
  </conditionalFormatting>
  <conditionalFormatting sqref="AL3:AL35">
    <cfRule type="colorScale" priority="26">
      <colorScale>
        <cfvo type="percentile" val="5"/>
        <cfvo type="percentile" val="50"/>
        <cfvo type="percentile" val="95"/>
        <color rgb="FFF8696B"/>
        <color rgb="FFFFEB84"/>
        <color rgb="FF63BE7B"/>
      </colorScale>
    </cfRule>
  </conditionalFormatting>
  <conditionalFormatting sqref="AM3:AM35">
    <cfRule type="colorScale" priority="27">
      <colorScale>
        <cfvo type="percentile" val="5"/>
        <cfvo type="percentile" val="50"/>
        <cfvo type="percentile" val="95"/>
        <color rgb="FFF8696B"/>
        <color rgb="FFFFEB84"/>
        <color rgb="FF63BE7B"/>
      </colorScale>
    </cfRule>
  </conditionalFormatting>
  <conditionalFormatting sqref="AN3:AN35">
    <cfRule type="colorScale" priority="28">
      <colorScale>
        <cfvo type="percentile" val="5"/>
        <cfvo type="percentile" val="50"/>
        <cfvo type="percentile" val="95"/>
        <color rgb="FFF8696B"/>
        <color rgb="FFFFEB84"/>
        <color rgb="FF63BE7B"/>
      </colorScale>
    </cfRule>
  </conditionalFormatting>
  <conditionalFormatting sqref="AO3:AO35">
    <cfRule type="colorScale" priority="29">
      <colorScale>
        <cfvo type="percentile" val="5"/>
        <cfvo type="percentile" val="50"/>
        <cfvo type="percentile" val="95"/>
        <color rgb="FFF8696B"/>
        <color rgb="FFFFEB84"/>
        <color rgb="FF63BE7B"/>
      </colorScale>
    </cfRule>
  </conditionalFormatting>
  <conditionalFormatting sqref="AP3:AP35">
    <cfRule type="colorScale" priority="30">
      <colorScale>
        <cfvo type="percentile" val="5"/>
        <cfvo type="percentile" val="50"/>
        <cfvo type="percentile" val="95"/>
        <color rgb="FFF8696B"/>
        <color rgb="FFFFEB84"/>
        <color rgb="FF63BE7B"/>
      </colorScale>
    </cfRule>
  </conditionalFormatting>
  <conditionalFormatting sqref="AQ3:AQ35">
    <cfRule type="colorScale" priority="31">
      <colorScale>
        <cfvo type="percentile" val="5"/>
        <cfvo type="percentile" val="50"/>
        <cfvo type="percentile" val="95"/>
        <color rgb="FFF8696B"/>
        <color rgb="FFFFEB84"/>
        <color rgb="FF63BE7B"/>
      </colorScale>
    </cfRule>
  </conditionalFormatting>
  <conditionalFormatting sqref="AS3:AS35">
    <cfRule type="colorScale" priority="32">
      <colorScale>
        <cfvo type="percentile" val="5"/>
        <cfvo type="percentile" val="50"/>
        <cfvo type="percentile" val="95"/>
        <color rgb="FFF8696B"/>
        <color rgb="FFFFEB84"/>
        <color rgb="FF63BE7B"/>
      </colorScale>
    </cfRule>
  </conditionalFormatting>
  <conditionalFormatting sqref="AT3:AT35">
    <cfRule type="colorScale" priority="33">
      <colorScale>
        <cfvo type="percentile" val="5"/>
        <cfvo type="percentile" val="50"/>
        <cfvo type="percentile" val="95"/>
        <color rgb="FFF8696B"/>
        <color rgb="FFFFEB84"/>
        <color rgb="FF63BE7B"/>
      </colorScale>
    </cfRule>
  </conditionalFormatting>
  <conditionalFormatting sqref="AU3:AU35">
    <cfRule type="colorScale" priority="34">
      <colorScale>
        <cfvo type="percentile" val="5"/>
        <cfvo type="percentile" val="50"/>
        <cfvo type="percentile" val="95"/>
        <color rgb="FFF8696B"/>
        <color rgb="FFFFEB84"/>
        <color rgb="FF63BE7B"/>
      </colorScale>
    </cfRule>
  </conditionalFormatting>
  <conditionalFormatting sqref="AW3:AW35">
    <cfRule type="colorScale" priority="35">
      <colorScale>
        <cfvo type="percentile" val="5"/>
        <cfvo type="percentile" val="50"/>
        <cfvo type="percentile" val="95"/>
        <color rgb="FFF8696B"/>
        <color rgb="FFFFEB84"/>
        <color rgb="FF63BE7B"/>
      </colorScale>
    </cfRule>
  </conditionalFormatting>
  <conditionalFormatting sqref="T3:T35">
    <cfRule type="colorScale" priority="36">
      <colorScale>
        <cfvo type="percentile" val="5"/>
        <cfvo type="percentile" val="50"/>
        <cfvo type="percentile" val="95"/>
        <color rgb="FFF8696B"/>
        <color rgb="FFFFEB84"/>
        <color rgb="FF63BE7B"/>
      </colorScale>
    </cfRule>
  </conditionalFormatting>
  <conditionalFormatting sqref="AY3:AY35">
    <cfRule type="colorScale" priority="37">
      <colorScale>
        <cfvo type="percentile" val="5"/>
        <cfvo type="percentile" val="50"/>
        <cfvo type="percentile" val="95"/>
        <color rgb="FFF8696B"/>
        <color rgb="FFFFEB84"/>
        <color rgb="FF63BE7B"/>
      </colorScale>
    </cfRule>
  </conditionalFormatting>
  <conditionalFormatting sqref="AZ3:AZ35">
    <cfRule type="colorScale" priority="38">
      <colorScale>
        <cfvo type="percentile" val="5"/>
        <cfvo type="percentile" val="50"/>
        <cfvo type="percentile" val="95"/>
        <color rgb="FFF8696B"/>
        <color rgb="FFFFEB84"/>
        <color rgb="FF63BE7B"/>
      </colorScale>
    </cfRule>
  </conditionalFormatting>
  <conditionalFormatting sqref="BA3:BA35">
    <cfRule type="colorScale" priority="39">
      <colorScale>
        <cfvo type="percentile" val="5"/>
        <cfvo type="percentile" val="50"/>
        <cfvo type="percentile" val="95"/>
        <color rgb="FFF8696B"/>
        <color rgb="FFFFEB84"/>
        <color rgb="FF63BE7B"/>
      </colorScale>
    </cfRule>
  </conditionalFormatting>
  <conditionalFormatting sqref="BB3:BB35">
    <cfRule type="colorScale" priority="40">
      <colorScale>
        <cfvo type="percentile" val="5"/>
        <cfvo type="percentile" val="50"/>
        <cfvo type="percentile" val="95"/>
        <color rgb="FFF8696B"/>
        <color rgb="FFFFEB84"/>
        <color rgb="FF63BE7B"/>
      </colorScale>
    </cfRule>
  </conditionalFormatting>
  <conditionalFormatting sqref="BC3:BC35">
    <cfRule type="colorScale" priority="41">
      <colorScale>
        <cfvo type="percentile" val="5"/>
        <cfvo type="percentile" val="50"/>
        <cfvo type="percentile" val="95"/>
        <color rgb="FFF8696B"/>
        <color rgb="FFFFEB84"/>
        <color rgb="FF63BE7B"/>
      </colorScale>
    </cfRule>
  </conditionalFormatting>
  <conditionalFormatting sqref="BE3:BE35">
    <cfRule type="colorScale" priority="42">
      <colorScale>
        <cfvo type="percentile" val="5"/>
        <cfvo type="percentile" val="50"/>
        <cfvo type="percentile" val="95"/>
        <color rgb="FFF8696B"/>
        <color rgb="FFFFEB84"/>
        <color rgb="FF63BE7B"/>
      </colorScale>
    </cfRule>
  </conditionalFormatting>
  <conditionalFormatting sqref="BF3:BF35">
    <cfRule type="colorScale" priority="43">
      <colorScale>
        <cfvo type="percentile" val="5"/>
        <cfvo type="percentile" val="50"/>
        <cfvo type="percentile" val="95"/>
        <color rgb="FFF8696B"/>
        <color rgb="FFFFEB84"/>
        <color rgb="FF63BE7B"/>
      </colorScale>
    </cfRule>
  </conditionalFormatting>
  <conditionalFormatting sqref="BG3:BG35">
    <cfRule type="colorScale" priority="44">
      <colorScale>
        <cfvo type="percentile" val="5"/>
        <cfvo type="percentile" val="50"/>
        <cfvo type="percentile" val="95"/>
        <color rgb="FFF8696B"/>
        <color rgb="FFFFEB84"/>
        <color rgb="FF63BE7B"/>
      </colorScale>
    </cfRule>
  </conditionalFormatting>
  <conditionalFormatting sqref="BH3:BH35">
    <cfRule type="colorScale" priority="45">
      <colorScale>
        <cfvo type="percentile" val="5"/>
        <cfvo type="percentile" val="50"/>
        <cfvo type="percentile" val="95"/>
        <color rgb="FFF8696B"/>
        <color rgb="FFFFEB84"/>
        <color rgb="FF63BE7B"/>
      </colorScale>
    </cfRule>
  </conditionalFormatting>
  <conditionalFormatting sqref="BI3:BI35">
    <cfRule type="colorScale" priority="46">
      <colorScale>
        <cfvo type="percentile" val="5"/>
        <cfvo type="percentile" val="50"/>
        <cfvo type="percentile" val="95"/>
        <color rgb="FFF8696B"/>
        <color rgb="FFFFEB84"/>
        <color rgb="FF63BE7B"/>
      </colorScale>
    </cfRule>
  </conditionalFormatting>
  <conditionalFormatting sqref="U3:U35">
    <cfRule type="colorScale" priority="47">
      <colorScale>
        <cfvo type="percentile" val="5"/>
        <cfvo type="percentile" val="50"/>
        <cfvo type="percentile" val="95"/>
        <color rgb="FFF8696B"/>
        <color rgb="FFFFEB84"/>
        <color rgb="FF63BE7B"/>
      </colorScale>
    </cfRule>
  </conditionalFormatting>
  <conditionalFormatting sqref="BK3:BK35">
    <cfRule type="colorScale" priority="48">
      <colorScale>
        <cfvo type="percentile" val="5"/>
        <cfvo type="percentile" val="50"/>
        <cfvo type="percentile" val="95"/>
        <color rgb="FFF8696B"/>
        <color rgb="FFFFEB84"/>
        <color rgb="FF63BE7B"/>
      </colorScale>
    </cfRule>
  </conditionalFormatting>
  <conditionalFormatting sqref="BL3:BL35">
    <cfRule type="colorScale" priority="49">
      <colorScale>
        <cfvo type="percentile" val="5"/>
        <cfvo type="percentile" val="50"/>
        <cfvo type="percentile" val="95"/>
        <color rgb="FFF8696B"/>
        <color rgb="FFFFEB84"/>
        <color rgb="FF63BE7B"/>
      </colorScale>
    </cfRule>
  </conditionalFormatting>
  <conditionalFormatting sqref="V3:V35">
    <cfRule type="colorScale" priority="50">
      <colorScale>
        <cfvo type="percentile" val="5"/>
        <cfvo type="percentile" val="50"/>
        <cfvo type="percentile" val="95"/>
        <color rgb="FFF8696B"/>
        <color rgb="FFFFEB84"/>
        <color rgb="FF63BE7B"/>
      </colorScale>
    </cfRule>
  </conditionalFormatting>
  <conditionalFormatting sqref="P3:P35">
    <cfRule type="colorScale" priority="51">
      <colorScale>
        <cfvo type="percentile" val="5"/>
        <cfvo type="percentile" val="50"/>
        <cfvo type="percentile" val="95"/>
        <color rgb="FFF8696B"/>
        <color rgb="FFFFEB84"/>
        <color rgb="FF63BE7B"/>
      </colorScale>
    </cfRule>
  </conditionalFormatting>
  <conditionalFormatting sqref="BO3:BO35">
    <cfRule type="colorScale" priority="52">
      <colorScale>
        <cfvo type="percentile" val="5"/>
        <cfvo type="percentile" val="50"/>
        <cfvo type="percentile" val="95"/>
        <color rgb="FFF8696B"/>
        <color rgb="FFFFEB84"/>
        <color rgb="FF63BE7B"/>
      </colorScale>
    </cfRule>
  </conditionalFormatting>
  <conditionalFormatting sqref="BP3:BP35">
    <cfRule type="colorScale" priority="53">
      <colorScale>
        <cfvo type="percentile" val="5"/>
        <cfvo type="percentile" val="50"/>
        <cfvo type="percentile" val="95"/>
        <color rgb="FFF8696B"/>
        <color rgb="FFFFEB84"/>
        <color rgb="FF63BE7B"/>
      </colorScale>
    </cfRule>
  </conditionalFormatting>
  <conditionalFormatting sqref="BQ3:BQ35">
    <cfRule type="colorScale" priority="54">
      <colorScale>
        <cfvo type="percentile" val="5"/>
        <cfvo type="percentile" val="50"/>
        <cfvo type="percentile" val="95"/>
        <color rgb="FFF8696B"/>
        <color rgb="FFFFEB84"/>
        <color rgb="FF63BE7B"/>
      </colorScale>
    </cfRule>
  </conditionalFormatting>
  <conditionalFormatting sqref="BT3:BT35">
    <cfRule type="colorScale" priority="55">
      <colorScale>
        <cfvo type="percentile" val="5"/>
        <cfvo type="percentile" val="50"/>
        <cfvo type="percentile" val="95"/>
        <color rgb="FFF8696B"/>
        <color rgb="FFFFEB84"/>
        <color rgb="FF63BE7B"/>
      </colorScale>
    </cfRule>
  </conditionalFormatting>
  <conditionalFormatting sqref="X3:X35">
    <cfRule type="colorScale" priority="56">
      <colorScale>
        <cfvo type="percentile" val="5"/>
        <cfvo type="percentile" val="50"/>
        <cfvo type="percentile" val="95"/>
        <color rgb="FFF8696B"/>
        <color rgb="FFFFEB84"/>
        <color rgb="FF63BE7B"/>
      </colorScale>
    </cfRule>
  </conditionalFormatting>
  <conditionalFormatting sqref="BV3:BV35">
    <cfRule type="colorScale" priority="57">
      <colorScale>
        <cfvo type="percentile" val="5"/>
        <cfvo type="percentile" val="50"/>
        <cfvo type="percentile" val="95"/>
        <color rgb="FFF8696B"/>
        <color rgb="FFFFEB84"/>
        <color rgb="FF63BE7B"/>
      </colorScale>
    </cfRule>
  </conditionalFormatting>
  <conditionalFormatting sqref="BW3:BW35">
    <cfRule type="colorScale" priority="58">
      <colorScale>
        <cfvo type="percentile" val="5"/>
        <cfvo type="percentile" val="50"/>
        <cfvo type="percentile" val="95"/>
        <color rgb="FFF8696B"/>
        <color rgb="FFFFEB84"/>
        <color rgb="FF63BE7B"/>
      </colorScale>
    </cfRule>
  </conditionalFormatting>
  <conditionalFormatting sqref="BX3:BX35">
    <cfRule type="colorScale" priority="59">
      <colorScale>
        <cfvo type="percentile" val="5"/>
        <cfvo type="percentile" val="50"/>
        <cfvo type="percentile" val="95"/>
        <color rgb="FFF8696B"/>
        <color rgb="FFFFEB84"/>
        <color rgb="FF63BE7B"/>
      </colorScale>
    </cfRule>
  </conditionalFormatting>
  <conditionalFormatting sqref="BY3:BY35">
    <cfRule type="colorScale" priority="60">
      <colorScale>
        <cfvo type="percentile" val="5"/>
        <cfvo type="percentile" val="50"/>
        <cfvo type="percentile" val="95"/>
        <color rgb="FFF8696B"/>
        <color rgb="FFFFEB84"/>
        <color rgb="FF63BE7B"/>
      </colorScale>
    </cfRule>
  </conditionalFormatting>
  <conditionalFormatting sqref="BZ3:BZ35">
    <cfRule type="colorScale" priority="61">
      <colorScale>
        <cfvo type="percentile" val="5"/>
        <cfvo type="percentile" val="50"/>
        <cfvo type="percentile" val="95"/>
        <color rgb="FFF8696B"/>
        <color rgb="FFFFEB84"/>
        <color rgb="FF63BE7B"/>
      </colorScale>
    </cfRule>
  </conditionalFormatting>
  <conditionalFormatting sqref="CA3:CA35">
    <cfRule type="colorScale" priority="62">
      <colorScale>
        <cfvo type="percentile" val="5"/>
        <cfvo type="percentile" val="50"/>
        <cfvo type="percentile" val="95"/>
        <color rgb="FFF8696B"/>
        <color rgb="FFFFEB84"/>
        <color rgb="FF63BE7B"/>
      </colorScale>
    </cfRule>
  </conditionalFormatting>
  <conditionalFormatting sqref="CB3:CB35">
    <cfRule type="colorScale" priority="63">
      <colorScale>
        <cfvo type="percentile" val="5"/>
        <cfvo type="percentile" val="50"/>
        <cfvo type="percentile" val="95"/>
        <color rgb="FFF8696B"/>
        <color rgb="FFFFEB84"/>
        <color rgb="FF63BE7B"/>
      </colorScale>
    </cfRule>
  </conditionalFormatting>
  <conditionalFormatting sqref="CC3:CC35">
    <cfRule type="colorScale" priority="64">
      <colorScale>
        <cfvo type="percentile" val="5"/>
        <cfvo type="percentile" val="50"/>
        <cfvo type="percentile" val="95"/>
        <color rgb="FFF8696B"/>
        <color rgb="FFFFEB84"/>
        <color rgb="FF63BE7B"/>
      </colorScale>
    </cfRule>
  </conditionalFormatting>
  <conditionalFormatting sqref="CD3:CD35">
    <cfRule type="colorScale" priority="65">
      <colorScale>
        <cfvo type="percentile" val="5"/>
        <cfvo type="percentile" val="50"/>
        <cfvo type="percentile" val="95"/>
        <color rgb="FFF8696B"/>
        <color rgb="FFFFEB84"/>
        <color rgb="FF63BE7B"/>
      </colorScale>
    </cfRule>
  </conditionalFormatting>
  <conditionalFormatting sqref="CE3:CE35">
    <cfRule type="colorScale" priority="66">
      <colorScale>
        <cfvo type="percentile" val="5"/>
        <cfvo type="percentile" val="50"/>
        <cfvo type="percentile" val="95"/>
        <color rgb="FFF8696B"/>
        <color rgb="FFFFEB84"/>
        <color rgb="FF63BE7B"/>
      </colorScale>
    </cfRule>
  </conditionalFormatting>
  <conditionalFormatting sqref="CF3:CF35">
    <cfRule type="colorScale" priority="67">
      <colorScale>
        <cfvo type="percentile" val="5"/>
        <cfvo type="percentile" val="50"/>
        <cfvo type="percentile" val="95"/>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2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5" min="3" style="0" width="9"/>
    <col collapsed="false" customWidth="true" hidden="false" outlineLevel="0" max="6" min="6" style="0" width="12"/>
    <col collapsed="false" customWidth="true" hidden="false" outlineLevel="0" max="15" min="7" style="0" width="9"/>
    <col collapsed="false" customWidth="true" hidden="false" outlineLevel="0" max="18" min="16" style="0" width="12"/>
    <col collapsed="false" customWidth="true" hidden="false" outlineLevel="0" max="19" min="19" style="0" width="22"/>
    <col collapsed="false" customWidth="true" hidden="false" outlineLevel="0" max="20" min="20" style="0" width="44"/>
    <col collapsed="false" customWidth="true" hidden="false" outlineLevel="0" max="23" min="21" style="0" width="9"/>
    <col collapsed="false" customWidth="true" hidden="false" outlineLevel="0" max="32" min="24" style="0" width="12"/>
    <col collapsed="false" customWidth="true" hidden="false" outlineLevel="0" max="34" min="33" style="0" width="9"/>
  </cols>
  <sheetData>
    <row r="1" customFormat="false" ht="15" hidden="false" customHeight="false" outlineLevel="0" collapsed="false">
      <c r="A1" s="1" t="s">
        <v>656</v>
      </c>
    </row>
    <row r="2" customFormat="false" ht="33.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94</v>
      </c>
      <c r="R2" s="2" t="s">
        <v>95</v>
      </c>
      <c r="S2" s="2" t="s">
        <v>96</v>
      </c>
      <c r="T2" s="2" t="s">
        <v>97</v>
      </c>
      <c r="U2" s="2" t="s">
        <v>18</v>
      </c>
      <c r="V2" s="2" t="s">
        <v>19</v>
      </c>
      <c r="W2" s="2" t="s">
        <v>20</v>
      </c>
      <c r="X2" s="2" t="s">
        <v>23</v>
      </c>
      <c r="Y2" s="2" t="s">
        <v>89</v>
      </c>
      <c r="Z2" s="2" t="s">
        <v>90</v>
      </c>
      <c r="AA2" s="2" t="s">
        <v>91</v>
      </c>
      <c r="AB2" s="2" t="s">
        <v>92</v>
      </c>
      <c r="AC2" s="2" t="s">
        <v>93</v>
      </c>
      <c r="AD2" s="2" t="s">
        <v>69</v>
      </c>
      <c r="AE2" s="2" t="s">
        <v>79</v>
      </c>
      <c r="AF2" s="2" t="s">
        <v>80</v>
      </c>
      <c r="AG2" s="2" t="s">
        <v>81</v>
      </c>
      <c r="AH2" s="2" t="s">
        <v>86</v>
      </c>
    </row>
    <row r="3" customFormat="false" ht="15" hidden="false" customHeight="false" outlineLevel="0" collapsed="false">
      <c r="A3" s="3" t="n">
        <v>1</v>
      </c>
      <c r="B3" s="4" t="s">
        <v>633</v>
      </c>
      <c r="C3" s="5" t="s">
        <v>99</v>
      </c>
      <c r="D3" s="4" t="s">
        <v>634</v>
      </c>
      <c r="E3" s="4" t="s">
        <v>170</v>
      </c>
      <c r="F3" s="4"/>
      <c r="G3" s="3"/>
      <c r="H3" s="6" t="n">
        <v>34.3</v>
      </c>
      <c r="I3" s="3" t="n">
        <v>13</v>
      </c>
      <c r="J3" s="3" t="n">
        <v>7</v>
      </c>
      <c r="K3" s="7" t="n">
        <v>267.75</v>
      </c>
      <c r="L3" s="7" t="n">
        <v>28.87</v>
      </c>
      <c r="M3" s="8" t="n">
        <v>168</v>
      </c>
      <c r="N3" s="8" t="n">
        <v>298</v>
      </c>
      <c r="O3" s="7" t="n">
        <v>267.75</v>
      </c>
      <c r="P3" s="6" t="n">
        <v>6</v>
      </c>
      <c r="Q3" s="7" t="n">
        <v>2.447</v>
      </c>
      <c r="R3" s="7" t="n">
        <v>1.965</v>
      </c>
      <c r="S3" s="4" t="s">
        <v>321</v>
      </c>
      <c r="T3" s="4" t="s">
        <v>606</v>
      </c>
      <c r="U3" s="8" t="n">
        <v>17</v>
      </c>
      <c r="V3" s="6" t="n">
        <v>182.7</v>
      </c>
      <c r="W3" s="7" t="n">
        <v>10.747</v>
      </c>
      <c r="X3" s="8" t="n">
        <v>29</v>
      </c>
      <c r="Y3" s="8" t="n">
        <v>15</v>
      </c>
      <c r="Z3" s="10" t="n">
        <v>0.028</v>
      </c>
      <c r="AA3" s="8" t="n">
        <v>23</v>
      </c>
      <c r="AB3" s="10" t="n">
        <v>0.049</v>
      </c>
      <c r="AC3" s="8" t="n">
        <v>2</v>
      </c>
      <c r="AD3" s="6" t="n">
        <v>26.9</v>
      </c>
      <c r="AE3" s="10" t="n">
        <v>0.205</v>
      </c>
      <c r="AF3" s="8" t="n">
        <v>1</v>
      </c>
      <c r="AG3" s="10" t="n">
        <v>0.0064</v>
      </c>
      <c r="AH3" s="6" t="n">
        <v>21.6</v>
      </c>
    </row>
    <row r="4" customFormat="false" ht="15" hidden="false" customHeight="false" outlineLevel="0" collapsed="false">
      <c r="A4" s="3" t="n">
        <v>2</v>
      </c>
      <c r="B4" s="4" t="s">
        <v>508</v>
      </c>
      <c r="C4" s="5" t="s">
        <v>99</v>
      </c>
      <c r="D4" s="4" t="s">
        <v>509</v>
      </c>
      <c r="E4" s="4" t="s">
        <v>209</v>
      </c>
      <c r="F4" s="4" t="s">
        <v>99</v>
      </c>
      <c r="G4" s="3" t="n">
        <v>3</v>
      </c>
      <c r="H4" s="6" t="n">
        <v>23.5</v>
      </c>
      <c r="I4" s="3" t="n">
        <v>3</v>
      </c>
      <c r="J4" s="3" t="n">
        <v>10</v>
      </c>
      <c r="K4" s="7" t="n">
        <v>202.09</v>
      </c>
      <c r="L4" s="7" t="n">
        <v>37.68</v>
      </c>
      <c r="M4" s="8" t="n">
        <v>133</v>
      </c>
      <c r="N4" s="8" t="n">
        <v>328</v>
      </c>
      <c r="O4" s="7" t="n">
        <v>202.09</v>
      </c>
      <c r="P4" s="6" t="n">
        <v>10.5</v>
      </c>
      <c r="Q4" s="7" t="n">
        <v>1.262</v>
      </c>
      <c r="R4" s="7" t="n">
        <v>0.736</v>
      </c>
      <c r="S4" s="4" t="s">
        <v>321</v>
      </c>
      <c r="T4" s="4"/>
      <c r="U4" s="8" t="n">
        <v>17</v>
      </c>
      <c r="V4" s="6" t="n">
        <v>177.1</v>
      </c>
      <c r="W4" s="7" t="n">
        <v>10.418</v>
      </c>
      <c r="X4" s="8" t="n">
        <v>31</v>
      </c>
      <c r="Y4" s="8" t="n">
        <v>4</v>
      </c>
      <c r="Z4" s="10" t="n">
        <v>0.007</v>
      </c>
      <c r="AA4" s="8" t="n">
        <v>0</v>
      </c>
      <c r="AB4" s="10" t="n">
        <v>0</v>
      </c>
      <c r="AC4" s="8" t="n">
        <v>1</v>
      </c>
      <c r="AD4" s="6" t="n">
        <v>63.2</v>
      </c>
      <c r="AE4" s="10" t="n">
        <v>0.999</v>
      </c>
      <c r="AF4" s="8" t="n">
        <v>5</v>
      </c>
      <c r="AG4" s="10" t="n">
        <v>0.0157</v>
      </c>
      <c r="AH4" s="6" t="n">
        <v>23.6</v>
      </c>
    </row>
    <row r="5" customFormat="false" ht="15" hidden="false" customHeight="false" outlineLevel="0" collapsed="false">
      <c r="A5" s="3" t="n">
        <v>3</v>
      </c>
      <c r="B5" s="4" t="s">
        <v>319</v>
      </c>
      <c r="C5" s="5" t="s">
        <v>99</v>
      </c>
      <c r="D5" s="4" t="s">
        <v>320</v>
      </c>
      <c r="E5" s="4" t="s">
        <v>151</v>
      </c>
      <c r="F5" s="4" t="s">
        <v>99</v>
      </c>
      <c r="G5" s="3" t="n">
        <v>2</v>
      </c>
      <c r="H5" s="6" t="n">
        <v>26.5</v>
      </c>
      <c r="I5" s="3" t="n">
        <v>4</v>
      </c>
      <c r="J5" s="3" t="n">
        <v>14</v>
      </c>
      <c r="K5" s="7" t="n">
        <v>90.53</v>
      </c>
      <c r="L5" s="7" t="n">
        <v>15.82</v>
      </c>
      <c r="M5" s="8" t="n">
        <v>49</v>
      </c>
      <c r="N5" s="8" t="n">
        <v>137</v>
      </c>
      <c r="O5" s="7" t="n">
        <v>90.53</v>
      </c>
      <c r="P5" s="6" t="n">
        <v>83.8</v>
      </c>
      <c r="Q5" s="7" t="n">
        <v>1.049</v>
      </c>
      <c r="R5" s="7" t="n">
        <v>0.567</v>
      </c>
      <c r="S5" s="4" t="s">
        <v>321</v>
      </c>
      <c r="T5" s="4"/>
      <c r="U5" s="8" t="n">
        <v>17</v>
      </c>
      <c r="V5" s="6" t="n">
        <v>220.6</v>
      </c>
      <c r="W5" s="7" t="n">
        <v>12.976</v>
      </c>
      <c r="X5" s="8" t="n">
        <v>10</v>
      </c>
      <c r="Y5" s="8" t="n">
        <v>106</v>
      </c>
      <c r="Z5" s="10" t="n">
        <v>0.172</v>
      </c>
      <c r="AA5" s="8" t="n">
        <v>173</v>
      </c>
      <c r="AB5" s="10" t="n">
        <v>0.473</v>
      </c>
      <c r="AC5" s="8" t="n">
        <v>41</v>
      </c>
      <c r="AD5" s="6" t="n">
        <v>36.9</v>
      </c>
      <c r="AE5" s="10" t="n">
        <v>0.686</v>
      </c>
      <c r="AF5" s="8" t="n">
        <v>3</v>
      </c>
      <c r="AG5" s="10" t="n">
        <v>0.0399</v>
      </c>
      <c r="AH5" s="6" t="n">
        <v>20.9</v>
      </c>
    </row>
    <row r="6" customFormat="false" ht="15" hidden="false" customHeight="false" outlineLevel="0" collapsed="false">
      <c r="A6" s="3" t="n">
        <v>4</v>
      </c>
      <c r="B6" s="4" t="s">
        <v>363</v>
      </c>
      <c r="C6" s="5" t="s">
        <v>99</v>
      </c>
      <c r="D6" s="4" t="s">
        <v>364</v>
      </c>
      <c r="E6" s="4" t="s">
        <v>221</v>
      </c>
      <c r="F6" s="4" t="s">
        <v>99</v>
      </c>
      <c r="G6" s="3" t="n">
        <v>2</v>
      </c>
      <c r="H6" s="6" t="n">
        <v>32.7</v>
      </c>
      <c r="I6" s="3" t="n">
        <v>12</v>
      </c>
      <c r="J6" s="3" t="n">
        <v>7</v>
      </c>
      <c r="K6" s="7" t="n">
        <v>111.6</v>
      </c>
      <c r="L6" s="7" t="n">
        <v>38.04</v>
      </c>
      <c r="M6" s="8" t="n">
        <v>60</v>
      </c>
      <c r="N6" s="8" t="n">
        <v>223</v>
      </c>
      <c r="O6" s="7" t="n">
        <v>111.6</v>
      </c>
      <c r="P6" s="6" t="n">
        <v>69.5</v>
      </c>
      <c r="Q6" s="7" t="n">
        <v>0.99</v>
      </c>
      <c r="R6" s="7" t="n">
        <v>0.595</v>
      </c>
      <c r="S6" s="4" t="s">
        <v>232</v>
      </c>
      <c r="T6" s="4"/>
      <c r="U6" s="8" t="n">
        <v>17</v>
      </c>
      <c r="V6" s="6" t="n">
        <v>210.3</v>
      </c>
      <c r="W6" s="7" t="n">
        <v>12.371</v>
      </c>
      <c r="X6" s="8" t="n">
        <v>17</v>
      </c>
      <c r="Y6" s="8" t="n">
        <v>138</v>
      </c>
      <c r="Z6" s="10" t="n">
        <v>0.319</v>
      </c>
      <c r="AA6" s="8" t="n">
        <v>142</v>
      </c>
      <c r="AB6" s="10" t="n">
        <v>0.293</v>
      </c>
      <c r="AC6" s="8" t="n">
        <v>56</v>
      </c>
      <c r="AD6" s="6" t="n">
        <v>54.8</v>
      </c>
      <c r="AE6" s="10" t="n">
        <v>0.706</v>
      </c>
      <c r="AF6" s="8" t="n">
        <v>4</v>
      </c>
      <c r="AG6" s="10" t="n">
        <v>-0.0427</v>
      </c>
      <c r="AH6" s="6" t="n">
        <v>20.9</v>
      </c>
    </row>
    <row r="7" customFormat="false" ht="15" hidden="false" customHeight="false" outlineLevel="0" collapsed="false">
      <c r="A7" s="3" t="n">
        <v>5</v>
      </c>
      <c r="B7" s="4" t="s">
        <v>629</v>
      </c>
      <c r="C7" s="5" t="s">
        <v>99</v>
      </c>
      <c r="D7" s="4" t="s">
        <v>630</v>
      </c>
      <c r="E7" s="4" t="s">
        <v>178</v>
      </c>
      <c r="F7" s="4" t="s">
        <v>99</v>
      </c>
      <c r="G7" s="3" t="n">
        <v>2</v>
      </c>
      <c r="H7" s="6" t="n">
        <v>29.6</v>
      </c>
      <c r="I7" s="3" t="n">
        <v>8</v>
      </c>
      <c r="J7" s="3" t="n">
        <v>8</v>
      </c>
      <c r="K7" s="7" t="n">
        <v>267.21</v>
      </c>
      <c r="L7" s="7" t="n">
        <v>28</v>
      </c>
      <c r="M7" s="8" t="n">
        <v>199</v>
      </c>
      <c r="N7" s="8" t="n">
        <v>371</v>
      </c>
      <c r="O7" s="7" t="n">
        <v>267.21</v>
      </c>
      <c r="P7" s="6" t="n">
        <v>3.8</v>
      </c>
      <c r="Q7" s="7" t="n">
        <v>0.974</v>
      </c>
      <c r="R7" s="7" t="n">
        <v>0.667</v>
      </c>
      <c r="S7" s="4" t="s">
        <v>232</v>
      </c>
      <c r="T7" s="4"/>
      <c r="U7" s="8" t="n">
        <v>14</v>
      </c>
      <c r="V7" s="6" t="n">
        <v>98.8</v>
      </c>
      <c r="W7" s="7" t="n">
        <v>7.057</v>
      </c>
      <c r="X7" s="8" t="n">
        <v>61</v>
      </c>
      <c r="Y7" s="8" t="n">
        <v>177</v>
      </c>
      <c r="Z7" s="10" t="n">
        <v>0.352</v>
      </c>
      <c r="AA7" s="8" t="n">
        <v>3</v>
      </c>
      <c r="AB7" s="10" t="n">
        <v>0.006</v>
      </c>
      <c r="AC7" s="8" t="n">
        <v>21</v>
      </c>
      <c r="AD7" s="6" t="n">
        <v>45.9</v>
      </c>
      <c r="AE7" s="10" t="n">
        <v>0.723</v>
      </c>
      <c r="AF7" s="8" t="n">
        <v>4</v>
      </c>
      <c r="AG7" s="10" t="n">
        <v>-0.0466</v>
      </c>
      <c r="AH7" s="6" t="n">
        <v>22.4</v>
      </c>
    </row>
    <row r="8" customFormat="false" ht="15" hidden="false" customHeight="false" outlineLevel="0" collapsed="false">
      <c r="A8" s="3" t="n">
        <v>6</v>
      </c>
      <c r="B8" s="4" t="s">
        <v>554</v>
      </c>
      <c r="C8" s="5" t="s">
        <v>99</v>
      </c>
      <c r="D8" s="4" t="s">
        <v>555</v>
      </c>
      <c r="E8" s="4" t="s">
        <v>265</v>
      </c>
      <c r="F8" s="4" t="s">
        <v>270</v>
      </c>
      <c r="G8" s="3" t="n">
        <v>1</v>
      </c>
      <c r="H8" s="6" t="n">
        <v>24.7</v>
      </c>
      <c r="I8" s="3" t="n">
        <v>2</v>
      </c>
      <c r="J8" s="3" t="n">
        <v>9</v>
      </c>
      <c r="K8" s="7" t="n">
        <v>232.95</v>
      </c>
      <c r="L8" s="7" t="n">
        <v>36.76</v>
      </c>
      <c r="M8" s="8" t="n">
        <v>150</v>
      </c>
      <c r="N8" s="8" t="n">
        <v>328</v>
      </c>
      <c r="O8" s="7" t="n">
        <v>232.95</v>
      </c>
      <c r="P8" s="6" t="n">
        <v>8.8</v>
      </c>
      <c r="Q8" s="7" t="n">
        <v>0.95</v>
      </c>
      <c r="R8" s="7" t="n">
        <v>0.249</v>
      </c>
      <c r="S8" s="4" t="s">
        <v>232</v>
      </c>
      <c r="T8" s="4"/>
      <c r="U8" s="8" t="n">
        <v>17</v>
      </c>
      <c r="V8" s="6" t="n">
        <v>128.1</v>
      </c>
      <c r="W8" s="7" t="n">
        <v>7.535</v>
      </c>
      <c r="X8" s="8" t="n">
        <v>47</v>
      </c>
      <c r="Y8" s="8" t="n">
        <v>152</v>
      </c>
      <c r="Z8" s="10" t="n">
        <v>0.287</v>
      </c>
      <c r="AA8" s="8" t="n">
        <v>0</v>
      </c>
      <c r="AB8" s="10" t="n">
        <v>0</v>
      </c>
      <c r="AC8" s="8" t="n">
        <v>8</v>
      </c>
      <c r="AD8" s="6" t="n">
        <v>41.1</v>
      </c>
      <c r="AE8" s="10" t="n">
        <v>0.527</v>
      </c>
      <c r="AF8" s="8" t="n">
        <v>3</v>
      </c>
      <c r="AG8" s="10" t="n">
        <v>-0.0385</v>
      </c>
      <c r="AH8" s="6" t="n">
        <v>16.7</v>
      </c>
    </row>
    <row r="9" customFormat="false" ht="15" hidden="false" customHeight="false" outlineLevel="0" collapsed="false">
      <c r="A9" s="3" t="n">
        <v>7</v>
      </c>
      <c r="B9" s="4" t="s">
        <v>417</v>
      </c>
      <c r="C9" s="5" t="s">
        <v>99</v>
      </c>
      <c r="D9" s="4" t="s">
        <v>418</v>
      </c>
      <c r="E9" s="4" t="s">
        <v>124</v>
      </c>
      <c r="F9" s="4" t="s">
        <v>99</v>
      </c>
      <c r="G9" s="3" t="n">
        <v>2</v>
      </c>
      <c r="H9" s="6" t="n">
        <v>30.6</v>
      </c>
      <c r="I9" s="3" t="n">
        <v>8</v>
      </c>
      <c r="J9" s="3" t="n">
        <v>8</v>
      </c>
      <c r="K9" s="7" t="n">
        <v>142.01</v>
      </c>
      <c r="L9" s="7" t="n">
        <v>34.85</v>
      </c>
      <c r="M9" s="8" t="n">
        <v>83</v>
      </c>
      <c r="N9" s="8" t="n">
        <v>241</v>
      </c>
      <c r="O9" s="7" t="n">
        <v>142.01</v>
      </c>
      <c r="P9" s="6" t="n">
        <v>58.5</v>
      </c>
      <c r="Q9" s="7" t="n">
        <v>0.923</v>
      </c>
      <c r="R9" s="7" t="n">
        <v>0.572</v>
      </c>
      <c r="S9" s="4" t="s">
        <v>232</v>
      </c>
      <c r="T9" s="4"/>
      <c r="U9" s="8" t="n">
        <v>16</v>
      </c>
      <c r="V9" s="6" t="n">
        <v>188.2</v>
      </c>
      <c r="W9" s="7" t="n">
        <v>11.763</v>
      </c>
      <c r="X9" s="8" t="n">
        <v>25</v>
      </c>
      <c r="Y9" s="8" t="n">
        <v>170</v>
      </c>
      <c r="Z9" s="10" t="n">
        <v>0.309</v>
      </c>
      <c r="AA9" s="8" t="n">
        <v>94</v>
      </c>
      <c r="AB9" s="10" t="n">
        <v>0.195</v>
      </c>
      <c r="AC9" s="8" t="n">
        <v>38</v>
      </c>
      <c r="AD9" s="6" t="n">
        <v>63.3</v>
      </c>
      <c r="AE9" s="10" t="n">
        <v>0.852</v>
      </c>
      <c r="AF9" s="8" t="n">
        <v>4</v>
      </c>
      <c r="AG9" s="10" t="n">
        <v>-0.0088</v>
      </c>
      <c r="AH9" s="6" t="n">
        <v>25.7</v>
      </c>
    </row>
    <row r="10" customFormat="false" ht="15" hidden="false" customHeight="false" outlineLevel="0" collapsed="false">
      <c r="A10" s="3" t="n">
        <v>8</v>
      </c>
      <c r="B10" s="4" t="s">
        <v>611</v>
      </c>
      <c r="C10" s="5" t="s">
        <v>99</v>
      </c>
      <c r="D10" s="4" t="s">
        <v>612</v>
      </c>
      <c r="E10" s="4" t="s">
        <v>209</v>
      </c>
      <c r="F10" s="4" t="s">
        <v>270</v>
      </c>
      <c r="G10" s="3" t="n">
        <v>1</v>
      </c>
      <c r="H10" s="6" t="n">
        <v>24.4</v>
      </c>
      <c r="I10" s="3" t="n">
        <v>4</v>
      </c>
      <c r="J10" s="3" t="n">
        <v>10</v>
      </c>
      <c r="K10" s="7" t="n">
        <v>259.05</v>
      </c>
      <c r="L10" s="7" t="n">
        <v>24.21</v>
      </c>
      <c r="M10" s="8" t="n">
        <v>202</v>
      </c>
      <c r="N10" s="8" t="n">
        <v>299</v>
      </c>
      <c r="O10" s="7" t="n">
        <v>259.05</v>
      </c>
      <c r="P10" s="6" t="n">
        <v>6.5</v>
      </c>
      <c r="Q10" s="7" t="n">
        <v>0.86</v>
      </c>
      <c r="R10" s="7" t="n">
        <v>0.421</v>
      </c>
      <c r="S10" s="4" t="s">
        <v>232</v>
      </c>
      <c r="T10" s="4"/>
      <c r="U10" s="8" t="n">
        <v>15</v>
      </c>
      <c r="V10" s="6" t="n">
        <v>95</v>
      </c>
      <c r="W10" s="7" t="n">
        <v>6.333</v>
      </c>
      <c r="X10" s="8" t="n">
        <v>62</v>
      </c>
      <c r="Y10" s="8" t="n">
        <v>4</v>
      </c>
      <c r="Z10" s="10" t="n">
        <v>0.007</v>
      </c>
      <c r="AA10" s="8" t="n">
        <v>0</v>
      </c>
      <c r="AB10" s="10" t="n">
        <v>0</v>
      </c>
      <c r="AC10" s="8" t="n">
        <v>1</v>
      </c>
      <c r="AD10" s="6" t="n">
        <v>63.2</v>
      </c>
      <c r="AE10" s="10" t="n">
        <v>0.999</v>
      </c>
      <c r="AF10" s="8" t="n">
        <v>5</v>
      </c>
      <c r="AG10" s="10" t="n">
        <v>0.0157</v>
      </c>
      <c r="AH10" s="6" t="n">
        <v>23.6</v>
      </c>
    </row>
    <row r="11" customFormat="false" ht="15" hidden="false" customHeight="false" outlineLevel="0" collapsed="false">
      <c r="A11" s="3" t="n">
        <v>9</v>
      </c>
      <c r="B11" s="4" t="s">
        <v>315</v>
      </c>
      <c r="C11" s="5" t="s">
        <v>99</v>
      </c>
      <c r="D11" s="4" t="s">
        <v>316</v>
      </c>
      <c r="E11" s="4" t="s">
        <v>265</v>
      </c>
      <c r="F11" s="4" t="s">
        <v>99</v>
      </c>
      <c r="G11" s="3" t="n">
        <v>2</v>
      </c>
      <c r="H11" s="6" t="n">
        <v>25.6</v>
      </c>
      <c r="I11" s="3" t="n">
        <v>5</v>
      </c>
      <c r="J11" s="3" t="n">
        <v>9</v>
      </c>
      <c r="K11" s="7" t="n">
        <v>87.71</v>
      </c>
      <c r="L11" s="7" t="n">
        <v>14.12</v>
      </c>
      <c r="M11" s="8" t="n">
        <v>48</v>
      </c>
      <c r="N11" s="8" t="n">
        <v>135</v>
      </c>
      <c r="O11" s="7" t="n">
        <v>87.71</v>
      </c>
      <c r="P11" s="6" t="n">
        <v>71.1</v>
      </c>
      <c r="Q11" s="7" t="n">
        <v>0.838</v>
      </c>
      <c r="R11" s="7" t="n">
        <v>0.706</v>
      </c>
      <c r="S11" s="4" t="s">
        <v>232</v>
      </c>
      <c r="T11" s="4"/>
      <c r="U11" s="8" t="n">
        <v>16</v>
      </c>
      <c r="V11" s="6" t="n">
        <v>217.9</v>
      </c>
      <c r="W11" s="7" t="n">
        <v>13.619</v>
      </c>
      <c r="X11" s="8" t="n">
        <v>14</v>
      </c>
      <c r="Y11" s="8" t="n">
        <v>152</v>
      </c>
      <c r="Z11" s="10" t="n">
        <v>0.287</v>
      </c>
      <c r="AA11" s="8" t="n">
        <v>0</v>
      </c>
      <c r="AB11" s="10" t="n">
        <v>0</v>
      </c>
      <c r="AC11" s="8" t="n">
        <v>8</v>
      </c>
      <c r="AD11" s="6" t="n">
        <v>41.1</v>
      </c>
      <c r="AE11" s="10" t="n">
        <v>0.527</v>
      </c>
      <c r="AF11" s="8" t="n">
        <v>3</v>
      </c>
      <c r="AG11" s="10" t="n">
        <v>-0.0385</v>
      </c>
      <c r="AH11" s="6" t="n">
        <v>16.7</v>
      </c>
    </row>
    <row r="12" customFormat="false" ht="15" hidden="false" customHeight="false" outlineLevel="0" collapsed="false">
      <c r="A12" s="3" t="n">
        <v>10</v>
      </c>
      <c r="B12" s="4" t="s">
        <v>309</v>
      </c>
      <c r="C12" s="5" t="s">
        <v>99</v>
      </c>
      <c r="D12" s="4" t="s">
        <v>310</v>
      </c>
      <c r="E12" s="4" t="s">
        <v>209</v>
      </c>
      <c r="F12" s="4" t="s">
        <v>99</v>
      </c>
      <c r="G12" s="3" t="n">
        <v>1</v>
      </c>
      <c r="H12" s="6" t="n">
        <v>30.9</v>
      </c>
      <c r="I12" s="3" t="n">
        <v>9</v>
      </c>
      <c r="J12" s="3" t="n">
        <v>10</v>
      </c>
      <c r="K12" s="7" t="n">
        <v>85.42</v>
      </c>
      <c r="L12" s="7" t="n">
        <v>14.97</v>
      </c>
      <c r="M12" s="8" t="n">
        <v>55</v>
      </c>
      <c r="N12" s="8" t="n">
        <v>116</v>
      </c>
      <c r="O12" s="7" t="n">
        <v>85.42</v>
      </c>
      <c r="P12" s="6" t="n">
        <v>87.4</v>
      </c>
      <c r="Q12" s="7" t="n">
        <v>0.811</v>
      </c>
      <c r="R12" s="7" t="n">
        <v>0.373</v>
      </c>
      <c r="S12" s="4" t="s">
        <v>232</v>
      </c>
      <c r="T12" s="4"/>
      <c r="U12" s="8" t="n">
        <v>17</v>
      </c>
      <c r="V12" s="6" t="n">
        <v>219.7</v>
      </c>
      <c r="W12" s="7" t="n">
        <v>12.924</v>
      </c>
      <c r="X12" s="8" t="n">
        <v>13</v>
      </c>
      <c r="Y12" s="8" t="n">
        <v>4</v>
      </c>
      <c r="Z12" s="10" t="n">
        <v>0.007</v>
      </c>
      <c r="AA12" s="8" t="n">
        <v>0</v>
      </c>
      <c r="AB12" s="10" t="n">
        <v>0</v>
      </c>
      <c r="AC12" s="8" t="n">
        <v>1</v>
      </c>
      <c r="AD12" s="6" t="n">
        <v>63.2</v>
      </c>
      <c r="AE12" s="10" t="n">
        <v>0.999</v>
      </c>
      <c r="AF12" s="8" t="n">
        <v>5</v>
      </c>
      <c r="AG12" s="10" t="n">
        <v>0.0157</v>
      </c>
      <c r="AH12" s="6" t="n">
        <v>23.6</v>
      </c>
    </row>
    <row r="13" customFormat="false" ht="15" hidden="false" customHeight="false" outlineLevel="0" collapsed="false">
      <c r="A13" s="3" t="n">
        <v>11</v>
      </c>
      <c r="B13" s="4" t="s">
        <v>613</v>
      </c>
      <c r="C13" s="5" t="s">
        <v>99</v>
      </c>
      <c r="D13" s="4" t="s">
        <v>614</v>
      </c>
      <c r="E13" s="4" t="s">
        <v>191</v>
      </c>
      <c r="F13" s="4" t="s">
        <v>99</v>
      </c>
      <c r="G13" s="3" t="n">
        <v>3</v>
      </c>
      <c r="H13" s="6" t="n">
        <v>25.5</v>
      </c>
      <c r="I13" s="3" t="n">
        <v>3</v>
      </c>
      <c r="J13" s="3" t="n">
        <v>5</v>
      </c>
      <c r="K13" s="7" t="n">
        <v>259.56</v>
      </c>
      <c r="L13" s="7" t="n">
        <v>31.85</v>
      </c>
      <c r="M13" s="8" t="n">
        <v>178</v>
      </c>
      <c r="N13" s="8" t="n">
        <v>332</v>
      </c>
      <c r="O13" s="7" t="n">
        <v>259.56</v>
      </c>
      <c r="P13" s="6" t="n">
        <v>2.9</v>
      </c>
      <c r="Q13" s="7" t="n">
        <v>0.807</v>
      </c>
      <c r="R13" s="7" t="n">
        <v>0.413</v>
      </c>
      <c r="S13" s="4" t="s">
        <v>232</v>
      </c>
      <c r="T13" s="4"/>
      <c r="U13" s="8" t="n">
        <v>15</v>
      </c>
      <c r="V13" s="6" t="n">
        <v>89.3</v>
      </c>
      <c r="W13" s="7" t="n">
        <v>5.953</v>
      </c>
      <c r="X13" s="8" t="n">
        <v>64</v>
      </c>
      <c r="Y13" s="8" t="n">
        <v>50</v>
      </c>
      <c r="Z13" s="10" t="n">
        <v>0.104</v>
      </c>
      <c r="AA13" s="8" t="n">
        <v>242</v>
      </c>
      <c r="AB13" s="10" t="n">
        <v>0.525</v>
      </c>
      <c r="AC13" s="8" t="n">
        <v>40</v>
      </c>
      <c r="AD13" s="6" t="n">
        <v>56.6</v>
      </c>
      <c r="AE13" s="10" t="n">
        <v>0.596</v>
      </c>
      <c r="AF13" s="8" t="n">
        <v>3</v>
      </c>
      <c r="AG13" s="10" t="n">
        <v>-0.061</v>
      </c>
      <c r="AH13" s="6" t="n">
        <v>18.3</v>
      </c>
    </row>
    <row r="14" customFormat="false" ht="15" hidden="false" customHeight="false" outlineLevel="0" collapsed="false">
      <c r="A14" s="3" t="n">
        <v>12</v>
      </c>
      <c r="B14" s="4" t="s">
        <v>564</v>
      </c>
      <c r="C14" s="5" t="s">
        <v>99</v>
      </c>
      <c r="D14" s="4" t="s">
        <v>565</v>
      </c>
      <c r="E14" s="4" t="s">
        <v>265</v>
      </c>
      <c r="F14" s="4" t="s">
        <v>99</v>
      </c>
      <c r="G14" s="3" t="n">
        <v>5</v>
      </c>
      <c r="H14" s="6" t="n">
        <v>23.2</v>
      </c>
      <c r="I14" s="3" t="n">
        <v>2</v>
      </c>
      <c r="J14" s="3" t="n">
        <v>9</v>
      </c>
      <c r="K14" s="7" t="n">
        <v>242.52</v>
      </c>
      <c r="L14" s="7" t="n">
        <v>36.68</v>
      </c>
      <c r="M14" s="8" t="n">
        <v>168</v>
      </c>
      <c r="N14" s="8" t="n">
        <v>344</v>
      </c>
      <c r="O14" s="7" t="n">
        <v>242.52</v>
      </c>
      <c r="P14" s="6" t="n">
        <v>6.6</v>
      </c>
      <c r="Q14" s="7" t="n">
        <v>0.758</v>
      </c>
      <c r="R14" s="7" t="n">
        <v>0.232</v>
      </c>
      <c r="S14" s="4" t="s">
        <v>232</v>
      </c>
      <c r="T14" s="4"/>
      <c r="U14" s="8" t="n">
        <v>16</v>
      </c>
      <c r="V14" s="6" t="n">
        <v>116.5</v>
      </c>
      <c r="W14" s="7" t="n">
        <v>7.281</v>
      </c>
      <c r="X14" s="8" t="n">
        <v>53</v>
      </c>
      <c r="Y14" s="8" t="n">
        <v>152</v>
      </c>
      <c r="Z14" s="10" t="n">
        <v>0.287</v>
      </c>
      <c r="AA14" s="8" t="n">
        <v>0</v>
      </c>
      <c r="AB14" s="10" t="n">
        <v>0</v>
      </c>
      <c r="AC14" s="8" t="n">
        <v>8</v>
      </c>
      <c r="AD14" s="6" t="n">
        <v>41.1</v>
      </c>
      <c r="AE14" s="10" t="n">
        <v>0.527</v>
      </c>
      <c r="AF14" s="8" t="n">
        <v>3</v>
      </c>
      <c r="AG14" s="10" t="n">
        <v>-0.0385</v>
      </c>
      <c r="AH14" s="6" t="n">
        <v>16.7</v>
      </c>
    </row>
    <row r="15" customFormat="false" ht="15" hidden="false" customHeight="false" outlineLevel="0" collapsed="false">
      <c r="A15" s="3" t="n">
        <v>13</v>
      </c>
      <c r="B15" s="4" t="s">
        <v>445</v>
      </c>
      <c r="C15" s="5" t="s">
        <v>99</v>
      </c>
      <c r="D15" s="4" t="s">
        <v>446</v>
      </c>
      <c r="E15" s="4" t="s">
        <v>127</v>
      </c>
      <c r="F15" s="4" t="s">
        <v>99</v>
      </c>
      <c r="G15" s="3" t="n">
        <v>3</v>
      </c>
      <c r="H15" s="6" t="n">
        <v>29.1</v>
      </c>
      <c r="I15" s="3" t="n">
        <v>6</v>
      </c>
      <c r="J15" s="3" t="n">
        <v>6</v>
      </c>
      <c r="K15" s="7" t="n">
        <v>157.65</v>
      </c>
      <c r="L15" s="7" t="n">
        <v>28.04</v>
      </c>
      <c r="M15" s="8" t="n">
        <v>94</v>
      </c>
      <c r="N15" s="8" t="n">
        <v>283</v>
      </c>
      <c r="O15" s="7" t="n">
        <v>157.65</v>
      </c>
      <c r="P15" s="6" t="n">
        <v>27.4</v>
      </c>
      <c r="Q15" s="7" t="n">
        <v>0.679</v>
      </c>
      <c r="R15" s="7" t="n">
        <v>0.634</v>
      </c>
      <c r="S15" s="4" t="s">
        <v>232</v>
      </c>
      <c r="T15" s="4"/>
      <c r="U15" s="8" t="n">
        <v>15</v>
      </c>
      <c r="V15" s="6" t="n">
        <v>173.3</v>
      </c>
      <c r="W15" s="7" t="n">
        <v>11.553</v>
      </c>
      <c r="X15" s="8" t="n">
        <v>33</v>
      </c>
      <c r="Y15" s="8" t="n">
        <v>82</v>
      </c>
      <c r="Z15" s="10" t="n">
        <v>0.175</v>
      </c>
      <c r="AA15" s="8" t="n">
        <v>24</v>
      </c>
      <c r="AB15" s="10" t="n">
        <v>0.059</v>
      </c>
      <c r="AC15" s="8" t="n">
        <v>17</v>
      </c>
      <c r="AD15" s="6" t="n">
        <v>36</v>
      </c>
      <c r="AE15" s="10" t="n">
        <v>0.819</v>
      </c>
      <c r="AF15" s="8" t="n">
        <v>5</v>
      </c>
      <c r="AG15" s="10" t="n">
        <v>-0.012</v>
      </c>
      <c r="AH15" s="6" t="n">
        <v>20.2</v>
      </c>
    </row>
    <row r="16" customFormat="false" ht="15" hidden="false" customHeight="false" outlineLevel="0" collapsed="false">
      <c r="A16" s="3" t="n">
        <v>14</v>
      </c>
      <c r="B16" s="4" t="s">
        <v>631</v>
      </c>
      <c r="C16" s="5" t="s">
        <v>99</v>
      </c>
      <c r="D16" s="4" t="s">
        <v>632</v>
      </c>
      <c r="E16" s="4" t="s">
        <v>164</v>
      </c>
      <c r="F16" s="4" t="s">
        <v>99</v>
      </c>
      <c r="G16" s="3" t="n">
        <v>3</v>
      </c>
      <c r="H16" s="6" t="n">
        <v>26</v>
      </c>
      <c r="I16" s="3" t="n">
        <v>5</v>
      </c>
      <c r="J16" s="3" t="n">
        <v>5</v>
      </c>
      <c r="K16" s="7" t="n">
        <v>267.62</v>
      </c>
      <c r="L16" s="7" t="n">
        <v>31.88</v>
      </c>
      <c r="M16" s="8" t="n">
        <v>170</v>
      </c>
      <c r="N16" s="8" t="n">
        <v>370</v>
      </c>
      <c r="O16" s="7" t="n">
        <v>267.62</v>
      </c>
      <c r="P16" s="6" t="n">
        <v>3.5</v>
      </c>
      <c r="Q16" s="7" t="n">
        <v>0.659</v>
      </c>
      <c r="R16" s="7" t="n">
        <v>0.571</v>
      </c>
      <c r="S16" s="4" t="s">
        <v>232</v>
      </c>
      <c r="T16" s="4"/>
      <c r="U16" s="8" t="n">
        <v>12</v>
      </c>
      <c r="V16" s="6" t="n">
        <v>80.8</v>
      </c>
      <c r="W16" s="7" t="n">
        <v>6.733</v>
      </c>
      <c r="X16" s="8" t="n">
        <v>69</v>
      </c>
      <c r="Y16" s="8" t="n">
        <v>147</v>
      </c>
      <c r="Z16" s="10" t="n">
        <v>0.268</v>
      </c>
      <c r="AA16" s="8" t="n">
        <v>129</v>
      </c>
      <c r="AB16" s="10" t="n">
        <v>0.3</v>
      </c>
      <c r="AC16" s="8" t="n">
        <v>43</v>
      </c>
      <c r="AD16" s="6" t="n">
        <v>50.1</v>
      </c>
      <c r="AE16" s="10" t="n">
        <v>0.864</v>
      </c>
      <c r="AF16" s="8" t="n">
        <v>5</v>
      </c>
      <c r="AG16" s="10" t="n">
        <v>0.0395</v>
      </c>
      <c r="AH16" s="6" t="n">
        <v>21.3</v>
      </c>
    </row>
    <row r="17" customFormat="false" ht="15" hidden="false" customHeight="false" outlineLevel="0" collapsed="false">
      <c r="A17" s="3" t="n">
        <v>15</v>
      </c>
      <c r="B17" s="4" t="s">
        <v>600</v>
      </c>
      <c r="C17" s="11" t="s">
        <v>104</v>
      </c>
      <c r="D17" s="4" t="s">
        <v>601</v>
      </c>
      <c r="E17" s="4" t="s">
        <v>147</v>
      </c>
      <c r="F17" s="4" t="s">
        <v>281</v>
      </c>
      <c r="G17" s="3" t="n">
        <v>2</v>
      </c>
      <c r="H17" s="6" t="n">
        <v>28.9</v>
      </c>
      <c r="I17" s="3" t="n">
        <v>8</v>
      </c>
      <c r="J17" s="3" t="n">
        <v>7</v>
      </c>
      <c r="K17" s="7" t="n">
        <v>255.07</v>
      </c>
      <c r="L17" s="7" t="n">
        <v>36.02</v>
      </c>
      <c r="M17" s="8" t="n">
        <v>156</v>
      </c>
      <c r="N17" s="8" t="n">
        <v>385</v>
      </c>
      <c r="O17" s="7" t="n">
        <v>255.07</v>
      </c>
      <c r="P17" s="6" t="n">
        <v>2.6</v>
      </c>
      <c r="Q17" s="7" t="n">
        <v>0.648</v>
      </c>
      <c r="R17" s="7" t="n">
        <v>0.385</v>
      </c>
      <c r="S17" s="4" t="s">
        <v>232</v>
      </c>
      <c r="T17" s="4"/>
      <c r="U17" s="8" t="n">
        <v>17</v>
      </c>
      <c r="V17" s="6" t="n">
        <v>100.3</v>
      </c>
      <c r="W17" s="7" t="n">
        <v>5.9</v>
      </c>
      <c r="X17" s="8" t="n">
        <v>45</v>
      </c>
      <c r="Y17" s="8" t="n">
        <v>19</v>
      </c>
      <c r="Z17" s="10" t="n">
        <v>0.04</v>
      </c>
      <c r="AA17" s="8" t="n">
        <v>17</v>
      </c>
      <c r="AB17" s="10" t="n">
        <v>0.031</v>
      </c>
      <c r="AC17" s="8" t="n">
        <v>2</v>
      </c>
      <c r="AD17" s="6" t="n">
        <v>73.6</v>
      </c>
      <c r="AE17" s="10" t="n">
        <v>0.763</v>
      </c>
      <c r="AF17" s="8" t="n">
        <v>4</v>
      </c>
      <c r="AG17" s="10" t="n">
        <v>-0.0352</v>
      </c>
      <c r="AH17" s="6" t="n">
        <v>28.3</v>
      </c>
    </row>
    <row r="18" customFormat="false" ht="15" hidden="false" customHeight="false" outlineLevel="0" collapsed="false">
      <c r="A18" s="3" t="n">
        <v>16</v>
      </c>
      <c r="B18" s="4" t="s">
        <v>467</v>
      </c>
      <c r="C18" s="5" t="s">
        <v>99</v>
      </c>
      <c r="D18" s="4" t="s">
        <v>468</v>
      </c>
      <c r="E18" s="4" t="s">
        <v>142</v>
      </c>
      <c r="F18" s="4" t="s">
        <v>270</v>
      </c>
      <c r="G18" s="3" t="n">
        <v>1</v>
      </c>
      <c r="H18" s="6" t="n">
        <v>25.4</v>
      </c>
      <c r="I18" s="3" t="n">
        <v>4</v>
      </c>
      <c r="J18" s="3" t="n">
        <v>13</v>
      </c>
      <c r="K18" s="7" t="n">
        <v>172.63</v>
      </c>
      <c r="L18" s="7" t="n">
        <v>28.44</v>
      </c>
      <c r="M18" s="8" t="n">
        <v>109</v>
      </c>
      <c r="N18" s="8" t="n">
        <v>289</v>
      </c>
      <c r="O18" s="7" t="n">
        <v>172.63</v>
      </c>
      <c r="P18" s="6" t="n">
        <v>20.2</v>
      </c>
      <c r="Q18" s="7" t="n">
        <v>0.636</v>
      </c>
      <c r="R18" s="7" t="n">
        <v>0.11</v>
      </c>
      <c r="S18" s="4" t="s">
        <v>232</v>
      </c>
      <c r="T18" s="4"/>
      <c r="U18" s="8" t="n">
        <v>17</v>
      </c>
      <c r="V18" s="6" t="n">
        <v>161.7</v>
      </c>
      <c r="W18" s="7" t="n">
        <v>9.512</v>
      </c>
      <c r="X18" s="8" t="n">
        <v>38</v>
      </c>
      <c r="Y18" s="8" t="n">
        <v>55</v>
      </c>
      <c r="Z18" s="10" t="n">
        <v>0.111</v>
      </c>
      <c r="AA18" s="8" t="n">
        <v>58</v>
      </c>
      <c r="AB18" s="10" t="n">
        <v>0.157</v>
      </c>
      <c r="AC18" s="8" t="n">
        <v>13</v>
      </c>
      <c r="AD18" s="6" t="n">
        <v>15.2</v>
      </c>
      <c r="AE18" s="10" t="n">
        <v>0.384</v>
      </c>
      <c r="AF18" s="8" t="n">
        <v>2</v>
      </c>
      <c r="AG18" s="10" t="n">
        <v>-0.0175</v>
      </c>
      <c r="AH18" s="6" t="n">
        <v>14.2</v>
      </c>
    </row>
    <row r="19" customFormat="false" ht="15" hidden="false" customHeight="false" outlineLevel="0" collapsed="false">
      <c r="A19" s="3" t="n">
        <v>17</v>
      </c>
      <c r="B19" s="4" t="s">
        <v>421</v>
      </c>
      <c r="C19" s="11" t="s">
        <v>104</v>
      </c>
      <c r="D19" s="4" t="s">
        <v>422</v>
      </c>
      <c r="E19" s="4" t="s">
        <v>115</v>
      </c>
      <c r="F19" s="4" t="s">
        <v>104</v>
      </c>
      <c r="G19" s="3" t="n">
        <v>1</v>
      </c>
      <c r="H19" s="6" t="n">
        <v>25.6</v>
      </c>
      <c r="I19" s="3" t="n">
        <v>4</v>
      </c>
      <c r="J19" s="3" t="n">
        <v>11</v>
      </c>
      <c r="K19" s="7" t="n">
        <v>143.64</v>
      </c>
      <c r="L19" s="7" t="n">
        <v>19.97</v>
      </c>
      <c r="M19" s="8" t="n">
        <v>102</v>
      </c>
      <c r="N19" s="8" t="n">
        <v>245</v>
      </c>
      <c r="O19" s="7" t="n">
        <v>143.64</v>
      </c>
      <c r="P19" s="6" t="n">
        <v>62.5</v>
      </c>
      <c r="Q19" s="7" t="n">
        <v>0.613</v>
      </c>
      <c r="R19" s="7" t="n">
        <v>0.437</v>
      </c>
      <c r="S19" s="4" t="s">
        <v>232</v>
      </c>
      <c r="T19" s="4"/>
      <c r="U19" s="8" t="n">
        <v>16</v>
      </c>
      <c r="V19" s="6" t="n">
        <v>181.4</v>
      </c>
      <c r="W19" s="7" t="n">
        <v>11.338</v>
      </c>
      <c r="X19" s="8" t="n">
        <v>24</v>
      </c>
      <c r="Y19" s="8" t="n">
        <v>39</v>
      </c>
      <c r="Z19" s="10" t="n">
        <v>0.086</v>
      </c>
      <c r="AA19" s="8" t="n">
        <v>221</v>
      </c>
      <c r="AB19" s="10" t="n">
        <v>0.436</v>
      </c>
      <c r="AC19" s="8" t="n">
        <v>37</v>
      </c>
      <c r="AD19" s="6" t="n">
        <v>49.9</v>
      </c>
      <c r="AE19" s="10" t="n">
        <v>0.942</v>
      </c>
      <c r="AF19" s="8" t="n">
        <v>5</v>
      </c>
      <c r="AG19" s="10" t="n">
        <v>-0.0677</v>
      </c>
      <c r="AH19" s="6" t="n">
        <v>28.4</v>
      </c>
    </row>
    <row r="20" customFormat="false" ht="15" hidden="false" customHeight="false" outlineLevel="0" collapsed="false">
      <c r="A20" s="3" t="n">
        <v>18</v>
      </c>
      <c r="B20" s="4" t="s">
        <v>572</v>
      </c>
      <c r="C20" s="5" t="s">
        <v>99</v>
      </c>
      <c r="D20" s="4" t="s">
        <v>573</v>
      </c>
      <c r="E20" s="4" t="s">
        <v>147</v>
      </c>
      <c r="F20" s="4" t="s">
        <v>270</v>
      </c>
      <c r="G20" s="3" t="n">
        <v>2</v>
      </c>
      <c r="H20" s="6" t="n">
        <v>23.3</v>
      </c>
      <c r="I20" s="3" t="n">
        <v>3</v>
      </c>
      <c r="J20" s="3" t="n">
        <v>7</v>
      </c>
      <c r="K20" s="7" t="n">
        <v>244.59</v>
      </c>
      <c r="L20" s="7" t="n">
        <v>31.75</v>
      </c>
      <c r="M20" s="8" t="n">
        <v>140</v>
      </c>
      <c r="N20" s="8" t="n">
        <v>331</v>
      </c>
      <c r="O20" s="7" t="n">
        <v>244.59</v>
      </c>
      <c r="P20" s="6" t="n">
        <v>7.5</v>
      </c>
      <c r="Q20" s="7" t="n">
        <v>0.61</v>
      </c>
      <c r="R20" s="7" t="n">
        <v>0.697</v>
      </c>
      <c r="S20" s="4" t="s">
        <v>232</v>
      </c>
      <c r="T20" s="4"/>
      <c r="U20" s="8" t="n">
        <v>12</v>
      </c>
      <c r="V20" s="6" t="n">
        <v>102.4</v>
      </c>
      <c r="W20" s="7" t="n">
        <v>8.533</v>
      </c>
      <c r="X20" s="8" t="n">
        <v>58</v>
      </c>
      <c r="Y20" s="8" t="n">
        <v>19</v>
      </c>
      <c r="Z20" s="10" t="n">
        <v>0.04</v>
      </c>
      <c r="AA20" s="8" t="n">
        <v>17</v>
      </c>
      <c r="AB20" s="10" t="n">
        <v>0.031</v>
      </c>
      <c r="AC20" s="8" t="n">
        <v>2</v>
      </c>
      <c r="AD20" s="6" t="n">
        <v>73.6</v>
      </c>
      <c r="AE20" s="10" t="n">
        <v>0.763</v>
      </c>
      <c r="AF20" s="8" t="n">
        <v>4</v>
      </c>
      <c r="AG20" s="10" t="n">
        <v>-0.0352</v>
      </c>
      <c r="AH20" s="6" t="n">
        <v>28.3</v>
      </c>
    </row>
    <row r="21" customFormat="false" ht="15" hidden="false" customHeight="false" outlineLevel="0" collapsed="false">
      <c r="A21" s="3" t="n">
        <v>19</v>
      </c>
      <c r="B21" s="4" t="s">
        <v>637</v>
      </c>
      <c r="C21" s="11" t="s">
        <v>104</v>
      </c>
      <c r="D21" s="4" t="s">
        <v>638</v>
      </c>
      <c r="E21" s="4" t="s">
        <v>101</v>
      </c>
      <c r="F21" s="4" t="s">
        <v>104</v>
      </c>
      <c r="G21" s="3" t="n">
        <v>2</v>
      </c>
      <c r="H21" s="6" t="n">
        <v>30.9</v>
      </c>
      <c r="I21" s="3" t="n">
        <v>10</v>
      </c>
      <c r="J21" s="3" t="n">
        <v>6</v>
      </c>
      <c r="K21" s="7" t="n">
        <v>270.44</v>
      </c>
      <c r="L21" s="7" t="n">
        <v>39.7</v>
      </c>
      <c r="M21" s="8" t="n">
        <v>157</v>
      </c>
      <c r="N21" s="8" t="n">
        <v>414</v>
      </c>
      <c r="O21" s="7" t="n">
        <v>270.44</v>
      </c>
      <c r="P21" s="6" t="n">
        <v>4</v>
      </c>
      <c r="Q21" s="7" t="n">
        <v>0.59</v>
      </c>
      <c r="R21" s="7" t="n">
        <v>0.414</v>
      </c>
      <c r="S21" s="4" t="s">
        <v>232</v>
      </c>
      <c r="T21" s="4"/>
      <c r="U21" s="8" t="n">
        <v>15</v>
      </c>
      <c r="V21" s="6" t="n">
        <v>77.9</v>
      </c>
      <c r="W21" s="7" t="n">
        <v>5.193</v>
      </c>
      <c r="X21" s="8" t="n">
        <v>52</v>
      </c>
      <c r="Y21" s="8" t="n">
        <v>41</v>
      </c>
      <c r="Z21" s="10" t="n">
        <v>0.067</v>
      </c>
      <c r="AA21" s="8" t="n">
        <v>9</v>
      </c>
      <c r="AB21" s="10" t="n">
        <v>0.024</v>
      </c>
      <c r="AC21" s="8" t="n">
        <v>6</v>
      </c>
      <c r="AD21" s="6" t="n">
        <v>60.4</v>
      </c>
      <c r="AE21" s="10" t="n">
        <v>0.996</v>
      </c>
      <c r="AF21" s="8" t="n">
        <v>5</v>
      </c>
      <c r="AG21" s="10" t="n">
        <v>0.0172</v>
      </c>
      <c r="AH21" s="6" t="n">
        <v>24.4</v>
      </c>
    </row>
    <row r="22" customFormat="false" ht="15" hidden="false" customHeight="false" outlineLevel="0" collapsed="false">
      <c r="A22" s="3" t="n">
        <v>20</v>
      </c>
      <c r="B22" s="4" t="s">
        <v>540</v>
      </c>
      <c r="C22" s="5" t="s">
        <v>99</v>
      </c>
      <c r="D22" s="4" t="s">
        <v>541</v>
      </c>
      <c r="E22" s="4" t="s">
        <v>115</v>
      </c>
      <c r="F22" s="4" t="s">
        <v>99</v>
      </c>
      <c r="G22" s="3" t="n">
        <v>3</v>
      </c>
      <c r="H22" s="6" t="n">
        <v>33.2</v>
      </c>
      <c r="I22" s="3" t="n">
        <v>10</v>
      </c>
      <c r="J22" s="3" t="n">
        <v>11</v>
      </c>
      <c r="K22" s="7" t="n">
        <v>222</v>
      </c>
      <c r="L22" s="7" t="n">
        <v>30.82</v>
      </c>
      <c r="M22" s="8" t="n">
        <v>140</v>
      </c>
      <c r="N22" s="8" t="n">
        <v>298</v>
      </c>
      <c r="O22" s="7" t="n">
        <v>222</v>
      </c>
      <c r="P22" s="6" t="n">
        <v>12.7</v>
      </c>
      <c r="Q22" s="7" t="n">
        <v>0.573</v>
      </c>
      <c r="R22" s="7" t="n">
        <v>0.047</v>
      </c>
      <c r="S22" s="4" t="s">
        <v>232</v>
      </c>
      <c r="T22" s="4"/>
      <c r="U22" s="8" t="n">
        <v>16</v>
      </c>
      <c r="V22" s="6" t="n">
        <v>116.3</v>
      </c>
      <c r="W22" s="7" t="n">
        <v>7.269</v>
      </c>
      <c r="X22" s="8" t="n">
        <v>54</v>
      </c>
      <c r="Y22" s="8" t="n">
        <v>39</v>
      </c>
      <c r="Z22" s="10" t="n">
        <v>0.086</v>
      </c>
      <c r="AA22" s="8" t="n">
        <v>221</v>
      </c>
      <c r="AB22" s="10" t="n">
        <v>0.436</v>
      </c>
      <c r="AC22" s="8" t="n">
        <v>37</v>
      </c>
      <c r="AD22" s="6" t="n">
        <v>49.9</v>
      </c>
      <c r="AE22" s="10" t="n">
        <v>0.942</v>
      </c>
      <c r="AF22" s="8" t="n">
        <v>5</v>
      </c>
      <c r="AG22" s="10" t="n">
        <v>-0.0677</v>
      </c>
      <c r="AH22" s="6" t="n">
        <v>28.4</v>
      </c>
    </row>
    <row r="23" customFormat="false" ht="15" hidden="false" customHeight="false" outlineLevel="0" collapsed="false">
      <c r="A23" s="3" t="n">
        <v>21</v>
      </c>
      <c r="B23" s="4" t="s">
        <v>305</v>
      </c>
      <c r="C23" s="5" t="s">
        <v>99</v>
      </c>
      <c r="D23" s="4" t="s">
        <v>306</v>
      </c>
      <c r="E23" s="4" t="s">
        <v>284</v>
      </c>
      <c r="F23" s="4" t="s">
        <v>99</v>
      </c>
      <c r="G23" s="3" t="n">
        <v>2</v>
      </c>
      <c r="H23" s="6" t="n">
        <v>28.9</v>
      </c>
      <c r="I23" s="3" t="n">
        <v>7</v>
      </c>
      <c r="J23" s="3" t="n">
        <v>9</v>
      </c>
      <c r="K23" s="7" t="n">
        <v>83.42</v>
      </c>
      <c r="L23" s="7" t="n">
        <v>13.88</v>
      </c>
      <c r="M23" s="8" t="n">
        <v>40</v>
      </c>
      <c r="N23" s="8" t="n">
        <v>118</v>
      </c>
      <c r="O23" s="7" t="n">
        <v>83.42</v>
      </c>
      <c r="P23" s="6" t="n">
        <v>82.8</v>
      </c>
      <c r="Q23" s="7" t="n">
        <v>0.521</v>
      </c>
      <c r="R23" s="7" t="n">
        <v>-0.005</v>
      </c>
      <c r="S23" s="4" t="s">
        <v>232</v>
      </c>
      <c r="T23" s="4"/>
      <c r="U23" s="8" t="n">
        <v>17</v>
      </c>
      <c r="V23" s="6" t="n">
        <v>202.4</v>
      </c>
      <c r="W23" s="7" t="n">
        <v>11.906</v>
      </c>
      <c r="X23" s="8" t="n">
        <v>18</v>
      </c>
      <c r="Y23" s="8" t="n">
        <v>179</v>
      </c>
      <c r="Z23" s="10" t="n">
        <v>0.343</v>
      </c>
      <c r="AA23" s="8" t="n">
        <v>129</v>
      </c>
      <c r="AB23" s="10" t="n">
        <v>0.317</v>
      </c>
      <c r="AC23" s="8" t="n">
        <v>59</v>
      </c>
      <c r="AD23" s="6" t="n">
        <v>57.4</v>
      </c>
      <c r="AE23" s="10" t="n">
        <v>0.824</v>
      </c>
      <c r="AF23" s="8" t="n">
        <v>5</v>
      </c>
      <c r="AG23" s="10" t="n">
        <v>-0.007</v>
      </c>
      <c r="AH23" s="6" t="n">
        <v>23.4</v>
      </c>
    </row>
    <row r="24" customFormat="false" ht="15" hidden="false" customHeight="false" outlineLevel="0" collapsed="false">
      <c r="A24" s="3" t="n">
        <v>22</v>
      </c>
      <c r="B24" s="4" t="s">
        <v>338</v>
      </c>
      <c r="C24" s="11" t="s">
        <v>104</v>
      </c>
      <c r="D24" s="4" t="s">
        <v>339</v>
      </c>
      <c r="E24" s="4" t="s">
        <v>198</v>
      </c>
      <c r="F24" s="4" t="s">
        <v>281</v>
      </c>
      <c r="G24" s="3" t="n">
        <v>1</v>
      </c>
      <c r="H24" s="6" t="n">
        <v>27.4</v>
      </c>
      <c r="I24" s="3" t="n">
        <v>6</v>
      </c>
      <c r="J24" s="3" t="n">
        <v>10</v>
      </c>
      <c r="K24" s="7" t="n">
        <v>101.59</v>
      </c>
      <c r="L24" s="7" t="n">
        <v>14.64</v>
      </c>
      <c r="M24" s="8" t="n">
        <v>77</v>
      </c>
      <c r="N24" s="8" t="n">
        <v>156</v>
      </c>
      <c r="O24" s="7" t="n">
        <v>101.59</v>
      </c>
      <c r="P24" s="6" t="n">
        <v>79.3</v>
      </c>
      <c r="Q24" s="7" t="n">
        <v>0.503</v>
      </c>
      <c r="R24" s="7" t="n">
        <v>0.327</v>
      </c>
      <c r="S24" s="4" t="s">
        <v>232</v>
      </c>
      <c r="T24" s="4"/>
      <c r="U24" s="8" t="n">
        <v>17</v>
      </c>
      <c r="V24" s="6" t="n">
        <v>221.3</v>
      </c>
      <c r="W24" s="7" t="n">
        <v>13.018</v>
      </c>
      <c r="X24" s="8" t="n">
        <v>16</v>
      </c>
      <c r="Y24" s="8" t="n">
        <v>111</v>
      </c>
      <c r="Z24" s="10" t="n">
        <v>0.205</v>
      </c>
      <c r="AA24" s="8" t="n">
        <v>138</v>
      </c>
      <c r="AB24" s="10" t="n">
        <v>0.292</v>
      </c>
      <c r="AC24" s="8" t="n">
        <v>38</v>
      </c>
      <c r="AD24" s="6" t="n">
        <v>57.4</v>
      </c>
      <c r="AE24" s="10" t="n">
        <v>0.791</v>
      </c>
      <c r="AF24" s="8" t="n">
        <v>4</v>
      </c>
      <c r="AG24" s="10" t="n">
        <v>-0.0347</v>
      </c>
      <c r="AH24" s="6" t="n">
        <v>22.4</v>
      </c>
    </row>
    <row r="25" customFormat="false" ht="15" hidden="false" customHeight="false" outlineLevel="0" collapsed="false">
      <c r="A25" s="3" t="n">
        <v>23</v>
      </c>
      <c r="B25" s="4" t="s">
        <v>230</v>
      </c>
      <c r="C25" s="5" t="s">
        <v>99</v>
      </c>
      <c r="D25" s="4" t="s">
        <v>231</v>
      </c>
      <c r="E25" s="4" t="s">
        <v>109</v>
      </c>
      <c r="F25" s="4" t="s">
        <v>99</v>
      </c>
      <c r="G25" s="3" t="n">
        <v>2</v>
      </c>
      <c r="H25" s="6" t="n">
        <v>33.6</v>
      </c>
      <c r="I25" s="3" t="n">
        <v>13</v>
      </c>
      <c r="J25" s="3" t="n">
        <v>11</v>
      </c>
      <c r="K25" s="7" t="n">
        <v>50.67</v>
      </c>
      <c r="L25" s="7" t="n">
        <v>8.08</v>
      </c>
      <c r="M25" s="8" t="n">
        <v>36</v>
      </c>
      <c r="N25" s="8" t="n">
        <v>81</v>
      </c>
      <c r="O25" s="7" t="n">
        <v>50.67</v>
      </c>
      <c r="P25" s="6" t="n">
        <v>96.1</v>
      </c>
      <c r="Q25" s="7" t="n">
        <v>0.491</v>
      </c>
      <c r="R25" s="7" t="n">
        <v>0.49</v>
      </c>
      <c r="S25" s="4" t="s">
        <v>232</v>
      </c>
      <c r="T25" s="4"/>
      <c r="U25" s="8" t="n">
        <v>14</v>
      </c>
      <c r="V25" s="6" t="n">
        <v>222.9</v>
      </c>
      <c r="W25" s="7" t="n">
        <v>15.921</v>
      </c>
      <c r="X25" s="8" t="n">
        <v>9</v>
      </c>
      <c r="Y25" s="8" t="n">
        <v>15</v>
      </c>
      <c r="Z25" s="10" t="n">
        <v>0.026</v>
      </c>
      <c r="AA25" s="8" t="n">
        <v>0</v>
      </c>
      <c r="AB25" s="10" t="n">
        <v>0</v>
      </c>
      <c r="AC25" s="8" t="n">
        <v>1</v>
      </c>
      <c r="AD25" s="6" t="n">
        <v>80.4</v>
      </c>
      <c r="AE25" s="10" t="n">
        <v>0.904</v>
      </c>
      <c r="AF25" s="8" t="n">
        <v>5</v>
      </c>
      <c r="AG25" s="10" t="n">
        <v>0.0296</v>
      </c>
      <c r="AH25" s="6" t="n">
        <v>30.5</v>
      </c>
    </row>
    <row r="26" customFormat="false" ht="15" hidden="false" customHeight="false" outlineLevel="0" collapsed="false">
      <c r="A26" s="3" t="n">
        <v>24</v>
      </c>
      <c r="B26" s="4" t="s">
        <v>244</v>
      </c>
      <c r="C26" s="5" t="s">
        <v>99</v>
      </c>
      <c r="D26" s="4" t="s">
        <v>245</v>
      </c>
      <c r="E26" s="4" t="s">
        <v>106</v>
      </c>
      <c r="F26" s="4" t="s">
        <v>99</v>
      </c>
      <c r="G26" s="3" t="n">
        <v>2</v>
      </c>
      <c r="H26" s="6" t="n">
        <v>25.4</v>
      </c>
      <c r="I26" s="3" t="n">
        <v>5</v>
      </c>
      <c r="J26" s="3" t="n">
        <v>6</v>
      </c>
      <c r="K26" s="7" t="n">
        <v>56.01</v>
      </c>
      <c r="L26" s="7" t="n">
        <v>9.85</v>
      </c>
      <c r="M26" s="8" t="n">
        <v>42</v>
      </c>
      <c r="N26" s="8" t="n">
        <v>100</v>
      </c>
      <c r="O26" s="7" t="n">
        <v>56.01</v>
      </c>
      <c r="P26" s="6" t="n">
        <v>93.5</v>
      </c>
      <c r="Q26" s="7" t="n">
        <v>0.466</v>
      </c>
      <c r="R26" s="7" t="n">
        <v>0.027</v>
      </c>
      <c r="S26" s="4" t="s">
        <v>232</v>
      </c>
      <c r="T26" s="4"/>
      <c r="U26" s="8" t="n">
        <v>17</v>
      </c>
      <c r="V26" s="6" t="n">
        <v>219.9</v>
      </c>
      <c r="W26" s="7" t="n">
        <v>12.935</v>
      </c>
      <c r="X26" s="8" t="n">
        <v>12</v>
      </c>
      <c r="Y26" s="8" t="n">
        <v>79</v>
      </c>
      <c r="Z26" s="10" t="n">
        <v>0.144</v>
      </c>
      <c r="AA26" s="8" t="n">
        <v>167</v>
      </c>
      <c r="AB26" s="10" t="n">
        <v>0.378</v>
      </c>
      <c r="AC26" s="8" t="n">
        <v>45</v>
      </c>
      <c r="AD26" s="6" t="n">
        <v>46.7</v>
      </c>
      <c r="AE26" s="10" t="n">
        <v>0.521</v>
      </c>
      <c r="AF26" s="8" t="n">
        <v>3</v>
      </c>
      <c r="AG26" s="10" t="n">
        <v>-0.0456</v>
      </c>
      <c r="AH26" s="6" t="n">
        <v>28.3</v>
      </c>
    </row>
    <row r="27" customFormat="false" ht="15" hidden="false" customHeight="false" outlineLevel="0" collapsed="false">
      <c r="A27" s="3" t="n">
        <v>25</v>
      </c>
      <c r="B27" s="4" t="s">
        <v>346</v>
      </c>
      <c r="C27" s="13" t="s">
        <v>172</v>
      </c>
      <c r="D27" s="4" t="s">
        <v>347</v>
      </c>
      <c r="E27" s="4" t="s">
        <v>109</v>
      </c>
      <c r="F27" s="4" t="s">
        <v>172</v>
      </c>
      <c r="G27" s="3" t="n">
        <v>1</v>
      </c>
      <c r="H27" s="6" t="n">
        <v>38.5</v>
      </c>
      <c r="I27" s="3" t="n">
        <v>18</v>
      </c>
      <c r="J27" s="3" t="n">
        <v>11</v>
      </c>
      <c r="K27" s="7" t="n">
        <v>104.67</v>
      </c>
      <c r="L27" s="7" t="n">
        <v>14</v>
      </c>
      <c r="M27" s="8" t="n">
        <v>63</v>
      </c>
      <c r="N27" s="8" t="n">
        <v>148</v>
      </c>
      <c r="O27" s="7" t="n">
        <v>104.67</v>
      </c>
      <c r="P27" s="6" t="n">
        <v>91</v>
      </c>
      <c r="Q27" s="7" t="n">
        <v>0.435</v>
      </c>
      <c r="R27" s="7" t="n">
        <v>0.435</v>
      </c>
      <c r="S27" s="4" t="s">
        <v>232</v>
      </c>
      <c r="T27" s="4"/>
      <c r="U27" s="8" t="n">
        <v>17</v>
      </c>
      <c r="V27" s="6" t="n">
        <v>350.38</v>
      </c>
      <c r="W27" s="7" t="n">
        <v>20.611</v>
      </c>
      <c r="X27" s="8" t="n">
        <v>3</v>
      </c>
      <c r="Y27" s="8" t="n">
        <v>15</v>
      </c>
      <c r="Z27" s="10" t="n">
        <v>0.026</v>
      </c>
      <c r="AA27" s="8" t="n">
        <v>0</v>
      </c>
      <c r="AB27" s="10" t="n">
        <v>0</v>
      </c>
      <c r="AC27" s="8" t="n">
        <v>1</v>
      </c>
      <c r="AD27" s="6" t="n">
        <v>80.4</v>
      </c>
      <c r="AE27" s="10" t="n">
        <v>0.904</v>
      </c>
      <c r="AF27" s="8" t="n">
        <v>5</v>
      </c>
      <c r="AG27" s="10" t="n">
        <v>0.0296</v>
      </c>
      <c r="AH27" s="6" t="n">
        <v>30.5</v>
      </c>
    </row>
    <row r="28" customFormat="false" ht="15" hidden="false" customHeight="false" outlineLevel="0" collapsed="false">
      <c r="A28" s="3" t="n">
        <v>26</v>
      </c>
      <c r="B28" s="4" t="s">
        <v>617</v>
      </c>
      <c r="C28" s="12" t="s">
        <v>149</v>
      </c>
      <c r="D28" s="4" t="s">
        <v>618</v>
      </c>
      <c r="E28" s="4" t="s">
        <v>109</v>
      </c>
      <c r="F28" s="4" t="s">
        <v>149</v>
      </c>
      <c r="G28" s="3" t="n">
        <v>1</v>
      </c>
      <c r="H28" s="6" t="n">
        <v>27.6</v>
      </c>
      <c r="I28" s="3" t="n">
        <v>7</v>
      </c>
      <c r="J28" s="3" t="n">
        <v>11</v>
      </c>
      <c r="K28" s="7" t="n">
        <v>262.81</v>
      </c>
      <c r="L28" s="7" t="n">
        <v>20.19</v>
      </c>
      <c r="M28" s="8" t="n">
        <v>214</v>
      </c>
      <c r="N28" s="8" t="n">
        <v>353</v>
      </c>
      <c r="O28" s="7" t="n">
        <v>262.81</v>
      </c>
      <c r="P28" s="6" t="n">
        <v>11.6</v>
      </c>
      <c r="Q28" s="7" t="n">
        <v>0.423</v>
      </c>
      <c r="R28" s="7" t="n">
        <v>0.379</v>
      </c>
      <c r="S28" s="4" t="s">
        <v>232</v>
      </c>
      <c r="T28" s="4"/>
      <c r="U28" s="8" t="n">
        <v>14</v>
      </c>
      <c r="V28" s="6" t="n">
        <v>129.8</v>
      </c>
      <c r="W28" s="7" t="n">
        <v>9.271</v>
      </c>
      <c r="X28" s="8" t="n">
        <v>17</v>
      </c>
      <c r="Y28" s="8" t="n">
        <v>15</v>
      </c>
      <c r="Z28" s="10" t="n">
        <v>0.026</v>
      </c>
      <c r="AA28" s="8" t="n">
        <v>0</v>
      </c>
      <c r="AB28" s="10" t="n">
        <v>0</v>
      </c>
      <c r="AC28" s="8" t="n">
        <v>1</v>
      </c>
      <c r="AD28" s="6" t="n">
        <v>80.4</v>
      </c>
      <c r="AE28" s="10" t="n">
        <v>0.904</v>
      </c>
      <c r="AF28" s="8" t="n">
        <v>5</v>
      </c>
      <c r="AG28" s="10" t="n">
        <v>0.0296</v>
      </c>
      <c r="AH28" s="6" t="n">
        <v>30.5</v>
      </c>
    </row>
    <row r="29" customFormat="false" ht="15" hidden="false" customHeight="false" outlineLevel="0" collapsed="false">
      <c r="A29" s="3" t="n">
        <v>27</v>
      </c>
      <c r="B29" s="4" t="s">
        <v>427</v>
      </c>
      <c r="C29" s="5" t="s">
        <v>99</v>
      </c>
      <c r="D29" s="4" t="s">
        <v>428</v>
      </c>
      <c r="E29" s="4" t="s">
        <v>115</v>
      </c>
      <c r="F29" s="4" t="s">
        <v>270</v>
      </c>
      <c r="G29" s="3" t="n">
        <v>1</v>
      </c>
      <c r="H29" s="6" t="n">
        <v>28</v>
      </c>
      <c r="I29" s="3" t="n">
        <v>5</v>
      </c>
      <c r="J29" s="3" t="n">
        <v>11</v>
      </c>
      <c r="K29" s="7" t="n">
        <v>146.85</v>
      </c>
      <c r="L29" s="7" t="n">
        <v>14.62</v>
      </c>
      <c r="M29" s="8" t="n">
        <v>121</v>
      </c>
      <c r="N29" s="8" t="n">
        <v>208</v>
      </c>
      <c r="O29" s="7" t="n">
        <v>146.85</v>
      </c>
      <c r="P29" s="6" t="n">
        <v>42.8</v>
      </c>
      <c r="Q29" s="7" t="n">
        <v>0.345</v>
      </c>
      <c r="R29" s="7" t="n">
        <v>-0.313</v>
      </c>
      <c r="S29" s="4" t="s">
        <v>102</v>
      </c>
      <c r="T29" s="4"/>
      <c r="U29" s="8" t="n">
        <v>18</v>
      </c>
      <c r="V29" s="6" t="n">
        <v>156.6</v>
      </c>
      <c r="W29" s="7" t="n">
        <v>8.7</v>
      </c>
      <c r="X29" s="8" t="n">
        <v>39</v>
      </c>
      <c r="Y29" s="8" t="n">
        <v>39</v>
      </c>
      <c r="Z29" s="10" t="n">
        <v>0.086</v>
      </c>
      <c r="AA29" s="8" t="n">
        <v>221</v>
      </c>
      <c r="AB29" s="10" t="n">
        <v>0.436</v>
      </c>
      <c r="AC29" s="8" t="n">
        <v>37</v>
      </c>
      <c r="AD29" s="6" t="n">
        <v>49.9</v>
      </c>
      <c r="AE29" s="10" t="n">
        <v>0.942</v>
      </c>
      <c r="AF29" s="8" t="n">
        <v>5</v>
      </c>
      <c r="AG29" s="10" t="n">
        <v>-0.0677</v>
      </c>
      <c r="AH29" s="6" t="n">
        <v>28.4</v>
      </c>
    </row>
    <row r="30" customFormat="false" ht="15" hidden="false" customHeight="false" outlineLevel="0" collapsed="false">
      <c r="A30" s="3" t="n">
        <v>28</v>
      </c>
      <c r="B30" s="4" t="s">
        <v>317</v>
      </c>
      <c r="C30" s="11" t="s">
        <v>104</v>
      </c>
      <c r="D30" s="4" t="s">
        <v>318</v>
      </c>
      <c r="E30" s="4" t="s">
        <v>284</v>
      </c>
      <c r="F30" s="4" t="s">
        <v>270</v>
      </c>
      <c r="G30" s="3" t="n">
        <v>2</v>
      </c>
      <c r="H30" s="6" t="n">
        <v>28.2</v>
      </c>
      <c r="I30" s="3" t="n">
        <v>7</v>
      </c>
      <c r="J30" s="3" t="n">
        <v>9</v>
      </c>
      <c r="K30" s="7" t="n">
        <v>88.55</v>
      </c>
      <c r="L30" s="7" t="n">
        <v>11.52</v>
      </c>
      <c r="M30" s="8" t="n">
        <v>68</v>
      </c>
      <c r="N30" s="8" t="n">
        <v>132</v>
      </c>
      <c r="O30" s="7" t="n">
        <v>88.55</v>
      </c>
      <c r="P30" s="6" t="n">
        <v>86</v>
      </c>
      <c r="Q30" s="7" t="n">
        <v>0.344</v>
      </c>
      <c r="R30" s="7" t="n">
        <v>0.125</v>
      </c>
      <c r="S30" s="4" t="s">
        <v>102</v>
      </c>
      <c r="T30" s="4"/>
      <c r="U30" s="8" t="n">
        <v>17</v>
      </c>
      <c r="V30" s="6" t="n">
        <v>216.3</v>
      </c>
      <c r="W30" s="7" t="n">
        <v>12.724</v>
      </c>
      <c r="X30" s="8" t="n">
        <v>18</v>
      </c>
      <c r="Y30" s="8" t="n">
        <v>179</v>
      </c>
      <c r="Z30" s="10" t="n">
        <v>0.343</v>
      </c>
      <c r="AA30" s="8" t="n">
        <v>129</v>
      </c>
      <c r="AB30" s="10" t="n">
        <v>0.317</v>
      </c>
      <c r="AC30" s="8" t="n">
        <v>59</v>
      </c>
      <c r="AD30" s="6" t="n">
        <v>57.4</v>
      </c>
      <c r="AE30" s="10" t="n">
        <v>0.824</v>
      </c>
      <c r="AF30" s="8" t="n">
        <v>5</v>
      </c>
      <c r="AG30" s="10" t="n">
        <v>-0.007</v>
      </c>
      <c r="AH30" s="6" t="n">
        <v>23.4</v>
      </c>
    </row>
    <row r="31" customFormat="false" ht="15" hidden="false" customHeight="false" outlineLevel="0" collapsed="false">
      <c r="A31" s="3" t="n">
        <v>29</v>
      </c>
      <c r="B31" s="4" t="s">
        <v>476</v>
      </c>
      <c r="C31" s="12" t="s">
        <v>149</v>
      </c>
      <c r="D31" s="4" t="s">
        <v>477</v>
      </c>
      <c r="E31" s="4" t="s">
        <v>139</v>
      </c>
      <c r="F31" s="4" t="s">
        <v>149</v>
      </c>
      <c r="G31" s="3" t="n">
        <v>1</v>
      </c>
      <c r="H31" s="6" t="n">
        <v>30.1</v>
      </c>
      <c r="I31" s="3" t="n">
        <v>9</v>
      </c>
      <c r="J31" s="3" t="n">
        <v>8</v>
      </c>
      <c r="K31" s="7" t="n">
        <v>178.88</v>
      </c>
      <c r="L31" s="7" t="n">
        <v>25.34</v>
      </c>
      <c r="M31" s="8" t="n">
        <v>97</v>
      </c>
      <c r="N31" s="8" t="n">
        <v>229</v>
      </c>
      <c r="O31" s="7" t="n">
        <v>178.88</v>
      </c>
      <c r="P31" s="6" t="n">
        <v>26.9</v>
      </c>
      <c r="Q31" s="7" t="n">
        <v>0.341</v>
      </c>
      <c r="R31" s="7" t="n">
        <v>0.121</v>
      </c>
      <c r="S31" s="4" t="s">
        <v>102</v>
      </c>
      <c r="T31" s="4"/>
      <c r="U31" s="8" t="n">
        <v>17</v>
      </c>
      <c r="V31" s="6" t="n">
        <v>177.7</v>
      </c>
      <c r="W31" s="7" t="n">
        <v>10.453</v>
      </c>
      <c r="X31" s="8" t="n">
        <v>10</v>
      </c>
      <c r="Y31" s="8" t="n">
        <v>82</v>
      </c>
      <c r="Z31" s="10" t="n">
        <v>0.148</v>
      </c>
      <c r="AA31" s="8" t="n">
        <v>21</v>
      </c>
      <c r="AB31" s="10" t="n">
        <v>0.044</v>
      </c>
      <c r="AC31" s="8" t="n">
        <v>18</v>
      </c>
      <c r="AD31" s="6" t="n">
        <v>45.8</v>
      </c>
      <c r="AE31" s="10" t="n">
        <v>0.713</v>
      </c>
      <c r="AF31" s="8" t="n">
        <v>2</v>
      </c>
      <c r="AG31" s="10" t="n">
        <v>-0.0098</v>
      </c>
      <c r="AH31" s="6" t="n">
        <v>23.8</v>
      </c>
    </row>
    <row r="32" customFormat="false" ht="15" hidden="false" customHeight="false" outlineLevel="0" collapsed="false">
      <c r="A32" s="3" t="n">
        <v>30</v>
      </c>
      <c r="B32" s="4" t="s">
        <v>494</v>
      </c>
      <c r="C32" s="5" t="s">
        <v>99</v>
      </c>
      <c r="D32" s="4" t="s">
        <v>495</v>
      </c>
      <c r="E32" s="4" t="s">
        <v>135</v>
      </c>
      <c r="F32" s="4" t="s">
        <v>99</v>
      </c>
      <c r="G32" s="3" t="n">
        <v>4</v>
      </c>
      <c r="H32" s="6" t="n">
        <v>24.3</v>
      </c>
      <c r="I32" s="3" t="n">
        <v>4</v>
      </c>
      <c r="J32" s="3" t="n">
        <v>11</v>
      </c>
      <c r="K32" s="7" t="n">
        <v>195.4</v>
      </c>
      <c r="L32" s="7" t="n">
        <v>27.4</v>
      </c>
      <c r="M32" s="8" t="n">
        <v>154</v>
      </c>
      <c r="N32" s="8" t="n">
        <v>277</v>
      </c>
      <c r="O32" s="7" t="n">
        <v>195.4</v>
      </c>
      <c r="P32" s="6" t="n">
        <v>14.6</v>
      </c>
      <c r="Q32" s="7" t="n">
        <v>0.323</v>
      </c>
      <c r="R32" s="7" t="n">
        <v>0.191</v>
      </c>
      <c r="S32" s="4" t="s">
        <v>102</v>
      </c>
      <c r="T32" s="4"/>
      <c r="U32" s="8" t="n">
        <v>14</v>
      </c>
      <c r="V32" s="6" t="n">
        <v>124.1</v>
      </c>
      <c r="W32" s="7" t="n">
        <v>8.864</v>
      </c>
      <c r="X32" s="8" t="n">
        <v>50</v>
      </c>
      <c r="Y32" s="8" t="n">
        <v>128</v>
      </c>
      <c r="Z32" s="10" t="n">
        <v>0.266</v>
      </c>
      <c r="AA32" s="8" t="n">
        <v>10</v>
      </c>
      <c r="AB32" s="10" t="n">
        <v>0.02</v>
      </c>
      <c r="AC32" s="8" t="n">
        <v>17</v>
      </c>
      <c r="AD32" s="6" t="n">
        <v>41.6</v>
      </c>
      <c r="AE32" s="10" t="n">
        <v>0.533</v>
      </c>
      <c r="AF32" s="8" t="n">
        <v>3</v>
      </c>
      <c r="AG32" s="10" t="n">
        <v>0.0242</v>
      </c>
      <c r="AH32" s="6" t="n">
        <v>28.8</v>
      </c>
    </row>
    <row r="33" customFormat="false" ht="15" hidden="false" customHeight="false" outlineLevel="0" collapsed="false">
      <c r="A33" s="3" t="n">
        <v>31</v>
      </c>
      <c r="B33" s="4" t="s">
        <v>455</v>
      </c>
      <c r="C33" s="12" t="s">
        <v>149</v>
      </c>
      <c r="D33" s="4" t="s">
        <v>456</v>
      </c>
      <c r="E33" s="4" t="s">
        <v>135</v>
      </c>
      <c r="F33" s="4" t="s">
        <v>149</v>
      </c>
      <c r="G33" s="3" t="n">
        <v>1</v>
      </c>
      <c r="H33" s="6" t="n">
        <v>31.7</v>
      </c>
      <c r="I33" s="3" t="n">
        <v>11</v>
      </c>
      <c r="J33" s="3" t="n">
        <v>11</v>
      </c>
      <c r="K33" s="7" t="n">
        <v>166.29</v>
      </c>
      <c r="L33" s="7" t="n">
        <v>22.34</v>
      </c>
      <c r="M33" s="8" t="n">
        <v>131</v>
      </c>
      <c r="N33" s="8" t="n">
        <v>228</v>
      </c>
      <c r="O33" s="7" t="n">
        <v>166.29</v>
      </c>
      <c r="P33" s="6" t="n">
        <v>63.7</v>
      </c>
      <c r="Q33" s="7" t="n">
        <v>0.314</v>
      </c>
      <c r="R33" s="7" t="n">
        <v>0.138</v>
      </c>
      <c r="S33" s="4" t="s">
        <v>102</v>
      </c>
      <c r="T33" s="4"/>
      <c r="U33" s="8" t="n">
        <v>17</v>
      </c>
      <c r="V33" s="6" t="n">
        <v>178.8</v>
      </c>
      <c r="W33" s="7" t="n">
        <v>10.518</v>
      </c>
      <c r="X33" s="8" t="n">
        <v>9</v>
      </c>
      <c r="Y33" s="8" t="n">
        <v>128</v>
      </c>
      <c r="Z33" s="10" t="n">
        <v>0.266</v>
      </c>
      <c r="AA33" s="8" t="n">
        <v>10</v>
      </c>
      <c r="AB33" s="10" t="n">
        <v>0.02</v>
      </c>
      <c r="AC33" s="8" t="n">
        <v>17</v>
      </c>
      <c r="AD33" s="6" t="n">
        <v>41.6</v>
      </c>
      <c r="AE33" s="10" t="n">
        <v>0.533</v>
      </c>
      <c r="AF33" s="8" t="n">
        <v>3</v>
      </c>
      <c r="AG33" s="10" t="n">
        <v>0.0242</v>
      </c>
      <c r="AH33" s="6" t="n">
        <v>28.8</v>
      </c>
    </row>
    <row r="34" customFormat="false" ht="15" hidden="false" customHeight="false" outlineLevel="0" collapsed="false">
      <c r="A34" s="3" t="n">
        <v>32</v>
      </c>
      <c r="B34" s="4" t="s">
        <v>322</v>
      </c>
      <c r="C34" s="5" t="s">
        <v>99</v>
      </c>
      <c r="D34" s="4" t="s">
        <v>323</v>
      </c>
      <c r="E34" s="4" t="s">
        <v>130</v>
      </c>
      <c r="F34" s="4" t="s">
        <v>99</v>
      </c>
      <c r="G34" s="3" t="n">
        <v>1</v>
      </c>
      <c r="H34" s="6" t="n">
        <v>26.3</v>
      </c>
      <c r="I34" s="3" t="n">
        <v>5</v>
      </c>
      <c r="J34" s="3" t="n">
        <v>13</v>
      </c>
      <c r="K34" s="7" t="n">
        <v>91</v>
      </c>
      <c r="L34" s="7" t="n">
        <v>19.93</v>
      </c>
      <c r="M34" s="8" t="n">
        <v>51</v>
      </c>
      <c r="N34" s="8" t="n">
        <v>154</v>
      </c>
      <c r="O34" s="7" t="n">
        <v>91</v>
      </c>
      <c r="P34" s="6" t="n">
        <v>85.2</v>
      </c>
      <c r="Q34" s="7" t="n">
        <v>0.296</v>
      </c>
      <c r="R34" s="7" t="n">
        <v>0.339</v>
      </c>
      <c r="S34" s="4" t="s">
        <v>102</v>
      </c>
      <c r="T34" s="4"/>
      <c r="U34" s="8" t="n">
        <v>15</v>
      </c>
      <c r="V34" s="6" t="n">
        <v>183.3</v>
      </c>
      <c r="W34" s="7" t="n">
        <v>12.22</v>
      </c>
      <c r="X34" s="8" t="n">
        <v>28</v>
      </c>
      <c r="Y34" s="8" t="n">
        <v>147</v>
      </c>
      <c r="Z34" s="10" t="n">
        <v>0.277</v>
      </c>
      <c r="AA34" s="8" t="n">
        <v>24</v>
      </c>
      <c r="AB34" s="10" t="n">
        <v>0.054</v>
      </c>
      <c r="AC34" s="8" t="n">
        <v>20</v>
      </c>
      <c r="AD34" s="6" t="n">
        <v>60.3</v>
      </c>
      <c r="AE34" s="10" t="n">
        <v>0.832</v>
      </c>
      <c r="AF34" s="8" t="n">
        <v>5</v>
      </c>
      <c r="AG34" s="10" t="n">
        <v>-0.0091</v>
      </c>
      <c r="AH34" s="6" t="n">
        <v>27.4</v>
      </c>
    </row>
    <row r="35" customFormat="false" ht="15" hidden="false" customHeight="false" outlineLevel="0" collapsed="false">
      <c r="A35" s="3" t="n">
        <v>33</v>
      </c>
      <c r="B35" s="4" t="s">
        <v>407</v>
      </c>
      <c r="C35" s="11" t="s">
        <v>104</v>
      </c>
      <c r="D35" s="4" t="s">
        <v>408</v>
      </c>
      <c r="E35" s="4" t="s">
        <v>178</v>
      </c>
      <c r="F35" s="4" t="s">
        <v>104</v>
      </c>
      <c r="G35" s="3" t="n">
        <v>2</v>
      </c>
      <c r="H35" s="6" t="n">
        <v>26.7</v>
      </c>
      <c r="I35" s="3" t="n">
        <v>3</v>
      </c>
      <c r="J35" s="3" t="n">
        <v>8</v>
      </c>
      <c r="K35" s="7" t="n">
        <v>132.07</v>
      </c>
      <c r="L35" s="7" t="n">
        <v>10.77</v>
      </c>
      <c r="M35" s="8" t="n">
        <v>113</v>
      </c>
      <c r="N35" s="8" t="n">
        <v>177</v>
      </c>
      <c r="O35" s="7" t="n">
        <v>132.07</v>
      </c>
      <c r="P35" s="6" t="n">
        <v>38</v>
      </c>
      <c r="Q35" s="7" t="n">
        <v>0.296</v>
      </c>
      <c r="R35" s="7" t="n">
        <v>0.12</v>
      </c>
      <c r="S35" s="4" t="s">
        <v>102</v>
      </c>
      <c r="T35" s="4"/>
      <c r="U35" s="8" t="n">
        <v>15</v>
      </c>
      <c r="V35" s="6" t="n">
        <v>160.8</v>
      </c>
      <c r="W35" s="7" t="n">
        <v>10.72</v>
      </c>
      <c r="X35" s="8" t="n">
        <v>28</v>
      </c>
      <c r="Y35" s="8" t="n">
        <v>177</v>
      </c>
      <c r="Z35" s="10" t="n">
        <v>0.352</v>
      </c>
      <c r="AA35" s="8" t="n">
        <v>3</v>
      </c>
      <c r="AB35" s="10" t="n">
        <v>0.006</v>
      </c>
      <c r="AC35" s="8" t="n">
        <v>21</v>
      </c>
      <c r="AD35" s="6" t="n">
        <v>45.9</v>
      </c>
      <c r="AE35" s="10" t="n">
        <v>0.723</v>
      </c>
      <c r="AF35" s="8" t="n">
        <v>4</v>
      </c>
      <c r="AG35" s="10" t="n">
        <v>-0.0466</v>
      </c>
      <c r="AH35" s="6" t="n">
        <v>22.4</v>
      </c>
    </row>
    <row r="36" customFormat="false" ht="15" hidden="false" customHeight="false" outlineLevel="0" collapsed="false">
      <c r="A36" s="3" t="n">
        <v>34</v>
      </c>
      <c r="B36" s="4" t="s">
        <v>492</v>
      </c>
      <c r="C36" s="11" t="s">
        <v>104</v>
      </c>
      <c r="D36" s="4" t="s">
        <v>493</v>
      </c>
      <c r="E36" s="4" t="s">
        <v>170</v>
      </c>
      <c r="F36" s="4" t="s">
        <v>281</v>
      </c>
      <c r="G36" s="3" t="n">
        <v>3</v>
      </c>
      <c r="H36" s="6" t="n">
        <v>25</v>
      </c>
      <c r="I36" s="3" t="n">
        <v>3</v>
      </c>
      <c r="J36" s="3" t="n">
        <v>7</v>
      </c>
      <c r="K36" s="7" t="n">
        <v>194.76</v>
      </c>
      <c r="L36" s="7" t="n">
        <v>35.11</v>
      </c>
      <c r="M36" s="8" t="n">
        <v>152</v>
      </c>
      <c r="N36" s="8" t="n">
        <v>288</v>
      </c>
      <c r="O36" s="7" t="n">
        <v>194.76</v>
      </c>
      <c r="P36" s="6" t="n">
        <v>11.8</v>
      </c>
      <c r="Q36" s="7" t="n">
        <v>0.293</v>
      </c>
      <c r="R36" s="7" t="n">
        <v>0.511</v>
      </c>
      <c r="S36" s="4" t="s">
        <v>102</v>
      </c>
      <c r="T36" s="4"/>
      <c r="U36" s="8" t="n">
        <v>13</v>
      </c>
      <c r="V36" s="6" t="n">
        <v>117.9</v>
      </c>
      <c r="W36" s="7" t="n">
        <v>9.069</v>
      </c>
      <c r="X36" s="8" t="n">
        <v>41</v>
      </c>
      <c r="Y36" s="8" t="n">
        <v>15</v>
      </c>
      <c r="Z36" s="10" t="n">
        <v>0.028</v>
      </c>
      <c r="AA36" s="8" t="n">
        <v>23</v>
      </c>
      <c r="AB36" s="10" t="n">
        <v>0.049</v>
      </c>
      <c r="AC36" s="8" t="n">
        <v>2</v>
      </c>
      <c r="AD36" s="6" t="n">
        <v>26.9</v>
      </c>
      <c r="AE36" s="10" t="n">
        <v>0.205</v>
      </c>
      <c r="AF36" s="8" t="n">
        <v>1</v>
      </c>
      <c r="AG36" s="10" t="n">
        <v>0.0064</v>
      </c>
      <c r="AH36" s="6" t="n">
        <v>21.6</v>
      </c>
    </row>
    <row r="37" customFormat="false" ht="15" hidden="false" customHeight="false" outlineLevel="0" collapsed="false">
      <c r="A37" s="3" t="n">
        <v>35</v>
      </c>
      <c r="B37" s="4" t="s">
        <v>324</v>
      </c>
      <c r="C37" s="11" t="s">
        <v>104</v>
      </c>
      <c r="D37" s="4" t="s">
        <v>325</v>
      </c>
      <c r="E37" s="4" t="s">
        <v>209</v>
      </c>
      <c r="F37" s="4" t="s">
        <v>104</v>
      </c>
      <c r="G37" s="3" t="n">
        <v>2</v>
      </c>
      <c r="H37" s="6" t="n">
        <v>25.5</v>
      </c>
      <c r="I37" s="3" t="n">
        <v>2</v>
      </c>
      <c r="J37" s="3" t="n">
        <v>10</v>
      </c>
      <c r="K37" s="7" t="n">
        <v>92.56</v>
      </c>
      <c r="L37" s="7" t="n">
        <v>16.42</v>
      </c>
      <c r="M37" s="8" t="n">
        <v>61</v>
      </c>
      <c r="N37" s="8" t="n">
        <v>130</v>
      </c>
      <c r="O37" s="7" t="n">
        <v>92.56</v>
      </c>
      <c r="P37" s="6" t="n">
        <v>84</v>
      </c>
      <c r="Q37" s="7" t="n">
        <v>0.292</v>
      </c>
      <c r="R37" s="7" t="n">
        <v>0.116</v>
      </c>
      <c r="S37" s="4" t="s">
        <v>102</v>
      </c>
      <c r="T37" s="4"/>
      <c r="U37" s="8" t="n">
        <v>17</v>
      </c>
      <c r="V37" s="6" t="n">
        <v>206.6</v>
      </c>
      <c r="W37" s="7" t="n">
        <v>12.153</v>
      </c>
      <c r="X37" s="8" t="n">
        <v>20</v>
      </c>
      <c r="Y37" s="8" t="n">
        <v>4</v>
      </c>
      <c r="Z37" s="10" t="n">
        <v>0.007</v>
      </c>
      <c r="AA37" s="8" t="n">
        <v>0</v>
      </c>
      <c r="AB37" s="10" t="n">
        <v>0</v>
      </c>
      <c r="AC37" s="8" t="n">
        <v>1</v>
      </c>
      <c r="AD37" s="6" t="n">
        <v>63.2</v>
      </c>
      <c r="AE37" s="10" t="n">
        <v>0.999</v>
      </c>
      <c r="AF37" s="8" t="n">
        <v>5</v>
      </c>
      <c r="AG37" s="10" t="n">
        <v>0.0157</v>
      </c>
      <c r="AH37" s="6" t="n">
        <v>23.6</v>
      </c>
    </row>
    <row r="38" customFormat="false" ht="15" hidden="false" customHeight="false" outlineLevel="0" collapsed="false">
      <c r="A38" s="3" t="n">
        <v>36</v>
      </c>
      <c r="B38" s="4" t="s">
        <v>399</v>
      </c>
      <c r="C38" s="5" t="s">
        <v>99</v>
      </c>
      <c r="D38" s="4" t="s">
        <v>400</v>
      </c>
      <c r="E38" s="4" t="s">
        <v>135</v>
      </c>
      <c r="F38" s="4" t="s">
        <v>99</v>
      </c>
      <c r="G38" s="3" t="n">
        <v>2</v>
      </c>
      <c r="H38" s="6" t="n">
        <v>26.3</v>
      </c>
      <c r="I38" s="3" t="n">
        <v>5</v>
      </c>
      <c r="J38" s="3" t="n">
        <v>11</v>
      </c>
      <c r="K38" s="7" t="n">
        <v>129.36</v>
      </c>
      <c r="L38" s="7" t="n">
        <v>13.92</v>
      </c>
      <c r="M38" s="8" t="n">
        <v>96</v>
      </c>
      <c r="N38" s="8" t="n">
        <v>170</v>
      </c>
      <c r="O38" s="7" t="n">
        <v>129.36</v>
      </c>
      <c r="P38" s="6" t="n">
        <v>58.8</v>
      </c>
      <c r="Q38" s="7" t="n">
        <v>0.291</v>
      </c>
      <c r="R38" s="7" t="n">
        <v>-0.06</v>
      </c>
      <c r="S38" s="4" t="s">
        <v>102</v>
      </c>
      <c r="T38" s="4"/>
      <c r="U38" s="8" t="n">
        <v>16</v>
      </c>
      <c r="V38" s="6" t="n">
        <v>165.4</v>
      </c>
      <c r="W38" s="7" t="n">
        <v>10.338</v>
      </c>
      <c r="X38" s="8" t="n">
        <v>37</v>
      </c>
      <c r="Y38" s="8" t="n">
        <v>128</v>
      </c>
      <c r="Z38" s="10" t="n">
        <v>0.266</v>
      </c>
      <c r="AA38" s="8" t="n">
        <v>10</v>
      </c>
      <c r="AB38" s="10" t="n">
        <v>0.02</v>
      </c>
      <c r="AC38" s="8" t="n">
        <v>17</v>
      </c>
      <c r="AD38" s="6" t="n">
        <v>41.6</v>
      </c>
      <c r="AE38" s="10" t="n">
        <v>0.533</v>
      </c>
      <c r="AF38" s="8" t="n">
        <v>3</v>
      </c>
      <c r="AG38" s="10" t="n">
        <v>0.0242</v>
      </c>
      <c r="AH38" s="6" t="n">
        <v>28.8</v>
      </c>
    </row>
    <row r="39" customFormat="false" ht="15" hidden="false" customHeight="false" outlineLevel="0" collapsed="false">
      <c r="A39" s="3" t="n">
        <v>37</v>
      </c>
      <c r="B39" s="4" t="s">
        <v>496</v>
      </c>
      <c r="C39" s="13" t="s">
        <v>172</v>
      </c>
      <c r="D39" s="4" t="s">
        <v>497</v>
      </c>
      <c r="E39" s="4" t="s">
        <v>151</v>
      </c>
      <c r="F39" s="4" t="s">
        <v>172</v>
      </c>
      <c r="G39" s="3" t="n">
        <v>1</v>
      </c>
      <c r="H39" s="6" t="n">
        <v>33.7</v>
      </c>
      <c r="I39" s="3" t="n">
        <v>11</v>
      </c>
      <c r="J39" s="3" t="n">
        <v>14</v>
      </c>
      <c r="K39" s="7" t="n">
        <v>195.56</v>
      </c>
      <c r="L39" s="7" t="n">
        <v>39.11</v>
      </c>
      <c r="M39" s="8" t="n">
        <v>134</v>
      </c>
      <c r="N39" s="8" t="n">
        <v>340</v>
      </c>
      <c r="O39" s="7" t="n">
        <v>195.56</v>
      </c>
      <c r="P39" s="6" t="n">
        <v>16.6</v>
      </c>
      <c r="Q39" s="7" t="n">
        <v>0.29</v>
      </c>
      <c r="R39" s="7" t="n">
        <v>0.202</v>
      </c>
      <c r="S39" s="4" t="s">
        <v>102</v>
      </c>
      <c r="T39" s="4"/>
      <c r="U39" s="8" t="n">
        <v>14</v>
      </c>
      <c r="V39" s="6" t="n">
        <v>227.44</v>
      </c>
      <c r="W39" s="7" t="n">
        <v>16.246</v>
      </c>
      <c r="X39" s="8" t="n">
        <v>16</v>
      </c>
      <c r="Y39" s="8" t="n">
        <v>106</v>
      </c>
      <c r="Z39" s="10" t="n">
        <v>0.172</v>
      </c>
      <c r="AA39" s="8" t="n">
        <v>173</v>
      </c>
      <c r="AB39" s="10" t="n">
        <v>0.473</v>
      </c>
      <c r="AC39" s="8" t="n">
        <v>41</v>
      </c>
      <c r="AD39" s="6" t="n">
        <v>36.9</v>
      </c>
      <c r="AE39" s="10" t="n">
        <v>0.686</v>
      </c>
      <c r="AF39" s="8" t="n">
        <v>3</v>
      </c>
      <c r="AG39" s="10" t="n">
        <v>0.0399</v>
      </c>
      <c r="AH39" s="6" t="n">
        <v>20.9</v>
      </c>
    </row>
    <row r="40" customFormat="false" ht="15" hidden="false" customHeight="false" outlineLevel="0" collapsed="false">
      <c r="A40" s="3" t="n">
        <v>38</v>
      </c>
      <c r="B40" s="4" t="s">
        <v>538</v>
      </c>
      <c r="C40" s="13" t="s">
        <v>172</v>
      </c>
      <c r="D40" s="4" t="s">
        <v>539</v>
      </c>
      <c r="E40" s="4" t="s">
        <v>284</v>
      </c>
      <c r="F40" s="4" t="s">
        <v>172</v>
      </c>
      <c r="G40" s="3" t="n">
        <v>1</v>
      </c>
      <c r="H40" s="6" t="n">
        <v>42.7</v>
      </c>
      <c r="I40" s="3" t="n">
        <v>22</v>
      </c>
      <c r="J40" s="3" t="n">
        <v>9</v>
      </c>
      <c r="K40" s="7" t="n">
        <v>221.65</v>
      </c>
      <c r="L40" s="7" t="n">
        <v>43.52</v>
      </c>
      <c r="M40" s="8" t="n">
        <v>147</v>
      </c>
      <c r="N40" s="8" t="n">
        <v>343</v>
      </c>
      <c r="O40" s="7" t="n">
        <v>221.65</v>
      </c>
      <c r="P40" s="6" t="n">
        <v>15.3</v>
      </c>
      <c r="Q40" s="7" t="n">
        <v>0.282</v>
      </c>
      <c r="R40" s="7" t="n">
        <v>-0.025</v>
      </c>
      <c r="S40" s="4" t="s">
        <v>102</v>
      </c>
      <c r="T40" s="4"/>
      <c r="U40" s="8" t="n">
        <v>16</v>
      </c>
      <c r="V40" s="6" t="n">
        <v>227.08</v>
      </c>
      <c r="W40" s="7" t="n">
        <v>14.192</v>
      </c>
      <c r="X40" s="8" t="n">
        <v>17</v>
      </c>
      <c r="Y40" s="8" t="n">
        <v>179</v>
      </c>
      <c r="Z40" s="10" t="n">
        <v>0.343</v>
      </c>
      <c r="AA40" s="8" t="n">
        <v>129</v>
      </c>
      <c r="AB40" s="10" t="n">
        <v>0.317</v>
      </c>
      <c r="AC40" s="8" t="n">
        <v>59</v>
      </c>
      <c r="AD40" s="6" t="n">
        <v>57.4</v>
      </c>
      <c r="AE40" s="10" t="n">
        <v>0.824</v>
      </c>
      <c r="AF40" s="8" t="n">
        <v>5</v>
      </c>
      <c r="AG40" s="10" t="n">
        <v>-0.007</v>
      </c>
      <c r="AH40" s="6" t="n">
        <v>23.4</v>
      </c>
    </row>
    <row r="41" customFormat="false" ht="15" hidden="false" customHeight="false" outlineLevel="0" collapsed="false">
      <c r="A41" s="3" t="n">
        <v>39</v>
      </c>
      <c r="B41" s="4" t="s">
        <v>411</v>
      </c>
      <c r="C41" s="11" t="s">
        <v>104</v>
      </c>
      <c r="D41" s="4" t="s">
        <v>412</v>
      </c>
      <c r="E41" s="4" t="s">
        <v>139</v>
      </c>
      <c r="F41" s="4" t="s">
        <v>104</v>
      </c>
      <c r="G41" s="3" t="n">
        <v>2</v>
      </c>
      <c r="H41" s="6" t="n">
        <v>25.6</v>
      </c>
      <c r="I41" s="3" t="n">
        <v>2</v>
      </c>
      <c r="J41" s="3" t="n">
        <v>8</v>
      </c>
      <c r="K41" s="7" t="n">
        <v>140.38</v>
      </c>
      <c r="L41" s="7" t="n">
        <v>12.45</v>
      </c>
      <c r="M41" s="8" t="n">
        <v>99</v>
      </c>
      <c r="N41" s="8" t="n">
        <v>175</v>
      </c>
      <c r="O41" s="7" t="n">
        <v>140.38</v>
      </c>
      <c r="P41" s="6" t="n">
        <v>49.5</v>
      </c>
      <c r="Q41" s="7" t="n">
        <v>0.279</v>
      </c>
      <c r="R41" s="7" t="n">
        <v>0.015</v>
      </c>
      <c r="S41" s="4" t="s">
        <v>102</v>
      </c>
      <c r="T41" s="4"/>
      <c r="U41" s="8" t="n">
        <v>16</v>
      </c>
      <c r="V41" s="6" t="n">
        <v>145.1</v>
      </c>
      <c r="W41" s="7" t="n">
        <v>9.069</v>
      </c>
      <c r="X41" s="8" t="n">
        <v>30</v>
      </c>
      <c r="Y41" s="8" t="n">
        <v>82</v>
      </c>
      <c r="Z41" s="10" t="n">
        <v>0.148</v>
      </c>
      <c r="AA41" s="8" t="n">
        <v>21</v>
      </c>
      <c r="AB41" s="10" t="n">
        <v>0.044</v>
      </c>
      <c r="AC41" s="8" t="n">
        <v>18</v>
      </c>
      <c r="AD41" s="6" t="n">
        <v>45.8</v>
      </c>
      <c r="AE41" s="10" t="n">
        <v>0.713</v>
      </c>
      <c r="AF41" s="8" t="n">
        <v>2</v>
      </c>
      <c r="AG41" s="10" t="n">
        <v>-0.0098</v>
      </c>
      <c r="AH41" s="6" t="n">
        <v>23.8</v>
      </c>
    </row>
    <row r="42" customFormat="false" ht="15" hidden="false" customHeight="false" outlineLevel="0" collapsed="false">
      <c r="A42" s="3" t="n">
        <v>40</v>
      </c>
      <c r="B42" s="4" t="s">
        <v>518</v>
      </c>
      <c r="C42" s="12" t="s">
        <v>149</v>
      </c>
      <c r="D42" s="4" t="s">
        <v>519</v>
      </c>
      <c r="E42" s="4" t="s">
        <v>115</v>
      </c>
      <c r="F42" s="4" t="s">
        <v>149</v>
      </c>
      <c r="G42" s="3" t="n">
        <v>1</v>
      </c>
      <c r="H42" s="6" t="n">
        <v>24.3</v>
      </c>
      <c r="I42" s="3" t="n">
        <v>3</v>
      </c>
      <c r="J42" s="3" t="n">
        <v>11</v>
      </c>
      <c r="K42" s="7" t="n">
        <v>208.35</v>
      </c>
      <c r="L42" s="7" t="n">
        <v>25.25</v>
      </c>
      <c r="M42" s="8" t="n">
        <v>138</v>
      </c>
      <c r="N42" s="8" t="n">
        <v>261</v>
      </c>
      <c r="O42" s="7" t="n">
        <v>208.35</v>
      </c>
      <c r="P42" s="6" t="n">
        <v>24.1</v>
      </c>
      <c r="Q42" s="7" t="n">
        <v>0.272</v>
      </c>
      <c r="R42" s="7" t="n">
        <v>0.008</v>
      </c>
      <c r="S42" s="4" t="s">
        <v>102</v>
      </c>
      <c r="T42" s="4"/>
      <c r="U42" s="8" t="n">
        <v>17</v>
      </c>
      <c r="V42" s="6" t="n">
        <v>147.3</v>
      </c>
      <c r="W42" s="7" t="n">
        <v>8.665</v>
      </c>
      <c r="X42" s="8" t="n">
        <v>14</v>
      </c>
      <c r="Y42" s="8" t="n">
        <v>39</v>
      </c>
      <c r="Z42" s="10" t="n">
        <v>0.086</v>
      </c>
      <c r="AA42" s="8" t="n">
        <v>221</v>
      </c>
      <c r="AB42" s="10" t="n">
        <v>0.436</v>
      </c>
      <c r="AC42" s="8" t="n">
        <v>37</v>
      </c>
      <c r="AD42" s="6" t="n">
        <v>49.9</v>
      </c>
      <c r="AE42" s="10" t="n">
        <v>0.942</v>
      </c>
      <c r="AF42" s="8" t="n">
        <v>5</v>
      </c>
      <c r="AG42" s="10" t="n">
        <v>-0.0677</v>
      </c>
      <c r="AH42" s="6" t="n">
        <v>28.4</v>
      </c>
    </row>
    <row r="43" customFormat="false" ht="15" hidden="false" customHeight="false" outlineLevel="0" collapsed="false">
      <c r="A43" s="3" t="n">
        <v>41</v>
      </c>
      <c r="B43" s="4" t="s">
        <v>500</v>
      </c>
      <c r="C43" s="5" t="s">
        <v>99</v>
      </c>
      <c r="D43" s="4" t="s">
        <v>501</v>
      </c>
      <c r="E43" s="4" t="s">
        <v>161</v>
      </c>
      <c r="F43" s="4" t="s">
        <v>99</v>
      </c>
      <c r="G43" s="3" t="n">
        <v>1</v>
      </c>
      <c r="H43" s="6" t="n">
        <v>25.8</v>
      </c>
      <c r="I43" s="3" t="n">
        <v>3</v>
      </c>
      <c r="J43" s="3" t="n">
        <v>6</v>
      </c>
      <c r="K43" s="7" t="n">
        <v>199.43</v>
      </c>
      <c r="L43" s="7" t="n">
        <v>36.47</v>
      </c>
      <c r="M43" s="8" t="n">
        <v>126</v>
      </c>
      <c r="N43" s="8" t="n">
        <v>291</v>
      </c>
      <c r="O43" s="7" t="n">
        <v>199.43</v>
      </c>
      <c r="P43" s="6" t="n">
        <v>14.7</v>
      </c>
      <c r="Q43" s="7" t="n">
        <v>0.271</v>
      </c>
      <c r="R43" s="7" t="n">
        <v>-0.474</v>
      </c>
      <c r="S43" s="4" t="s">
        <v>102</v>
      </c>
      <c r="T43" s="4"/>
      <c r="U43" s="8" t="n">
        <v>17</v>
      </c>
      <c r="V43" s="6" t="n">
        <v>116.7</v>
      </c>
      <c r="W43" s="7" t="n">
        <v>6.865</v>
      </c>
      <c r="X43" s="8" t="n">
        <v>52</v>
      </c>
      <c r="Y43" s="8" t="n">
        <v>209</v>
      </c>
      <c r="Z43" s="10" t="n">
        <v>0.452</v>
      </c>
      <c r="AA43" s="8" t="n">
        <v>28</v>
      </c>
      <c r="AB43" s="10" t="n">
        <v>0.065</v>
      </c>
      <c r="AC43" s="8" t="n">
        <v>32</v>
      </c>
      <c r="AD43" s="6" t="n">
        <v>38.6</v>
      </c>
      <c r="AE43" s="10" t="n">
        <v>0.672</v>
      </c>
      <c r="AF43" s="8" t="n">
        <v>4</v>
      </c>
      <c r="AG43" s="10" t="n">
        <v>-0.0584</v>
      </c>
      <c r="AH43" s="6" t="n">
        <v>20.4</v>
      </c>
    </row>
    <row r="44" customFormat="false" ht="15" hidden="false" customHeight="false" outlineLevel="0" collapsed="false">
      <c r="A44" s="3" t="n">
        <v>42</v>
      </c>
      <c r="B44" s="4" t="s">
        <v>181</v>
      </c>
      <c r="C44" s="5" t="s">
        <v>99</v>
      </c>
      <c r="D44" s="4" t="s">
        <v>182</v>
      </c>
      <c r="E44" s="4" t="s">
        <v>183</v>
      </c>
      <c r="F44" s="4" t="s">
        <v>99</v>
      </c>
      <c r="G44" s="3" t="n">
        <v>1</v>
      </c>
      <c r="H44" s="6" t="n">
        <v>25.9</v>
      </c>
      <c r="I44" s="3" t="n">
        <v>4</v>
      </c>
      <c r="J44" s="3" t="n">
        <v>13</v>
      </c>
      <c r="K44" s="7" t="n">
        <v>29.37</v>
      </c>
      <c r="L44" s="7" t="n">
        <v>7.59</v>
      </c>
      <c r="M44" s="8" t="n">
        <v>12</v>
      </c>
      <c r="N44" s="8" t="n">
        <v>44</v>
      </c>
      <c r="O44" s="7" t="n">
        <v>29.37</v>
      </c>
      <c r="P44" s="6" t="n">
        <v>97.6</v>
      </c>
      <c r="Q44" s="7" t="n">
        <v>0.26</v>
      </c>
      <c r="R44" s="7" t="n">
        <v>-0.004</v>
      </c>
      <c r="S44" s="4" t="s">
        <v>102</v>
      </c>
      <c r="T44" s="4"/>
      <c r="U44" s="8" t="n">
        <v>17</v>
      </c>
      <c r="V44" s="6" t="n">
        <v>243.3</v>
      </c>
      <c r="W44" s="7" t="n">
        <v>14.312</v>
      </c>
      <c r="X44" s="8" t="n">
        <v>7</v>
      </c>
      <c r="Y44" s="8" t="n">
        <v>75</v>
      </c>
      <c r="Z44" s="10" t="n">
        <v>0.184</v>
      </c>
      <c r="AA44" s="8" t="n">
        <v>64</v>
      </c>
      <c r="AB44" s="10" t="n">
        <v>0.126</v>
      </c>
      <c r="AC44" s="8" t="n">
        <v>26</v>
      </c>
      <c r="AD44" s="6" t="n">
        <v>53.2</v>
      </c>
      <c r="AE44" s="10" t="n">
        <v>0.572</v>
      </c>
      <c r="AF44" s="8" t="n">
        <v>2</v>
      </c>
      <c r="AG44" s="10" t="n">
        <v>-0.0884</v>
      </c>
      <c r="AH44" s="6" t="n">
        <v>24.9</v>
      </c>
    </row>
    <row r="45" customFormat="false" ht="15" hidden="false" customHeight="false" outlineLevel="0" collapsed="false">
      <c r="A45" s="3" t="n">
        <v>43</v>
      </c>
      <c r="B45" s="4" t="s">
        <v>423</v>
      </c>
      <c r="C45" s="12" t="s">
        <v>149</v>
      </c>
      <c r="D45" s="4" t="s">
        <v>424</v>
      </c>
      <c r="E45" s="4" t="s">
        <v>158</v>
      </c>
      <c r="F45" s="4" t="s">
        <v>149</v>
      </c>
      <c r="G45" s="3" t="n">
        <v>1</v>
      </c>
      <c r="H45" s="6" t="n">
        <v>29.9</v>
      </c>
      <c r="I45" s="3" t="n">
        <v>7</v>
      </c>
      <c r="J45" s="3" t="n">
        <v>8</v>
      </c>
      <c r="K45" s="7" t="n">
        <v>143.94</v>
      </c>
      <c r="L45" s="7" t="n">
        <v>21.06</v>
      </c>
      <c r="M45" s="8" t="n">
        <v>106</v>
      </c>
      <c r="N45" s="8" t="n">
        <v>209</v>
      </c>
      <c r="O45" s="7" t="n">
        <v>143.94</v>
      </c>
      <c r="P45" s="6" t="n">
        <v>40.5</v>
      </c>
      <c r="Q45" s="7" t="n">
        <v>0.251</v>
      </c>
      <c r="R45" s="7" t="n">
        <v>0.076</v>
      </c>
      <c r="S45" s="4" t="s">
        <v>102</v>
      </c>
      <c r="T45" s="4"/>
      <c r="U45" s="8" t="n">
        <v>17</v>
      </c>
      <c r="V45" s="6" t="n">
        <v>179.9</v>
      </c>
      <c r="W45" s="7" t="n">
        <v>10.582</v>
      </c>
      <c r="X45" s="8" t="n">
        <v>8</v>
      </c>
      <c r="Y45" s="8" t="n">
        <v>127</v>
      </c>
      <c r="Z45" s="10" t="n">
        <v>0.225</v>
      </c>
      <c r="AA45" s="8" t="n">
        <v>21</v>
      </c>
      <c r="AB45" s="10" t="n">
        <v>0.048</v>
      </c>
      <c r="AC45" s="8" t="n">
        <v>15</v>
      </c>
      <c r="AD45" s="6" t="n">
        <v>41.9</v>
      </c>
      <c r="AE45" s="10" t="n">
        <v>0.784</v>
      </c>
      <c r="AF45" s="8" t="n">
        <v>4</v>
      </c>
      <c r="AG45" s="10" t="n">
        <v>-0.0301</v>
      </c>
      <c r="AH45" s="6" t="n">
        <v>18</v>
      </c>
    </row>
    <row r="46" customFormat="false" ht="15" hidden="false" customHeight="false" outlineLevel="0" collapsed="false">
      <c r="A46" s="3" t="n">
        <v>44</v>
      </c>
      <c r="B46" s="4" t="s">
        <v>282</v>
      </c>
      <c r="C46" s="11" t="s">
        <v>104</v>
      </c>
      <c r="D46" s="4" t="s">
        <v>283</v>
      </c>
      <c r="E46" s="4" t="s">
        <v>284</v>
      </c>
      <c r="F46" s="4" t="s">
        <v>104</v>
      </c>
      <c r="G46" s="3" t="n">
        <v>1</v>
      </c>
      <c r="H46" s="6" t="n">
        <v>27.8</v>
      </c>
      <c r="I46" s="3" t="n">
        <v>5</v>
      </c>
      <c r="J46" s="3" t="n">
        <v>9</v>
      </c>
      <c r="K46" s="7" t="n">
        <v>75.93</v>
      </c>
      <c r="L46" s="7" t="n">
        <v>7.26</v>
      </c>
      <c r="M46" s="8" t="n">
        <v>63</v>
      </c>
      <c r="N46" s="8" t="n">
        <v>102</v>
      </c>
      <c r="O46" s="7" t="n">
        <v>75.93</v>
      </c>
      <c r="P46" s="6" t="n">
        <v>87.8</v>
      </c>
      <c r="Q46" s="7" t="n">
        <v>0.246</v>
      </c>
      <c r="R46" s="7" t="n">
        <v>0.158</v>
      </c>
      <c r="S46" s="4" t="s">
        <v>102</v>
      </c>
      <c r="T46" s="4"/>
      <c r="U46" s="8" t="n">
        <v>16</v>
      </c>
      <c r="V46" s="6" t="n">
        <v>217.1</v>
      </c>
      <c r="W46" s="7" t="n">
        <v>13.569</v>
      </c>
      <c r="X46" s="8" t="n">
        <v>17</v>
      </c>
      <c r="Y46" s="8" t="n">
        <v>179</v>
      </c>
      <c r="Z46" s="10" t="n">
        <v>0.343</v>
      </c>
      <c r="AA46" s="8" t="n">
        <v>129</v>
      </c>
      <c r="AB46" s="10" t="n">
        <v>0.317</v>
      </c>
      <c r="AC46" s="8" t="n">
        <v>59</v>
      </c>
      <c r="AD46" s="6" t="n">
        <v>57.4</v>
      </c>
      <c r="AE46" s="10" t="n">
        <v>0.824</v>
      </c>
      <c r="AF46" s="8" t="n">
        <v>5</v>
      </c>
      <c r="AG46" s="10" t="n">
        <v>-0.007</v>
      </c>
      <c r="AH46" s="6" t="n">
        <v>23.4</v>
      </c>
    </row>
    <row r="47" customFormat="false" ht="15" hidden="false" customHeight="false" outlineLevel="0" collapsed="false">
      <c r="A47" s="3" t="n">
        <v>45</v>
      </c>
      <c r="B47" s="4" t="s">
        <v>415</v>
      </c>
      <c r="C47" s="13" t="s">
        <v>172</v>
      </c>
      <c r="D47" s="4" t="s">
        <v>416</v>
      </c>
      <c r="E47" s="4" t="s">
        <v>115</v>
      </c>
      <c r="F47" s="4" t="s">
        <v>172</v>
      </c>
      <c r="G47" s="3" t="n">
        <v>1</v>
      </c>
      <c r="H47" s="6" t="n">
        <v>29.2</v>
      </c>
      <c r="I47" s="3" t="n">
        <v>9</v>
      </c>
      <c r="J47" s="3" t="n">
        <v>11</v>
      </c>
      <c r="K47" s="7" t="n">
        <v>141.92</v>
      </c>
      <c r="L47" s="7" t="n">
        <v>13.57</v>
      </c>
      <c r="M47" s="8" t="n">
        <v>119</v>
      </c>
      <c r="N47" s="8" t="n">
        <v>203</v>
      </c>
      <c r="O47" s="7" t="n">
        <v>141.92</v>
      </c>
      <c r="P47" s="6" t="n">
        <v>36.3</v>
      </c>
      <c r="Q47" s="7" t="n">
        <v>0.236</v>
      </c>
      <c r="R47" s="7" t="n">
        <v>-0.246</v>
      </c>
      <c r="S47" s="4" t="s">
        <v>102</v>
      </c>
      <c r="T47" s="4"/>
      <c r="U47" s="8" t="n">
        <v>17</v>
      </c>
      <c r="V47" s="6" t="n">
        <v>235.42</v>
      </c>
      <c r="W47" s="7" t="n">
        <v>13.848</v>
      </c>
      <c r="X47" s="8" t="n">
        <v>14</v>
      </c>
      <c r="Y47" s="8" t="n">
        <v>39</v>
      </c>
      <c r="Z47" s="10" t="n">
        <v>0.086</v>
      </c>
      <c r="AA47" s="8" t="n">
        <v>221</v>
      </c>
      <c r="AB47" s="10" t="n">
        <v>0.436</v>
      </c>
      <c r="AC47" s="8" t="n">
        <v>37</v>
      </c>
      <c r="AD47" s="6" t="n">
        <v>49.9</v>
      </c>
      <c r="AE47" s="10" t="n">
        <v>0.942</v>
      </c>
      <c r="AF47" s="8" t="n">
        <v>5</v>
      </c>
      <c r="AG47" s="10" t="n">
        <v>-0.0677</v>
      </c>
      <c r="AH47" s="6" t="n">
        <v>28.4</v>
      </c>
    </row>
    <row r="48" customFormat="false" ht="15" hidden="false" customHeight="false" outlineLevel="0" collapsed="false">
      <c r="A48" s="3" t="n">
        <v>46</v>
      </c>
      <c r="B48" s="4" t="s">
        <v>233</v>
      </c>
      <c r="C48" s="11" t="s">
        <v>104</v>
      </c>
      <c r="D48" s="4" t="s">
        <v>234</v>
      </c>
      <c r="E48" s="4" t="s">
        <v>158</v>
      </c>
      <c r="F48" s="4" t="s">
        <v>104</v>
      </c>
      <c r="G48" s="3" t="n">
        <v>1</v>
      </c>
      <c r="H48" s="6" t="n">
        <v>27.6</v>
      </c>
      <c r="I48" s="3" t="n">
        <v>6</v>
      </c>
      <c r="J48" s="3" t="n">
        <v>8</v>
      </c>
      <c r="K48" s="7" t="n">
        <v>50.99</v>
      </c>
      <c r="L48" s="7" t="n">
        <v>7.98</v>
      </c>
      <c r="M48" s="8" t="n">
        <v>34</v>
      </c>
      <c r="N48" s="8" t="n">
        <v>72</v>
      </c>
      <c r="O48" s="7" t="n">
        <v>50.99</v>
      </c>
      <c r="P48" s="6" t="n">
        <v>95.9</v>
      </c>
      <c r="Q48" s="7" t="n">
        <v>0.234</v>
      </c>
      <c r="R48" s="7" t="n">
        <v>0.059</v>
      </c>
      <c r="S48" s="4" t="s">
        <v>102</v>
      </c>
      <c r="T48" s="4"/>
      <c r="U48" s="8" t="n">
        <v>17</v>
      </c>
      <c r="V48" s="6" t="n">
        <v>253.9</v>
      </c>
      <c r="W48" s="7" t="n">
        <v>14.935</v>
      </c>
      <c r="X48" s="8" t="n">
        <v>10</v>
      </c>
      <c r="Y48" s="8" t="n">
        <v>127</v>
      </c>
      <c r="Z48" s="10" t="n">
        <v>0.225</v>
      </c>
      <c r="AA48" s="8" t="n">
        <v>21</v>
      </c>
      <c r="AB48" s="10" t="n">
        <v>0.048</v>
      </c>
      <c r="AC48" s="8" t="n">
        <v>15</v>
      </c>
      <c r="AD48" s="6" t="n">
        <v>41.9</v>
      </c>
      <c r="AE48" s="10" t="n">
        <v>0.784</v>
      </c>
      <c r="AF48" s="8" t="n">
        <v>4</v>
      </c>
      <c r="AG48" s="10" t="n">
        <v>-0.0301</v>
      </c>
      <c r="AH48" s="6" t="n">
        <v>18</v>
      </c>
    </row>
    <row r="49" customFormat="false" ht="15" hidden="false" customHeight="false" outlineLevel="0" collapsed="false">
      <c r="A49" s="3" t="n">
        <v>47</v>
      </c>
      <c r="B49" s="4" t="s">
        <v>303</v>
      </c>
      <c r="C49" s="12" t="s">
        <v>149</v>
      </c>
      <c r="D49" s="4" t="s">
        <v>304</v>
      </c>
      <c r="E49" s="4" t="s">
        <v>112</v>
      </c>
      <c r="F49" s="4" t="s">
        <v>149</v>
      </c>
      <c r="G49" s="3" t="n">
        <v>1</v>
      </c>
      <c r="H49" s="6" t="n">
        <v>25.9</v>
      </c>
      <c r="I49" s="3" t="n">
        <v>6</v>
      </c>
      <c r="J49" s="3" t="n">
        <v>11</v>
      </c>
      <c r="K49" s="7" t="n">
        <v>82.88</v>
      </c>
      <c r="L49" s="7" t="n">
        <v>9.33</v>
      </c>
      <c r="M49" s="8" t="n">
        <v>66</v>
      </c>
      <c r="N49" s="8" t="n">
        <v>111</v>
      </c>
      <c r="O49" s="7" t="n">
        <v>82.88</v>
      </c>
      <c r="P49" s="6" t="n">
        <v>95.1</v>
      </c>
      <c r="Q49" s="7" t="n">
        <v>0.231</v>
      </c>
      <c r="R49" s="7" t="n">
        <v>0.099</v>
      </c>
      <c r="S49" s="4" t="s">
        <v>102</v>
      </c>
      <c r="T49" s="4"/>
      <c r="U49" s="8" t="n">
        <v>17</v>
      </c>
      <c r="V49" s="6" t="n">
        <v>210.8</v>
      </c>
      <c r="W49" s="7" t="n">
        <v>12.4</v>
      </c>
      <c r="X49" s="8" t="n">
        <v>2</v>
      </c>
      <c r="Y49" s="8" t="n">
        <v>151</v>
      </c>
      <c r="Z49" s="10" t="n">
        <v>0.291</v>
      </c>
      <c r="AA49" s="8" t="n">
        <v>160</v>
      </c>
      <c r="AB49" s="10" t="n">
        <v>0.335</v>
      </c>
      <c r="AC49" s="8" t="n">
        <v>49</v>
      </c>
      <c r="AD49" s="6" t="n">
        <v>62.4</v>
      </c>
      <c r="AE49" s="10" t="n">
        <v>0.798</v>
      </c>
      <c r="AF49" s="8" t="n">
        <v>4</v>
      </c>
      <c r="AG49" s="10" t="n">
        <v>-0.0621</v>
      </c>
      <c r="AH49" s="6" t="n">
        <v>20.8</v>
      </c>
    </row>
    <row r="50" customFormat="false" ht="15" hidden="false" customHeight="false" outlineLevel="0" collapsed="false">
      <c r="A50" s="3" t="n">
        <v>48</v>
      </c>
      <c r="B50" s="4" t="s">
        <v>334</v>
      </c>
      <c r="C50" s="13" t="s">
        <v>172</v>
      </c>
      <c r="D50" s="4" t="s">
        <v>335</v>
      </c>
      <c r="E50" s="4" t="s">
        <v>209</v>
      </c>
      <c r="F50" s="4" t="s">
        <v>172</v>
      </c>
      <c r="G50" s="3" t="n">
        <v>1</v>
      </c>
      <c r="H50" s="6" t="n">
        <v>26.5</v>
      </c>
      <c r="I50" s="3" t="n">
        <v>3</v>
      </c>
      <c r="J50" s="3" t="n">
        <v>10</v>
      </c>
      <c r="K50" s="7" t="n">
        <v>101.34</v>
      </c>
      <c r="L50" s="7" t="n">
        <v>9.64</v>
      </c>
      <c r="M50" s="8" t="n">
        <v>70</v>
      </c>
      <c r="N50" s="8" t="n">
        <v>125</v>
      </c>
      <c r="O50" s="7" t="n">
        <v>101.34</v>
      </c>
      <c r="P50" s="6" t="n">
        <v>87.2</v>
      </c>
      <c r="Q50" s="7" t="n">
        <v>0.224</v>
      </c>
      <c r="R50" s="7" t="n">
        <v>0.092</v>
      </c>
      <c r="S50" s="4" t="s">
        <v>102</v>
      </c>
      <c r="T50" s="4"/>
      <c r="U50" s="8" t="n">
        <v>17</v>
      </c>
      <c r="V50" s="6" t="n">
        <v>304.84</v>
      </c>
      <c r="W50" s="7" t="n">
        <v>17.932</v>
      </c>
      <c r="X50" s="8" t="n">
        <v>7</v>
      </c>
      <c r="Y50" s="8" t="n">
        <v>4</v>
      </c>
      <c r="Z50" s="10" t="n">
        <v>0.007</v>
      </c>
      <c r="AA50" s="8" t="n">
        <v>0</v>
      </c>
      <c r="AB50" s="10" t="n">
        <v>0</v>
      </c>
      <c r="AC50" s="8" t="n">
        <v>1</v>
      </c>
      <c r="AD50" s="6" t="n">
        <v>63.2</v>
      </c>
      <c r="AE50" s="10" t="n">
        <v>0.999</v>
      </c>
      <c r="AF50" s="8" t="n">
        <v>5</v>
      </c>
      <c r="AG50" s="10" t="n">
        <v>0.0157</v>
      </c>
      <c r="AH50" s="6" t="n">
        <v>23.6</v>
      </c>
    </row>
    <row r="51" customFormat="false" ht="15" hidden="false" customHeight="false" outlineLevel="0" collapsed="false">
      <c r="A51" s="3" t="n">
        <v>49</v>
      </c>
      <c r="B51" s="4" t="s">
        <v>385</v>
      </c>
      <c r="C51" s="12" t="s">
        <v>149</v>
      </c>
      <c r="D51" s="4" t="s">
        <v>386</v>
      </c>
      <c r="E51" s="4" t="s">
        <v>136</v>
      </c>
      <c r="F51" s="4" t="s">
        <v>149</v>
      </c>
      <c r="G51" s="3" t="n">
        <v>1</v>
      </c>
      <c r="H51" s="6" t="n">
        <v>31.6</v>
      </c>
      <c r="I51" s="3" t="n">
        <v>9</v>
      </c>
      <c r="J51" s="3" t="n">
        <v>10</v>
      </c>
      <c r="K51" s="7" t="n">
        <v>122.31</v>
      </c>
      <c r="L51" s="7" t="n">
        <v>16.33</v>
      </c>
      <c r="M51" s="8" t="n">
        <v>87</v>
      </c>
      <c r="N51" s="8" t="n">
        <v>158</v>
      </c>
      <c r="O51" s="7" t="n">
        <v>122.31</v>
      </c>
      <c r="P51" s="6" t="n">
        <v>85.2</v>
      </c>
      <c r="Q51" s="7" t="n">
        <v>0.224</v>
      </c>
      <c r="R51" s="7" t="n">
        <v>0.268</v>
      </c>
      <c r="S51" s="4" t="s">
        <v>102</v>
      </c>
      <c r="T51" s="4"/>
      <c r="U51" s="8" t="n">
        <v>15</v>
      </c>
      <c r="V51" s="6" t="n">
        <v>185.1</v>
      </c>
      <c r="W51" s="7" t="n">
        <v>12.34</v>
      </c>
      <c r="X51" s="8" t="n">
        <v>7</v>
      </c>
      <c r="Y51" s="8" t="n">
        <v>175</v>
      </c>
      <c r="Z51" s="10" t="n">
        <v>0.377</v>
      </c>
      <c r="AA51" s="8" t="n">
        <v>12</v>
      </c>
      <c r="AB51" s="10" t="n">
        <v>0.025</v>
      </c>
      <c r="AC51" s="8" t="n">
        <v>23</v>
      </c>
      <c r="AD51" s="6" t="n">
        <v>48.2</v>
      </c>
      <c r="AE51" s="10" t="n">
        <v>0.909</v>
      </c>
      <c r="AF51" s="8" t="n">
        <v>5</v>
      </c>
      <c r="AG51" s="10" t="n">
        <v>-0.0248</v>
      </c>
      <c r="AH51" s="6" t="n">
        <v>22.3</v>
      </c>
    </row>
    <row r="52" customFormat="false" ht="15" hidden="false" customHeight="false" outlineLevel="0" collapsed="false">
      <c r="A52" s="3" t="n">
        <v>50</v>
      </c>
      <c r="B52" s="4" t="s">
        <v>330</v>
      </c>
      <c r="C52" s="12" t="s">
        <v>149</v>
      </c>
      <c r="D52" s="4" t="s">
        <v>331</v>
      </c>
      <c r="E52" s="4" t="s">
        <v>164</v>
      </c>
      <c r="F52" s="4" t="s">
        <v>149</v>
      </c>
      <c r="G52" s="3" t="n">
        <v>1</v>
      </c>
      <c r="H52" s="6" t="n">
        <v>36.9</v>
      </c>
      <c r="I52" s="3" t="n">
        <v>14</v>
      </c>
      <c r="J52" s="3" t="n">
        <v>5</v>
      </c>
      <c r="K52" s="7" t="n">
        <v>98.69</v>
      </c>
      <c r="L52" s="7" t="n">
        <v>13.65</v>
      </c>
      <c r="M52" s="8" t="n">
        <v>66</v>
      </c>
      <c r="N52" s="8" t="n">
        <v>138</v>
      </c>
      <c r="O52" s="7" t="n">
        <v>98.69</v>
      </c>
      <c r="P52" s="6" t="n">
        <v>88.9</v>
      </c>
      <c r="Q52" s="7" t="n">
        <v>0.222</v>
      </c>
      <c r="R52" s="7" t="n">
        <v>-0.041</v>
      </c>
      <c r="S52" s="4" t="s">
        <v>102</v>
      </c>
      <c r="T52" s="4"/>
      <c r="U52" s="8" t="n">
        <v>17</v>
      </c>
      <c r="V52" s="6" t="n">
        <v>193.2</v>
      </c>
      <c r="W52" s="7" t="n">
        <v>11.365</v>
      </c>
      <c r="X52" s="8" t="n">
        <v>3</v>
      </c>
      <c r="Y52" s="8" t="n">
        <v>147</v>
      </c>
      <c r="Z52" s="10" t="n">
        <v>0.268</v>
      </c>
      <c r="AA52" s="8" t="n">
        <v>129</v>
      </c>
      <c r="AB52" s="10" t="n">
        <v>0.3</v>
      </c>
      <c r="AC52" s="8" t="n">
        <v>43</v>
      </c>
      <c r="AD52" s="6" t="n">
        <v>50.1</v>
      </c>
      <c r="AE52" s="10" t="n">
        <v>0.864</v>
      </c>
      <c r="AF52" s="8" t="n">
        <v>5</v>
      </c>
      <c r="AG52" s="10" t="n">
        <v>0.0395</v>
      </c>
      <c r="AH52" s="6" t="n">
        <v>21.3</v>
      </c>
    </row>
    <row r="53" customFormat="false" ht="15" hidden="false" customHeight="false" outlineLevel="0" collapsed="false">
      <c r="A53" s="3" t="n">
        <v>51</v>
      </c>
      <c r="B53" s="4" t="s">
        <v>522</v>
      </c>
      <c r="C53" s="11" t="s">
        <v>104</v>
      </c>
      <c r="D53" s="4" t="s">
        <v>523</v>
      </c>
      <c r="E53" s="4" t="s">
        <v>115</v>
      </c>
      <c r="F53" s="4" t="s">
        <v>104</v>
      </c>
      <c r="G53" s="3" t="n">
        <v>4</v>
      </c>
      <c r="H53" s="6" t="n">
        <v>27.3</v>
      </c>
      <c r="I53" s="3" t="n">
        <v>4</v>
      </c>
      <c r="J53" s="3" t="n">
        <v>11</v>
      </c>
      <c r="K53" s="7" t="n">
        <v>208.66</v>
      </c>
      <c r="L53" s="7" t="n">
        <v>35.97</v>
      </c>
      <c r="M53" s="8" t="n">
        <v>143</v>
      </c>
      <c r="N53" s="8" t="n">
        <v>290</v>
      </c>
      <c r="O53" s="7" t="n">
        <v>208.66</v>
      </c>
      <c r="P53" s="6" t="n">
        <v>10.1</v>
      </c>
      <c r="Q53" s="7" t="n">
        <v>0.215</v>
      </c>
      <c r="R53" s="7" t="n">
        <v>-0.092</v>
      </c>
      <c r="S53" s="4" t="s">
        <v>102</v>
      </c>
      <c r="T53" s="4"/>
      <c r="U53" s="8" t="n">
        <v>17</v>
      </c>
      <c r="V53" s="6" t="n">
        <v>94.5</v>
      </c>
      <c r="W53" s="7" t="n">
        <v>5.559</v>
      </c>
      <c r="X53" s="8" t="n">
        <v>46</v>
      </c>
      <c r="Y53" s="8" t="n">
        <v>39</v>
      </c>
      <c r="Z53" s="10" t="n">
        <v>0.086</v>
      </c>
      <c r="AA53" s="8" t="n">
        <v>221</v>
      </c>
      <c r="AB53" s="10" t="n">
        <v>0.436</v>
      </c>
      <c r="AC53" s="8" t="n">
        <v>37</v>
      </c>
      <c r="AD53" s="6" t="n">
        <v>49.9</v>
      </c>
      <c r="AE53" s="10" t="n">
        <v>0.942</v>
      </c>
      <c r="AF53" s="8" t="n">
        <v>5</v>
      </c>
      <c r="AG53" s="10" t="n">
        <v>-0.0677</v>
      </c>
      <c r="AH53" s="6" t="n">
        <v>28.4</v>
      </c>
    </row>
    <row r="54" customFormat="false" ht="15" hidden="false" customHeight="false" outlineLevel="0" collapsed="false">
      <c r="A54" s="3" t="n">
        <v>52</v>
      </c>
      <c r="B54" s="4" t="s">
        <v>355</v>
      </c>
      <c r="C54" s="13" t="s">
        <v>172</v>
      </c>
      <c r="D54" s="4" t="s">
        <v>356</v>
      </c>
      <c r="E54" s="4" t="s">
        <v>106</v>
      </c>
      <c r="F54" s="4" t="s">
        <v>172</v>
      </c>
      <c r="G54" s="3" t="n">
        <v>1</v>
      </c>
      <c r="H54" s="6" t="n">
        <v>31.8</v>
      </c>
      <c r="I54" s="3" t="n">
        <v>11</v>
      </c>
      <c r="J54" s="3" t="n">
        <v>6</v>
      </c>
      <c r="K54" s="7" t="n">
        <v>106.71</v>
      </c>
      <c r="L54" s="7" t="n">
        <v>11.25</v>
      </c>
      <c r="M54" s="8" t="n">
        <v>59</v>
      </c>
      <c r="N54" s="8" t="n">
        <v>124</v>
      </c>
      <c r="O54" s="7" t="n">
        <v>106.71</v>
      </c>
      <c r="P54" s="6" t="n">
        <v>74.7</v>
      </c>
      <c r="Q54" s="7" t="n">
        <v>0.207</v>
      </c>
      <c r="R54" s="7" t="n">
        <v>0.076</v>
      </c>
      <c r="S54" s="4" t="s">
        <v>102</v>
      </c>
      <c r="T54" s="4"/>
      <c r="U54" s="8" t="n">
        <v>17</v>
      </c>
      <c r="V54" s="6" t="n">
        <v>297.06</v>
      </c>
      <c r="W54" s="7" t="n">
        <v>17.474</v>
      </c>
      <c r="X54" s="8" t="n">
        <v>9</v>
      </c>
      <c r="Y54" s="8" t="n">
        <v>79</v>
      </c>
      <c r="Z54" s="10" t="n">
        <v>0.144</v>
      </c>
      <c r="AA54" s="8" t="n">
        <v>167</v>
      </c>
      <c r="AB54" s="10" t="n">
        <v>0.378</v>
      </c>
      <c r="AC54" s="8" t="n">
        <v>45</v>
      </c>
      <c r="AD54" s="6" t="n">
        <v>46.7</v>
      </c>
      <c r="AE54" s="10" t="n">
        <v>0.521</v>
      </c>
      <c r="AF54" s="8" t="n">
        <v>3</v>
      </c>
      <c r="AG54" s="10" t="n">
        <v>-0.0456</v>
      </c>
      <c r="AH54" s="6" t="n">
        <v>28.3</v>
      </c>
    </row>
    <row r="55" customFormat="false" ht="15" hidden="false" customHeight="false" outlineLevel="0" collapsed="false">
      <c r="A55" s="3" t="n">
        <v>53</v>
      </c>
      <c r="B55" s="4" t="s">
        <v>369</v>
      </c>
      <c r="C55" s="12" t="s">
        <v>149</v>
      </c>
      <c r="D55" s="4" t="s">
        <v>370</v>
      </c>
      <c r="E55" s="4" t="s">
        <v>120</v>
      </c>
      <c r="F55" s="4" t="s">
        <v>149</v>
      </c>
      <c r="G55" s="3" t="n">
        <v>1</v>
      </c>
      <c r="H55" s="6" t="n">
        <v>27.6</v>
      </c>
      <c r="I55" s="3" t="n">
        <v>5</v>
      </c>
      <c r="J55" s="3" t="n">
        <v>14</v>
      </c>
      <c r="K55" s="7" t="n">
        <v>113.4</v>
      </c>
      <c r="L55" s="7" t="n">
        <v>15.91</v>
      </c>
      <c r="M55" s="8" t="n">
        <v>73</v>
      </c>
      <c r="N55" s="8" t="n">
        <v>160</v>
      </c>
      <c r="O55" s="7" t="n">
        <v>113.4</v>
      </c>
      <c r="P55" s="6" t="n">
        <v>85.5</v>
      </c>
      <c r="Q55" s="7" t="n">
        <v>0.206</v>
      </c>
      <c r="R55" s="7" t="n">
        <v>-0.058</v>
      </c>
      <c r="S55" s="4" t="s">
        <v>102</v>
      </c>
      <c r="T55" s="4"/>
      <c r="U55" s="8" t="n">
        <v>17</v>
      </c>
      <c r="V55" s="6" t="n">
        <v>188.1</v>
      </c>
      <c r="W55" s="7" t="n">
        <v>11.065</v>
      </c>
      <c r="X55" s="8" t="n">
        <v>5</v>
      </c>
      <c r="Y55" s="8" t="n">
        <v>34</v>
      </c>
      <c r="Z55" s="10" t="n">
        <v>0.056</v>
      </c>
      <c r="AA55" s="8" t="n">
        <v>0</v>
      </c>
      <c r="AB55" s="10" t="n">
        <v>0</v>
      </c>
      <c r="AC55" s="8" t="n">
        <v>4</v>
      </c>
      <c r="AD55" s="6" t="n">
        <v>65.1</v>
      </c>
      <c r="AE55" s="10" t="n">
        <v>0.848</v>
      </c>
      <c r="AF55" s="8" t="n">
        <v>5</v>
      </c>
      <c r="AG55" s="10" t="n">
        <v>-0.0098</v>
      </c>
      <c r="AH55" s="6" t="n">
        <v>27.7</v>
      </c>
    </row>
    <row r="56" customFormat="false" ht="15" hidden="false" customHeight="false" outlineLevel="0" collapsed="false">
      <c r="A56" s="3" t="n">
        <v>54</v>
      </c>
      <c r="B56" s="4" t="s">
        <v>383</v>
      </c>
      <c r="C56" s="5" t="s">
        <v>99</v>
      </c>
      <c r="D56" s="4" t="s">
        <v>384</v>
      </c>
      <c r="E56" s="4" t="s">
        <v>147</v>
      </c>
      <c r="F56" s="4" t="s">
        <v>270</v>
      </c>
      <c r="G56" s="3" t="n">
        <v>1</v>
      </c>
      <c r="H56" s="6" t="n">
        <v>26.5</v>
      </c>
      <c r="I56" s="3" t="n">
        <v>5</v>
      </c>
      <c r="J56" s="3" t="n">
        <v>7</v>
      </c>
      <c r="K56" s="7" t="n">
        <v>120.35</v>
      </c>
      <c r="L56" s="7" t="n">
        <v>16.98</v>
      </c>
      <c r="M56" s="8" t="n">
        <v>83</v>
      </c>
      <c r="N56" s="8" t="n">
        <v>173</v>
      </c>
      <c r="O56" s="7" t="n">
        <v>120.35</v>
      </c>
      <c r="P56" s="6" t="n">
        <v>59.1</v>
      </c>
      <c r="Q56" s="7" t="n">
        <v>0.193</v>
      </c>
      <c r="R56" s="7" t="n">
        <v>-0.158</v>
      </c>
      <c r="S56" s="4" t="s">
        <v>102</v>
      </c>
      <c r="T56" s="4"/>
      <c r="U56" s="8" t="n">
        <v>16</v>
      </c>
      <c r="V56" s="6" t="n">
        <v>166.4</v>
      </c>
      <c r="W56" s="7" t="n">
        <v>10.4</v>
      </c>
      <c r="X56" s="8" t="n">
        <v>36</v>
      </c>
      <c r="Y56" s="8" t="n">
        <v>19</v>
      </c>
      <c r="Z56" s="10" t="n">
        <v>0.04</v>
      </c>
      <c r="AA56" s="8" t="n">
        <v>17</v>
      </c>
      <c r="AB56" s="10" t="n">
        <v>0.031</v>
      </c>
      <c r="AC56" s="8" t="n">
        <v>2</v>
      </c>
      <c r="AD56" s="6" t="n">
        <v>73.6</v>
      </c>
      <c r="AE56" s="10" t="n">
        <v>0.763</v>
      </c>
      <c r="AF56" s="8" t="n">
        <v>4</v>
      </c>
      <c r="AG56" s="10" t="n">
        <v>-0.0352</v>
      </c>
      <c r="AH56" s="6" t="n">
        <v>28.3</v>
      </c>
    </row>
    <row r="57" customFormat="false" ht="15" hidden="false" customHeight="false" outlineLevel="0" collapsed="false">
      <c r="A57" s="3" t="n">
        <v>55</v>
      </c>
      <c r="B57" s="4" t="s">
        <v>576</v>
      </c>
      <c r="C57" s="11" t="s">
        <v>104</v>
      </c>
      <c r="D57" s="4" t="s">
        <v>577</v>
      </c>
      <c r="E57" s="4" t="s">
        <v>186</v>
      </c>
      <c r="F57" s="4" t="s">
        <v>104</v>
      </c>
      <c r="G57" s="3" t="n">
        <v>3</v>
      </c>
      <c r="H57" s="6" t="n">
        <v>24.5</v>
      </c>
      <c r="I57" s="3" t="n">
        <v>3</v>
      </c>
      <c r="J57" s="3" t="n">
        <v>13</v>
      </c>
      <c r="K57" s="7" t="n">
        <v>247.78</v>
      </c>
      <c r="L57" s="7" t="n">
        <v>30.4</v>
      </c>
      <c r="M57" s="8" t="n">
        <v>171</v>
      </c>
      <c r="N57" s="8" t="n">
        <v>317</v>
      </c>
      <c r="O57" s="7" t="n">
        <v>247.78</v>
      </c>
      <c r="P57" s="6" t="n">
        <v>2.7</v>
      </c>
      <c r="Q57" s="7" t="n">
        <v>0.192</v>
      </c>
      <c r="R57" s="7" t="n">
        <v>0.016</v>
      </c>
      <c r="S57" s="4" t="s">
        <v>102</v>
      </c>
      <c r="T57" s="4"/>
      <c r="U57" s="8" t="n">
        <v>16</v>
      </c>
      <c r="V57" s="6" t="n">
        <v>71.2</v>
      </c>
      <c r="W57" s="7" t="n">
        <v>4.45</v>
      </c>
      <c r="X57" s="8" t="n">
        <v>53</v>
      </c>
      <c r="Y57" s="8" t="n">
        <v>76</v>
      </c>
      <c r="Z57" s="10" t="n">
        <v>0.161</v>
      </c>
      <c r="AA57" s="8" t="n">
        <v>117</v>
      </c>
      <c r="AB57" s="10" t="n">
        <v>0.257</v>
      </c>
      <c r="AC57" s="8" t="n">
        <v>27</v>
      </c>
      <c r="AD57" s="6" t="n">
        <v>38.6</v>
      </c>
      <c r="AE57" s="10" t="n">
        <v>0.808</v>
      </c>
      <c r="AF57" s="8" t="n">
        <v>3</v>
      </c>
      <c r="AG57" s="10" t="n">
        <v>-0.0877</v>
      </c>
      <c r="AH57" s="6" t="n">
        <v>17.6</v>
      </c>
    </row>
    <row r="58" customFormat="false" ht="15" hidden="false" customHeight="false" outlineLevel="0" collapsed="false">
      <c r="A58" s="3" t="n">
        <v>56</v>
      </c>
      <c r="B58" s="4" t="s">
        <v>342</v>
      </c>
      <c r="C58" s="5" t="s">
        <v>99</v>
      </c>
      <c r="D58" s="4" t="s">
        <v>343</v>
      </c>
      <c r="E58" s="4" t="s">
        <v>235</v>
      </c>
      <c r="F58" s="4" t="s">
        <v>99</v>
      </c>
      <c r="G58" s="3" t="n">
        <v>3</v>
      </c>
      <c r="H58" s="6" t="n">
        <v>29.8</v>
      </c>
      <c r="I58" s="3" t="n">
        <v>8</v>
      </c>
      <c r="J58" s="3" t="n">
        <v>7</v>
      </c>
      <c r="K58" s="7" t="n">
        <v>102.19</v>
      </c>
      <c r="L58" s="7" t="n">
        <v>17.8</v>
      </c>
      <c r="M58" s="8" t="n">
        <v>62</v>
      </c>
      <c r="N58" s="8" t="n">
        <v>158</v>
      </c>
      <c r="O58" s="7" t="n">
        <v>102.19</v>
      </c>
      <c r="P58" s="6" t="n">
        <v>75.6</v>
      </c>
      <c r="Q58" s="7" t="n">
        <v>0.191</v>
      </c>
      <c r="R58" s="7" t="n">
        <v>-0.116</v>
      </c>
      <c r="S58" s="4" t="s">
        <v>102</v>
      </c>
      <c r="T58" s="4"/>
      <c r="U58" s="8" t="n">
        <v>16</v>
      </c>
      <c r="V58" s="6" t="n">
        <v>175.8</v>
      </c>
      <c r="W58" s="7" t="n">
        <v>10.988</v>
      </c>
      <c r="X58" s="8" t="n">
        <v>32</v>
      </c>
      <c r="Y58" s="8" t="n">
        <v>132</v>
      </c>
      <c r="Z58" s="10" t="n">
        <v>0.241</v>
      </c>
      <c r="AA58" s="8" t="n">
        <v>271</v>
      </c>
      <c r="AB58" s="10" t="n">
        <v>0.554</v>
      </c>
      <c r="AC58" s="8" t="n">
        <v>85</v>
      </c>
      <c r="AD58" s="6" t="n">
        <v>44.3</v>
      </c>
      <c r="AE58" s="10" t="n">
        <v>1</v>
      </c>
      <c r="AF58" s="8" t="n">
        <v>5</v>
      </c>
      <c r="AG58" s="10" t="n">
        <v>0.0164</v>
      </c>
      <c r="AH58" s="6" t="n">
        <v>27.9</v>
      </c>
    </row>
    <row r="59" customFormat="false" ht="15" hidden="false" customHeight="false" outlineLevel="0" collapsed="false">
      <c r="A59" s="3" t="n">
        <v>57</v>
      </c>
      <c r="B59" s="4" t="s">
        <v>566</v>
      </c>
      <c r="C59" s="12" t="s">
        <v>149</v>
      </c>
      <c r="D59" s="4" t="s">
        <v>567</v>
      </c>
      <c r="E59" s="4" t="s">
        <v>198</v>
      </c>
      <c r="F59" s="4" t="s">
        <v>149</v>
      </c>
      <c r="G59" s="3" t="n">
        <v>1</v>
      </c>
      <c r="H59" s="6" t="n">
        <v>27.3</v>
      </c>
      <c r="I59" s="3" t="n">
        <v>5</v>
      </c>
      <c r="J59" s="3" t="n">
        <v>10</v>
      </c>
      <c r="K59" s="7" t="n">
        <v>242.56</v>
      </c>
      <c r="L59" s="7" t="n">
        <v>21.79</v>
      </c>
      <c r="M59" s="8" t="n">
        <v>158</v>
      </c>
      <c r="N59" s="8" t="n">
        <v>290</v>
      </c>
      <c r="O59" s="7" t="n">
        <v>242.56</v>
      </c>
      <c r="P59" s="6" t="n">
        <v>15.3</v>
      </c>
      <c r="Q59" s="7" t="n">
        <v>0.186</v>
      </c>
      <c r="R59" s="7" t="n">
        <v>0.142</v>
      </c>
      <c r="S59" s="4" t="s">
        <v>102</v>
      </c>
      <c r="T59" s="4"/>
      <c r="U59" s="8" t="n">
        <v>15</v>
      </c>
      <c r="V59" s="6" t="n">
        <v>122.2</v>
      </c>
      <c r="W59" s="7" t="n">
        <v>8.147</v>
      </c>
      <c r="X59" s="8" t="n">
        <v>20</v>
      </c>
      <c r="Y59" s="8" t="n">
        <v>111</v>
      </c>
      <c r="Z59" s="10" t="n">
        <v>0.205</v>
      </c>
      <c r="AA59" s="8" t="n">
        <v>138</v>
      </c>
      <c r="AB59" s="10" t="n">
        <v>0.292</v>
      </c>
      <c r="AC59" s="8" t="n">
        <v>38</v>
      </c>
      <c r="AD59" s="6" t="n">
        <v>57.4</v>
      </c>
      <c r="AE59" s="10" t="n">
        <v>0.791</v>
      </c>
      <c r="AF59" s="8" t="n">
        <v>4</v>
      </c>
      <c r="AG59" s="10" t="n">
        <v>-0.0347</v>
      </c>
      <c r="AH59" s="6" t="n">
        <v>22.4</v>
      </c>
    </row>
    <row r="60" customFormat="false" ht="15" hidden="false" customHeight="false" outlineLevel="0" collapsed="false">
      <c r="A60" s="3" t="n">
        <v>58</v>
      </c>
      <c r="B60" s="4" t="s">
        <v>291</v>
      </c>
      <c r="C60" s="13" t="s">
        <v>172</v>
      </c>
      <c r="D60" s="4" t="s">
        <v>292</v>
      </c>
      <c r="E60" s="4" t="s">
        <v>235</v>
      </c>
      <c r="F60" s="4" t="s">
        <v>172</v>
      </c>
      <c r="G60" s="3" t="n">
        <v>1</v>
      </c>
      <c r="H60" s="6" t="n">
        <v>26.9</v>
      </c>
      <c r="I60" s="3" t="n">
        <v>6</v>
      </c>
      <c r="J60" s="3" t="n">
        <v>7</v>
      </c>
      <c r="K60" s="7" t="n">
        <v>79.86</v>
      </c>
      <c r="L60" s="7" t="n">
        <v>12.48</v>
      </c>
      <c r="M60" s="8" t="n">
        <v>59</v>
      </c>
      <c r="N60" s="8" t="n">
        <v>108</v>
      </c>
      <c r="O60" s="7" t="n">
        <v>79.86</v>
      </c>
      <c r="P60" s="6" t="n">
        <v>88.6</v>
      </c>
      <c r="Q60" s="7" t="n">
        <v>0.179</v>
      </c>
      <c r="R60" s="7" t="n">
        <v>0.134</v>
      </c>
      <c r="S60" s="4" t="s">
        <v>102</v>
      </c>
      <c r="T60" s="4"/>
      <c r="U60" s="8" t="n">
        <v>17</v>
      </c>
      <c r="V60" s="6" t="n">
        <v>338.18</v>
      </c>
      <c r="W60" s="7" t="n">
        <v>19.893</v>
      </c>
      <c r="X60" s="8" t="n">
        <v>4</v>
      </c>
      <c r="Y60" s="8" t="n">
        <v>132</v>
      </c>
      <c r="Z60" s="10" t="n">
        <v>0.241</v>
      </c>
      <c r="AA60" s="8" t="n">
        <v>271</v>
      </c>
      <c r="AB60" s="10" t="n">
        <v>0.554</v>
      </c>
      <c r="AC60" s="8" t="n">
        <v>85</v>
      </c>
      <c r="AD60" s="6" t="n">
        <v>44.3</v>
      </c>
      <c r="AE60" s="10" t="n">
        <v>1</v>
      </c>
      <c r="AF60" s="8" t="n">
        <v>5</v>
      </c>
      <c r="AG60" s="10" t="n">
        <v>0.0164</v>
      </c>
      <c r="AH60" s="6" t="n">
        <v>27.9</v>
      </c>
    </row>
    <row r="61" customFormat="false" ht="15" hidden="false" customHeight="false" outlineLevel="0" collapsed="false">
      <c r="A61" s="3" t="n">
        <v>59</v>
      </c>
      <c r="B61" s="4" t="s">
        <v>214</v>
      </c>
      <c r="C61" s="11" t="s">
        <v>104</v>
      </c>
      <c r="D61" s="4" t="s">
        <v>215</v>
      </c>
      <c r="E61" s="4" t="s">
        <v>109</v>
      </c>
      <c r="F61" s="4" t="s">
        <v>104</v>
      </c>
      <c r="G61" s="3" t="n">
        <v>1</v>
      </c>
      <c r="H61" s="6" t="n">
        <v>26</v>
      </c>
      <c r="I61" s="3" t="n">
        <v>5</v>
      </c>
      <c r="J61" s="3" t="n">
        <v>11</v>
      </c>
      <c r="K61" s="7" t="n">
        <v>41.87</v>
      </c>
      <c r="L61" s="7" t="n">
        <v>6.68</v>
      </c>
      <c r="M61" s="8" t="n">
        <v>23</v>
      </c>
      <c r="N61" s="8" t="n">
        <v>56</v>
      </c>
      <c r="O61" s="7" t="n">
        <v>41.87</v>
      </c>
      <c r="P61" s="6" t="n">
        <v>97.8</v>
      </c>
      <c r="Q61" s="7" t="n">
        <v>0.172</v>
      </c>
      <c r="R61" s="7" t="n">
        <v>0.084</v>
      </c>
      <c r="S61" s="4" t="s">
        <v>102</v>
      </c>
      <c r="T61" s="4"/>
      <c r="U61" s="8" t="n">
        <v>17</v>
      </c>
      <c r="V61" s="6" t="n">
        <v>263.3</v>
      </c>
      <c r="W61" s="7" t="n">
        <v>15.488</v>
      </c>
      <c r="X61" s="8" t="n">
        <v>9</v>
      </c>
      <c r="Y61" s="8" t="n">
        <v>15</v>
      </c>
      <c r="Z61" s="10" t="n">
        <v>0.026</v>
      </c>
      <c r="AA61" s="8" t="n">
        <v>0</v>
      </c>
      <c r="AB61" s="10" t="n">
        <v>0</v>
      </c>
      <c r="AC61" s="8" t="n">
        <v>1</v>
      </c>
      <c r="AD61" s="6" t="n">
        <v>80.4</v>
      </c>
      <c r="AE61" s="10" t="n">
        <v>0.904</v>
      </c>
      <c r="AF61" s="8" t="n">
        <v>5</v>
      </c>
      <c r="AG61" s="10" t="n">
        <v>0.0296</v>
      </c>
      <c r="AH61" s="6" t="n">
        <v>30.5</v>
      </c>
    </row>
    <row r="62" customFormat="false" ht="15" hidden="false" customHeight="false" outlineLevel="0" collapsed="false">
      <c r="A62" s="3" t="n">
        <v>60</v>
      </c>
      <c r="B62" s="4" t="s">
        <v>152</v>
      </c>
      <c r="C62" s="5" t="s">
        <v>99</v>
      </c>
      <c r="D62" s="4" t="s">
        <v>153</v>
      </c>
      <c r="E62" s="4" t="s">
        <v>120</v>
      </c>
      <c r="F62" s="4" t="s">
        <v>99</v>
      </c>
      <c r="G62" s="3" t="n">
        <v>2</v>
      </c>
      <c r="H62" s="6" t="n">
        <v>25.5</v>
      </c>
      <c r="I62" s="3" t="n">
        <v>5</v>
      </c>
      <c r="J62" s="3" t="n">
        <v>14</v>
      </c>
      <c r="K62" s="7" t="n">
        <v>19.88</v>
      </c>
      <c r="L62" s="7" t="n">
        <v>6.22</v>
      </c>
      <c r="M62" s="8" t="n">
        <v>12</v>
      </c>
      <c r="N62" s="8" t="n">
        <v>51</v>
      </c>
      <c r="O62" s="7" t="n">
        <v>19.88</v>
      </c>
      <c r="P62" s="6" t="n">
        <v>99.3</v>
      </c>
      <c r="Q62" s="7" t="n">
        <v>0.17</v>
      </c>
      <c r="R62" s="7" t="n">
        <v>0.126</v>
      </c>
      <c r="S62" s="4" t="s">
        <v>102</v>
      </c>
      <c r="T62" s="4"/>
      <c r="U62" s="8" t="n">
        <v>17</v>
      </c>
      <c r="V62" s="6" t="n">
        <v>291.9</v>
      </c>
      <c r="W62" s="7" t="n">
        <v>17.171</v>
      </c>
      <c r="X62" s="8" t="n">
        <v>5</v>
      </c>
      <c r="Y62" s="8" t="n">
        <v>34</v>
      </c>
      <c r="Z62" s="10" t="n">
        <v>0.056</v>
      </c>
      <c r="AA62" s="8" t="n">
        <v>0</v>
      </c>
      <c r="AB62" s="10" t="n">
        <v>0</v>
      </c>
      <c r="AC62" s="8" t="n">
        <v>4</v>
      </c>
      <c r="AD62" s="6" t="n">
        <v>65.1</v>
      </c>
      <c r="AE62" s="10" t="n">
        <v>0.848</v>
      </c>
      <c r="AF62" s="8" t="n">
        <v>5</v>
      </c>
      <c r="AG62" s="10" t="n">
        <v>-0.0098</v>
      </c>
      <c r="AH62" s="6" t="n">
        <v>27.7</v>
      </c>
    </row>
    <row r="63" customFormat="false" ht="15" hidden="false" customHeight="false" outlineLevel="0" collapsed="false">
      <c r="A63" s="3" t="n">
        <v>61</v>
      </c>
      <c r="B63" s="4" t="s">
        <v>156</v>
      </c>
      <c r="C63" s="5" t="s">
        <v>99</v>
      </c>
      <c r="D63" s="4" t="s">
        <v>157</v>
      </c>
      <c r="E63" s="4" t="s">
        <v>158</v>
      </c>
      <c r="F63" s="4" t="s">
        <v>99</v>
      </c>
      <c r="G63" s="3" t="n">
        <v>1</v>
      </c>
      <c r="H63" s="6" t="n">
        <v>26.1</v>
      </c>
      <c r="I63" s="3" t="n">
        <v>5</v>
      </c>
      <c r="J63" s="3" t="n">
        <v>8</v>
      </c>
      <c r="K63" s="7" t="n">
        <v>20.57</v>
      </c>
      <c r="L63" s="7" t="n">
        <v>7.04</v>
      </c>
      <c r="M63" s="8" t="n">
        <v>11</v>
      </c>
      <c r="N63" s="8" t="n">
        <v>51</v>
      </c>
      <c r="O63" s="7" t="n">
        <v>20.57</v>
      </c>
      <c r="P63" s="6" t="n">
        <v>98</v>
      </c>
      <c r="Q63" s="7" t="n">
        <v>0.162</v>
      </c>
      <c r="R63" s="7" t="n">
        <v>0.074</v>
      </c>
      <c r="S63" s="4" t="s">
        <v>102</v>
      </c>
      <c r="T63" s="4"/>
      <c r="U63" s="8" t="n">
        <v>16</v>
      </c>
      <c r="V63" s="6" t="n">
        <v>268</v>
      </c>
      <c r="W63" s="7" t="n">
        <v>16.75</v>
      </c>
      <c r="X63" s="8" t="n">
        <v>6</v>
      </c>
      <c r="Y63" s="8" t="n">
        <v>127</v>
      </c>
      <c r="Z63" s="10" t="n">
        <v>0.225</v>
      </c>
      <c r="AA63" s="8" t="n">
        <v>21</v>
      </c>
      <c r="AB63" s="10" t="n">
        <v>0.048</v>
      </c>
      <c r="AC63" s="8" t="n">
        <v>15</v>
      </c>
      <c r="AD63" s="6" t="n">
        <v>41.9</v>
      </c>
      <c r="AE63" s="10" t="n">
        <v>0.784</v>
      </c>
      <c r="AF63" s="8" t="n">
        <v>4</v>
      </c>
      <c r="AG63" s="10" t="n">
        <v>-0.0301</v>
      </c>
      <c r="AH63" s="6" t="n">
        <v>18</v>
      </c>
    </row>
    <row r="64" customFormat="false" ht="15" hidden="false" customHeight="false" outlineLevel="0" collapsed="false">
      <c r="A64" s="3" t="n">
        <v>62</v>
      </c>
      <c r="B64" s="4" t="s">
        <v>641</v>
      </c>
      <c r="C64" s="5" t="s">
        <v>99</v>
      </c>
      <c r="D64" s="4" t="s">
        <v>642</v>
      </c>
      <c r="E64" s="4" t="s">
        <v>135</v>
      </c>
      <c r="F64" s="4" t="s">
        <v>281</v>
      </c>
      <c r="G64" s="3" t="n">
        <v>1</v>
      </c>
      <c r="H64" s="6" t="n">
        <v>23.8</v>
      </c>
      <c r="I64" s="3" t="n">
        <v>2</v>
      </c>
      <c r="J64" s="3" t="n">
        <v>11</v>
      </c>
      <c r="K64" s="7" t="n">
        <v>270.51</v>
      </c>
      <c r="L64" s="7" t="n">
        <v>32.31</v>
      </c>
      <c r="M64" s="8" t="n">
        <v>195</v>
      </c>
      <c r="N64" s="8" t="n">
        <v>343</v>
      </c>
      <c r="O64" s="7" t="n">
        <v>270.51</v>
      </c>
      <c r="P64" s="6" t="n">
        <v>4.5</v>
      </c>
      <c r="Q64" s="7" t="n">
        <v>0.16</v>
      </c>
      <c r="R64" s="7" t="n">
        <v>0.028</v>
      </c>
      <c r="S64" s="4" t="s">
        <v>102</v>
      </c>
      <c r="T64" s="4"/>
      <c r="U64" s="8" t="n">
        <v>14</v>
      </c>
      <c r="V64" s="6" t="n">
        <v>49.2</v>
      </c>
      <c r="W64" s="7" t="n">
        <v>3.514</v>
      </c>
      <c r="X64" s="8" t="n">
        <v>82</v>
      </c>
      <c r="Y64" s="8" t="n">
        <v>128</v>
      </c>
      <c r="Z64" s="10" t="n">
        <v>0.266</v>
      </c>
      <c r="AA64" s="8" t="n">
        <v>10</v>
      </c>
      <c r="AB64" s="10" t="n">
        <v>0.02</v>
      </c>
      <c r="AC64" s="8" t="n">
        <v>17</v>
      </c>
      <c r="AD64" s="6" t="n">
        <v>41.6</v>
      </c>
      <c r="AE64" s="10" t="n">
        <v>0.533</v>
      </c>
      <c r="AF64" s="8" t="n">
        <v>3</v>
      </c>
      <c r="AG64" s="10" t="n">
        <v>0.0242</v>
      </c>
      <c r="AH64" s="6" t="n">
        <v>28.8</v>
      </c>
    </row>
    <row r="65" customFormat="false" ht="15" hidden="false" customHeight="false" outlineLevel="0" collapsed="false">
      <c r="A65" s="3" t="n">
        <v>63</v>
      </c>
      <c r="B65" s="4" t="s">
        <v>377</v>
      </c>
      <c r="C65" s="13" t="s">
        <v>172</v>
      </c>
      <c r="D65" s="4" t="s">
        <v>378</v>
      </c>
      <c r="E65" s="4" t="s">
        <v>198</v>
      </c>
      <c r="F65" s="4" t="s">
        <v>172</v>
      </c>
      <c r="G65" s="3" t="n">
        <v>1</v>
      </c>
      <c r="H65" s="6" t="n">
        <v>31.3</v>
      </c>
      <c r="I65" s="3" t="n">
        <v>9</v>
      </c>
      <c r="J65" s="3" t="n">
        <v>10</v>
      </c>
      <c r="K65" s="7" t="n">
        <v>117.48</v>
      </c>
      <c r="L65" s="7" t="n">
        <v>9.55</v>
      </c>
      <c r="M65" s="8" t="n">
        <v>74</v>
      </c>
      <c r="N65" s="8" t="n">
        <v>136</v>
      </c>
      <c r="O65" s="7" t="n">
        <v>117.48</v>
      </c>
      <c r="P65" s="6" t="n">
        <v>58.1</v>
      </c>
      <c r="Q65" s="7" t="n">
        <v>0.147</v>
      </c>
      <c r="R65" s="7" t="n">
        <v>-0.16</v>
      </c>
      <c r="S65" s="4" t="s">
        <v>102</v>
      </c>
      <c r="T65" s="4"/>
      <c r="U65" s="8" t="n">
        <v>17</v>
      </c>
      <c r="V65" s="6" t="n">
        <v>271.92</v>
      </c>
      <c r="W65" s="7" t="n">
        <v>15.995</v>
      </c>
      <c r="X65" s="8" t="n">
        <v>12</v>
      </c>
      <c r="Y65" s="8" t="n">
        <v>111</v>
      </c>
      <c r="Z65" s="10" t="n">
        <v>0.205</v>
      </c>
      <c r="AA65" s="8" t="n">
        <v>138</v>
      </c>
      <c r="AB65" s="10" t="n">
        <v>0.292</v>
      </c>
      <c r="AC65" s="8" t="n">
        <v>38</v>
      </c>
      <c r="AD65" s="6" t="n">
        <v>57.4</v>
      </c>
      <c r="AE65" s="10" t="n">
        <v>0.791</v>
      </c>
      <c r="AF65" s="8" t="n">
        <v>4</v>
      </c>
      <c r="AG65" s="10" t="n">
        <v>-0.0347</v>
      </c>
      <c r="AH65" s="6" t="n">
        <v>22.4</v>
      </c>
    </row>
    <row r="66" customFormat="false" ht="15" hidden="false" customHeight="false" outlineLevel="0" collapsed="false">
      <c r="A66" s="3" t="n">
        <v>64</v>
      </c>
      <c r="B66" s="4" t="s">
        <v>447</v>
      </c>
      <c r="C66" s="13" t="s">
        <v>172</v>
      </c>
      <c r="D66" s="4" t="s">
        <v>448</v>
      </c>
      <c r="E66" s="4" t="s">
        <v>130</v>
      </c>
      <c r="F66" s="4" t="s">
        <v>172</v>
      </c>
      <c r="G66" s="3" t="n">
        <v>1</v>
      </c>
      <c r="H66" s="6" t="n">
        <v>29.2</v>
      </c>
      <c r="I66" s="3" t="n">
        <v>8</v>
      </c>
      <c r="J66" s="3" t="n">
        <v>13</v>
      </c>
      <c r="K66" s="7" t="n">
        <v>159.26</v>
      </c>
      <c r="L66" s="7" t="n">
        <v>33.56</v>
      </c>
      <c r="M66" s="8" t="n">
        <v>113</v>
      </c>
      <c r="N66" s="8" t="n">
        <v>295</v>
      </c>
      <c r="O66" s="7" t="n">
        <v>159.26</v>
      </c>
      <c r="P66" s="6" t="n">
        <v>32.9</v>
      </c>
      <c r="Q66" s="7" t="n">
        <v>0.132</v>
      </c>
      <c r="R66" s="7" t="n">
        <v>0.35</v>
      </c>
      <c r="S66" s="4" t="s">
        <v>102</v>
      </c>
      <c r="T66" s="4"/>
      <c r="U66" s="8" t="n">
        <v>13</v>
      </c>
      <c r="V66" s="6" t="n">
        <v>226.44</v>
      </c>
      <c r="W66" s="7" t="n">
        <v>17.418</v>
      </c>
      <c r="X66" s="8" t="n">
        <v>18</v>
      </c>
      <c r="Y66" s="8" t="n">
        <v>147</v>
      </c>
      <c r="Z66" s="10" t="n">
        <v>0.277</v>
      </c>
      <c r="AA66" s="8" t="n">
        <v>24</v>
      </c>
      <c r="AB66" s="10" t="n">
        <v>0.054</v>
      </c>
      <c r="AC66" s="8" t="n">
        <v>20</v>
      </c>
      <c r="AD66" s="6" t="n">
        <v>60.3</v>
      </c>
      <c r="AE66" s="10" t="n">
        <v>0.832</v>
      </c>
      <c r="AF66" s="8" t="n">
        <v>5</v>
      </c>
      <c r="AG66" s="10" t="n">
        <v>-0.0091</v>
      </c>
      <c r="AH66" s="6" t="n">
        <v>27.4</v>
      </c>
    </row>
    <row r="67" customFormat="false" ht="15" hidden="false" customHeight="false" outlineLevel="0" collapsed="false">
      <c r="A67" s="3" t="n">
        <v>65</v>
      </c>
      <c r="B67" s="4" t="s">
        <v>293</v>
      </c>
      <c r="C67" s="13" t="s">
        <v>172</v>
      </c>
      <c r="D67" s="4" t="s">
        <v>294</v>
      </c>
      <c r="E67" s="4" t="s">
        <v>120</v>
      </c>
      <c r="F67" s="4" t="s">
        <v>172</v>
      </c>
      <c r="G67" s="3" t="n">
        <v>1</v>
      </c>
      <c r="H67" s="6" t="n">
        <v>33.1</v>
      </c>
      <c r="I67" s="3" t="n">
        <v>11</v>
      </c>
      <c r="J67" s="3" t="n">
        <v>14</v>
      </c>
      <c r="K67" s="7" t="n">
        <v>80.01</v>
      </c>
      <c r="L67" s="7" t="n">
        <v>12.87</v>
      </c>
      <c r="M67" s="8" t="n">
        <v>37</v>
      </c>
      <c r="N67" s="8" t="n">
        <v>108</v>
      </c>
      <c r="O67" s="7" t="n">
        <v>80.01</v>
      </c>
      <c r="P67" s="6" t="n">
        <v>92.1</v>
      </c>
      <c r="Q67" s="7" t="n">
        <v>0.126</v>
      </c>
      <c r="R67" s="7" t="n">
        <v>-0.005</v>
      </c>
      <c r="S67" s="4" t="s">
        <v>102</v>
      </c>
      <c r="T67" s="4"/>
      <c r="U67" s="8" t="n">
        <v>17</v>
      </c>
      <c r="V67" s="6" t="n">
        <v>313.78</v>
      </c>
      <c r="W67" s="7" t="n">
        <v>18.458</v>
      </c>
      <c r="X67" s="8" t="n">
        <v>6</v>
      </c>
      <c r="Y67" s="8" t="n">
        <v>34</v>
      </c>
      <c r="Z67" s="10" t="n">
        <v>0.056</v>
      </c>
      <c r="AA67" s="8" t="n">
        <v>0</v>
      </c>
      <c r="AB67" s="10" t="n">
        <v>0</v>
      </c>
      <c r="AC67" s="8" t="n">
        <v>4</v>
      </c>
      <c r="AD67" s="6" t="n">
        <v>65.1</v>
      </c>
      <c r="AE67" s="10" t="n">
        <v>0.848</v>
      </c>
      <c r="AF67" s="8" t="n">
        <v>5</v>
      </c>
      <c r="AG67" s="10" t="n">
        <v>-0.0098</v>
      </c>
      <c r="AH67" s="6" t="n">
        <v>27.7</v>
      </c>
    </row>
    <row r="68" customFormat="false" ht="15" hidden="false" customHeight="false" outlineLevel="0" collapsed="false">
      <c r="A68" s="3" t="n">
        <v>66</v>
      </c>
      <c r="B68" s="4" t="s">
        <v>453</v>
      </c>
      <c r="C68" s="13" t="s">
        <v>172</v>
      </c>
      <c r="D68" s="4" t="s">
        <v>454</v>
      </c>
      <c r="E68" s="4" t="s">
        <v>191</v>
      </c>
      <c r="F68" s="4" t="s">
        <v>172</v>
      </c>
      <c r="G68" s="3" t="n">
        <v>1</v>
      </c>
      <c r="H68" s="6" t="n">
        <v>25.1</v>
      </c>
      <c r="I68" s="3" t="n">
        <v>4</v>
      </c>
      <c r="J68" s="3" t="n">
        <v>5</v>
      </c>
      <c r="K68" s="7" t="n">
        <v>165.87</v>
      </c>
      <c r="L68" s="7" t="n">
        <v>21.76</v>
      </c>
      <c r="M68" s="8" t="n">
        <v>134</v>
      </c>
      <c r="N68" s="8" t="n">
        <v>276</v>
      </c>
      <c r="O68" s="7" t="n">
        <v>165.87</v>
      </c>
      <c r="P68" s="6" t="n">
        <v>23.8</v>
      </c>
      <c r="Q68" s="7" t="n">
        <v>0.123</v>
      </c>
      <c r="R68" s="7" t="n">
        <v>-0.184</v>
      </c>
      <c r="S68" s="4" t="s">
        <v>102</v>
      </c>
      <c r="T68" s="4"/>
      <c r="U68" s="8" t="n">
        <v>16</v>
      </c>
      <c r="V68" s="6" t="n">
        <v>218.04</v>
      </c>
      <c r="W68" s="7" t="n">
        <v>13.628</v>
      </c>
      <c r="X68" s="8" t="n">
        <v>19</v>
      </c>
      <c r="Y68" s="8" t="n">
        <v>50</v>
      </c>
      <c r="Z68" s="10" t="n">
        <v>0.104</v>
      </c>
      <c r="AA68" s="8" t="n">
        <v>242</v>
      </c>
      <c r="AB68" s="10" t="n">
        <v>0.525</v>
      </c>
      <c r="AC68" s="8" t="n">
        <v>40</v>
      </c>
      <c r="AD68" s="6" t="n">
        <v>56.6</v>
      </c>
      <c r="AE68" s="10" t="n">
        <v>0.596</v>
      </c>
      <c r="AF68" s="8" t="n">
        <v>3</v>
      </c>
      <c r="AG68" s="10" t="n">
        <v>-0.061</v>
      </c>
      <c r="AH68" s="6" t="n">
        <v>18.3</v>
      </c>
    </row>
    <row r="69" customFormat="false" ht="15" hidden="false" customHeight="false" outlineLevel="0" collapsed="false">
      <c r="A69" s="3" t="n">
        <v>67</v>
      </c>
      <c r="B69" s="4" t="s">
        <v>254</v>
      </c>
      <c r="C69" s="11" t="s">
        <v>104</v>
      </c>
      <c r="D69" s="4" t="s">
        <v>255</v>
      </c>
      <c r="E69" s="4" t="s">
        <v>203</v>
      </c>
      <c r="F69" s="4" t="s">
        <v>104</v>
      </c>
      <c r="G69" s="3" t="n">
        <v>1</v>
      </c>
      <c r="H69" s="6" t="n">
        <v>27.6</v>
      </c>
      <c r="I69" s="3" t="n">
        <v>7</v>
      </c>
      <c r="J69" s="3" t="n">
        <v>10</v>
      </c>
      <c r="K69" s="7" t="n">
        <v>59.55</v>
      </c>
      <c r="L69" s="7" t="n">
        <v>7.42</v>
      </c>
      <c r="M69" s="8" t="n">
        <v>43</v>
      </c>
      <c r="N69" s="8" t="n">
        <v>80</v>
      </c>
      <c r="O69" s="7" t="n">
        <v>59.55</v>
      </c>
      <c r="P69" s="6" t="n">
        <v>92.3</v>
      </c>
      <c r="Q69" s="7" t="n">
        <v>0.122</v>
      </c>
      <c r="R69" s="7" t="n">
        <v>0.034</v>
      </c>
      <c r="S69" s="4" t="s">
        <v>102</v>
      </c>
      <c r="T69" s="4"/>
      <c r="U69" s="8" t="n">
        <v>16</v>
      </c>
      <c r="V69" s="6" t="n">
        <v>228.6</v>
      </c>
      <c r="W69" s="7" t="n">
        <v>14.288</v>
      </c>
      <c r="X69" s="8" t="n">
        <v>15</v>
      </c>
      <c r="Y69" s="8" t="n">
        <v>161</v>
      </c>
      <c r="Z69" s="10" t="n">
        <v>0.303</v>
      </c>
      <c r="AA69" s="8" t="n">
        <v>20</v>
      </c>
      <c r="AB69" s="10" t="n">
        <v>0.04</v>
      </c>
      <c r="AC69" s="8" t="n">
        <v>26</v>
      </c>
      <c r="AD69" s="6" t="n">
        <v>76.3</v>
      </c>
      <c r="AE69" s="10" t="n">
        <v>0.802</v>
      </c>
      <c r="AF69" s="8" t="n">
        <v>4</v>
      </c>
      <c r="AG69" s="10" t="n">
        <v>-0.039</v>
      </c>
      <c r="AH69" s="6" t="n">
        <v>25.9</v>
      </c>
    </row>
    <row r="70" customFormat="false" ht="15" hidden="false" customHeight="false" outlineLevel="0" collapsed="false">
      <c r="A70" s="3" t="n">
        <v>68</v>
      </c>
      <c r="B70" s="4" t="s">
        <v>222</v>
      </c>
      <c r="C70" s="11" t="s">
        <v>104</v>
      </c>
      <c r="D70" s="4" t="s">
        <v>223</v>
      </c>
      <c r="E70" s="4" t="s">
        <v>120</v>
      </c>
      <c r="F70" s="4" t="s">
        <v>104</v>
      </c>
      <c r="G70" s="3" t="n">
        <v>1</v>
      </c>
      <c r="H70" s="6" t="n">
        <v>26.3</v>
      </c>
      <c r="I70" s="3" t="n">
        <v>6</v>
      </c>
      <c r="J70" s="3" t="n">
        <v>14</v>
      </c>
      <c r="K70" s="7" t="n">
        <v>45.66</v>
      </c>
      <c r="L70" s="7" t="n">
        <v>6.3</v>
      </c>
      <c r="M70" s="8" t="n">
        <v>31</v>
      </c>
      <c r="N70" s="8" t="n">
        <v>61</v>
      </c>
      <c r="O70" s="7" t="n">
        <v>45.66</v>
      </c>
      <c r="P70" s="6" t="n">
        <v>96.9</v>
      </c>
      <c r="Q70" s="7" t="n">
        <v>0.111</v>
      </c>
      <c r="R70" s="7" t="n">
        <v>0.111</v>
      </c>
      <c r="S70" s="4" t="s">
        <v>102</v>
      </c>
      <c r="T70" s="4"/>
      <c r="U70" s="8" t="n">
        <v>16</v>
      </c>
      <c r="V70" s="6" t="n">
        <v>242.8</v>
      </c>
      <c r="W70" s="7" t="n">
        <v>15.175</v>
      </c>
      <c r="X70" s="8" t="n">
        <v>12</v>
      </c>
      <c r="Y70" s="8" t="n">
        <v>34</v>
      </c>
      <c r="Z70" s="10" t="n">
        <v>0.056</v>
      </c>
      <c r="AA70" s="8" t="n">
        <v>0</v>
      </c>
      <c r="AB70" s="10" t="n">
        <v>0</v>
      </c>
      <c r="AC70" s="8" t="n">
        <v>4</v>
      </c>
      <c r="AD70" s="6" t="n">
        <v>65.1</v>
      </c>
      <c r="AE70" s="10" t="n">
        <v>0.848</v>
      </c>
      <c r="AF70" s="8" t="n">
        <v>5</v>
      </c>
      <c r="AG70" s="10" t="n">
        <v>-0.0098</v>
      </c>
      <c r="AH70" s="6" t="n">
        <v>27.7</v>
      </c>
    </row>
    <row r="71" customFormat="false" ht="15" hidden="false" customHeight="false" outlineLevel="0" collapsed="false">
      <c r="A71" s="3" t="n">
        <v>69</v>
      </c>
      <c r="B71" s="4" t="s">
        <v>199</v>
      </c>
      <c r="C71" s="11" t="s">
        <v>104</v>
      </c>
      <c r="D71" s="4" t="s">
        <v>200</v>
      </c>
      <c r="E71" s="4" t="s">
        <v>183</v>
      </c>
      <c r="F71" s="4" t="s">
        <v>104</v>
      </c>
      <c r="G71" s="3" t="n">
        <v>1</v>
      </c>
      <c r="H71" s="6" t="n">
        <v>32.6</v>
      </c>
      <c r="I71" s="3" t="n">
        <v>11</v>
      </c>
      <c r="J71" s="3" t="n">
        <v>13</v>
      </c>
      <c r="K71" s="7" t="n">
        <v>37.78</v>
      </c>
      <c r="L71" s="7" t="n">
        <v>8.23</v>
      </c>
      <c r="M71" s="8" t="n">
        <v>17</v>
      </c>
      <c r="N71" s="8" t="n">
        <v>56</v>
      </c>
      <c r="O71" s="7" t="n">
        <v>37.78</v>
      </c>
      <c r="P71" s="6" t="n">
        <v>99.2</v>
      </c>
      <c r="Q71" s="7" t="n">
        <v>0.11</v>
      </c>
      <c r="R71" s="7" t="n">
        <v>0.109</v>
      </c>
      <c r="S71" s="4" t="s">
        <v>102</v>
      </c>
      <c r="T71" s="4"/>
      <c r="U71" s="8" t="n">
        <v>17</v>
      </c>
      <c r="V71" s="6" t="n">
        <v>279.5</v>
      </c>
      <c r="W71" s="7" t="n">
        <v>16.441</v>
      </c>
      <c r="X71" s="8" t="n">
        <v>8</v>
      </c>
      <c r="Y71" s="8" t="n">
        <v>75</v>
      </c>
      <c r="Z71" s="10" t="n">
        <v>0.184</v>
      </c>
      <c r="AA71" s="8" t="n">
        <v>64</v>
      </c>
      <c r="AB71" s="10" t="n">
        <v>0.126</v>
      </c>
      <c r="AC71" s="8" t="n">
        <v>26</v>
      </c>
      <c r="AD71" s="6" t="n">
        <v>53.2</v>
      </c>
      <c r="AE71" s="10" t="n">
        <v>0.572</v>
      </c>
      <c r="AF71" s="8" t="n">
        <v>2</v>
      </c>
      <c r="AG71" s="10" t="n">
        <v>-0.0884</v>
      </c>
      <c r="AH71" s="6" t="n">
        <v>24.9</v>
      </c>
    </row>
    <row r="72" customFormat="false" ht="15" hidden="false" customHeight="false" outlineLevel="0" collapsed="false">
      <c r="A72" s="3" t="n">
        <v>70</v>
      </c>
      <c r="B72" s="4" t="s">
        <v>289</v>
      </c>
      <c r="C72" s="5" t="s">
        <v>99</v>
      </c>
      <c r="D72" s="4" t="s">
        <v>290</v>
      </c>
      <c r="E72" s="4" t="s">
        <v>284</v>
      </c>
      <c r="F72" s="4" t="s">
        <v>99</v>
      </c>
      <c r="G72" s="3" t="n">
        <v>1</v>
      </c>
      <c r="H72" s="6" t="n">
        <v>28.7</v>
      </c>
      <c r="I72" s="3" t="n">
        <v>8</v>
      </c>
      <c r="J72" s="3" t="n">
        <v>9</v>
      </c>
      <c r="K72" s="7" t="n">
        <v>78.2</v>
      </c>
      <c r="L72" s="7" t="n">
        <v>13.05</v>
      </c>
      <c r="M72" s="8" t="n">
        <v>48</v>
      </c>
      <c r="N72" s="8" t="n">
        <v>116</v>
      </c>
      <c r="O72" s="7" t="n">
        <v>78.2</v>
      </c>
      <c r="P72" s="6" t="n">
        <v>89.6</v>
      </c>
      <c r="Q72" s="7" t="n">
        <v>0.1</v>
      </c>
      <c r="R72" s="7" t="n">
        <v>0.143</v>
      </c>
      <c r="S72" s="4" t="s">
        <v>102</v>
      </c>
      <c r="T72" s="4"/>
      <c r="U72" s="8" t="n">
        <v>15</v>
      </c>
      <c r="V72" s="6" t="n">
        <v>187.2</v>
      </c>
      <c r="W72" s="7" t="n">
        <v>12.48</v>
      </c>
      <c r="X72" s="8" t="n">
        <v>26</v>
      </c>
      <c r="Y72" s="8" t="n">
        <v>179</v>
      </c>
      <c r="Z72" s="10" t="n">
        <v>0.343</v>
      </c>
      <c r="AA72" s="8" t="n">
        <v>129</v>
      </c>
      <c r="AB72" s="10" t="n">
        <v>0.317</v>
      </c>
      <c r="AC72" s="8" t="n">
        <v>59</v>
      </c>
      <c r="AD72" s="6" t="n">
        <v>57.4</v>
      </c>
      <c r="AE72" s="10" t="n">
        <v>0.824</v>
      </c>
      <c r="AF72" s="8" t="n">
        <v>5</v>
      </c>
      <c r="AG72" s="10" t="n">
        <v>-0.007</v>
      </c>
      <c r="AH72" s="6" t="n">
        <v>23.4</v>
      </c>
    </row>
    <row r="73" customFormat="false" ht="15" hidden="false" customHeight="false" outlineLevel="0" collapsed="false">
      <c r="A73" s="3" t="n">
        <v>71</v>
      </c>
      <c r="B73" s="4" t="s">
        <v>159</v>
      </c>
      <c r="C73" s="11" t="s">
        <v>104</v>
      </c>
      <c r="D73" s="4" t="s">
        <v>160</v>
      </c>
      <c r="E73" s="4" t="s">
        <v>161</v>
      </c>
      <c r="F73" s="4" t="s">
        <v>104</v>
      </c>
      <c r="G73" s="3" t="n">
        <v>1</v>
      </c>
      <c r="H73" s="6" t="n">
        <v>24.8</v>
      </c>
      <c r="I73" s="3" t="n">
        <v>4</v>
      </c>
      <c r="J73" s="3" t="n">
        <v>6</v>
      </c>
      <c r="K73" s="7" t="n">
        <v>20.88</v>
      </c>
      <c r="L73" s="7" t="n">
        <v>6.26</v>
      </c>
      <c r="M73" s="8" t="n">
        <v>10</v>
      </c>
      <c r="N73" s="8" t="n">
        <v>33</v>
      </c>
      <c r="O73" s="7" t="n">
        <v>20.88</v>
      </c>
      <c r="P73" s="6" t="n">
        <v>99.2</v>
      </c>
      <c r="Q73" s="7" t="n">
        <v>0.099</v>
      </c>
      <c r="R73" s="7" t="n">
        <v>0.099</v>
      </c>
      <c r="S73" s="4" t="s">
        <v>102</v>
      </c>
      <c r="T73" s="4"/>
      <c r="U73" s="8" t="n">
        <v>16</v>
      </c>
      <c r="V73" s="6" t="n">
        <v>322.8</v>
      </c>
      <c r="W73" s="7" t="n">
        <v>20.175</v>
      </c>
      <c r="X73" s="8" t="n">
        <v>5</v>
      </c>
      <c r="Y73" s="8" t="n">
        <v>209</v>
      </c>
      <c r="Z73" s="10" t="n">
        <v>0.452</v>
      </c>
      <c r="AA73" s="8" t="n">
        <v>28</v>
      </c>
      <c r="AB73" s="10" t="n">
        <v>0.065</v>
      </c>
      <c r="AC73" s="8" t="n">
        <v>32</v>
      </c>
      <c r="AD73" s="6" t="n">
        <v>38.6</v>
      </c>
      <c r="AE73" s="10" t="n">
        <v>0.672</v>
      </c>
      <c r="AF73" s="8" t="n">
        <v>4</v>
      </c>
      <c r="AG73" s="10" t="n">
        <v>-0.0584</v>
      </c>
      <c r="AH73" s="6" t="n">
        <v>20.4</v>
      </c>
    </row>
    <row r="74" customFormat="false" ht="15" hidden="false" customHeight="false" outlineLevel="0" collapsed="false">
      <c r="A74" s="3" t="n">
        <v>72</v>
      </c>
      <c r="B74" s="4" t="s">
        <v>122</v>
      </c>
      <c r="C74" s="11" t="s">
        <v>104</v>
      </c>
      <c r="D74" s="4" t="s">
        <v>123</v>
      </c>
      <c r="E74" s="4" t="s">
        <v>124</v>
      </c>
      <c r="F74" s="4" t="s">
        <v>104</v>
      </c>
      <c r="G74" s="3" t="n">
        <v>1</v>
      </c>
      <c r="H74" s="6" t="n">
        <v>30.2</v>
      </c>
      <c r="I74" s="3" t="n">
        <v>10</v>
      </c>
      <c r="J74" s="3" t="n">
        <v>8</v>
      </c>
      <c r="K74" s="7" t="n">
        <v>9.29</v>
      </c>
      <c r="L74" s="7" t="n">
        <v>5.12</v>
      </c>
      <c r="M74" s="8" t="n">
        <v>2</v>
      </c>
      <c r="N74" s="8" t="n">
        <v>31</v>
      </c>
      <c r="O74" s="7" t="n">
        <v>9.29</v>
      </c>
      <c r="P74" s="6" t="n">
        <v>99.5</v>
      </c>
      <c r="Q74" s="7" t="n">
        <v>0.098</v>
      </c>
      <c r="R74" s="7" t="n">
        <v>0.097</v>
      </c>
      <c r="S74" s="4" t="s">
        <v>102</v>
      </c>
      <c r="T74" s="4"/>
      <c r="U74" s="8" t="n">
        <v>17</v>
      </c>
      <c r="V74" s="6" t="n">
        <v>416.6</v>
      </c>
      <c r="W74" s="7" t="n">
        <v>24.506</v>
      </c>
      <c r="X74" s="8" t="n">
        <v>1</v>
      </c>
      <c r="Y74" s="8" t="n">
        <v>170</v>
      </c>
      <c r="Z74" s="10" t="n">
        <v>0.309</v>
      </c>
      <c r="AA74" s="8" t="n">
        <v>94</v>
      </c>
      <c r="AB74" s="10" t="n">
        <v>0.195</v>
      </c>
      <c r="AC74" s="8" t="n">
        <v>38</v>
      </c>
      <c r="AD74" s="6" t="n">
        <v>63.3</v>
      </c>
      <c r="AE74" s="10" t="n">
        <v>0.852</v>
      </c>
      <c r="AF74" s="8" t="n">
        <v>4</v>
      </c>
      <c r="AG74" s="10" t="n">
        <v>-0.0088</v>
      </c>
      <c r="AH74" s="6" t="n">
        <v>25.7</v>
      </c>
    </row>
    <row r="75" customFormat="false" ht="15" hidden="false" customHeight="false" outlineLevel="0" collapsed="false">
      <c r="A75" s="3" t="n">
        <v>73</v>
      </c>
      <c r="B75" s="4" t="s">
        <v>344</v>
      </c>
      <c r="C75" s="5" t="s">
        <v>99</v>
      </c>
      <c r="D75" s="4" t="s">
        <v>345</v>
      </c>
      <c r="E75" s="4" t="s">
        <v>170</v>
      </c>
      <c r="F75" s="4" t="s">
        <v>99</v>
      </c>
      <c r="G75" s="3" t="n">
        <v>2</v>
      </c>
      <c r="H75" s="6" t="n">
        <v>24.9</v>
      </c>
      <c r="I75" s="3" t="n">
        <v>4</v>
      </c>
      <c r="J75" s="3" t="n">
        <v>7</v>
      </c>
      <c r="K75" s="7" t="n">
        <v>102.53</v>
      </c>
      <c r="L75" s="7" t="n">
        <v>15.22</v>
      </c>
      <c r="M75" s="8" t="n">
        <v>62</v>
      </c>
      <c r="N75" s="8" t="n">
        <v>131</v>
      </c>
      <c r="O75" s="7" t="n">
        <v>102.53</v>
      </c>
      <c r="P75" s="6" t="n">
        <v>77.3</v>
      </c>
      <c r="Q75" s="7" t="n">
        <v>0.095</v>
      </c>
      <c r="R75" s="7" t="n">
        <v>0.752</v>
      </c>
      <c r="S75" s="4" t="s">
        <v>102</v>
      </c>
      <c r="T75" s="4"/>
      <c r="U75" s="8" t="n">
        <v>13</v>
      </c>
      <c r="V75" s="6" t="n">
        <v>171.2</v>
      </c>
      <c r="W75" s="7" t="n">
        <v>13.169</v>
      </c>
      <c r="X75" s="8" t="n">
        <v>35</v>
      </c>
      <c r="Y75" s="8" t="n">
        <v>15</v>
      </c>
      <c r="Z75" s="10" t="n">
        <v>0.028</v>
      </c>
      <c r="AA75" s="8" t="n">
        <v>23</v>
      </c>
      <c r="AB75" s="10" t="n">
        <v>0.049</v>
      </c>
      <c r="AC75" s="8" t="n">
        <v>2</v>
      </c>
      <c r="AD75" s="6" t="n">
        <v>26.9</v>
      </c>
      <c r="AE75" s="10" t="n">
        <v>0.205</v>
      </c>
      <c r="AF75" s="8" t="n">
        <v>1</v>
      </c>
      <c r="AG75" s="10" t="n">
        <v>0.0064</v>
      </c>
      <c r="AH75" s="6" t="n">
        <v>21.6</v>
      </c>
    </row>
    <row r="76" customFormat="false" ht="15" hidden="false" customHeight="false" outlineLevel="0" collapsed="false">
      <c r="A76" s="3" t="n">
        <v>74</v>
      </c>
      <c r="B76" s="4" t="s">
        <v>474</v>
      </c>
      <c r="C76" s="12" t="s">
        <v>149</v>
      </c>
      <c r="D76" s="4" t="s">
        <v>475</v>
      </c>
      <c r="E76" s="4" t="s">
        <v>170</v>
      </c>
      <c r="F76" s="4" t="s">
        <v>149</v>
      </c>
      <c r="G76" s="3" t="n">
        <v>1</v>
      </c>
      <c r="H76" s="6" t="n">
        <v>23.1</v>
      </c>
      <c r="I76" s="3" t="n">
        <v>2</v>
      </c>
      <c r="J76" s="3" t="n">
        <v>7</v>
      </c>
      <c r="K76" s="7" t="n">
        <v>178.5</v>
      </c>
      <c r="L76" s="7" t="n">
        <v>35.54</v>
      </c>
      <c r="M76" s="8" t="n">
        <v>97</v>
      </c>
      <c r="N76" s="8" t="n">
        <v>246</v>
      </c>
      <c r="O76" s="7" t="n">
        <v>178.5</v>
      </c>
      <c r="P76" s="6" t="n">
        <v>44.9</v>
      </c>
      <c r="Q76" s="7" t="n">
        <v>0.086</v>
      </c>
      <c r="R76" s="7" t="n">
        <v>-0.09</v>
      </c>
      <c r="S76" s="4" t="s">
        <v>102</v>
      </c>
      <c r="T76" s="4"/>
      <c r="U76" s="8" t="n">
        <v>15</v>
      </c>
      <c r="V76" s="6" t="n">
        <v>131.4</v>
      </c>
      <c r="W76" s="7" t="n">
        <v>8.76</v>
      </c>
      <c r="X76" s="8" t="n">
        <v>15</v>
      </c>
      <c r="Y76" s="8" t="n">
        <v>15</v>
      </c>
      <c r="Z76" s="10" t="n">
        <v>0.028</v>
      </c>
      <c r="AA76" s="8" t="n">
        <v>23</v>
      </c>
      <c r="AB76" s="10" t="n">
        <v>0.049</v>
      </c>
      <c r="AC76" s="8" t="n">
        <v>2</v>
      </c>
      <c r="AD76" s="6" t="n">
        <v>26.9</v>
      </c>
      <c r="AE76" s="10" t="n">
        <v>0.205</v>
      </c>
      <c r="AF76" s="8" t="n">
        <v>1</v>
      </c>
      <c r="AG76" s="10" t="n">
        <v>0.0064</v>
      </c>
      <c r="AH76" s="6" t="n">
        <v>21.6</v>
      </c>
    </row>
    <row r="77" customFormat="false" ht="15" hidden="false" customHeight="false" outlineLevel="0" collapsed="false">
      <c r="A77" s="3" t="n">
        <v>75</v>
      </c>
      <c r="B77" s="4" t="s">
        <v>562</v>
      </c>
      <c r="C77" s="11" t="s">
        <v>104</v>
      </c>
      <c r="D77" s="4" t="s">
        <v>563</v>
      </c>
      <c r="E77" s="4" t="s">
        <v>183</v>
      </c>
      <c r="F77" s="4" t="s">
        <v>104</v>
      </c>
      <c r="G77" s="3" t="n">
        <v>2</v>
      </c>
      <c r="H77" s="6" t="n">
        <v>28.8</v>
      </c>
      <c r="I77" s="3" t="n">
        <v>8</v>
      </c>
      <c r="J77" s="3" t="n">
        <v>13</v>
      </c>
      <c r="K77" s="7" t="n">
        <v>237.68</v>
      </c>
      <c r="L77" s="7" t="n">
        <v>38.94</v>
      </c>
      <c r="M77" s="8" t="n">
        <v>145</v>
      </c>
      <c r="N77" s="8" t="n">
        <v>310</v>
      </c>
      <c r="O77" s="7" t="n">
        <v>237.68</v>
      </c>
      <c r="P77" s="6" t="n">
        <v>7.4</v>
      </c>
      <c r="Q77" s="7" t="n">
        <v>0.077</v>
      </c>
      <c r="R77" s="7" t="n">
        <v>0.296</v>
      </c>
      <c r="S77" s="4" t="s">
        <v>102</v>
      </c>
      <c r="T77" s="4"/>
      <c r="U77" s="8" t="n">
        <v>10</v>
      </c>
      <c r="V77" s="6" t="n">
        <v>65.2</v>
      </c>
      <c r="W77" s="7" t="n">
        <v>6.52</v>
      </c>
      <c r="X77" s="8" t="n">
        <v>54</v>
      </c>
      <c r="Y77" s="8" t="n">
        <v>75</v>
      </c>
      <c r="Z77" s="10" t="n">
        <v>0.184</v>
      </c>
      <c r="AA77" s="8" t="n">
        <v>64</v>
      </c>
      <c r="AB77" s="10" t="n">
        <v>0.126</v>
      </c>
      <c r="AC77" s="8" t="n">
        <v>26</v>
      </c>
      <c r="AD77" s="6" t="n">
        <v>53.2</v>
      </c>
      <c r="AE77" s="10" t="n">
        <v>0.572</v>
      </c>
      <c r="AF77" s="8" t="n">
        <v>2</v>
      </c>
      <c r="AG77" s="10" t="n">
        <v>-0.0884</v>
      </c>
      <c r="AH77" s="6" t="n">
        <v>24.9</v>
      </c>
    </row>
    <row r="78" customFormat="false" ht="15" hidden="false" customHeight="false" outlineLevel="0" collapsed="false">
      <c r="A78" s="3" t="n">
        <v>76</v>
      </c>
      <c r="B78" s="4" t="s">
        <v>596</v>
      </c>
      <c r="C78" s="5" t="s">
        <v>99</v>
      </c>
      <c r="D78" s="4" t="s">
        <v>597</v>
      </c>
      <c r="E78" s="4" t="s">
        <v>115</v>
      </c>
      <c r="F78" s="4" t="s">
        <v>270</v>
      </c>
      <c r="G78" s="3" t="n">
        <v>2</v>
      </c>
      <c r="H78" s="6" t="n">
        <v>23.7</v>
      </c>
      <c r="I78" s="3" t="n">
        <v>2</v>
      </c>
      <c r="J78" s="3" t="n">
        <v>11</v>
      </c>
      <c r="K78" s="7" t="n">
        <v>254.68</v>
      </c>
      <c r="L78" s="7" t="n">
        <v>23.67</v>
      </c>
      <c r="M78" s="8" t="n">
        <v>197</v>
      </c>
      <c r="N78" s="8" t="n">
        <v>323</v>
      </c>
      <c r="O78" s="7" t="n">
        <v>254.68</v>
      </c>
      <c r="P78" s="6" t="n">
        <v>8.6</v>
      </c>
      <c r="Q78" s="7" t="n">
        <v>0.069</v>
      </c>
      <c r="R78" s="7" t="n">
        <v>0.814</v>
      </c>
      <c r="S78" s="4" t="s">
        <v>102</v>
      </c>
      <c r="T78" s="4"/>
      <c r="U78" s="8" t="n">
        <v>8</v>
      </c>
      <c r="V78" s="6" t="n">
        <v>65.1</v>
      </c>
      <c r="W78" s="7" t="n">
        <v>8.137</v>
      </c>
      <c r="X78" s="8" t="n">
        <v>76</v>
      </c>
      <c r="Y78" s="8" t="n">
        <v>39</v>
      </c>
      <c r="Z78" s="10" t="n">
        <v>0.086</v>
      </c>
      <c r="AA78" s="8" t="n">
        <v>221</v>
      </c>
      <c r="AB78" s="10" t="n">
        <v>0.436</v>
      </c>
      <c r="AC78" s="8" t="n">
        <v>37</v>
      </c>
      <c r="AD78" s="6" t="n">
        <v>49.9</v>
      </c>
      <c r="AE78" s="10" t="n">
        <v>0.942</v>
      </c>
      <c r="AF78" s="8" t="n">
        <v>5</v>
      </c>
      <c r="AG78" s="10" t="n">
        <v>-0.0677</v>
      </c>
      <c r="AH78" s="6" t="n">
        <v>28.4</v>
      </c>
    </row>
    <row r="79" customFormat="false" ht="15" hidden="false" customHeight="false" outlineLevel="0" collapsed="false">
      <c r="A79" s="3" t="n">
        <v>77</v>
      </c>
      <c r="B79" s="4" t="s">
        <v>266</v>
      </c>
      <c r="C79" s="13" t="s">
        <v>172</v>
      </c>
      <c r="D79" s="4" t="s">
        <v>267</v>
      </c>
      <c r="E79" s="4" t="s">
        <v>203</v>
      </c>
      <c r="F79" s="4" t="s">
        <v>172</v>
      </c>
      <c r="G79" s="3" t="n">
        <v>1</v>
      </c>
      <c r="H79" s="6" t="n">
        <v>24.7</v>
      </c>
      <c r="I79" s="3" t="n">
        <v>3</v>
      </c>
      <c r="J79" s="3" t="n">
        <v>10</v>
      </c>
      <c r="K79" s="7" t="n">
        <v>68.07</v>
      </c>
      <c r="L79" s="7" t="n">
        <v>10.9</v>
      </c>
      <c r="M79" s="8" t="n">
        <v>37</v>
      </c>
      <c r="N79" s="8" t="n">
        <v>98</v>
      </c>
      <c r="O79" s="7" t="n">
        <v>68.07</v>
      </c>
      <c r="P79" s="6" t="n">
        <v>93</v>
      </c>
      <c r="Q79" s="7" t="n">
        <v>0.064</v>
      </c>
      <c r="R79" s="7" t="n">
        <v>-0.068</v>
      </c>
      <c r="S79" s="4" t="s">
        <v>102</v>
      </c>
      <c r="T79" s="4"/>
      <c r="U79" s="8" t="n">
        <v>17</v>
      </c>
      <c r="V79" s="6" t="n">
        <v>318.68</v>
      </c>
      <c r="W79" s="7" t="n">
        <v>18.746</v>
      </c>
      <c r="X79" s="8" t="n">
        <v>5</v>
      </c>
      <c r="Y79" s="8" t="n">
        <v>161</v>
      </c>
      <c r="Z79" s="10" t="n">
        <v>0.303</v>
      </c>
      <c r="AA79" s="8" t="n">
        <v>20</v>
      </c>
      <c r="AB79" s="10" t="n">
        <v>0.04</v>
      </c>
      <c r="AC79" s="8" t="n">
        <v>26</v>
      </c>
      <c r="AD79" s="6" t="n">
        <v>76.3</v>
      </c>
      <c r="AE79" s="10" t="n">
        <v>0.802</v>
      </c>
      <c r="AF79" s="8" t="n">
        <v>4</v>
      </c>
      <c r="AG79" s="10" t="n">
        <v>-0.039</v>
      </c>
      <c r="AH79" s="6" t="n">
        <v>25.9</v>
      </c>
    </row>
    <row r="80" customFormat="false" ht="15" hidden="false" customHeight="false" outlineLevel="0" collapsed="false">
      <c r="A80" s="3" t="n">
        <v>78</v>
      </c>
      <c r="B80" s="4" t="s">
        <v>107</v>
      </c>
      <c r="C80" s="5" t="s">
        <v>99</v>
      </c>
      <c r="D80" s="4" t="s">
        <v>108</v>
      </c>
      <c r="E80" s="4" t="s">
        <v>109</v>
      </c>
      <c r="F80" s="4" t="s">
        <v>99</v>
      </c>
      <c r="G80" s="3" t="n">
        <v>1</v>
      </c>
      <c r="H80" s="6" t="n">
        <v>25.2</v>
      </c>
      <c r="I80" s="3" t="n">
        <v>4</v>
      </c>
      <c r="J80" s="3" t="n">
        <v>11</v>
      </c>
      <c r="K80" s="7" t="n">
        <v>3.21</v>
      </c>
      <c r="L80" s="7" t="n">
        <v>1.4</v>
      </c>
      <c r="M80" s="8" t="n">
        <v>1</v>
      </c>
      <c r="N80" s="8" t="n">
        <v>9</v>
      </c>
      <c r="O80" s="7" t="n">
        <v>3.21</v>
      </c>
      <c r="P80" s="6" t="n">
        <v>99.7</v>
      </c>
      <c r="Q80" s="7" t="n">
        <v>0.062</v>
      </c>
      <c r="R80" s="7" t="n">
        <v>0.062</v>
      </c>
      <c r="S80" s="4" t="s">
        <v>102</v>
      </c>
      <c r="T80" s="4"/>
      <c r="U80" s="8" t="n">
        <v>16</v>
      </c>
      <c r="V80" s="6" t="n">
        <v>375</v>
      </c>
      <c r="W80" s="7" t="n">
        <v>23.438</v>
      </c>
      <c r="X80" s="8" t="n">
        <v>1</v>
      </c>
      <c r="Y80" s="8" t="n">
        <v>15</v>
      </c>
      <c r="Z80" s="10" t="n">
        <v>0.026</v>
      </c>
      <c r="AA80" s="8" t="n">
        <v>0</v>
      </c>
      <c r="AB80" s="10" t="n">
        <v>0</v>
      </c>
      <c r="AC80" s="8" t="n">
        <v>1</v>
      </c>
      <c r="AD80" s="6" t="n">
        <v>80.4</v>
      </c>
      <c r="AE80" s="10" t="n">
        <v>0.904</v>
      </c>
      <c r="AF80" s="8" t="n">
        <v>5</v>
      </c>
      <c r="AG80" s="10" t="n">
        <v>0.0296</v>
      </c>
      <c r="AH80" s="6" t="n">
        <v>30.5</v>
      </c>
    </row>
    <row r="81" customFormat="false" ht="15" hidden="false" customHeight="false" outlineLevel="0" collapsed="false">
      <c r="A81" s="3" t="n">
        <v>79</v>
      </c>
      <c r="B81" s="4" t="s">
        <v>504</v>
      </c>
      <c r="C81" s="11" t="s">
        <v>104</v>
      </c>
      <c r="D81" s="4" t="s">
        <v>505</v>
      </c>
      <c r="E81" s="4" t="s">
        <v>198</v>
      </c>
      <c r="F81" s="4" t="s">
        <v>281</v>
      </c>
      <c r="G81" s="3" t="n">
        <v>3</v>
      </c>
      <c r="H81" s="6" t="n">
        <v>24.8</v>
      </c>
      <c r="I81" s="3" t="n">
        <v>4</v>
      </c>
      <c r="J81" s="3" t="n">
        <v>10</v>
      </c>
      <c r="K81" s="7" t="n">
        <v>200.06</v>
      </c>
      <c r="L81" s="7" t="n">
        <v>34.26</v>
      </c>
      <c r="M81" s="8" t="n">
        <v>141</v>
      </c>
      <c r="N81" s="8" t="n">
        <v>299</v>
      </c>
      <c r="O81" s="7" t="n">
        <v>200.06</v>
      </c>
      <c r="P81" s="6" t="n">
        <v>11.1</v>
      </c>
      <c r="Q81" s="7" t="n">
        <v>0.057</v>
      </c>
      <c r="R81" s="7" t="n">
        <v>-0.207</v>
      </c>
      <c r="S81" s="4" t="s">
        <v>102</v>
      </c>
      <c r="T81" s="4"/>
      <c r="U81" s="8" t="n">
        <v>17</v>
      </c>
      <c r="V81" s="6" t="n">
        <v>91.4</v>
      </c>
      <c r="W81" s="7" t="n">
        <v>5.376</v>
      </c>
      <c r="X81" s="8" t="n">
        <v>48</v>
      </c>
      <c r="Y81" s="8" t="n">
        <v>111</v>
      </c>
      <c r="Z81" s="10" t="n">
        <v>0.205</v>
      </c>
      <c r="AA81" s="8" t="n">
        <v>138</v>
      </c>
      <c r="AB81" s="10" t="n">
        <v>0.292</v>
      </c>
      <c r="AC81" s="8" t="n">
        <v>38</v>
      </c>
      <c r="AD81" s="6" t="n">
        <v>57.4</v>
      </c>
      <c r="AE81" s="10" t="n">
        <v>0.791</v>
      </c>
      <c r="AF81" s="8" t="n">
        <v>4</v>
      </c>
      <c r="AG81" s="10" t="n">
        <v>-0.0347</v>
      </c>
      <c r="AH81" s="6" t="n">
        <v>22.4</v>
      </c>
    </row>
    <row r="82" customFormat="false" ht="15" hidden="false" customHeight="false" outlineLevel="0" collapsed="false">
      <c r="A82" s="3" t="n">
        <v>80</v>
      </c>
      <c r="B82" s="4" t="s">
        <v>113</v>
      </c>
      <c r="C82" s="5" t="s">
        <v>99</v>
      </c>
      <c r="D82" s="4" t="s">
        <v>114</v>
      </c>
      <c r="E82" s="4" t="s">
        <v>115</v>
      </c>
      <c r="F82" s="4" t="s">
        <v>99</v>
      </c>
      <c r="G82" s="3" t="n">
        <v>1</v>
      </c>
      <c r="H82" s="6" t="n">
        <v>24.5</v>
      </c>
      <c r="I82" s="3" t="n">
        <v>4</v>
      </c>
      <c r="J82" s="3" t="n">
        <v>11</v>
      </c>
      <c r="K82" s="7" t="n">
        <v>4.69</v>
      </c>
      <c r="L82" s="7" t="n">
        <v>1.37</v>
      </c>
      <c r="M82" s="8" t="n">
        <v>1</v>
      </c>
      <c r="N82" s="8" t="n">
        <v>9</v>
      </c>
      <c r="O82" s="7" t="n">
        <v>4.69</v>
      </c>
      <c r="P82" s="6" t="n">
        <v>99.7</v>
      </c>
      <c r="Q82" s="7" t="n">
        <v>0.054</v>
      </c>
      <c r="R82" s="7" t="n">
        <v>0.053</v>
      </c>
      <c r="S82" s="4" t="s">
        <v>102</v>
      </c>
      <c r="T82" s="4"/>
      <c r="U82" s="8" t="n">
        <v>17</v>
      </c>
      <c r="V82" s="6" t="n">
        <v>359.9</v>
      </c>
      <c r="W82" s="7" t="n">
        <v>21.171</v>
      </c>
      <c r="X82" s="8" t="n">
        <v>2</v>
      </c>
      <c r="Y82" s="8" t="n">
        <v>39</v>
      </c>
      <c r="Z82" s="10" t="n">
        <v>0.086</v>
      </c>
      <c r="AA82" s="8" t="n">
        <v>221</v>
      </c>
      <c r="AB82" s="10" t="n">
        <v>0.436</v>
      </c>
      <c r="AC82" s="8" t="n">
        <v>37</v>
      </c>
      <c r="AD82" s="6" t="n">
        <v>49.9</v>
      </c>
      <c r="AE82" s="10" t="n">
        <v>0.942</v>
      </c>
      <c r="AF82" s="8" t="n">
        <v>5</v>
      </c>
      <c r="AG82" s="10" t="n">
        <v>-0.0677</v>
      </c>
      <c r="AH82" s="6" t="n">
        <v>28.4</v>
      </c>
    </row>
    <row r="83" customFormat="false" ht="15" hidden="false" customHeight="false" outlineLevel="0" collapsed="false">
      <c r="A83" s="3" t="n">
        <v>81</v>
      </c>
      <c r="B83" s="4" t="s">
        <v>210</v>
      </c>
      <c r="C83" s="13" t="s">
        <v>172</v>
      </c>
      <c r="D83" s="4" t="s">
        <v>211</v>
      </c>
      <c r="E83" s="4" t="s">
        <v>135</v>
      </c>
      <c r="F83" s="4" t="s">
        <v>172</v>
      </c>
      <c r="G83" s="3" t="n">
        <v>1</v>
      </c>
      <c r="H83" s="6" t="n">
        <v>24</v>
      </c>
      <c r="I83" s="3" t="n">
        <v>3</v>
      </c>
      <c r="J83" s="3" t="n">
        <v>11</v>
      </c>
      <c r="K83" s="7" t="n">
        <v>39.19</v>
      </c>
      <c r="L83" s="7" t="n">
        <v>14.57</v>
      </c>
      <c r="M83" s="8" t="n">
        <v>26</v>
      </c>
      <c r="N83" s="8" t="n">
        <v>92</v>
      </c>
      <c r="O83" s="7" t="n">
        <v>39.19</v>
      </c>
      <c r="P83" s="6" t="n">
        <v>98.6</v>
      </c>
      <c r="Q83" s="7" t="n">
        <v>0.054</v>
      </c>
      <c r="R83" s="7" t="n">
        <v>0.053</v>
      </c>
      <c r="S83" s="4" t="s">
        <v>102</v>
      </c>
      <c r="T83" s="4"/>
      <c r="U83" s="8" t="n">
        <v>17</v>
      </c>
      <c r="V83" s="6" t="n">
        <v>351.96</v>
      </c>
      <c r="W83" s="7" t="n">
        <v>20.704</v>
      </c>
      <c r="X83" s="8" t="n">
        <v>2</v>
      </c>
      <c r="Y83" s="8" t="n">
        <v>128</v>
      </c>
      <c r="Z83" s="10" t="n">
        <v>0.266</v>
      </c>
      <c r="AA83" s="8" t="n">
        <v>10</v>
      </c>
      <c r="AB83" s="10" t="n">
        <v>0.02</v>
      </c>
      <c r="AC83" s="8" t="n">
        <v>17</v>
      </c>
      <c r="AD83" s="6" t="n">
        <v>41.6</v>
      </c>
      <c r="AE83" s="10" t="n">
        <v>0.533</v>
      </c>
      <c r="AF83" s="8" t="n">
        <v>3</v>
      </c>
      <c r="AG83" s="10" t="n">
        <v>0.0242</v>
      </c>
      <c r="AH83" s="6" t="n">
        <v>28.8</v>
      </c>
    </row>
    <row r="84" customFormat="false" ht="15" hidden="false" customHeight="false" outlineLevel="0" collapsed="false">
      <c r="A84" s="3" t="n">
        <v>82</v>
      </c>
      <c r="B84" s="4" t="s">
        <v>379</v>
      </c>
      <c r="C84" s="13" t="s">
        <v>172</v>
      </c>
      <c r="D84" s="4" t="s">
        <v>380</v>
      </c>
      <c r="E84" s="4" t="s">
        <v>218</v>
      </c>
      <c r="F84" s="4" t="s">
        <v>172</v>
      </c>
      <c r="G84" s="3" t="n">
        <v>1</v>
      </c>
      <c r="H84" s="6" t="n">
        <v>27.8</v>
      </c>
      <c r="I84" s="3" t="n">
        <v>7</v>
      </c>
      <c r="J84" s="3" t="n">
        <v>11</v>
      </c>
      <c r="K84" s="7" t="n">
        <v>119.28</v>
      </c>
      <c r="L84" s="7" t="n">
        <v>9.6</v>
      </c>
      <c r="M84" s="8" t="n">
        <v>92</v>
      </c>
      <c r="N84" s="8" t="n">
        <v>145</v>
      </c>
      <c r="O84" s="7" t="n">
        <v>119.28</v>
      </c>
      <c r="P84" s="6" t="n">
        <v>54.1</v>
      </c>
      <c r="Q84" s="7" t="n">
        <v>0.051</v>
      </c>
      <c r="R84" s="7" t="n">
        <v>-0.169</v>
      </c>
      <c r="S84" s="4" t="s">
        <v>102</v>
      </c>
      <c r="T84" s="4"/>
      <c r="U84" s="8" t="n">
        <v>15</v>
      </c>
      <c r="V84" s="6" t="n">
        <v>235.14</v>
      </c>
      <c r="W84" s="7" t="n">
        <v>15.676</v>
      </c>
      <c r="X84" s="8" t="n">
        <v>15</v>
      </c>
      <c r="Y84" s="8" t="n">
        <v>155</v>
      </c>
      <c r="Z84" s="10" t="n">
        <v>0.337</v>
      </c>
      <c r="AA84" s="8" t="n">
        <v>148</v>
      </c>
      <c r="AB84" s="10" t="n">
        <v>0.301</v>
      </c>
      <c r="AC84" s="8" t="n">
        <v>52</v>
      </c>
      <c r="AD84" s="6" t="n">
        <v>52.5</v>
      </c>
      <c r="AE84" s="10" t="n">
        <v>0.704</v>
      </c>
      <c r="AF84" s="8" t="n">
        <v>4</v>
      </c>
      <c r="AG84" s="10" t="n">
        <v>-0.0441</v>
      </c>
      <c r="AH84" s="6" t="n">
        <v>23</v>
      </c>
    </row>
    <row r="85" customFormat="false" ht="15" hidden="false" customHeight="false" outlineLevel="0" collapsed="false">
      <c r="A85" s="3" t="n">
        <v>83</v>
      </c>
      <c r="B85" s="4" t="s">
        <v>381</v>
      </c>
      <c r="C85" s="11" t="s">
        <v>104</v>
      </c>
      <c r="D85" s="4" t="s">
        <v>382</v>
      </c>
      <c r="E85" s="4" t="s">
        <v>221</v>
      </c>
      <c r="F85" s="4" t="s">
        <v>104</v>
      </c>
      <c r="G85" s="3" t="n">
        <v>1</v>
      </c>
      <c r="H85" s="6" t="n">
        <v>25.3</v>
      </c>
      <c r="I85" s="3" t="n">
        <v>2</v>
      </c>
      <c r="J85" s="3" t="n">
        <v>7</v>
      </c>
      <c r="K85" s="7" t="n">
        <v>119.51</v>
      </c>
      <c r="L85" s="7" t="n">
        <v>13.21</v>
      </c>
      <c r="M85" s="8" t="n">
        <v>78</v>
      </c>
      <c r="N85" s="8" t="n">
        <v>143</v>
      </c>
      <c r="O85" s="7" t="n">
        <v>119.51</v>
      </c>
      <c r="P85" s="6" t="n">
        <v>73.6</v>
      </c>
      <c r="Q85" s="7" t="n">
        <v>0.049</v>
      </c>
      <c r="R85" s="7" t="n">
        <v>-0.433</v>
      </c>
      <c r="S85" s="4" t="s">
        <v>102</v>
      </c>
      <c r="T85" s="4"/>
      <c r="U85" s="8" t="n">
        <v>17</v>
      </c>
      <c r="V85" s="6" t="n">
        <v>140.3</v>
      </c>
      <c r="W85" s="7" t="n">
        <v>8.253</v>
      </c>
      <c r="X85" s="8" t="n">
        <v>32</v>
      </c>
      <c r="Y85" s="8" t="n">
        <v>138</v>
      </c>
      <c r="Z85" s="10" t="n">
        <v>0.319</v>
      </c>
      <c r="AA85" s="8" t="n">
        <v>142</v>
      </c>
      <c r="AB85" s="10" t="n">
        <v>0.293</v>
      </c>
      <c r="AC85" s="8" t="n">
        <v>56</v>
      </c>
      <c r="AD85" s="6" t="n">
        <v>54.8</v>
      </c>
      <c r="AE85" s="10" t="n">
        <v>0.706</v>
      </c>
      <c r="AF85" s="8" t="n">
        <v>4</v>
      </c>
      <c r="AG85" s="10" t="n">
        <v>-0.0427</v>
      </c>
      <c r="AH85" s="6" t="n">
        <v>20.9</v>
      </c>
    </row>
    <row r="86" customFormat="false" ht="15" hidden="false" customHeight="false" outlineLevel="0" collapsed="false">
      <c r="A86" s="3" t="n">
        <v>84</v>
      </c>
      <c r="B86" s="4" t="s">
        <v>116</v>
      </c>
      <c r="C86" s="5" t="s">
        <v>99</v>
      </c>
      <c r="D86" s="4" t="s">
        <v>117</v>
      </c>
      <c r="E86" s="4" t="s">
        <v>106</v>
      </c>
      <c r="F86" s="4" t="s">
        <v>99</v>
      </c>
      <c r="G86" s="3" t="n">
        <v>1</v>
      </c>
      <c r="H86" s="6" t="n">
        <v>26.8</v>
      </c>
      <c r="I86" s="3" t="n">
        <v>6</v>
      </c>
      <c r="J86" s="3" t="n">
        <v>6</v>
      </c>
      <c r="K86" s="7" t="n">
        <v>5.64</v>
      </c>
      <c r="L86" s="7" t="n">
        <v>1.23</v>
      </c>
      <c r="M86" s="8" t="n">
        <v>4</v>
      </c>
      <c r="N86" s="8" t="n">
        <v>9</v>
      </c>
      <c r="O86" s="7" t="n">
        <v>5.64</v>
      </c>
      <c r="P86" s="6" t="n">
        <v>99.5</v>
      </c>
      <c r="Q86" s="7" t="n">
        <v>0.045</v>
      </c>
      <c r="R86" s="7" t="n">
        <v>0.001</v>
      </c>
      <c r="S86" s="4" t="s">
        <v>102</v>
      </c>
      <c r="T86" s="4"/>
      <c r="U86" s="8" t="n">
        <v>17</v>
      </c>
      <c r="V86" s="6" t="n">
        <v>324</v>
      </c>
      <c r="W86" s="7" t="n">
        <v>19.059</v>
      </c>
      <c r="X86" s="8" t="n">
        <v>3</v>
      </c>
      <c r="Y86" s="8" t="n">
        <v>79</v>
      </c>
      <c r="Z86" s="10" t="n">
        <v>0.144</v>
      </c>
      <c r="AA86" s="8" t="n">
        <v>167</v>
      </c>
      <c r="AB86" s="10" t="n">
        <v>0.378</v>
      </c>
      <c r="AC86" s="8" t="n">
        <v>45</v>
      </c>
      <c r="AD86" s="6" t="n">
        <v>46.7</v>
      </c>
      <c r="AE86" s="10" t="n">
        <v>0.521</v>
      </c>
      <c r="AF86" s="8" t="n">
        <v>3</v>
      </c>
      <c r="AG86" s="10" t="n">
        <v>-0.0456</v>
      </c>
      <c r="AH86" s="6" t="n">
        <v>28.3</v>
      </c>
    </row>
    <row r="87" customFormat="false" ht="15" hidden="false" customHeight="false" outlineLevel="0" collapsed="false">
      <c r="A87" s="3" t="n">
        <v>85</v>
      </c>
      <c r="B87" s="4" t="s">
        <v>619</v>
      </c>
      <c r="C87" s="13" t="s">
        <v>172</v>
      </c>
      <c r="D87" s="4" t="s">
        <v>620</v>
      </c>
      <c r="E87" s="4" t="s">
        <v>112</v>
      </c>
      <c r="F87" s="4" t="s">
        <v>172</v>
      </c>
      <c r="G87" s="3" t="n">
        <v>1</v>
      </c>
      <c r="H87" s="6" t="n">
        <v>28.5</v>
      </c>
      <c r="I87" s="3" t="n">
        <v>7</v>
      </c>
      <c r="J87" s="3" t="n">
        <v>11</v>
      </c>
      <c r="K87" s="7" t="n">
        <v>264.28</v>
      </c>
      <c r="L87" s="7" t="n">
        <v>37.9</v>
      </c>
      <c r="M87" s="8" t="n">
        <v>134</v>
      </c>
      <c r="N87" s="8" t="n">
        <v>346</v>
      </c>
      <c r="O87" s="7" t="n">
        <v>264.28</v>
      </c>
      <c r="P87" s="6" t="n">
        <v>13.1</v>
      </c>
      <c r="Q87" s="7" t="n">
        <v>0.038</v>
      </c>
      <c r="R87" s="7" t="n">
        <v>-0.138</v>
      </c>
      <c r="S87" s="4" t="s">
        <v>102</v>
      </c>
      <c r="T87" s="4"/>
      <c r="U87" s="8" t="n">
        <v>14</v>
      </c>
      <c r="V87" s="6" t="n">
        <v>160.7</v>
      </c>
      <c r="W87" s="7" t="n">
        <v>11.479</v>
      </c>
      <c r="X87" s="8" t="n">
        <v>25</v>
      </c>
      <c r="Y87" s="8" t="n">
        <v>151</v>
      </c>
      <c r="Z87" s="10" t="n">
        <v>0.291</v>
      </c>
      <c r="AA87" s="8" t="n">
        <v>160</v>
      </c>
      <c r="AB87" s="10" t="n">
        <v>0.335</v>
      </c>
      <c r="AC87" s="8" t="n">
        <v>49</v>
      </c>
      <c r="AD87" s="6" t="n">
        <v>62.4</v>
      </c>
      <c r="AE87" s="10" t="n">
        <v>0.798</v>
      </c>
      <c r="AF87" s="8" t="n">
        <v>4</v>
      </c>
      <c r="AG87" s="10" t="n">
        <v>-0.0621</v>
      </c>
      <c r="AH87" s="6" t="n">
        <v>20.8</v>
      </c>
    </row>
    <row r="88" customFormat="false" ht="15" hidden="false" customHeight="false" outlineLevel="0" collapsed="false">
      <c r="A88" s="3" t="n">
        <v>86</v>
      </c>
      <c r="B88" s="4" t="s">
        <v>216</v>
      </c>
      <c r="C88" s="11" t="s">
        <v>104</v>
      </c>
      <c r="D88" s="4" t="s">
        <v>217</v>
      </c>
      <c r="E88" s="4" t="s">
        <v>218</v>
      </c>
      <c r="F88" s="4" t="s">
        <v>104</v>
      </c>
      <c r="G88" s="3" t="n">
        <v>1</v>
      </c>
      <c r="H88" s="6" t="n">
        <v>28.5</v>
      </c>
      <c r="I88" s="3" t="n">
        <v>8</v>
      </c>
      <c r="J88" s="3" t="n">
        <v>11</v>
      </c>
      <c r="K88" s="7" t="n">
        <v>44.17</v>
      </c>
      <c r="L88" s="7" t="n">
        <v>7.16</v>
      </c>
      <c r="M88" s="8" t="n">
        <v>29</v>
      </c>
      <c r="N88" s="8" t="n">
        <v>61</v>
      </c>
      <c r="O88" s="7" t="n">
        <v>44.17</v>
      </c>
      <c r="P88" s="6" t="n">
        <v>98.3</v>
      </c>
      <c r="Q88" s="7" t="n">
        <v>0.032</v>
      </c>
      <c r="R88" s="7" t="n">
        <v>0.163</v>
      </c>
      <c r="S88" s="4" t="s">
        <v>102</v>
      </c>
      <c r="T88" s="4"/>
      <c r="U88" s="8" t="n">
        <v>15</v>
      </c>
      <c r="V88" s="6" t="n">
        <v>237.1</v>
      </c>
      <c r="W88" s="7" t="n">
        <v>15.807</v>
      </c>
      <c r="X88" s="8" t="n">
        <v>13</v>
      </c>
      <c r="Y88" s="8" t="n">
        <v>155</v>
      </c>
      <c r="Z88" s="10" t="n">
        <v>0.337</v>
      </c>
      <c r="AA88" s="8" t="n">
        <v>148</v>
      </c>
      <c r="AB88" s="10" t="n">
        <v>0.301</v>
      </c>
      <c r="AC88" s="8" t="n">
        <v>52</v>
      </c>
      <c r="AD88" s="6" t="n">
        <v>52.5</v>
      </c>
      <c r="AE88" s="10" t="n">
        <v>0.704</v>
      </c>
      <c r="AF88" s="8" t="n">
        <v>4</v>
      </c>
      <c r="AG88" s="10" t="n">
        <v>-0.0441</v>
      </c>
      <c r="AH88" s="6" t="n">
        <v>23</v>
      </c>
    </row>
    <row r="89" customFormat="false" ht="15" hidden="false" customHeight="false" outlineLevel="0" collapsed="false">
      <c r="A89" s="3" t="n">
        <v>87</v>
      </c>
      <c r="B89" s="4" t="s">
        <v>148</v>
      </c>
      <c r="C89" s="12" t="s">
        <v>149</v>
      </c>
      <c r="D89" s="4" t="s">
        <v>150</v>
      </c>
      <c r="E89" s="4" t="s">
        <v>151</v>
      </c>
      <c r="F89" s="4" t="s">
        <v>149</v>
      </c>
      <c r="G89" s="3" t="n">
        <v>1</v>
      </c>
      <c r="H89" s="6" t="n">
        <v>26.7</v>
      </c>
      <c r="I89" s="3" t="n">
        <v>5</v>
      </c>
      <c r="J89" s="3" t="n">
        <v>14</v>
      </c>
      <c r="K89" s="7" t="n">
        <v>19.47</v>
      </c>
      <c r="L89" s="7" t="n">
        <v>5.73</v>
      </c>
      <c r="M89" s="8" t="n">
        <v>15</v>
      </c>
      <c r="N89" s="8" t="n">
        <v>33</v>
      </c>
      <c r="O89" s="7" t="n">
        <v>19.47</v>
      </c>
      <c r="P89" s="6" t="n">
        <v>99.4</v>
      </c>
      <c r="Q89" s="7" t="n">
        <v>0.027</v>
      </c>
      <c r="R89" s="7" t="n">
        <v>0.026</v>
      </c>
      <c r="S89" s="4" t="s">
        <v>102</v>
      </c>
      <c r="T89" s="4"/>
      <c r="U89" s="8" t="n">
        <v>17</v>
      </c>
      <c r="V89" s="6" t="n">
        <v>315.9</v>
      </c>
      <c r="W89" s="7" t="n">
        <v>18.582</v>
      </c>
      <c r="X89" s="8" t="n">
        <v>1</v>
      </c>
      <c r="Y89" s="8" t="n">
        <v>106</v>
      </c>
      <c r="Z89" s="10" t="n">
        <v>0.172</v>
      </c>
      <c r="AA89" s="8" t="n">
        <v>173</v>
      </c>
      <c r="AB89" s="10" t="n">
        <v>0.473</v>
      </c>
      <c r="AC89" s="8" t="n">
        <v>41</v>
      </c>
      <c r="AD89" s="6" t="n">
        <v>36.9</v>
      </c>
      <c r="AE89" s="10" t="n">
        <v>0.686</v>
      </c>
      <c r="AF89" s="8" t="n">
        <v>3</v>
      </c>
      <c r="AG89" s="10" t="n">
        <v>0.0399</v>
      </c>
      <c r="AH89" s="6" t="n">
        <v>20.9</v>
      </c>
    </row>
    <row r="90" customFormat="false" ht="15" hidden="false" customHeight="false" outlineLevel="0" collapsed="false">
      <c r="A90" s="3" t="n">
        <v>88</v>
      </c>
      <c r="B90" s="4" t="s">
        <v>171</v>
      </c>
      <c r="C90" s="13" t="s">
        <v>172</v>
      </c>
      <c r="D90" s="4" t="s">
        <v>173</v>
      </c>
      <c r="E90" s="4" t="s">
        <v>147</v>
      </c>
      <c r="F90" s="4" t="s">
        <v>172</v>
      </c>
      <c r="G90" s="3" t="n">
        <v>1</v>
      </c>
      <c r="H90" s="6" t="n">
        <v>30.2</v>
      </c>
      <c r="I90" s="3" t="n">
        <v>9</v>
      </c>
      <c r="J90" s="3" t="n">
        <v>7</v>
      </c>
      <c r="K90" s="7" t="n">
        <v>25.86</v>
      </c>
      <c r="L90" s="7" t="n">
        <v>2.48</v>
      </c>
      <c r="M90" s="8" t="n">
        <v>21</v>
      </c>
      <c r="N90" s="8" t="n">
        <v>36</v>
      </c>
      <c r="O90" s="7" t="n">
        <v>25.86</v>
      </c>
      <c r="P90" s="6" t="n">
        <v>99.6</v>
      </c>
      <c r="Q90" s="7" t="n">
        <v>0.027</v>
      </c>
      <c r="R90" s="7" t="n">
        <v>0.026</v>
      </c>
      <c r="S90" s="4" t="s">
        <v>102</v>
      </c>
      <c r="T90" s="4"/>
      <c r="U90" s="8" t="n">
        <v>16</v>
      </c>
      <c r="V90" s="6" t="n">
        <v>364.62</v>
      </c>
      <c r="W90" s="7" t="n">
        <v>22.789</v>
      </c>
      <c r="X90" s="8" t="n">
        <v>1</v>
      </c>
      <c r="Y90" s="8" t="n">
        <v>19</v>
      </c>
      <c r="Z90" s="10" t="n">
        <v>0.04</v>
      </c>
      <c r="AA90" s="8" t="n">
        <v>17</v>
      </c>
      <c r="AB90" s="10" t="n">
        <v>0.031</v>
      </c>
      <c r="AC90" s="8" t="n">
        <v>2</v>
      </c>
      <c r="AD90" s="6" t="n">
        <v>73.6</v>
      </c>
      <c r="AE90" s="10" t="n">
        <v>0.763</v>
      </c>
      <c r="AF90" s="8" t="n">
        <v>4</v>
      </c>
      <c r="AG90" s="10" t="n">
        <v>-0.0352</v>
      </c>
      <c r="AH90" s="6" t="n">
        <v>28.3</v>
      </c>
    </row>
    <row r="91" customFormat="false" ht="15" hidden="false" customHeight="false" outlineLevel="0" collapsed="false">
      <c r="A91" s="3" t="n">
        <v>89</v>
      </c>
      <c r="B91" s="4" t="s">
        <v>145</v>
      </c>
      <c r="C91" s="11" t="s">
        <v>104</v>
      </c>
      <c r="D91" s="4" t="s">
        <v>146</v>
      </c>
      <c r="E91" s="4" t="s">
        <v>147</v>
      </c>
      <c r="F91" s="4" t="s">
        <v>104</v>
      </c>
      <c r="G91" s="3" t="n">
        <v>1</v>
      </c>
      <c r="H91" s="6" t="n">
        <v>26.9</v>
      </c>
      <c r="I91" s="3" t="n">
        <v>5</v>
      </c>
      <c r="J91" s="3" t="n">
        <v>7</v>
      </c>
      <c r="K91" s="7" t="n">
        <v>18.3</v>
      </c>
      <c r="L91" s="7" t="n">
        <v>7.01</v>
      </c>
      <c r="M91" s="8" t="n">
        <v>7</v>
      </c>
      <c r="N91" s="8" t="n">
        <v>33</v>
      </c>
      <c r="O91" s="7" t="n">
        <v>18.3</v>
      </c>
      <c r="P91" s="6" t="n">
        <v>99.5</v>
      </c>
      <c r="Q91" s="7" t="n">
        <v>0.02</v>
      </c>
      <c r="R91" s="7" t="n">
        <v>0.02</v>
      </c>
      <c r="S91" s="4" t="s">
        <v>102</v>
      </c>
      <c r="T91" s="4"/>
      <c r="U91" s="8" t="n">
        <v>17</v>
      </c>
      <c r="V91" s="6" t="n">
        <v>302.2</v>
      </c>
      <c r="W91" s="7" t="n">
        <v>17.776</v>
      </c>
      <c r="X91" s="8" t="n">
        <v>6</v>
      </c>
      <c r="Y91" s="8" t="n">
        <v>19</v>
      </c>
      <c r="Z91" s="10" t="n">
        <v>0.04</v>
      </c>
      <c r="AA91" s="8" t="n">
        <v>17</v>
      </c>
      <c r="AB91" s="10" t="n">
        <v>0.031</v>
      </c>
      <c r="AC91" s="8" t="n">
        <v>2</v>
      </c>
      <c r="AD91" s="6" t="n">
        <v>73.6</v>
      </c>
      <c r="AE91" s="10" t="n">
        <v>0.763</v>
      </c>
      <c r="AF91" s="8" t="n">
        <v>4</v>
      </c>
      <c r="AG91" s="10" t="n">
        <v>-0.0352</v>
      </c>
      <c r="AH91" s="6" t="n">
        <v>28.3</v>
      </c>
    </row>
    <row r="92" customFormat="false" ht="15" hidden="false" customHeight="false" outlineLevel="0" collapsed="false">
      <c r="A92" s="3" t="n">
        <v>90</v>
      </c>
      <c r="B92" s="4" t="s">
        <v>560</v>
      </c>
      <c r="C92" s="12" t="s">
        <v>149</v>
      </c>
      <c r="D92" s="4" t="s">
        <v>561</v>
      </c>
      <c r="E92" s="4" t="s">
        <v>284</v>
      </c>
      <c r="F92" s="4" t="s">
        <v>149</v>
      </c>
      <c r="G92" s="3" t="n">
        <v>1</v>
      </c>
      <c r="H92" s="6" t="n">
        <v>27.8</v>
      </c>
      <c r="I92" s="3" t="n">
        <v>6</v>
      </c>
      <c r="J92" s="3" t="n">
        <v>9</v>
      </c>
      <c r="K92" s="7" t="n">
        <v>236.54</v>
      </c>
      <c r="L92" s="7" t="n">
        <v>30.48</v>
      </c>
      <c r="M92" s="8" t="n">
        <v>131</v>
      </c>
      <c r="N92" s="8" t="n">
        <v>332</v>
      </c>
      <c r="O92" s="7" t="n">
        <v>236.54</v>
      </c>
      <c r="P92" s="6" t="n">
        <v>14.1</v>
      </c>
      <c r="Q92" s="7" t="n">
        <v>0.019</v>
      </c>
      <c r="R92" s="7" t="n">
        <v>-0.025</v>
      </c>
      <c r="S92" s="4" t="s">
        <v>102</v>
      </c>
      <c r="T92" s="4"/>
      <c r="U92" s="8" t="n">
        <v>15</v>
      </c>
      <c r="V92" s="6" t="n">
        <v>113.6</v>
      </c>
      <c r="W92" s="7" t="n">
        <v>7.573</v>
      </c>
      <c r="X92" s="8" t="n">
        <v>23</v>
      </c>
      <c r="Y92" s="8" t="n">
        <v>179</v>
      </c>
      <c r="Z92" s="10" t="n">
        <v>0.343</v>
      </c>
      <c r="AA92" s="8" t="n">
        <v>129</v>
      </c>
      <c r="AB92" s="10" t="n">
        <v>0.317</v>
      </c>
      <c r="AC92" s="8" t="n">
        <v>59</v>
      </c>
      <c r="AD92" s="6" t="n">
        <v>57.4</v>
      </c>
      <c r="AE92" s="10" t="n">
        <v>0.824</v>
      </c>
      <c r="AF92" s="8" t="n">
        <v>5</v>
      </c>
      <c r="AG92" s="10" t="n">
        <v>-0.007</v>
      </c>
      <c r="AH92" s="6" t="n">
        <v>23.4</v>
      </c>
    </row>
    <row r="93" customFormat="false" ht="15" hidden="false" customHeight="false" outlineLevel="0" collapsed="false">
      <c r="A93" s="3" t="n">
        <v>91</v>
      </c>
      <c r="B93" s="4" t="s">
        <v>295</v>
      </c>
      <c r="C93" s="11" t="s">
        <v>104</v>
      </c>
      <c r="D93" s="4" t="s">
        <v>296</v>
      </c>
      <c r="E93" s="4" t="s">
        <v>265</v>
      </c>
      <c r="F93" s="4" t="s">
        <v>104</v>
      </c>
      <c r="G93" s="3" t="n">
        <v>1</v>
      </c>
      <c r="H93" s="6" t="n">
        <v>29.3</v>
      </c>
      <c r="I93" s="3" t="n">
        <v>8</v>
      </c>
      <c r="J93" s="3" t="n">
        <v>9</v>
      </c>
      <c r="K93" s="7" t="n">
        <v>81.52</v>
      </c>
      <c r="L93" s="7" t="n">
        <v>8.37</v>
      </c>
      <c r="M93" s="8" t="n">
        <v>58</v>
      </c>
      <c r="N93" s="8" t="n">
        <v>102</v>
      </c>
      <c r="O93" s="7" t="n">
        <v>81.52</v>
      </c>
      <c r="P93" s="6" t="n">
        <v>86.5</v>
      </c>
      <c r="Q93" s="7" t="n">
        <v>0.019</v>
      </c>
      <c r="R93" s="7" t="n">
        <v>-0.332</v>
      </c>
      <c r="S93" s="4" t="s">
        <v>102</v>
      </c>
      <c r="T93" s="4"/>
      <c r="U93" s="8" t="n">
        <v>17</v>
      </c>
      <c r="V93" s="6" t="n">
        <v>185.8</v>
      </c>
      <c r="W93" s="7" t="n">
        <v>10.929</v>
      </c>
      <c r="X93" s="8" t="n">
        <v>23</v>
      </c>
      <c r="Y93" s="8" t="n">
        <v>152</v>
      </c>
      <c r="Z93" s="10" t="n">
        <v>0.287</v>
      </c>
      <c r="AA93" s="8" t="n">
        <v>0</v>
      </c>
      <c r="AB93" s="10" t="n">
        <v>0</v>
      </c>
      <c r="AC93" s="8" t="n">
        <v>8</v>
      </c>
      <c r="AD93" s="6" t="n">
        <v>41.1</v>
      </c>
      <c r="AE93" s="10" t="n">
        <v>0.527</v>
      </c>
      <c r="AF93" s="8" t="n">
        <v>3</v>
      </c>
      <c r="AG93" s="10" t="n">
        <v>-0.0385</v>
      </c>
      <c r="AH93" s="6" t="n">
        <v>16.7</v>
      </c>
    </row>
    <row r="94" customFormat="false" ht="15" hidden="false" customHeight="false" outlineLevel="0" collapsed="false">
      <c r="A94" s="3" t="n">
        <v>92</v>
      </c>
      <c r="B94" s="4" t="s">
        <v>110</v>
      </c>
      <c r="C94" s="11" t="s">
        <v>104</v>
      </c>
      <c r="D94" s="4" t="s">
        <v>111</v>
      </c>
      <c r="E94" s="4" t="s">
        <v>112</v>
      </c>
      <c r="F94" s="4" t="s">
        <v>104</v>
      </c>
      <c r="G94" s="3" t="n">
        <v>1</v>
      </c>
      <c r="H94" s="6" t="n">
        <v>24.5</v>
      </c>
      <c r="I94" s="3" t="n">
        <v>4</v>
      </c>
      <c r="J94" s="3" t="n">
        <v>11</v>
      </c>
      <c r="K94" s="7" t="n">
        <v>3.5</v>
      </c>
      <c r="L94" s="7" t="n">
        <v>1.6</v>
      </c>
      <c r="M94" s="8" t="n">
        <v>1</v>
      </c>
      <c r="N94" s="8" t="n">
        <v>7</v>
      </c>
      <c r="O94" s="7" t="n">
        <v>3.5</v>
      </c>
      <c r="P94" s="6" t="n">
        <v>99.4</v>
      </c>
      <c r="Q94" s="7" t="n">
        <v>0.018</v>
      </c>
      <c r="R94" s="7" t="n">
        <v>0.018</v>
      </c>
      <c r="S94" s="4" t="s">
        <v>102</v>
      </c>
      <c r="T94" s="4"/>
      <c r="U94" s="8" t="n">
        <v>17</v>
      </c>
      <c r="V94" s="6" t="n">
        <v>370.8</v>
      </c>
      <c r="W94" s="7" t="n">
        <v>21.812</v>
      </c>
      <c r="X94" s="8" t="n">
        <v>2</v>
      </c>
      <c r="Y94" s="8" t="n">
        <v>151</v>
      </c>
      <c r="Z94" s="10" t="n">
        <v>0.291</v>
      </c>
      <c r="AA94" s="8" t="n">
        <v>160</v>
      </c>
      <c r="AB94" s="10" t="n">
        <v>0.335</v>
      </c>
      <c r="AC94" s="8" t="n">
        <v>49</v>
      </c>
      <c r="AD94" s="6" t="n">
        <v>62.4</v>
      </c>
      <c r="AE94" s="10" t="n">
        <v>0.798</v>
      </c>
      <c r="AF94" s="8" t="n">
        <v>4</v>
      </c>
      <c r="AG94" s="10" t="n">
        <v>-0.0621</v>
      </c>
      <c r="AH94" s="6" t="n">
        <v>20.8</v>
      </c>
    </row>
    <row r="95" customFormat="false" ht="15" hidden="false" customHeight="false" outlineLevel="0" collapsed="false">
      <c r="A95" s="3" t="n">
        <v>93</v>
      </c>
      <c r="B95" s="4" t="s">
        <v>332</v>
      </c>
      <c r="C95" s="13" t="s">
        <v>172</v>
      </c>
      <c r="D95" s="4" t="s">
        <v>333</v>
      </c>
      <c r="E95" s="4" t="s">
        <v>164</v>
      </c>
      <c r="F95" s="4" t="s">
        <v>172</v>
      </c>
      <c r="G95" s="3" t="n">
        <v>1</v>
      </c>
      <c r="H95" s="6" t="n">
        <v>30.9</v>
      </c>
      <c r="I95" s="3" t="n">
        <v>10</v>
      </c>
      <c r="J95" s="3" t="n">
        <v>5</v>
      </c>
      <c r="K95" s="7" t="n">
        <v>101.13</v>
      </c>
      <c r="L95" s="7" t="n">
        <v>11.7</v>
      </c>
      <c r="M95" s="8" t="n">
        <v>63</v>
      </c>
      <c r="N95" s="8" t="n">
        <v>129</v>
      </c>
      <c r="O95" s="7" t="n">
        <v>101.13</v>
      </c>
      <c r="P95" s="6" t="n">
        <v>87.9</v>
      </c>
      <c r="Q95" s="7" t="n">
        <v>0.014</v>
      </c>
      <c r="R95" s="7" t="n">
        <v>0.32</v>
      </c>
      <c r="S95" s="4" t="s">
        <v>102</v>
      </c>
      <c r="T95" s="4"/>
      <c r="U95" s="8" t="n">
        <v>14</v>
      </c>
      <c r="V95" s="6" t="n">
        <v>285.68</v>
      </c>
      <c r="W95" s="7" t="n">
        <v>20.406</v>
      </c>
      <c r="X95" s="8" t="n">
        <v>11</v>
      </c>
      <c r="Y95" s="8" t="n">
        <v>147</v>
      </c>
      <c r="Z95" s="10" t="n">
        <v>0.268</v>
      </c>
      <c r="AA95" s="8" t="n">
        <v>129</v>
      </c>
      <c r="AB95" s="10" t="n">
        <v>0.3</v>
      </c>
      <c r="AC95" s="8" t="n">
        <v>43</v>
      </c>
      <c r="AD95" s="6" t="n">
        <v>50.1</v>
      </c>
      <c r="AE95" s="10" t="n">
        <v>0.864</v>
      </c>
      <c r="AF95" s="8" t="n">
        <v>5</v>
      </c>
      <c r="AG95" s="10" t="n">
        <v>0.0395</v>
      </c>
      <c r="AH95" s="6" t="n">
        <v>21.3</v>
      </c>
    </row>
    <row r="96" customFormat="false" ht="15" hidden="false" customHeight="false" outlineLevel="0" collapsed="false">
      <c r="A96" s="3" t="n">
        <v>94</v>
      </c>
      <c r="B96" s="4" t="s">
        <v>546</v>
      </c>
      <c r="C96" s="13" t="s">
        <v>172</v>
      </c>
      <c r="D96" s="4" t="s">
        <v>547</v>
      </c>
      <c r="E96" s="4" t="s">
        <v>186</v>
      </c>
      <c r="F96" s="4" t="s">
        <v>172</v>
      </c>
      <c r="G96" s="3" t="n">
        <v>1</v>
      </c>
      <c r="H96" s="6" t="n">
        <v>35.9</v>
      </c>
      <c r="I96" s="3" t="n">
        <v>14</v>
      </c>
      <c r="J96" s="3" t="n">
        <v>13</v>
      </c>
      <c r="K96" s="7" t="n">
        <v>227.81</v>
      </c>
      <c r="L96" s="7" t="n">
        <v>32.44</v>
      </c>
      <c r="M96" s="8" t="n">
        <v>147</v>
      </c>
      <c r="N96" s="8" t="n">
        <v>285</v>
      </c>
      <c r="O96" s="7" t="n">
        <v>227.81</v>
      </c>
      <c r="P96" s="6" t="n">
        <v>12.4</v>
      </c>
      <c r="Q96" s="7" t="n">
        <v>0.01</v>
      </c>
      <c r="R96" s="7" t="n">
        <v>-0.165</v>
      </c>
      <c r="S96" s="4" t="s">
        <v>102</v>
      </c>
      <c r="T96" s="4"/>
      <c r="U96" s="8" t="n">
        <v>15</v>
      </c>
      <c r="V96" s="6" t="n">
        <v>173.9</v>
      </c>
      <c r="W96" s="7" t="n">
        <v>11.593</v>
      </c>
      <c r="X96" s="8" t="n">
        <v>24</v>
      </c>
      <c r="Y96" s="8" t="n">
        <v>76</v>
      </c>
      <c r="Z96" s="10" t="n">
        <v>0.161</v>
      </c>
      <c r="AA96" s="8" t="n">
        <v>117</v>
      </c>
      <c r="AB96" s="10" t="n">
        <v>0.257</v>
      </c>
      <c r="AC96" s="8" t="n">
        <v>27</v>
      </c>
      <c r="AD96" s="6" t="n">
        <v>38.6</v>
      </c>
      <c r="AE96" s="10" t="n">
        <v>0.808</v>
      </c>
      <c r="AF96" s="8" t="n">
        <v>3</v>
      </c>
      <c r="AG96" s="10" t="n">
        <v>-0.0877</v>
      </c>
      <c r="AH96" s="6" t="n">
        <v>17.6</v>
      </c>
    </row>
    <row r="97" customFormat="false" ht="15" hidden="false" customHeight="false" outlineLevel="0" collapsed="false">
      <c r="A97" s="3" t="n">
        <v>95</v>
      </c>
      <c r="B97" s="4" t="s">
        <v>350</v>
      </c>
      <c r="C97" s="11" t="s">
        <v>104</v>
      </c>
      <c r="D97" s="4" t="s">
        <v>351</v>
      </c>
      <c r="E97" s="4" t="s">
        <v>203</v>
      </c>
      <c r="F97" s="4" t="s">
        <v>104</v>
      </c>
      <c r="G97" s="3" t="n">
        <v>2</v>
      </c>
      <c r="H97" s="6" t="n">
        <v>24.2</v>
      </c>
      <c r="I97" s="3" t="n">
        <v>2</v>
      </c>
      <c r="J97" s="3" t="n">
        <v>10</v>
      </c>
      <c r="K97" s="7" t="n">
        <v>106.05</v>
      </c>
      <c r="L97" s="7" t="n">
        <v>13.88</v>
      </c>
      <c r="M97" s="8" t="n">
        <v>78</v>
      </c>
      <c r="N97" s="8" t="n">
        <v>156</v>
      </c>
      <c r="O97" s="7" t="n">
        <v>106.05</v>
      </c>
      <c r="P97" s="6" t="n">
        <v>81.7</v>
      </c>
      <c r="Q97" s="7" t="n">
        <v>0.004</v>
      </c>
      <c r="R97" s="7" t="n">
        <v>-0.435</v>
      </c>
      <c r="S97" s="4" t="s">
        <v>102</v>
      </c>
      <c r="T97" s="4"/>
      <c r="U97" s="8" t="n">
        <v>17</v>
      </c>
      <c r="V97" s="6" t="n">
        <v>146.7</v>
      </c>
      <c r="W97" s="7" t="n">
        <v>8.629</v>
      </c>
      <c r="X97" s="8" t="n">
        <v>29</v>
      </c>
      <c r="Y97" s="8" t="n">
        <v>161</v>
      </c>
      <c r="Z97" s="10" t="n">
        <v>0.303</v>
      </c>
      <c r="AA97" s="8" t="n">
        <v>20</v>
      </c>
      <c r="AB97" s="10" t="n">
        <v>0.04</v>
      </c>
      <c r="AC97" s="8" t="n">
        <v>26</v>
      </c>
      <c r="AD97" s="6" t="n">
        <v>76.3</v>
      </c>
      <c r="AE97" s="10" t="n">
        <v>0.802</v>
      </c>
      <c r="AF97" s="8" t="n">
        <v>4</v>
      </c>
      <c r="AG97" s="10" t="n">
        <v>-0.039</v>
      </c>
      <c r="AH97" s="6" t="n">
        <v>25.9</v>
      </c>
    </row>
    <row r="98" customFormat="false" ht="15" hidden="false" customHeight="false" outlineLevel="0" collapsed="false">
      <c r="A98" s="3" t="n">
        <v>96</v>
      </c>
      <c r="B98" s="4" t="s">
        <v>137</v>
      </c>
      <c r="C98" s="5" t="s">
        <v>99</v>
      </c>
      <c r="D98" s="4" t="s">
        <v>138</v>
      </c>
      <c r="E98" s="4" t="s">
        <v>139</v>
      </c>
      <c r="F98" s="4" t="s">
        <v>99</v>
      </c>
      <c r="G98" s="3" t="n">
        <v>1</v>
      </c>
      <c r="H98" s="6" t="n">
        <v>27.4</v>
      </c>
      <c r="I98" s="3" t="n">
        <v>6</v>
      </c>
      <c r="J98" s="3" t="n">
        <v>8</v>
      </c>
      <c r="K98" s="7" t="n">
        <v>16.37</v>
      </c>
      <c r="L98" s="7" t="n">
        <v>4.14</v>
      </c>
      <c r="M98" s="8" t="n">
        <v>11</v>
      </c>
      <c r="N98" s="8" t="n">
        <v>36</v>
      </c>
      <c r="O98" s="7" t="n">
        <v>16.37</v>
      </c>
      <c r="P98" s="6" t="n">
        <v>99.4</v>
      </c>
      <c r="Q98" s="7" t="n">
        <v>0.003</v>
      </c>
      <c r="R98" s="7" t="n">
        <v>-0.129</v>
      </c>
      <c r="S98" s="4" t="s">
        <v>102</v>
      </c>
      <c r="T98" s="4"/>
      <c r="U98" s="8" t="n">
        <v>15</v>
      </c>
      <c r="V98" s="6" t="n">
        <v>226.2</v>
      </c>
      <c r="W98" s="7" t="n">
        <v>15.08</v>
      </c>
      <c r="X98" s="8" t="n">
        <v>8</v>
      </c>
      <c r="Y98" s="8" t="n">
        <v>82</v>
      </c>
      <c r="Z98" s="10" t="n">
        <v>0.148</v>
      </c>
      <c r="AA98" s="8" t="n">
        <v>21</v>
      </c>
      <c r="AB98" s="10" t="n">
        <v>0.044</v>
      </c>
      <c r="AC98" s="8" t="n">
        <v>18</v>
      </c>
      <c r="AD98" s="6" t="n">
        <v>45.8</v>
      </c>
      <c r="AE98" s="10" t="n">
        <v>0.713</v>
      </c>
      <c r="AF98" s="8" t="n">
        <v>2</v>
      </c>
      <c r="AG98" s="10" t="n">
        <v>-0.0098</v>
      </c>
      <c r="AH98" s="6" t="n">
        <v>23.8</v>
      </c>
    </row>
    <row r="99" customFormat="false" ht="15" hidden="false" customHeight="false" outlineLevel="0" collapsed="false">
      <c r="A99" s="3" t="n">
        <v>97</v>
      </c>
      <c r="B99" s="4" t="s">
        <v>238</v>
      </c>
      <c r="C99" s="12" t="s">
        <v>149</v>
      </c>
      <c r="D99" s="4" t="s">
        <v>239</v>
      </c>
      <c r="E99" s="4" t="s">
        <v>130</v>
      </c>
      <c r="F99" s="4" t="s">
        <v>149</v>
      </c>
      <c r="G99" s="3" t="n">
        <v>1</v>
      </c>
      <c r="H99" s="6" t="n">
        <v>24.2</v>
      </c>
      <c r="I99" s="3" t="n">
        <v>2</v>
      </c>
      <c r="J99" s="3" t="n">
        <v>13</v>
      </c>
      <c r="K99" s="7" t="n">
        <v>53.48</v>
      </c>
      <c r="L99" s="7" t="n">
        <v>10.41</v>
      </c>
      <c r="M99" s="8" t="n">
        <v>22</v>
      </c>
      <c r="N99" s="8" t="n">
        <v>87</v>
      </c>
      <c r="O99" s="7" t="n">
        <v>53.48</v>
      </c>
      <c r="P99" s="6" t="n">
        <v>98.5</v>
      </c>
      <c r="Q99" s="7" t="n">
        <v>0.002</v>
      </c>
      <c r="R99" s="7" t="n">
        <v>-0.262</v>
      </c>
      <c r="S99" s="4" t="s">
        <v>102</v>
      </c>
      <c r="T99" s="4"/>
      <c r="U99" s="8" t="n">
        <v>17</v>
      </c>
      <c r="V99" s="6" t="n">
        <v>188.5</v>
      </c>
      <c r="W99" s="7" t="n">
        <v>11.088</v>
      </c>
      <c r="X99" s="8" t="n">
        <v>4</v>
      </c>
      <c r="Y99" s="8" t="n">
        <v>147</v>
      </c>
      <c r="Z99" s="10" t="n">
        <v>0.277</v>
      </c>
      <c r="AA99" s="8" t="n">
        <v>24</v>
      </c>
      <c r="AB99" s="10" t="n">
        <v>0.054</v>
      </c>
      <c r="AC99" s="8" t="n">
        <v>20</v>
      </c>
      <c r="AD99" s="6" t="n">
        <v>60.3</v>
      </c>
      <c r="AE99" s="10" t="n">
        <v>0.832</v>
      </c>
      <c r="AF99" s="8" t="n">
        <v>5</v>
      </c>
      <c r="AG99" s="10" t="n">
        <v>-0.0091</v>
      </c>
      <c r="AH99" s="6" t="n">
        <v>27.4</v>
      </c>
    </row>
    <row r="100" customFormat="false" ht="15" hidden="false" customHeight="false" outlineLevel="0" collapsed="false">
      <c r="A100" s="3" t="n">
        <v>98</v>
      </c>
      <c r="B100" s="4" t="s">
        <v>128</v>
      </c>
      <c r="C100" s="11" t="s">
        <v>104</v>
      </c>
      <c r="D100" s="4" t="s">
        <v>129</v>
      </c>
      <c r="E100" s="4" t="s">
        <v>130</v>
      </c>
      <c r="F100" s="4" t="s">
        <v>104</v>
      </c>
      <c r="G100" s="3" t="n">
        <v>1</v>
      </c>
      <c r="H100" s="6" t="n">
        <v>27.6</v>
      </c>
      <c r="I100" s="3" t="n">
        <v>7</v>
      </c>
      <c r="J100" s="3" t="n">
        <v>13</v>
      </c>
      <c r="K100" s="7" t="n">
        <v>11.77</v>
      </c>
      <c r="L100" s="7" t="n">
        <v>5.03</v>
      </c>
      <c r="M100" s="8" t="n">
        <v>6</v>
      </c>
      <c r="N100" s="8" t="n">
        <v>33</v>
      </c>
      <c r="O100" s="7" t="n">
        <v>11.77</v>
      </c>
      <c r="P100" s="6" t="n">
        <v>99.4</v>
      </c>
      <c r="Q100" s="7" t="n">
        <v>0.002</v>
      </c>
      <c r="R100" s="7" t="n">
        <v>0.001</v>
      </c>
      <c r="S100" s="4" t="s">
        <v>102</v>
      </c>
      <c r="T100" s="4"/>
      <c r="U100" s="8" t="n">
        <v>17</v>
      </c>
      <c r="V100" s="6" t="n">
        <v>362.3</v>
      </c>
      <c r="W100" s="7" t="n">
        <v>21.312</v>
      </c>
      <c r="X100" s="8" t="n">
        <v>4</v>
      </c>
      <c r="Y100" s="8" t="n">
        <v>147</v>
      </c>
      <c r="Z100" s="10" t="n">
        <v>0.277</v>
      </c>
      <c r="AA100" s="8" t="n">
        <v>24</v>
      </c>
      <c r="AB100" s="10" t="n">
        <v>0.054</v>
      </c>
      <c r="AC100" s="8" t="n">
        <v>20</v>
      </c>
      <c r="AD100" s="6" t="n">
        <v>60.3</v>
      </c>
      <c r="AE100" s="10" t="n">
        <v>0.832</v>
      </c>
      <c r="AF100" s="8" t="n">
        <v>5</v>
      </c>
      <c r="AG100" s="10" t="n">
        <v>-0.0091</v>
      </c>
      <c r="AH100" s="6" t="n">
        <v>27.4</v>
      </c>
    </row>
    <row r="101" customFormat="false" ht="15" hidden="false" customHeight="false" outlineLevel="0" collapsed="false">
      <c r="A101" s="3" t="n">
        <v>99</v>
      </c>
      <c r="B101" s="4" t="s">
        <v>625</v>
      </c>
      <c r="C101" s="11" t="s">
        <v>104</v>
      </c>
      <c r="D101" s="4" t="s">
        <v>626</v>
      </c>
      <c r="E101" s="4" t="s">
        <v>218</v>
      </c>
      <c r="F101" s="4" t="s">
        <v>104</v>
      </c>
      <c r="G101" s="3" t="n">
        <v>3</v>
      </c>
      <c r="H101" s="6" t="n">
        <v>26.6</v>
      </c>
      <c r="I101" s="3" t="n">
        <v>4</v>
      </c>
      <c r="J101" s="3" t="n">
        <v>11</v>
      </c>
      <c r="K101" s="7" t="n">
        <v>265.18</v>
      </c>
      <c r="L101" s="7" t="n">
        <v>28.24</v>
      </c>
      <c r="M101" s="8" t="n">
        <v>182</v>
      </c>
      <c r="N101" s="8" t="n">
        <v>321</v>
      </c>
      <c r="O101" s="7" t="n">
        <v>265.18</v>
      </c>
      <c r="P101" s="6" t="n">
        <v>3.8</v>
      </c>
      <c r="Q101" s="7" t="n">
        <v>0.001</v>
      </c>
      <c r="R101" s="7" t="n">
        <v>-0.131</v>
      </c>
      <c r="S101" s="4" t="s">
        <v>102</v>
      </c>
      <c r="T101" s="4"/>
      <c r="U101" s="8" t="n">
        <v>17</v>
      </c>
      <c r="V101" s="6" t="n">
        <v>32.7</v>
      </c>
      <c r="W101" s="7" t="n">
        <v>1.924</v>
      </c>
      <c r="X101" s="8" t="n">
        <v>63</v>
      </c>
      <c r="Y101" s="8" t="n">
        <v>155</v>
      </c>
      <c r="Z101" s="10" t="n">
        <v>0.337</v>
      </c>
      <c r="AA101" s="8" t="n">
        <v>148</v>
      </c>
      <c r="AB101" s="10" t="n">
        <v>0.301</v>
      </c>
      <c r="AC101" s="8" t="n">
        <v>52</v>
      </c>
      <c r="AD101" s="6" t="n">
        <v>52.5</v>
      </c>
      <c r="AE101" s="10" t="n">
        <v>0.704</v>
      </c>
      <c r="AF101" s="8" t="n">
        <v>4</v>
      </c>
      <c r="AG101" s="10" t="n">
        <v>-0.0441</v>
      </c>
      <c r="AH101" s="6" t="n">
        <v>23</v>
      </c>
    </row>
    <row r="102" customFormat="false" ht="15" hidden="false" customHeight="false" outlineLevel="0" collapsed="false">
      <c r="A102" s="3" t="n">
        <v>100</v>
      </c>
      <c r="B102" s="4" t="s">
        <v>590</v>
      </c>
      <c r="C102" s="12" t="s">
        <v>149</v>
      </c>
      <c r="D102" s="4" t="s">
        <v>591</v>
      </c>
      <c r="E102" s="4" t="s">
        <v>209</v>
      </c>
      <c r="F102" s="4" t="s">
        <v>149</v>
      </c>
      <c r="G102" s="3" t="n">
        <v>1</v>
      </c>
      <c r="H102" s="6" t="n">
        <v>32</v>
      </c>
      <c r="I102" s="3" t="n">
        <v>10</v>
      </c>
      <c r="J102" s="3" t="n">
        <v>10</v>
      </c>
      <c r="K102" s="7" t="n">
        <v>253.2</v>
      </c>
      <c r="L102" s="7" t="n">
        <v>26.19</v>
      </c>
      <c r="M102" s="8" t="n">
        <v>138</v>
      </c>
      <c r="N102" s="8" t="n">
        <v>300</v>
      </c>
      <c r="O102" s="7" t="n">
        <v>253.2</v>
      </c>
      <c r="P102" s="6" t="n">
        <v>8.3</v>
      </c>
      <c r="Q102" s="7" t="n">
        <v>-0.006</v>
      </c>
      <c r="R102" s="7" t="n">
        <v>-0.094</v>
      </c>
      <c r="S102" s="4" t="s">
        <v>102</v>
      </c>
      <c r="T102" s="4"/>
      <c r="U102" s="8" t="n">
        <v>16</v>
      </c>
      <c r="V102" s="6" t="n">
        <v>102.8</v>
      </c>
      <c r="W102" s="7" t="n">
        <v>6.425</v>
      </c>
      <c r="X102" s="8" t="n">
        <v>26</v>
      </c>
      <c r="Y102" s="8" t="n">
        <v>4</v>
      </c>
      <c r="Z102" s="10" t="n">
        <v>0.007</v>
      </c>
      <c r="AA102" s="8" t="n">
        <v>0</v>
      </c>
      <c r="AB102" s="10" t="n">
        <v>0</v>
      </c>
      <c r="AC102" s="8" t="n">
        <v>1</v>
      </c>
      <c r="AD102" s="6" t="n">
        <v>63.2</v>
      </c>
      <c r="AE102" s="10" t="n">
        <v>0.999</v>
      </c>
      <c r="AF102" s="8" t="n">
        <v>5</v>
      </c>
      <c r="AG102" s="10" t="n">
        <v>0.0157</v>
      </c>
      <c r="AH102" s="6" t="n">
        <v>23.6</v>
      </c>
    </row>
    <row r="103" customFormat="false" ht="15" hidden="false" customHeight="false" outlineLevel="0" collapsed="false">
      <c r="A103" s="3" t="n">
        <v>101</v>
      </c>
      <c r="B103" s="4" t="s">
        <v>482</v>
      </c>
      <c r="C103" s="5" t="s">
        <v>99</v>
      </c>
      <c r="D103" s="4" t="s">
        <v>483</v>
      </c>
      <c r="E103" s="4" t="s">
        <v>120</v>
      </c>
      <c r="F103" s="4" t="s">
        <v>99</v>
      </c>
      <c r="G103" s="3" t="n">
        <v>3</v>
      </c>
      <c r="H103" s="6" t="n">
        <v>26.8</v>
      </c>
      <c r="I103" s="3" t="n">
        <v>3</v>
      </c>
      <c r="J103" s="3" t="n">
        <v>14</v>
      </c>
      <c r="K103" s="7" t="n">
        <v>182.63</v>
      </c>
      <c r="L103" s="7" t="n">
        <v>25.51</v>
      </c>
      <c r="M103" s="8" t="n">
        <v>149</v>
      </c>
      <c r="N103" s="8" t="n">
        <v>327</v>
      </c>
      <c r="O103" s="7" t="n">
        <v>182.63</v>
      </c>
      <c r="P103" s="6" t="n">
        <v>13</v>
      </c>
      <c r="Q103" s="7" t="n">
        <v>-0.011</v>
      </c>
      <c r="R103" s="7" t="n">
        <v>-0.274</v>
      </c>
      <c r="S103" s="4" t="s">
        <v>102</v>
      </c>
      <c r="T103" s="4"/>
      <c r="U103" s="8" t="n">
        <v>15</v>
      </c>
      <c r="V103" s="6" t="n">
        <v>114</v>
      </c>
      <c r="W103" s="7" t="n">
        <v>7.6</v>
      </c>
      <c r="X103" s="8" t="n">
        <v>56</v>
      </c>
      <c r="Y103" s="8" t="n">
        <v>34</v>
      </c>
      <c r="Z103" s="10" t="n">
        <v>0.056</v>
      </c>
      <c r="AA103" s="8" t="n">
        <v>0</v>
      </c>
      <c r="AB103" s="10" t="n">
        <v>0</v>
      </c>
      <c r="AC103" s="8" t="n">
        <v>4</v>
      </c>
      <c r="AD103" s="6" t="n">
        <v>65.1</v>
      </c>
      <c r="AE103" s="10" t="n">
        <v>0.848</v>
      </c>
      <c r="AF103" s="8" t="n">
        <v>5</v>
      </c>
      <c r="AG103" s="10" t="n">
        <v>-0.0098</v>
      </c>
      <c r="AH103" s="6" t="n">
        <v>27.7</v>
      </c>
    </row>
    <row r="104" customFormat="false" ht="15" hidden="false" customHeight="false" outlineLevel="0" collapsed="false">
      <c r="A104" s="3" t="n">
        <v>102</v>
      </c>
      <c r="B104" s="4" t="s">
        <v>359</v>
      </c>
      <c r="C104" s="11" t="s">
        <v>104</v>
      </c>
      <c r="D104" s="4" t="s">
        <v>360</v>
      </c>
      <c r="E104" s="4" t="s">
        <v>221</v>
      </c>
      <c r="F104" s="4" t="s">
        <v>104</v>
      </c>
      <c r="G104" s="3" t="n">
        <v>2</v>
      </c>
      <c r="H104" s="6" t="n">
        <v>27.6</v>
      </c>
      <c r="I104" s="3" t="n">
        <v>5</v>
      </c>
      <c r="J104" s="3" t="n">
        <v>7</v>
      </c>
      <c r="K104" s="7" t="n">
        <v>108.98</v>
      </c>
      <c r="L104" s="7" t="n">
        <v>14.86</v>
      </c>
      <c r="M104" s="8" t="n">
        <v>75</v>
      </c>
      <c r="N104" s="8" t="n">
        <v>141</v>
      </c>
      <c r="O104" s="7" t="n">
        <v>108.98</v>
      </c>
      <c r="P104" s="6" t="n">
        <v>74</v>
      </c>
      <c r="Q104" s="7" t="n">
        <v>-0.013</v>
      </c>
      <c r="R104" s="7" t="n">
        <v>-0.452</v>
      </c>
      <c r="S104" s="4" t="s">
        <v>102</v>
      </c>
      <c r="T104" s="4"/>
      <c r="U104" s="8" t="n">
        <v>17</v>
      </c>
      <c r="V104" s="6" t="n">
        <v>143</v>
      </c>
      <c r="W104" s="7" t="n">
        <v>8.412</v>
      </c>
      <c r="X104" s="8" t="n">
        <v>31</v>
      </c>
      <c r="Y104" s="8" t="n">
        <v>138</v>
      </c>
      <c r="Z104" s="10" t="n">
        <v>0.319</v>
      </c>
      <c r="AA104" s="8" t="n">
        <v>142</v>
      </c>
      <c r="AB104" s="10" t="n">
        <v>0.293</v>
      </c>
      <c r="AC104" s="8" t="n">
        <v>56</v>
      </c>
      <c r="AD104" s="6" t="n">
        <v>54.8</v>
      </c>
      <c r="AE104" s="10" t="n">
        <v>0.706</v>
      </c>
      <c r="AF104" s="8" t="n">
        <v>4</v>
      </c>
      <c r="AG104" s="10" t="n">
        <v>-0.0427</v>
      </c>
      <c r="AH104" s="6" t="n">
        <v>20.9</v>
      </c>
    </row>
    <row r="105" customFormat="false" ht="15" hidden="false" customHeight="false" outlineLevel="0" collapsed="false">
      <c r="A105" s="3" t="n">
        <v>103</v>
      </c>
      <c r="B105" s="4" t="s">
        <v>285</v>
      </c>
      <c r="C105" s="12" t="s">
        <v>149</v>
      </c>
      <c r="D105" s="4" t="s">
        <v>286</v>
      </c>
      <c r="E105" s="4" t="s">
        <v>258</v>
      </c>
      <c r="F105" s="4" t="s">
        <v>149</v>
      </c>
      <c r="G105" s="3" t="n">
        <v>1</v>
      </c>
      <c r="H105" s="6" t="n">
        <v>22.1</v>
      </c>
      <c r="I105" s="3" t="n">
        <v>2</v>
      </c>
      <c r="J105" s="3" t="n">
        <v>11</v>
      </c>
      <c r="K105" s="7" t="n">
        <v>76.95</v>
      </c>
      <c r="L105" s="7" t="n">
        <v>15.73</v>
      </c>
      <c r="M105" s="8" t="n">
        <v>32</v>
      </c>
      <c r="N105" s="8" t="n">
        <v>173</v>
      </c>
      <c r="O105" s="7" t="n">
        <v>76.95</v>
      </c>
      <c r="P105" s="6" t="n">
        <v>94.2</v>
      </c>
      <c r="Q105" s="7" t="n">
        <v>-0.015</v>
      </c>
      <c r="R105" s="7" t="n">
        <v>-0.103</v>
      </c>
      <c r="S105" s="4" t="s">
        <v>102</v>
      </c>
      <c r="T105" s="4"/>
      <c r="U105" s="8" t="n">
        <v>16</v>
      </c>
      <c r="V105" s="6" t="n">
        <v>186.4</v>
      </c>
      <c r="W105" s="7" t="n">
        <v>11.65</v>
      </c>
      <c r="X105" s="8" t="n">
        <v>6</v>
      </c>
      <c r="Y105" s="8" t="n">
        <v>88</v>
      </c>
      <c r="Z105" s="10" t="n">
        <v>0.169</v>
      </c>
      <c r="AA105" s="8" t="n">
        <v>37</v>
      </c>
      <c r="AB105" s="10" t="n">
        <v>0.088</v>
      </c>
      <c r="AC105" s="8" t="n">
        <v>23</v>
      </c>
      <c r="AD105" s="6" t="n">
        <v>15.1</v>
      </c>
      <c r="AE105" s="10" t="n">
        <v>0.261</v>
      </c>
      <c r="AF105" s="8" t="n">
        <v>1</v>
      </c>
      <c r="AG105" s="10" t="n">
        <v>-0.0372</v>
      </c>
      <c r="AH105" s="6" t="n">
        <v>16.4</v>
      </c>
    </row>
    <row r="106" customFormat="false" ht="15" hidden="false" customHeight="false" outlineLevel="0" collapsed="false">
      <c r="A106" s="3" t="n">
        <v>104</v>
      </c>
      <c r="B106" s="4" t="s">
        <v>615</v>
      </c>
      <c r="C106" s="11" t="s">
        <v>104</v>
      </c>
      <c r="D106" s="4" t="s">
        <v>616</v>
      </c>
      <c r="E106" s="4" t="s">
        <v>151</v>
      </c>
      <c r="F106" s="4" t="s">
        <v>104</v>
      </c>
      <c r="G106" s="3" t="n">
        <v>4</v>
      </c>
      <c r="H106" s="6" t="n">
        <v>24.1</v>
      </c>
      <c r="I106" s="3" t="n">
        <v>3</v>
      </c>
      <c r="J106" s="3" t="n">
        <v>14</v>
      </c>
      <c r="K106" s="7" t="n">
        <v>261.14</v>
      </c>
      <c r="L106" s="7" t="n">
        <v>47.28</v>
      </c>
      <c r="M106" s="8" t="n">
        <v>145</v>
      </c>
      <c r="N106" s="8" t="n">
        <v>364</v>
      </c>
      <c r="O106" s="7" t="n">
        <v>261.14</v>
      </c>
      <c r="P106" s="6" t="n">
        <v>8.9</v>
      </c>
      <c r="Q106" s="7" t="n">
        <v>-0.017</v>
      </c>
      <c r="R106" s="7" t="n">
        <v>0.99</v>
      </c>
      <c r="S106" s="4" t="s">
        <v>102</v>
      </c>
      <c r="T106" s="4"/>
      <c r="U106" s="8" t="n">
        <v>4</v>
      </c>
      <c r="V106" s="6" t="n">
        <v>35.4</v>
      </c>
      <c r="W106" s="7" t="n">
        <v>8.85</v>
      </c>
      <c r="X106" s="8" t="n">
        <v>61</v>
      </c>
      <c r="Y106" s="8" t="n">
        <v>106</v>
      </c>
      <c r="Z106" s="10" t="n">
        <v>0.172</v>
      </c>
      <c r="AA106" s="8" t="n">
        <v>173</v>
      </c>
      <c r="AB106" s="10" t="n">
        <v>0.473</v>
      </c>
      <c r="AC106" s="8" t="n">
        <v>41</v>
      </c>
      <c r="AD106" s="6" t="n">
        <v>36.9</v>
      </c>
      <c r="AE106" s="10" t="n">
        <v>0.686</v>
      </c>
      <c r="AF106" s="8" t="n">
        <v>3</v>
      </c>
      <c r="AG106" s="10" t="n">
        <v>0.0399</v>
      </c>
      <c r="AH106" s="6" t="n">
        <v>20.9</v>
      </c>
    </row>
    <row r="107" customFormat="false" ht="15" hidden="false" customHeight="false" outlineLevel="0" collapsed="false">
      <c r="A107" s="3" t="n">
        <v>105</v>
      </c>
      <c r="B107" s="4" t="s">
        <v>189</v>
      </c>
      <c r="C107" s="5" t="s">
        <v>99</v>
      </c>
      <c r="D107" s="4" t="s">
        <v>190</v>
      </c>
      <c r="E107" s="4" t="s">
        <v>191</v>
      </c>
      <c r="F107" s="4" t="s">
        <v>99</v>
      </c>
      <c r="G107" s="3" t="n">
        <v>1</v>
      </c>
      <c r="H107" s="6" t="n">
        <v>23.4</v>
      </c>
      <c r="I107" s="3" t="n">
        <v>2</v>
      </c>
      <c r="J107" s="3" t="n">
        <v>5</v>
      </c>
      <c r="K107" s="7" t="n">
        <v>33.7</v>
      </c>
      <c r="L107" s="7" t="n">
        <v>7.48</v>
      </c>
      <c r="M107" s="8" t="n">
        <v>14</v>
      </c>
      <c r="N107" s="8" t="n">
        <v>46</v>
      </c>
      <c r="O107" s="7" t="n">
        <v>33.7</v>
      </c>
      <c r="P107" s="6" t="n">
        <v>97.7</v>
      </c>
      <c r="Q107" s="7" t="n">
        <v>-0.02</v>
      </c>
      <c r="R107" s="7" t="n">
        <v>-0.415</v>
      </c>
      <c r="S107" s="4" t="s">
        <v>102</v>
      </c>
      <c r="T107" s="4"/>
      <c r="U107" s="8" t="n">
        <v>17</v>
      </c>
      <c r="V107" s="6" t="n">
        <v>213.4</v>
      </c>
      <c r="W107" s="7" t="n">
        <v>12.553</v>
      </c>
      <c r="X107" s="8" t="n">
        <v>15</v>
      </c>
      <c r="Y107" s="8" t="n">
        <v>50</v>
      </c>
      <c r="Z107" s="10" t="n">
        <v>0.104</v>
      </c>
      <c r="AA107" s="8" t="n">
        <v>242</v>
      </c>
      <c r="AB107" s="10" t="n">
        <v>0.525</v>
      </c>
      <c r="AC107" s="8" t="n">
        <v>40</v>
      </c>
      <c r="AD107" s="6" t="n">
        <v>56.6</v>
      </c>
      <c r="AE107" s="10" t="n">
        <v>0.596</v>
      </c>
      <c r="AF107" s="8" t="n">
        <v>3</v>
      </c>
      <c r="AG107" s="10" t="n">
        <v>-0.061</v>
      </c>
      <c r="AH107" s="6" t="n">
        <v>18.3</v>
      </c>
    </row>
    <row r="108" customFormat="false" ht="15" hidden="false" customHeight="false" outlineLevel="0" collapsed="false">
      <c r="A108" s="3" t="n">
        <v>106</v>
      </c>
      <c r="B108" s="4" t="s">
        <v>192</v>
      </c>
      <c r="C108" s="5" t="s">
        <v>99</v>
      </c>
      <c r="D108" s="4" t="s">
        <v>193</v>
      </c>
      <c r="E108" s="4" t="s">
        <v>101</v>
      </c>
      <c r="F108" s="4" t="s">
        <v>99</v>
      </c>
      <c r="G108" s="3" t="n">
        <v>2</v>
      </c>
      <c r="H108" s="6" t="n">
        <v>27.6</v>
      </c>
      <c r="I108" s="3" t="n">
        <v>7</v>
      </c>
      <c r="J108" s="3" t="n">
        <v>6</v>
      </c>
      <c r="K108" s="7" t="n">
        <v>34.77</v>
      </c>
      <c r="L108" s="7" t="n">
        <v>7.37</v>
      </c>
      <c r="M108" s="8" t="n">
        <v>19</v>
      </c>
      <c r="N108" s="8" t="n">
        <v>52</v>
      </c>
      <c r="O108" s="7" t="n">
        <v>34.77</v>
      </c>
      <c r="P108" s="6" t="n">
        <v>96.9</v>
      </c>
      <c r="Q108" s="7" t="n">
        <v>-0.028</v>
      </c>
      <c r="R108" s="7" t="n">
        <v>-0.029</v>
      </c>
      <c r="S108" s="4" t="s">
        <v>102</v>
      </c>
      <c r="T108" s="4"/>
      <c r="U108" s="8" t="n">
        <v>15</v>
      </c>
      <c r="V108" s="6" t="n">
        <v>211.6</v>
      </c>
      <c r="W108" s="7" t="n">
        <v>14.107</v>
      </c>
      <c r="X108" s="8" t="n">
        <v>16</v>
      </c>
      <c r="Y108" s="8" t="n">
        <v>41</v>
      </c>
      <c r="Z108" s="10" t="n">
        <v>0.067</v>
      </c>
      <c r="AA108" s="8" t="n">
        <v>9</v>
      </c>
      <c r="AB108" s="10" t="n">
        <v>0.024</v>
      </c>
      <c r="AC108" s="8" t="n">
        <v>6</v>
      </c>
      <c r="AD108" s="6" t="n">
        <v>60.4</v>
      </c>
      <c r="AE108" s="10" t="n">
        <v>0.996</v>
      </c>
      <c r="AF108" s="8" t="n">
        <v>5</v>
      </c>
      <c r="AG108" s="10" t="n">
        <v>0.0172</v>
      </c>
      <c r="AH108" s="6" t="n">
        <v>24.4</v>
      </c>
    </row>
    <row r="109" customFormat="false" ht="15" hidden="false" customHeight="false" outlineLevel="0" collapsed="false">
      <c r="A109" s="3" t="n">
        <v>107</v>
      </c>
      <c r="B109" s="4" t="s">
        <v>299</v>
      </c>
      <c r="C109" s="11" t="s">
        <v>104</v>
      </c>
      <c r="D109" s="4" t="s">
        <v>300</v>
      </c>
      <c r="E109" s="4" t="s">
        <v>135</v>
      </c>
      <c r="F109" s="4" t="s">
        <v>104</v>
      </c>
      <c r="G109" s="3" t="n">
        <v>1</v>
      </c>
      <c r="H109" s="6" t="n">
        <v>28.5</v>
      </c>
      <c r="I109" s="3" t="n">
        <v>6</v>
      </c>
      <c r="J109" s="3" t="n">
        <v>11</v>
      </c>
      <c r="K109" s="7" t="n">
        <v>81.99</v>
      </c>
      <c r="L109" s="7" t="n">
        <v>8.38</v>
      </c>
      <c r="M109" s="8" t="n">
        <v>65</v>
      </c>
      <c r="N109" s="8" t="n">
        <v>103</v>
      </c>
      <c r="O109" s="7" t="n">
        <v>81.99</v>
      </c>
      <c r="P109" s="6" t="n">
        <v>85.6</v>
      </c>
      <c r="Q109" s="7" t="n">
        <v>-0.033</v>
      </c>
      <c r="R109" s="7" t="n">
        <v>0.098</v>
      </c>
      <c r="S109" s="4" t="s">
        <v>102</v>
      </c>
      <c r="T109" s="4"/>
      <c r="U109" s="8" t="n">
        <v>14</v>
      </c>
      <c r="V109" s="6" t="n">
        <v>178.8</v>
      </c>
      <c r="W109" s="7" t="n">
        <v>12.771</v>
      </c>
      <c r="X109" s="8" t="n">
        <v>25</v>
      </c>
      <c r="Y109" s="8" t="n">
        <v>128</v>
      </c>
      <c r="Z109" s="10" t="n">
        <v>0.266</v>
      </c>
      <c r="AA109" s="8" t="n">
        <v>10</v>
      </c>
      <c r="AB109" s="10" t="n">
        <v>0.02</v>
      </c>
      <c r="AC109" s="8" t="n">
        <v>17</v>
      </c>
      <c r="AD109" s="6" t="n">
        <v>41.6</v>
      </c>
      <c r="AE109" s="10" t="n">
        <v>0.533</v>
      </c>
      <c r="AF109" s="8" t="n">
        <v>3</v>
      </c>
      <c r="AG109" s="10" t="n">
        <v>0.0242</v>
      </c>
      <c r="AH109" s="6" t="n">
        <v>28.8</v>
      </c>
    </row>
    <row r="110" customFormat="false" ht="15" hidden="false" customHeight="false" outlineLevel="0" collapsed="false">
      <c r="A110" s="3" t="n">
        <v>108</v>
      </c>
      <c r="B110" s="4" t="s">
        <v>261</v>
      </c>
      <c r="C110" s="11" t="s">
        <v>104</v>
      </c>
      <c r="D110" s="4" t="s">
        <v>262</v>
      </c>
      <c r="E110" s="4" t="s">
        <v>135</v>
      </c>
      <c r="F110" s="4" t="s">
        <v>104</v>
      </c>
      <c r="G110" s="3" t="n">
        <v>2</v>
      </c>
      <c r="H110" s="6" t="n">
        <v>23.8</v>
      </c>
      <c r="I110" s="3" t="n">
        <v>2</v>
      </c>
      <c r="J110" s="3" t="n">
        <v>11</v>
      </c>
      <c r="K110" s="7" t="n">
        <v>64.21</v>
      </c>
      <c r="L110" s="7" t="n">
        <v>9.84</v>
      </c>
      <c r="M110" s="8" t="n">
        <v>41</v>
      </c>
      <c r="N110" s="8" t="n">
        <v>89</v>
      </c>
      <c r="O110" s="7" t="n">
        <v>64.21</v>
      </c>
      <c r="P110" s="6" t="n">
        <v>92.9</v>
      </c>
      <c r="Q110" s="7" t="n">
        <v>-0.035</v>
      </c>
      <c r="R110" s="7" t="n">
        <v>-0.211</v>
      </c>
      <c r="S110" s="4" t="s">
        <v>102</v>
      </c>
      <c r="T110" s="4"/>
      <c r="U110" s="8" t="n">
        <v>17</v>
      </c>
      <c r="V110" s="6" t="n">
        <v>206.2</v>
      </c>
      <c r="W110" s="7" t="n">
        <v>12.129</v>
      </c>
      <c r="X110" s="8" t="n">
        <v>21</v>
      </c>
      <c r="Y110" s="8" t="n">
        <v>128</v>
      </c>
      <c r="Z110" s="10" t="n">
        <v>0.266</v>
      </c>
      <c r="AA110" s="8" t="n">
        <v>10</v>
      </c>
      <c r="AB110" s="10" t="n">
        <v>0.02</v>
      </c>
      <c r="AC110" s="8" t="n">
        <v>17</v>
      </c>
      <c r="AD110" s="6" t="n">
        <v>41.6</v>
      </c>
      <c r="AE110" s="10" t="n">
        <v>0.533</v>
      </c>
      <c r="AF110" s="8" t="n">
        <v>3</v>
      </c>
      <c r="AG110" s="10" t="n">
        <v>0.0242</v>
      </c>
      <c r="AH110" s="6" t="n">
        <v>28.8</v>
      </c>
    </row>
    <row r="111" customFormat="false" ht="15" hidden="false" customHeight="false" outlineLevel="0" collapsed="false">
      <c r="A111" s="3" t="n">
        <v>109</v>
      </c>
      <c r="B111" s="4" t="s">
        <v>389</v>
      </c>
      <c r="C111" s="11" t="s">
        <v>104</v>
      </c>
      <c r="D111" s="4" t="s">
        <v>390</v>
      </c>
      <c r="E111" s="4" t="s">
        <v>127</v>
      </c>
      <c r="F111" s="4" t="s">
        <v>104</v>
      </c>
      <c r="G111" s="3" t="n">
        <v>2</v>
      </c>
      <c r="H111" s="6" t="n">
        <v>27.2</v>
      </c>
      <c r="I111" s="3" t="n">
        <v>5</v>
      </c>
      <c r="J111" s="3" t="n">
        <v>6</v>
      </c>
      <c r="K111" s="7" t="n">
        <v>122.48</v>
      </c>
      <c r="L111" s="7" t="n">
        <v>13.87</v>
      </c>
      <c r="M111" s="8" t="n">
        <v>84</v>
      </c>
      <c r="N111" s="8" t="n">
        <v>146</v>
      </c>
      <c r="O111" s="7" t="n">
        <v>122.48</v>
      </c>
      <c r="P111" s="6" t="n">
        <v>65.7</v>
      </c>
      <c r="Q111" s="7" t="n">
        <v>-0.047</v>
      </c>
      <c r="R111" s="7" t="n">
        <v>-0.441</v>
      </c>
      <c r="S111" s="4" t="s">
        <v>102</v>
      </c>
      <c r="T111" s="4"/>
      <c r="U111" s="8" t="n">
        <v>16</v>
      </c>
      <c r="V111" s="6" t="n">
        <v>128.9</v>
      </c>
      <c r="W111" s="7" t="n">
        <v>8.056</v>
      </c>
      <c r="X111" s="8" t="n">
        <v>35</v>
      </c>
      <c r="Y111" s="8" t="n">
        <v>82</v>
      </c>
      <c r="Z111" s="10" t="n">
        <v>0.175</v>
      </c>
      <c r="AA111" s="8" t="n">
        <v>24</v>
      </c>
      <c r="AB111" s="10" t="n">
        <v>0.059</v>
      </c>
      <c r="AC111" s="8" t="n">
        <v>17</v>
      </c>
      <c r="AD111" s="6" t="n">
        <v>36</v>
      </c>
      <c r="AE111" s="10" t="n">
        <v>0.819</v>
      </c>
      <c r="AF111" s="8" t="n">
        <v>5</v>
      </c>
      <c r="AG111" s="10" t="n">
        <v>-0.012</v>
      </c>
      <c r="AH111" s="6" t="n">
        <v>20.2</v>
      </c>
    </row>
    <row r="112" customFormat="false" ht="15" hidden="false" customHeight="false" outlineLevel="0" collapsed="false">
      <c r="A112" s="3" t="n">
        <v>110</v>
      </c>
      <c r="B112" s="4" t="s">
        <v>268</v>
      </c>
      <c r="C112" s="5" t="s">
        <v>99</v>
      </c>
      <c r="D112" s="4" t="s">
        <v>269</v>
      </c>
      <c r="E112" s="4" t="s">
        <v>235</v>
      </c>
      <c r="F112" s="4" t="s">
        <v>270</v>
      </c>
      <c r="G112" s="3" t="n">
        <v>1</v>
      </c>
      <c r="H112" s="6" t="n">
        <v>24.4</v>
      </c>
      <c r="I112" s="3" t="n">
        <v>4</v>
      </c>
      <c r="J112" s="3" t="n">
        <v>7</v>
      </c>
      <c r="K112" s="7" t="n">
        <v>69.78</v>
      </c>
      <c r="L112" s="7" t="n">
        <v>18.03</v>
      </c>
      <c r="M112" s="8" t="n">
        <v>45</v>
      </c>
      <c r="N112" s="8" t="n">
        <v>126</v>
      </c>
      <c r="O112" s="7" t="n">
        <v>69.78</v>
      </c>
      <c r="P112" s="6" t="n">
        <v>85.6</v>
      </c>
      <c r="Q112" s="7" t="n">
        <v>-0.05</v>
      </c>
      <c r="R112" s="7" t="n">
        <v>-0.401</v>
      </c>
      <c r="S112" s="4" t="s">
        <v>102</v>
      </c>
      <c r="T112" s="4"/>
      <c r="U112" s="8" t="n">
        <v>16</v>
      </c>
      <c r="V112" s="6" t="n">
        <v>184.7</v>
      </c>
      <c r="W112" s="7" t="n">
        <v>11.544</v>
      </c>
      <c r="X112" s="8" t="n">
        <v>27</v>
      </c>
      <c r="Y112" s="8" t="n">
        <v>132</v>
      </c>
      <c r="Z112" s="10" t="n">
        <v>0.241</v>
      </c>
      <c r="AA112" s="8" t="n">
        <v>271</v>
      </c>
      <c r="AB112" s="10" t="n">
        <v>0.554</v>
      </c>
      <c r="AC112" s="8" t="n">
        <v>85</v>
      </c>
      <c r="AD112" s="6" t="n">
        <v>44.3</v>
      </c>
      <c r="AE112" s="10" t="n">
        <v>1</v>
      </c>
      <c r="AF112" s="8" t="n">
        <v>5</v>
      </c>
      <c r="AG112" s="10" t="n">
        <v>0.0164</v>
      </c>
      <c r="AH112" s="6" t="n">
        <v>27.9</v>
      </c>
    </row>
    <row r="113" customFormat="false" ht="15" hidden="false" customHeight="false" outlineLevel="0" collapsed="false">
      <c r="A113" s="3" t="n">
        <v>111</v>
      </c>
      <c r="B113" s="4" t="s">
        <v>143</v>
      </c>
      <c r="C113" s="11" t="s">
        <v>104</v>
      </c>
      <c r="D113" s="4" t="s">
        <v>144</v>
      </c>
      <c r="E113" s="4" t="s">
        <v>101</v>
      </c>
      <c r="F113" s="4" t="s">
        <v>104</v>
      </c>
      <c r="G113" s="3" t="n">
        <v>1</v>
      </c>
      <c r="H113" s="6" t="n">
        <v>26.4</v>
      </c>
      <c r="I113" s="3" t="n">
        <v>4</v>
      </c>
      <c r="J113" s="3" t="n">
        <v>6</v>
      </c>
      <c r="K113" s="7" t="n">
        <v>17.85</v>
      </c>
      <c r="L113" s="7" t="n">
        <v>6.26</v>
      </c>
      <c r="M113" s="8" t="n">
        <v>7</v>
      </c>
      <c r="N113" s="8" t="n">
        <v>34</v>
      </c>
      <c r="O113" s="7" t="n">
        <v>17.85</v>
      </c>
      <c r="P113" s="6" t="n">
        <v>98.6</v>
      </c>
      <c r="Q113" s="7" t="n">
        <v>-0.059</v>
      </c>
      <c r="R113" s="7" t="n">
        <v>-0.059</v>
      </c>
      <c r="S113" s="4" t="s">
        <v>102</v>
      </c>
      <c r="T113" s="4"/>
      <c r="U113" s="8" t="n">
        <v>17</v>
      </c>
      <c r="V113" s="6" t="n">
        <v>282.6</v>
      </c>
      <c r="W113" s="7" t="n">
        <v>16.624</v>
      </c>
      <c r="X113" s="8" t="n">
        <v>7</v>
      </c>
      <c r="Y113" s="8" t="n">
        <v>41</v>
      </c>
      <c r="Z113" s="10" t="n">
        <v>0.067</v>
      </c>
      <c r="AA113" s="8" t="n">
        <v>9</v>
      </c>
      <c r="AB113" s="10" t="n">
        <v>0.024</v>
      </c>
      <c r="AC113" s="8" t="n">
        <v>6</v>
      </c>
      <c r="AD113" s="6" t="n">
        <v>60.4</v>
      </c>
      <c r="AE113" s="10" t="n">
        <v>0.996</v>
      </c>
      <c r="AF113" s="8" t="n">
        <v>5</v>
      </c>
      <c r="AG113" s="10" t="n">
        <v>0.0172</v>
      </c>
      <c r="AH113" s="6" t="n">
        <v>24.4</v>
      </c>
    </row>
    <row r="114" customFormat="false" ht="15" hidden="false" customHeight="false" outlineLevel="0" collapsed="false">
      <c r="A114" s="3" t="n">
        <v>112</v>
      </c>
      <c r="B114" s="4" t="s">
        <v>103</v>
      </c>
      <c r="C114" s="11" t="s">
        <v>104</v>
      </c>
      <c r="D114" s="4" t="s">
        <v>105</v>
      </c>
      <c r="E114" s="4" t="s">
        <v>106</v>
      </c>
      <c r="F114" s="4" t="s">
        <v>104</v>
      </c>
      <c r="G114" s="3" t="n">
        <v>1</v>
      </c>
      <c r="H114" s="6" t="n">
        <v>24.4</v>
      </c>
      <c r="I114" s="3" t="n">
        <v>4</v>
      </c>
      <c r="J114" s="3" t="n">
        <v>6</v>
      </c>
      <c r="K114" s="7" t="n">
        <v>3.01</v>
      </c>
      <c r="L114" s="7" t="n">
        <v>1.65</v>
      </c>
      <c r="M114" s="8" t="n">
        <v>1</v>
      </c>
      <c r="N114" s="8" t="n">
        <v>7</v>
      </c>
      <c r="O114" s="7" t="n">
        <v>3.01</v>
      </c>
      <c r="P114" s="6" t="n">
        <v>99.5</v>
      </c>
      <c r="Q114" s="7" t="n">
        <v>-0.061</v>
      </c>
      <c r="R114" s="7" t="n">
        <v>-0.061</v>
      </c>
      <c r="S114" s="4" t="s">
        <v>102</v>
      </c>
      <c r="T114" s="4"/>
      <c r="U114" s="8" t="n">
        <v>17</v>
      </c>
      <c r="V114" s="6" t="n">
        <v>366.9</v>
      </c>
      <c r="W114" s="7" t="n">
        <v>21.582</v>
      </c>
      <c r="X114" s="8" t="n">
        <v>3</v>
      </c>
      <c r="Y114" s="8" t="n">
        <v>79</v>
      </c>
      <c r="Z114" s="10" t="n">
        <v>0.144</v>
      </c>
      <c r="AA114" s="8" t="n">
        <v>167</v>
      </c>
      <c r="AB114" s="10" t="n">
        <v>0.378</v>
      </c>
      <c r="AC114" s="8" t="n">
        <v>45</v>
      </c>
      <c r="AD114" s="6" t="n">
        <v>46.7</v>
      </c>
      <c r="AE114" s="10" t="n">
        <v>0.521</v>
      </c>
      <c r="AF114" s="8" t="n">
        <v>3</v>
      </c>
      <c r="AG114" s="10" t="n">
        <v>-0.0456</v>
      </c>
      <c r="AH114" s="6" t="n">
        <v>28.3</v>
      </c>
    </row>
    <row r="115" customFormat="false" ht="15" hidden="false" customHeight="false" outlineLevel="0" collapsed="false">
      <c r="A115" s="3" t="n">
        <v>113</v>
      </c>
      <c r="B115" s="4" t="s">
        <v>568</v>
      </c>
      <c r="C115" s="11" t="s">
        <v>104</v>
      </c>
      <c r="D115" s="4" t="s">
        <v>569</v>
      </c>
      <c r="E115" s="4" t="s">
        <v>161</v>
      </c>
      <c r="F115" s="4" t="s">
        <v>104</v>
      </c>
      <c r="G115" s="3" t="n">
        <v>3</v>
      </c>
      <c r="H115" s="6" t="n">
        <v>22.6</v>
      </c>
      <c r="I115" s="3" t="n">
        <v>2</v>
      </c>
      <c r="J115" s="3" t="n">
        <v>6</v>
      </c>
      <c r="K115" s="7" t="n">
        <v>243.04</v>
      </c>
      <c r="L115" s="7" t="n">
        <v>22.81</v>
      </c>
      <c r="M115" s="8" t="n">
        <v>173</v>
      </c>
      <c r="N115" s="8" t="n">
        <v>309</v>
      </c>
      <c r="O115" s="7" t="n">
        <v>243.04</v>
      </c>
      <c r="P115" s="6" t="n">
        <v>3.2</v>
      </c>
      <c r="Q115" s="7" t="n">
        <v>-0.063</v>
      </c>
      <c r="R115" s="7" t="n">
        <v>-0.326</v>
      </c>
      <c r="S115" s="4" t="s">
        <v>102</v>
      </c>
      <c r="T115" s="4"/>
      <c r="U115" s="8" t="n">
        <v>17</v>
      </c>
      <c r="V115" s="6" t="n">
        <v>54.1</v>
      </c>
      <c r="W115" s="7" t="n">
        <v>3.182</v>
      </c>
      <c r="X115" s="8" t="n">
        <v>58</v>
      </c>
      <c r="Y115" s="8" t="n">
        <v>209</v>
      </c>
      <c r="Z115" s="10" t="n">
        <v>0.452</v>
      </c>
      <c r="AA115" s="8" t="n">
        <v>28</v>
      </c>
      <c r="AB115" s="10" t="n">
        <v>0.065</v>
      </c>
      <c r="AC115" s="8" t="n">
        <v>32</v>
      </c>
      <c r="AD115" s="6" t="n">
        <v>38.6</v>
      </c>
      <c r="AE115" s="10" t="n">
        <v>0.672</v>
      </c>
      <c r="AF115" s="8" t="n">
        <v>4</v>
      </c>
      <c r="AG115" s="10" t="n">
        <v>-0.0584</v>
      </c>
      <c r="AH115" s="6" t="n">
        <v>20.4</v>
      </c>
    </row>
    <row r="116" customFormat="false" ht="15" hidden="false" customHeight="false" outlineLevel="0" collapsed="false">
      <c r="A116" s="3" t="n">
        <v>114</v>
      </c>
      <c r="B116" s="4" t="s">
        <v>639</v>
      </c>
      <c r="C116" s="12" t="s">
        <v>149</v>
      </c>
      <c r="D116" s="4" t="s">
        <v>640</v>
      </c>
      <c r="E116" s="4" t="s">
        <v>101</v>
      </c>
      <c r="F116" s="4" t="s">
        <v>149</v>
      </c>
      <c r="G116" s="3" t="n">
        <v>1</v>
      </c>
      <c r="H116" s="6" t="n">
        <v>30.9</v>
      </c>
      <c r="I116" s="3" t="n">
        <v>9</v>
      </c>
      <c r="J116" s="3" t="n">
        <v>6</v>
      </c>
      <c r="K116" s="7" t="n">
        <v>270.5</v>
      </c>
      <c r="L116" s="7" t="n">
        <v>25.05</v>
      </c>
      <c r="M116" s="8" t="n">
        <v>226</v>
      </c>
      <c r="N116" s="8" t="n">
        <v>355</v>
      </c>
      <c r="O116" s="7" t="n">
        <v>270.5</v>
      </c>
      <c r="P116" s="6" t="n">
        <v>7.9</v>
      </c>
      <c r="Q116" s="7" t="n">
        <v>-0.067</v>
      </c>
      <c r="R116" s="7" t="n">
        <v>-0.067</v>
      </c>
      <c r="S116" s="4" t="s">
        <v>102</v>
      </c>
      <c r="T116" s="4"/>
      <c r="U116" s="8" t="n">
        <v>12</v>
      </c>
      <c r="V116" s="6" t="n">
        <v>70.7</v>
      </c>
      <c r="W116" s="7" t="n">
        <v>5.892</v>
      </c>
      <c r="X116" s="8" t="n">
        <v>29</v>
      </c>
      <c r="Y116" s="8" t="n">
        <v>41</v>
      </c>
      <c r="Z116" s="10" t="n">
        <v>0.067</v>
      </c>
      <c r="AA116" s="8" t="n">
        <v>9</v>
      </c>
      <c r="AB116" s="10" t="n">
        <v>0.024</v>
      </c>
      <c r="AC116" s="8" t="n">
        <v>6</v>
      </c>
      <c r="AD116" s="6" t="n">
        <v>60.4</v>
      </c>
      <c r="AE116" s="10" t="n">
        <v>0.996</v>
      </c>
      <c r="AF116" s="8" t="n">
        <v>5</v>
      </c>
      <c r="AG116" s="10" t="n">
        <v>0.0172</v>
      </c>
      <c r="AH116" s="6" t="n">
        <v>24.4</v>
      </c>
    </row>
    <row r="117" customFormat="false" ht="15" hidden="false" customHeight="false" outlineLevel="0" collapsed="false">
      <c r="A117" s="3" t="n">
        <v>115</v>
      </c>
      <c r="B117" s="4" t="s">
        <v>449</v>
      </c>
      <c r="C117" s="5" t="s">
        <v>99</v>
      </c>
      <c r="D117" s="4" t="s">
        <v>450</v>
      </c>
      <c r="E117" s="4" t="s">
        <v>258</v>
      </c>
      <c r="F117" s="4" t="s">
        <v>99</v>
      </c>
      <c r="G117" s="3" t="n">
        <v>1</v>
      </c>
      <c r="H117" s="6" t="n">
        <v>27.3</v>
      </c>
      <c r="I117" s="3" t="n">
        <v>7</v>
      </c>
      <c r="J117" s="3" t="n">
        <v>11</v>
      </c>
      <c r="K117" s="7" t="n">
        <v>160.55</v>
      </c>
      <c r="L117" s="7" t="n">
        <v>23.44</v>
      </c>
      <c r="M117" s="8" t="n">
        <v>115</v>
      </c>
      <c r="N117" s="8" t="n">
        <v>269</v>
      </c>
      <c r="O117" s="7" t="n">
        <v>160.55</v>
      </c>
      <c r="P117" s="6" t="n">
        <v>27.9</v>
      </c>
      <c r="Q117" s="7" t="n">
        <v>-0.075</v>
      </c>
      <c r="R117" s="7" t="n">
        <v>-0.776</v>
      </c>
      <c r="S117" s="4" t="s">
        <v>102</v>
      </c>
      <c r="T117" s="4"/>
      <c r="U117" s="8" t="n">
        <v>17</v>
      </c>
      <c r="V117" s="6" t="n">
        <v>120.7</v>
      </c>
      <c r="W117" s="7" t="n">
        <v>7.1</v>
      </c>
      <c r="X117" s="8" t="n">
        <v>51</v>
      </c>
      <c r="Y117" s="8" t="n">
        <v>88</v>
      </c>
      <c r="Z117" s="10" t="n">
        <v>0.169</v>
      </c>
      <c r="AA117" s="8" t="n">
        <v>37</v>
      </c>
      <c r="AB117" s="10" t="n">
        <v>0.088</v>
      </c>
      <c r="AC117" s="8" t="n">
        <v>23</v>
      </c>
      <c r="AD117" s="6" t="n">
        <v>15.1</v>
      </c>
      <c r="AE117" s="10" t="n">
        <v>0.261</v>
      </c>
      <c r="AF117" s="8" t="n">
        <v>1</v>
      </c>
      <c r="AG117" s="10" t="n">
        <v>-0.0372</v>
      </c>
      <c r="AH117" s="6" t="n">
        <v>16.4</v>
      </c>
    </row>
    <row r="118" customFormat="false" ht="15" hidden="false" customHeight="false" outlineLevel="0" collapsed="false">
      <c r="A118" s="3" t="n">
        <v>116</v>
      </c>
      <c r="B118" s="4" t="s">
        <v>435</v>
      </c>
      <c r="C118" s="13" t="s">
        <v>172</v>
      </c>
      <c r="D118" s="4" t="s">
        <v>436</v>
      </c>
      <c r="E118" s="4" t="s">
        <v>265</v>
      </c>
      <c r="F118" s="4" t="s">
        <v>172</v>
      </c>
      <c r="G118" s="3" t="n">
        <v>1</v>
      </c>
      <c r="H118" s="6" t="n">
        <v>24.2</v>
      </c>
      <c r="I118" s="3" t="n">
        <v>2</v>
      </c>
      <c r="J118" s="3" t="n">
        <v>9</v>
      </c>
      <c r="K118" s="7" t="n">
        <v>152.29</v>
      </c>
      <c r="L118" s="7" t="n">
        <v>21.15</v>
      </c>
      <c r="M118" s="8" t="n">
        <v>125</v>
      </c>
      <c r="N118" s="8" t="n">
        <v>246</v>
      </c>
      <c r="O118" s="7" t="n">
        <v>152.29</v>
      </c>
      <c r="P118" s="6" t="n">
        <v>25.5</v>
      </c>
      <c r="Q118" s="7" t="n">
        <v>-0.079</v>
      </c>
      <c r="R118" s="7" t="n">
        <v>-0.43</v>
      </c>
      <c r="S118" s="4" t="s">
        <v>102</v>
      </c>
      <c r="T118" s="4"/>
      <c r="U118" s="8" t="n">
        <v>17</v>
      </c>
      <c r="V118" s="6" t="n">
        <v>186.66</v>
      </c>
      <c r="W118" s="7" t="n">
        <v>10.98</v>
      </c>
      <c r="X118" s="8" t="n">
        <v>22</v>
      </c>
      <c r="Y118" s="8" t="n">
        <v>152</v>
      </c>
      <c r="Z118" s="10" t="n">
        <v>0.287</v>
      </c>
      <c r="AA118" s="8" t="n">
        <v>0</v>
      </c>
      <c r="AB118" s="10" t="n">
        <v>0</v>
      </c>
      <c r="AC118" s="8" t="n">
        <v>8</v>
      </c>
      <c r="AD118" s="6" t="n">
        <v>41.1</v>
      </c>
      <c r="AE118" s="10" t="n">
        <v>0.527</v>
      </c>
      <c r="AF118" s="8" t="n">
        <v>3</v>
      </c>
      <c r="AG118" s="10" t="n">
        <v>-0.0385</v>
      </c>
      <c r="AH118" s="6" t="n">
        <v>16.7</v>
      </c>
    </row>
    <row r="119" customFormat="false" ht="15" hidden="false" customHeight="false" outlineLevel="0" collapsed="false">
      <c r="A119" s="3" t="n">
        <v>117</v>
      </c>
      <c r="B119" s="4" t="s">
        <v>604</v>
      </c>
      <c r="C119" s="5" t="s">
        <v>99</v>
      </c>
      <c r="D119" s="4" t="s">
        <v>605</v>
      </c>
      <c r="E119" s="4" t="s">
        <v>161</v>
      </c>
      <c r="F119" s="4"/>
      <c r="G119" s="3"/>
      <c r="H119" s="6" t="n">
        <v>32.5</v>
      </c>
      <c r="I119" s="3" t="n">
        <v>10</v>
      </c>
      <c r="J119" s="3"/>
      <c r="K119" s="7" t="n">
        <v>256.37</v>
      </c>
      <c r="L119" s="7" t="n">
        <v>47.4</v>
      </c>
      <c r="M119" s="8" t="n">
        <v>133</v>
      </c>
      <c r="N119" s="8" t="n">
        <v>340</v>
      </c>
      <c r="O119" s="7" t="n">
        <v>256.37</v>
      </c>
      <c r="P119" s="6" t="n">
        <v>18</v>
      </c>
      <c r="Q119" s="7" t="n">
        <v>-0.079</v>
      </c>
      <c r="R119" s="7" t="n">
        <v>2.681</v>
      </c>
      <c r="S119" s="4" t="s">
        <v>102</v>
      </c>
      <c r="T119" s="4" t="s">
        <v>606</v>
      </c>
      <c r="U119" s="8" t="n">
        <v>4</v>
      </c>
      <c r="V119" s="6" t="n">
        <v>53.5</v>
      </c>
      <c r="W119" s="7" t="n">
        <v>13.375</v>
      </c>
      <c r="X119" s="8" t="n">
        <v>81</v>
      </c>
      <c r="Y119" s="8" t="n">
        <v>209</v>
      </c>
      <c r="Z119" s="10" t="n">
        <v>0.452</v>
      </c>
      <c r="AA119" s="8" t="n">
        <v>28</v>
      </c>
      <c r="AB119" s="10" t="n">
        <v>0.065</v>
      </c>
      <c r="AC119" s="8" t="n">
        <v>32</v>
      </c>
      <c r="AD119" s="6" t="n">
        <v>38.6</v>
      </c>
      <c r="AE119" s="10" t="n">
        <v>0.672</v>
      </c>
      <c r="AF119" s="8" t="n">
        <v>4</v>
      </c>
      <c r="AG119" s="10" t="n">
        <v>-0.0584</v>
      </c>
      <c r="AH119" s="6" t="n">
        <v>20.4</v>
      </c>
    </row>
    <row r="120" customFormat="false" ht="15" hidden="false" customHeight="false" outlineLevel="0" collapsed="false">
      <c r="A120" s="3" t="n">
        <v>118</v>
      </c>
      <c r="B120" s="4" t="s">
        <v>248</v>
      </c>
      <c r="C120" s="13" t="s">
        <v>172</v>
      </c>
      <c r="D120" s="4" t="s">
        <v>249</v>
      </c>
      <c r="E120" s="4" t="s">
        <v>136</v>
      </c>
      <c r="F120" s="4" t="s">
        <v>172</v>
      </c>
      <c r="G120" s="3" t="n">
        <v>1</v>
      </c>
      <c r="H120" s="6" t="n">
        <v>28</v>
      </c>
      <c r="I120" s="3" t="n">
        <v>7</v>
      </c>
      <c r="J120" s="3" t="n">
        <v>10</v>
      </c>
      <c r="K120" s="7" t="n">
        <v>56.94</v>
      </c>
      <c r="L120" s="7" t="n">
        <v>11.02</v>
      </c>
      <c r="M120" s="8" t="n">
        <v>27</v>
      </c>
      <c r="N120" s="8" t="n">
        <v>79</v>
      </c>
      <c r="O120" s="7" t="n">
        <v>56.94</v>
      </c>
      <c r="P120" s="6" t="n">
        <v>97.1</v>
      </c>
      <c r="Q120" s="7" t="n">
        <v>-0.103</v>
      </c>
      <c r="R120" s="7" t="n">
        <v>-0.059</v>
      </c>
      <c r="S120" s="4" t="s">
        <v>102</v>
      </c>
      <c r="T120" s="4"/>
      <c r="U120" s="8" t="n">
        <v>16</v>
      </c>
      <c r="V120" s="6" t="n">
        <v>301.06</v>
      </c>
      <c r="W120" s="7" t="n">
        <v>18.816</v>
      </c>
      <c r="X120" s="8" t="n">
        <v>8</v>
      </c>
      <c r="Y120" s="8" t="n">
        <v>175</v>
      </c>
      <c r="Z120" s="10" t="n">
        <v>0.377</v>
      </c>
      <c r="AA120" s="8" t="n">
        <v>12</v>
      </c>
      <c r="AB120" s="10" t="n">
        <v>0.025</v>
      </c>
      <c r="AC120" s="8" t="n">
        <v>23</v>
      </c>
      <c r="AD120" s="6" t="n">
        <v>48.2</v>
      </c>
      <c r="AE120" s="10" t="n">
        <v>0.909</v>
      </c>
      <c r="AF120" s="8" t="n">
        <v>5</v>
      </c>
      <c r="AG120" s="10" t="n">
        <v>-0.0248</v>
      </c>
      <c r="AH120" s="6" t="n">
        <v>22.3</v>
      </c>
    </row>
    <row r="121" customFormat="false" ht="15" hidden="false" customHeight="false" outlineLevel="0" collapsed="false">
      <c r="A121" s="3" t="n">
        <v>119</v>
      </c>
      <c r="B121" s="4" t="s">
        <v>98</v>
      </c>
      <c r="C121" s="5" t="s">
        <v>99</v>
      </c>
      <c r="D121" s="4" t="s">
        <v>100</v>
      </c>
      <c r="E121" s="4" t="s">
        <v>101</v>
      </c>
      <c r="F121" s="4" t="s">
        <v>99</v>
      </c>
      <c r="G121" s="3" t="n">
        <v>1</v>
      </c>
      <c r="H121" s="6" t="n">
        <v>26.5</v>
      </c>
      <c r="I121" s="3" t="n">
        <v>6</v>
      </c>
      <c r="J121" s="3" t="n">
        <v>6</v>
      </c>
      <c r="K121" s="7" t="n">
        <v>1.67</v>
      </c>
      <c r="L121" s="7" t="n">
        <v>0.96</v>
      </c>
      <c r="M121" s="8" t="n">
        <v>1</v>
      </c>
      <c r="N121" s="8" t="n">
        <v>4</v>
      </c>
      <c r="O121" s="7" t="n">
        <v>1.67</v>
      </c>
      <c r="P121" s="6" t="n">
        <v>99.5</v>
      </c>
      <c r="Q121" s="7" t="n">
        <v>-0.105</v>
      </c>
      <c r="R121" s="7" t="n">
        <v>-0.061</v>
      </c>
      <c r="S121" s="4" t="s">
        <v>102</v>
      </c>
      <c r="T121" s="4"/>
      <c r="U121" s="8" t="n">
        <v>16</v>
      </c>
      <c r="V121" s="6" t="n">
        <v>313.6</v>
      </c>
      <c r="W121" s="7" t="n">
        <v>19.6</v>
      </c>
      <c r="X121" s="8" t="n">
        <v>4</v>
      </c>
      <c r="Y121" s="8" t="n">
        <v>41</v>
      </c>
      <c r="Z121" s="10" t="n">
        <v>0.067</v>
      </c>
      <c r="AA121" s="8" t="n">
        <v>9</v>
      </c>
      <c r="AB121" s="10" t="n">
        <v>0.024</v>
      </c>
      <c r="AC121" s="8" t="n">
        <v>6</v>
      </c>
      <c r="AD121" s="6" t="n">
        <v>60.4</v>
      </c>
      <c r="AE121" s="10" t="n">
        <v>0.996</v>
      </c>
      <c r="AF121" s="8" t="n">
        <v>5</v>
      </c>
      <c r="AG121" s="10" t="n">
        <v>0.0172</v>
      </c>
      <c r="AH121" s="6" t="n">
        <v>24.4</v>
      </c>
    </row>
    <row r="122" customFormat="false" ht="15" hidden="false" customHeight="false" outlineLevel="0" collapsed="false">
      <c r="A122" s="3" t="n">
        <v>120</v>
      </c>
      <c r="B122" s="4" t="s">
        <v>413</v>
      </c>
      <c r="C122" s="13" t="s">
        <v>172</v>
      </c>
      <c r="D122" s="4" t="s">
        <v>414</v>
      </c>
      <c r="E122" s="4" t="s">
        <v>139</v>
      </c>
      <c r="F122" s="4" t="s">
        <v>172</v>
      </c>
      <c r="G122" s="3" t="n">
        <v>1</v>
      </c>
      <c r="H122" s="6" t="n">
        <v>24.9</v>
      </c>
      <c r="I122" s="3" t="n">
        <v>4</v>
      </c>
      <c r="J122" s="3" t="n">
        <v>8</v>
      </c>
      <c r="K122" s="7" t="n">
        <v>140.95</v>
      </c>
      <c r="L122" s="7" t="n">
        <v>17.22</v>
      </c>
      <c r="M122" s="8" t="n">
        <v>104</v>
      </c>
      <c r="N122" s="8" t="n">
        <v>214</v>
      </c>
      <c r="O122" s="7" t="n">
        <v>140.95</v>
      </c>
      <c r="P122" s="6" t="n">
        <v>31.8</v>
      </c>
      <c r="Q122" s="7" t="n">
        <v>-0.106</v>
      </c>
      <c r="R122" s="7" t="n">
        <v>-0.15</v>
      </c>
      <c r="S122" s="4" t="s">
        <v>102</v>
      </c>
      <c r="T122" s="4"/>
      <c r="U122" s="8" t="n">
        <v>14</v>
      </c>
      <c r="V122" s="6" t="n">
        <v>208.54</v>
      </c>
      <c r="W122" s="7" t="n">
        <v>14.896</v>
      </c>
      <c r="X122" s="8" t="n">
        <v>21</v>
      </c>
      <c r="Y122" s="8" t="n">
        <v>82</v>
      </c>
      <c r="Z122" s="10" t="n">
        <v>0.148</v>
      </c>
      <c r="AA122" s="8" t="n">
        <v>21</v>
      </c>
      <c r="AB122" s="10" t="n">
        <v>0.044</v>
      </c>
      <c r="AC122" s="8" t="n">
        <v>18</v>
      </c>
      <c r="AD122" s="6" t="n">
        <v>45.8</v>
      </c>
      <c r="AE122" s="10" t="n">
        <v>0.713</v>
      </c>
      <c r="AF122" s="8" t="n">
        <v>2</v>
      </c>
      <c r="AG122" s="10" t="n">
        <v>-0.0098</v>
      </c>
      <c r="AH122" s="6" t="n">
        <v>23.8</v>
      </c>
    </row>
    <row r="123" customFormat="false" ht="15" hidden="false" customHeight="false" outlineLevel="0" collapsed="false">
      <c r="A123" s="3" t="n">
        <v>121</v>
      </c>
      <c r="B123" s="4" t="s">
        <v>486</v>
      </c>
      <c r="C123" s="5" t="s">
        <v>99</v>
      </c>
      <c r="D123" s="4" t="s">
        <v>487</v>
      </c>
      <c r="E123" s="4" t="s">
        <v>142</v>
      </c>
      <c r="F123" s="4" t="s">
        <v>99</v>
      </c>
      <c r="G123" s="3" t="n">
        <v>2</v>
      </c>
      <c r="H123" s="6" t="n">
        <v>27.5</v>
      </c>
      <c r="I123" s="3" t="n">
        <v>5</v>
      </c>
      <c r="J123" s="3" t="n">
        <v>13</v>
      </c>
      <c r="K123" s="7" t="n">
        <v>192.56</v>
      </c>
      <c r="L123" s="7" t="n">
        <v>42.21</v>
      </c>
      <c r="M123" s="8" t="n">
        <v>123</v>
      </c>
      <c r="N123" s="8" t="n">
        <v>305</v>
      </c>
      <c r="O123" s="7" t="n">
        <v>192.56</v>
      </c>
      <c r="P123" s="6" t="n">
        <v>26.3</v>
      </c>
      <c r="Q123" s="7" t="n">
        <v>-0.107</v>
      </c>
      <c r="R123" s="7" t="n">
        <v>-0.764</v>
      </c>
      <c r="S123" s="4" t="s">
        <v>102</v>
      </c>
      <c r="T123" s="4"/>
      <c r="U123" s="8" t="n">
        <v>17</v>
      </c>
      <c r="V123" s="6" t="n">
        <v>100.7</v>
      </c>
      <c r="W123" s="7" t="n">
        <v>5.924</v>
      </c>
      <c r="X123" s="8" t="n">
        <v>59</v>
      </c>
      <c r="Y123" s="8" t="n">
        <v>55</v>
      </c>
      <c r="Z123" s="10" t="n">
        <v>0.111</v>
      </c>
      <c r="AA123" s="8" t="n">
        <v>58</v>
      </c>
      <c r="AB123" s="10" t="n">
        <v>0.157</v>
      </c>
      <c r="AC123" s="8" t="n">
        <v>13</v>
      </c>
      <c r="AD123" s="6" t="n">
        <v>15.2</v>
      </c>
      <c r="AE123" s="10" t="n">
        <v>0.384</v>
      </c>
      <c r="AF123" s="8" t="n">
        <v>2</v>
      </c>
      <c r="AG123" s="10" t="n">
        <v>-0.0175</v>
      </c>
      <c r="AH123" s="6" t="n">
        <v>14.2</v>
      </c>
    </row>
    <row r="124" customFormat="false" ht="15" hidden="false" customHeight="false" outlineLevel="0" collapsed="false">
      <c r="A124" s="3" t="n">
        <v>122</v>
      </c>
      <c r="B124" s="4" t="s">
        <v>409</v>
      </c>
      <c r="C124" s="11" t="s">
        <v>104</v>
      </c>
      <c r="D124" s="4" t="s">
        <v>410</v>
      </c>
      <c r="E124" s="4" t="s">
        <v>151</v>
      </c>
      <c r="F124" s="4" t="s">
        <v>104</v>
      </c>
      <c r="G124" s="3" t="n">
        <v>2</v>
      </c>
      <c r="H124" s="6" t="n">
        <v>26.3</v>
      </c>
      <c r="I124" s="3" t="n">
        <v>5</v>
      </c>
      <c r="J124" s="3" t="n">
        <v>14</v>
      </c>
      <c r="K124" s="7" t="n">
        <v>139.38</v>
      </c>
      <c r="L124" s="7" t="n">
        <v>11.82</v>
      </c>
      <c r="M124" s="8" t="n">
        <v>103</v>
      </c>
      <c r="N124" s="8" t="n">
        <v>164</v>
      </c>
      <c r="O124" s="7" t="n">
        <v>139.38</v>
      </c>
      <c r="P124" s="6" t="n">
        <v>38.8</v>
      </c>
      <c r="Q124" s="7" t="n">
        <v>-0.107</v>
      </c>
      <c r="R124" s="7" t="n">
        <v>-0.458</v>
      </c>
      <c r="S124" s="4" t="s">
        <v>102</v>
      </c>
      <c r="T124" s="4"/>
      <c r="U124" s="8" t="n">
        <v>17</v>
      </c>
      <c r="V124" s="6" t="n">
        <v>123</v>
      </c>
      <c r="W124" s="7" t="n">
        <v>7.235</v>
      </c>
      <c r="X124" s="8" t="n">
        <v>38</v>
      </c>
      <c r="Y124" s="8" t="n">
        <v>106</v>
      </c>
      <c r="Z124" s="10" t="n">
        <v>0.172</v>
      </c>
      <c r="AA124" s="8" t="n">
        <v>173</v>
      </c>
      <c r="AB124" s="10" t="n">
        <v>0.473</v>
      </c>
      <c r="AC124" s="8" t="n">
        <v>41</v>
      </c>
      <c r="AD124" s="6" t="n">
        <v>36.9</v>
      </c>
      <c r="AE124" s="10" t="n">
        <v>0.686</v>
      </c>
      <c r="AF124" s="8" t="n">
        <v>3</v>
      </c>
      <c r="AG124" s="10" t="n">
        <v>0.0399</v>
      </c>
      <c r="AH124" s="6" t="n">
        <v>20.9</v>
      </c>
    </row>
    <row r="125" customFormat="false" ht="15" hidden="false" customHeight="false" outlineLevel="0" collapsed="false">
      <c r="A125" s="3" t="n">
        <v>123</v>
      </c>
      <c r="B125" s="4" t="s">
        <v>621</v>
      </c>
      <c r="C125" s="11" t="s">
        <v>104</v>
      </c>
      <c r="D125" s="4" t="s">
        <v>622</v>
      </c>
      <c r="E125" s="4" t="s">
        <v>235</v>
      </c>
      <c r="F125" s="4" t="s">
        <v>281</v>
      </c>
      <c r="G125" s="3" t="n">
        <v>2</v>
      </c>
      <c r="H125" s="6" t="n">
        <v>22</v>
      </c>
      <c r="I125" s="3" t="n">
        <v>2</v>
      </c>
      <c r="J125" s="3" t="n">
        <v>7</v>
      </c>
      <c r="K125" s="7" t="n">
        <v>264.49</v>
      </c>
      <c r="L125" s="7" t="n">
        <v>27.59</v>
      </c>
      <c r="M125" s="8" t="n">
        <v>169</v>
      </c>
      <c r="N125" s="8" t="n">
        <v>326</v>
      </c>
      <c r="O125" s="7" t="n">
        <v>264.49</v>
      </c>
      <c r="P125" s="6" t="n">
        <v>3.6</v>
      </c>
      <c r="Q125" s="7" t="n">
        <v>-0.113</v>
      </c>
      <c r="R125" s="7" t="n">
        <v>-0.289</v>
      </c>
      <c r="S125" s="4" t="s">
        <v>102</v>
      </c>
      <c r="T125" s="4"/>
      <c r="U125" s="8" t="n">
        <v>16</v>
      </c>
      <c r="V125" s="6" t="n">
        <v>24.8</v>
      </c>
      <c r="W125" s="7" t="n">
        <v>1.55</v>
      </c>
      <c r="X125" s="8" t="n">
        <v>64</v>
      </c>
      <c r="Y125" s="8" t="n">
        <v>132</v>
      </c>
      <c r="Z125" s="10" t="n">
        <v>0.241</v>
      </c>
      <c r="AA125" s="8" t="n">
        <v>271</v>
      </c>
      <c r="AB125" s="10" t="n">
        <v>0.554</v>
      </c>
      <c r="AC125" s="8" t="n">
        <v>85</v>
      </c>
      <c r="AD125" s="6" t="n">
        <v>44.3</v>
      </c>
      <c r="AE125" s="10" t="n">
        <v>1</v>
      </c>
      <c r="AF125" s="8" t="n">
        <v>5</v>
      </c>
      <c r="AG125" s="10" t="n">
        <v>0.0164</v>
      </c>
      <c r="AH125" s="6" t="n">
        <v>27.9</v>
      </c>
    </row>
    <row r="126" customFormat="false" ht="15" hidden="false" customHeight="false" outlineLevel="0" collapsed="false">
      <c r="A126" s="3" t="n">
        <v>124</v>
      </c>
      <c r="B126" s="4" t="s">
        <v>273</v>
      </c>
      <c r="C126" s="13" t="s">
        <v>172</v>
      </c>
      <c r="D126" s="4" t="s">
        <v>274</v>
      </c>
      <c r="E126" s="4" t="s">
        <v>170</v>
      </c>
      <c r="F126" s="4" t="s">
        <v>172</v>
      </c>
      <c r="G126" s="3" t="n">
        <v>1</v>
      </c>
      <c r="H126" s="6" t="n">
        <v>28.4</v>
      </c>
      <c r="I126" s="3" t="n">
        <v>7</v>
      </c>
      <c r="J126" s="3" t="n">
        <v>7</v>
      </c>
      <c r="K126" s="7" t="n">
        <v>70</v>
      </c>
      <c r="L126" s="7" t="n">
        <v>11.18</v>
      </c>
      <c r="M126" s="8" t="n">
        <v>37</v>
      </c>
      <c r="N126" s="8" t="n">
        <v>101</v>
      </c>
      <c r="O126" s="7" t="n">
        <v>70</v>
      </c>
      <c r="P126" s="6" t="n">
        <v>91.1</v>
      </c>
      <c r="Q126" s="7" t="n">
        <v>-0.12</v>
      </c>
      <c r="R126" s="7" t="n">
        <v>-0.164</v>
      </c>
      <c r="S126" s="4" t="s">
        <v>102</v>
      </c>
      <c r="T126" s="4"/>
      <c r="U126" s="8" t="n">
        <v>16</v>
      </c>
      <c r="V126" s="6" t="n">
        <v>286.88</v>
      </c>
      <c r="W126" s="7" t="n">
        <v>17.93</v>
      </c>
      <c r="X126" s="8" t="n">
        <v>10</v>
      </c>
      <c r="Y126" s="8" t="n">
        <v>15</v>
      </c>
      <c r="Z126" s="10" t="n">
        <v>0.028</v>
      </c>
      <c r="AA126" s="8" t="n">
        <v>23</v>
      </c>
      <c r="AB126" s="10" t="n">
        <v>0.049</v>
      </c>
      <c r="AC126" s="8" t="n">
        <v>2</v>
      </c>
      <c r="AD126" s="6" t="n">
        <v>26.9</v>
      </c>
      <c r="AE126" s="10" t="n">
        <v>0.205</v>
      </c>
      <c r="AF126" s="8" t="n">
        <v>1</v>
      </c>
      <c r="AG126" s="10" t="n">
        <v>0.0064</v>
      </c>
      <c r="AH126" s="6" t="n">
        <v>21.6</v>
      </c>
    </row>
    <row r="127" customFormat="false" ht="15" hidden="false" customHeight="false" outlineLevel="0" collapsed="false">
      <c r="A127" s="3" t="n">
        <v>125</v>
      </c>
      <c r="B127" s="4" t="s">
        <v>643</v>
      </c>
      <c r="C127" s="11" t="s">
        <v>104</v>
      </c>
      <c r="D127" s="4" t="s">
        <v>644</v>
      </c>
      <c r="E127" s="4" t="s">
        <v>284</v>
      </c>
      <c r="F127" s="4" t="s">
        <v>104</v>
      </c>
      <c r="G127" s="3" t="n">
        <v>3</v>
      </c>
      <c r="H127" s="6" t="n">
        <v>23</v>
      </c>
      <c r="I127" s="3" t="n">
        <v>2</v>
      </c>
      <c r="J127" s="3" t="n">
        <v>9</v>
      </c>
      <c r="K127" s="7" t="n">
        <v>271.06</v>
      </c>
      <c r="L127" s="7" t="n">
        <v>34.33</v>
      </c>
      <c r="M127" s="8" t="n">
        <v>145</v>
      </c>
      <c r="N127" s="8" t="n">
        <v>343</v>
      </c>
      <c r="O127" s="7" t="n">
        <v>271.06</v>
      </c>
      <c r="P127" s="6" t="n">
        <v>6.1</v>
      </c>
      <c r="Q127" s="7" t="n">
        <v>-0.12</v>
      </c>
      <c r="R127" s="7" t="n">
        <v>-0.12</v>
      </c>
      <c r="S127" s="4" t="s">
        <v>102</v>
      </c>
      <c r="T127" s="4"/>
      <c r="U127" s="8" t="n">
        <v>10</v>
      </c>
      <c r="V127" s="6" t="n">
        <v>8.8</v>
      </c>
      <c r="W127" s="7" t="n">
        <v>0.88</v>
      </c>
      <c r="X127" s="8" t="n">
        <v>69</v>
      </c>
      <c r="Y127" s="8" t="n">
        <v>179</v>
      </c>
      <c r="Z127" s="10" t="n">
        <v>0.343</v>
      </c>
      <c r="AA127" s="8" t="n">
        <v>129</v>
      </c>
      <c r="AB127" s="10" t="n">
        <v>0.317</v>
      </c>
      <c r="AC127" s="8" t="n">
        <v>59</v>
      </c>
      <c r="AD127" s="6" t="n">
        <v>57.4</v>
      </c>
      <c r="AE127" s="10" t="n">
        <v>0.824</v>
      </c>
      <c r="AF127" s="8" t="n">
        <v>5</v>
      </c>
      <c r="AG127" s="10" t="n">
        <v>-0.007</v>
      </c>
      <c r="AH127" s="6" t="n">
        <v>23.4</v>
      </c>
    </row>
    <row r="128" customFormat="false" ht="15" hidden="false" customHeight="false" outlineLevel="0" collapsed="false">
      <c r="A128" s="3" t="n">
        <v>126</v>
      </c>
      <c r="B128" s="4" t="s">
        <v>586</v>
      </c>
      <c r="C128" s="5" t="s">
        <v>99</v>
      </c>
      <c r="D128" s="4" t="s">
        <v>587</v>
      </c>
      <c r="E128" s="4" t="s">
        <v>124</v>
      </c>
      <c r="F128" s="4" t="s">
        <v>99</v>
      </c>
      <c r="G128" s="3" t="n">
        <v>3</v>
      </c>
      <c r="H128" s="6" t="n">
        <v>29.7</v>
      </c>
      <c r="I128" s="3" t="n">
        <v>9</v>
      </c>
      <c r="J128" s="3" t="n">
        <v>8</v>
      </c>
      <c r="K128" s="7" t="n">
        <v>251.51</v>
      </c>
      <c r="L128" s="7" t="n">
        <v>30.85</v>
      </c>
      <c r="M128" s="8" t="n">
        <v>165</v>
      </c>
      <c r="N128" s="8" t="n">
        <v>324</v>
      </c>
      <c r="O128" s="7" t="n">
        <v>251.51</v>
      </c>
      <c r="P128" s="6" t="n">
        <v>6.9</v>
      </c>
      <c r="Q128" s="7" t="n">
        <v>-0.125</v>
      </c>
      <c r="R128" s="7" t="n">
        <v>-0.213</v>
      </c>
      <c r="S128" s="4" t="s">
        <v>102</v>
      </c>
      <c r="T128" s="4"/>
      <c r="U128" s="8" t="n">
        <v>11</v>
      </c>
      <c r="V128" s="6" t="n">
        <v>57.9</v>
      </c>
      <c r="W128" s="7" t="n">
        <v>5.264</v>
      </c>
      <c r="X128" s="8" t="n">
        <v>78</v>
      </c>
      <c r="Y128" s="8" t="n">
        <v>170</v>
      </c>
      <c r="Z128" s="10" t="n">
        <v>0.309</v>
      </c>
      <c r="AA128" s="8" t="n">
        <v>94</v>
      </c>
      <c r="AB128" s="10" t="n">
        <v>0.195</v>
      </c>
      <c r="AC128" s="8" t="n">
        <v>38</v>
      </c>
      <c r="AD128" s="6" t="n">
        <v>63.3</v>
      </c>
      <c r="AE128" s="10" t="n">
        <v>0.852</v>
      </c>
      <c r="AF128" s="8" t="n">
        <v>4</v>
      </c>
      <c r="AG128" s="10" t="n">
        <v>-0.0088</v>
      </c>
      <c r="AH128" s="6" t="n">
        <v>25.7</v>
      </c>
    </row>
    <row r="129" customFormat="false" ht="15" hidden="false" customHeight="false" outlineLevel="0" collapsed="false">
      <c r="A129" s="3" t="n">
        <v>127</v>
      </c>
      <c r="B129" s="4" t="s">
        <v>578</v>
      </c>
      <c r="C129" s="12" t="s">
        <v>149</v>
      </c>
      <c r="D129" s="4" t="s">
        <v>579</v>
      </c>
      <c r="E129" s="4" t="s">
        <v>170</v>
      </c>
      <c r="F129" s="4" t="s">
        <v>149</v>
      </c>
      <c r="G129" s="3" t="n">
        <v>2</v>
      </c>
      <c r="H129" s="6" t="n">
        <v>30.1</v>
      </c>
      <c r="I129" s="3" t="n">
        <v>12</v>
      </c>
      <c r="J129" s="3" t="n">
        <v>7</v>
      </c>
      <c r="K129" s="7" t="n">
        <v>248.9</v>
      </c>
      <c r="L129" s="7" t="n">
        <v>21.8</v>
      </c>
      <c r="M129" s="8" t="n">
        <v>173</v>
      </c>
      <c r="N129" s="8" t="n">
        <v>299</v>
      </c>
      <c r="O129" s="7" t="n">
        <v>248.9</v>
      </c>
      <c r="P129" s="6" t="n">
        <v>15.5</v>
      </c>
      <c r="Q129" s="7" t="n">
        <v>-0.129</v>
      </c>
      <c r="R129" s="7" t="n">
        <v>0.133</v>
      </c>
      <c r="S129" s="4" t="s">
        <v>102</v>
      </c>
      <c r="T129" s="4"/>
      <c r="U129" s="8" t="n">
        <v>11</v>
      </c>
      <c r="V129" s="6" t="n">
        <v>86.3</v>
      </c>
      <c r="W129" s="7" t="n">
        <v>7.845</v>
      </c>
      <c r="X129" s="8" t="n">
        <v>28</v>
      </c>
      <c r="Y129" s="8" t="n">
        <v>15</v>
      </c>
      <c r="Z129" s="10" t="n">
        <v>0.028</v>
      </c>
      <c r="AA129" s="8" t="n">
        <v>23</v>
      </c>
      <c r="AB129" s="10" t="n">
        <v>0.049</v>
      </c>
      <c r="AC129" s="8" t="n">
        <v>2</v>
      </c>
      <c r="AD129" s="6" t="n">
        <v>26.9</v>
      </c>
      <c r="AE129" s="10" t="n">
        <v>0.205</v>
      </c>
      <c r="AF129" s="8" t="n">
        <v>1</v>
      </c>
      <c r="AG129" s="10" t="n">
        <v>0.0064</v>
      </c>
      <c r="AH129" s="6" t="n">
        <v>21.6</v>
      </c>
    </row>
    <row r="130" customFormat="false" ht="15" hidden="false" customHeight="false" outlineLevel="0" collapsed="false">
      <c r="A130" s="3" t="n">
        <v>128</v>
      </c>
      <c r="B130" s="4" t="s">
        <v>397</v>
      </c>
      <c r="C130" s="12" t="s">
        <v>149</v>
      </c>
      <c r="D130" s="4" t="s">
        <v>398</v>
      </c>
      <c r="E130" s="4" t="s">
        <v>183</v>
      </c>
      <c r="F130" s="4" t="s">
        <v>149</v>
      </c>
      <c r="G130" s="3" t="n">
        <v>1</v>
      </c>
      <c r="H130" s="6" t="n">
        <v>30.9</v>
      </c>
      <c r="I130" s="3" t="n">
        <v>9</v>
      </c>
      <c r="J130" s="3" t="n">
        <v>13</v>
      </c>
      <c r="K130" s="7" t="n">
        <v>127.48</v>
      </c>
      <c r="L130" s="7" t="n">
        <v>20.12</v>
      </c>
      <c r="M130" s="8" t="n">
        <v>95</v>
      </c>
      <c r="N130" s="8" t="n">
        <v>173</v>
      </c>
      <c r="O130" s="7" t="n">
        <v>127.48</v>
      </c>
      <c r="P130" s="6" t="n">
        <v>81.9</v>
      </c>
      <c r="Q130" s="7" t="n">
        <v>-0.135</v>
      </c>
      <c r="R130" s="7" t="n">
        <v>-0.442</v>
      </c>
      <c r="S130" s="4" t="s">
        <v>102</v>
      </c>
      <c r="T130" s="4"/>
      <c r="U130" s="8" t="n">
        <v>17</v>
      </c>
      <c r="V130" s="6" t="n">
        <v>131</v>
      </c>
      <c r="W130" s="7" t="n">
        <v>7.706</v>
      </c>
      <c r="X130" s="8" t="n">
        <v>16</v>
      </c>
      <c r="Y130" s="8" t="n">
        <v>75</v>
      </c>
      <c r="Z130" s="10" t="n">
        <v>0.184</v>
      </c>
      <c r="AA130" s="8" t="n">
        <v>64</v>
      </c>
      <c r="AB130" s="10" t="n">
        <v>0.126</v>
      </c>
      <c r="AC130" s="8" t="n">
        <v>26</v>
      </c>
      <c r="AD130" s="6" t="n">
        <v>53.2</v>
      </c>
      <c r="AE130" s="10" t="n">
        <v>0.572</v>
      </c>
      <c r="AF130" s="8" t="n">
        <v>2</v>
      </c>
      <c r="AG130" s="10" t="n">
        <v>-0.0884</v>
      </c>
      <c r="AH130" s="6" t="n">
        <v>24.9</v>
      </c>
    </row>
    <row r="131" customFormat="false" ht="15" hidden="false" customHeight="false" outlineLevel="0" collapsed="false">
      <c r="A131" s="3" t="n">
        <v>129</v>
      </c>
      <c r="B131" s="4" t="s">
        <v>326</v>
      </c>
      <c r="C131" s="13" t="s">
        <v>172</v>
      </c>
      <c r="D131" s="4" t="s">
        <v>327</v>
      </c>
      <c r="E131" s="4" t="s">
        <v>178</v>
      </c>
      <c r="F131" s="4" t="s">
        <v>172</v>
      </c>
      <c r="G131" s="3" t="n">
        <v>1</v>
      </c>
      <c r="H131" s="6" t="n">
        <v>23.3</v>
      </c>
      <c r="I131" s="3" t="n">
        <v>2</v>
      </c>
      <c r="J131" s="3" t="n">
        <v>8</v>
      </c>
      <c r="K131" s="7" t="n">
        <v>94.7</v>
      </c>
      <c r="L131" s="7" t="n">
        <v>12.62</v>
      </c>
      <c r="M131" s="8" t="n">
        <v>63</v>
      </c>
      <c r="N131" s="8" t="n">
        <v>119</v>
      </c>
      <c r="O131" s="7" t="n">
        <v>94.7</v>
      </c>
      <c r="P131" s="6" t="n">
        <v>93.2</v>
      </c>
      <c r="Q131" s="7" t="n">
        <v>-0.145</v>
      </c>
      <c r="R131" s="7" t="n">
        <v>-0.189</v>
      </c>
      <c r="S131" s="4" t="s">
        <v>102</v>
      </c>
      <c r="T131" s="4"/>
      <c r="U131" s="8" t="n">
        <v>14</v>
      </c>
      <c r="V131" s="6" t="n">
        <v>241.58</v>
      </c>
      <c r="W131" s="7" t="n">
        <v>17.256</v>
      </c>
      <c r="X131" s="8" t="n">
        <v>13</v>
      </c>
      <c r="Y131" s="8" t="n">
        <v>177</v>
      </c>
      <c r="Z131" s="10" t="n">
        <v>0.352</v>
      </c>
      <c r="AA131" s="8" t="n">
        <v>3</v>
      </c>
      <c r="AB131" s="10" t="n">
        <v>0.006</v>
      </c>
      <c r="AC131" s="8" t="n">
        <v>21</v>
      </c>
      <c r="AD131" s="6" t="n">
        <v>45.9</v>
      </c>
      <c r="AE131" s="10" t="n">
        <v>0.723</v>
      </c>
      <c r="AF131" s="8" t="n">
        <v>4</v>
      </c>
      <c r="AG131" s="10" t="n">
        <v>-0.0466</v>
      </c>
      <c r="AH131" s="6" t="n">
        <v>22.4</v>
      </c>
    </row>
    <row r="132" customFormat="false" ht="15" hidden="false" customHeight="false" outlineLevel="0" collapsed="false">
      <c r="A132" s="3" t="n">
        <v>130</v>
      </c>
      <c r="B132" s="4" t="s">
        <v>133</v>
      </c>
      <c r="C132" s="5" t="s">
        <v>99</v>
      </c>
      <c r="D132" s="4" t="s">
        <v>134</v>
      </c>
      <c r="E132" s="4" t="s">
        <v>135</v>
      </c>
      <c r="F132" s="4" t="s">
        <v>99</v>
      </c>
      <c r="G132" s="3" t="n">
        <v>1</v>
      </c>
      <c r="H132" s="6" t="n">
        <v>29.1</v>
      </c>
      <c r="I132" s="3" t="n">
        <v>8</v>
      </c>
      <c r="J132" s="3" t="n">
        <v>11</v>
      </c>
      <c r="K132" s="7" t="n">
        <v>14.71</v>
      </c>
      <c r="L132" s="7" t="n">
        <v>5.48</v>
      </c>
      <c r="M132" s="8" t="n">
        <v>6</v>
      </c>
      <c r="N132" s="8" t="n">
        <v>35</v>
      </c>
      <c r="O132" s="7" t="n">
        <v>14.71</v>
      </c>
      <c r="P132" s="6" t="n">
        <v>99.3</v>
      </c>
      <c r="Q132" s="7" t="n">
        <v>-0.164</v>
      </c>
      <c r="R132" s="7" t="n">
        <v>-0.208</v>
      </c>
      <c r="S132" s="4" t="s">
        <v>102</v>
      </c>
      <c r="T132" s="4"/>
      <c r="U132" s="8" t="n">
        <v>15</v>
      </c>
      <c r="V132" s="6" t="n">
        <v>220.3</v>
      </c>
      <c r="W132" s="7" t="n">
        <v>14.687</v>
      </c>
      <c r="X132" s="8" t="n">
        <v>11</v>
      </c>
      <c r="Y132" s="8" t="n">
        <v>128</v>
      </c>
      <c r="Z132" s="10" t="n">
        <v>0.266</v>
      </c>
      <c r="AA132" s="8" t="n">
        <v>10</v>
      </c>
      <c r="AB132" s="10" t="n">
        <v>0.02</v>
      </c>
      <c r="AC132" s="8" t="n">
        <v>17</v>
      </c>
      <c r="AD132" s="6" t="n">
        <v>41.6</v>
      </c>
      <c r="AE132" s="10" t="n">
        <v>0.533</v>
      </c>
      <c r="AF132" s="8" t="n">
        <v>3</v>
      </c>
      <c r="AG132" s="10" t="n">
        <v>0.0242</v>
      </c>
      <c r="AH132" s="6" t="n">
        <v>28.8</v>
      </c>
    </row>
    <row r="133" customFormat="false" ht="15" hidden="false" customHeight="false" outlineLevel="0" collapsed="false">
      <c r="A133" s="3" t="n">
        <v>131</v>
      </c>
      <c r="B133" s="4" t="s">
        <v>348</v>
      </c>
      <c r="C133" s="12" t="s">
        <v>149</v>
      </c>
      <c r="D133" s="4" t="s">
        <v>349</v>
      </c>
      <c r="E133" s="4" t="s">
        <v>124</v>
      </c>
      <c r="F133" s="4" t="s">
        <v>149</v>
      </c>
      <c r="G133" s="3" t="n">
        <v>1</v>
      </c>
      <c r="H133" s="6" t="n">
        <v>32.9</v>
      </c>
      <c r="I133" s="3" t="n">
        <v>10</v>
      </c>
      <c r="J133" s="3" t="n">
        <v>8</v>
      </c>
      <c r="K133" s="7" t="n">
        <v>105.31</v>
      </c>
      <c r="L133" s="7" t="n">
        <v>21.17</v>
      </c>
      <c r="M133" s="8" t="n">
        <v>73</v>
      </c>
      <c r="N133" s="8" t="n">
        <v>229</v>
      </c>
      <c r="O133" s="7" t="n">
        <v>105.31</v>
      </c>
      <c r="P133" s="6" t="n">
        <v>89.6</v>
      </c>
      <c r="Q133" s="7" t="n">
        <v>-0.18</v>
      </c>
      <c r="R133" s="7" t="n">
        <v>0.257</v>
      </c>
      <c r="S133" s="4" t="s">
        <v>102</v>
      </c>
      <c r="T133" s="4"/>
      <c r="U133" s="8" t="n">
        <v>11</v>
      </c>
      <c r="V133" s="6" t="n">
        <v>161.5</v>
      </c>
      <c r="W133" s="7" t="n">
        <v>14.682</v>
      </c>
      <c r="X133" s="8" t="n">
        <v>13</v>
      </c>
      <c r="Y133" s="8" t="n">
        <v>170</v>
      </c>
      <c r="Z133" s="10" t="n">
        <v>0.309</v>
      </c>
      <c r="AA133" s="8" t="n">
        <v>94</v>
      </c>
      <c r="AB133" s="10" t="n">
        <v>0.195</v>
      </c>
      <c r="AC133" s="8" t="n">
        <v>38</v>
      </c>
      <c r="AD133" s="6" t="n">
        <v>63.3</v>
      </c>
      <c r="AE133" s="10" t="n">
        <v>0.852</v>
      </c>
      <c r="AF133" s="8" t="n">
        <v>4</v>
      </c>
      <c r="AG133" s="10" t="n">
        <v>-0.0088</v>
      </c>
      <c r="AH133" s="6" t="n">
        <v>25.7</v>
      </c>
    </row>
    <row r="134" customFormat="false" ht="15" hidden="false" customHeight="false" outlineLevel="0" collapsed="false">
      <c r="A134" s="3" t="n">
        <v>132</v>
      </c>
      <c r="B134" s="4" t="s">
        <v>627</v>
      </c>
      <c r="C134" s="11" t="s">
        <v>104</v>
      </c>
      <c r="D134" s="4" t="s">
        <v>628</v>
      </c>
      <c r="E134" s="4" t="s">
        <v>130</v>
      </c>
      <c r="F134" s="4" t="s">
        <v>104</v>
      </c>
      <c r="G134" s="3" t="n">
        <v>2</v>
      </c>
      <c r="H134" s="6" t="n">
        <v>23</v>
      </c>
      <c r="I134" s="3" t="n">
        <v>2</v>
      </c>
      <c r="J134" s="3" t="n">
        <v>13</v>
      </c>
      <c r="K134" s="7" t="n">
        <v>266.77</v>
      </c>
      <c r="L134" s="7" t="n">
        <v>24.16</v>
      </c>
      <c r="M134" s="8" t="n">
        <v>177</v>
      </c>
      <c r="N134" s="8" t="n">
        <v>329</v>
      </c>
      <c r="O134" s="7" t="n">
        <v>266.77</v>
      </c>
      <c r="P134" s="6" t="n">
        <v>2</v>
      </c>
      <c r="Q134" s="7" t="n">
        <v>-0.182</v>
      </c>
      <c r="R134" s="7" t="n">
        <v>-0.139</v>
      </c>
      <c r="S134" s="4" t="s">
        <v>102</v>
      </c>
      <c r="T134" s="4"/>
      <c r="U134" s="8" t="n">
        <v>5</v>
      </c>
      <c r="V134" s="6" t="n">
        <v>9.6</v>
      </c>
      <c r="W134" s="7" t="n">
        <v>1.92</v>
      </c>
      <c r="X134" s="8" t="n">
        <v>68</v>
      </c>
      <c r="Y134" s="8" t="n">
        <v>147</v>
      </c>
      <c r="Z134" s="10" t="n">
        <v>0.277</v>
      </c>
      <c r="AA134" s="8" t="n">
        <v>24</v>
      </c>
      <c r="AB134" s="10" t="n">
        <v>0.054</v>
      </c>
      <c r="AC134" s="8" t="n">
        <v>20</v>
      </c>
      <c r="AD134" s="6" t="n">
        <v>60.3</v>
      </c>
      <c r="AE134" s="10" t="n">
        <v>0.832</v>
      </c>
      <c r="AF134" s="8" t="n">
        <v>5</v>
      </c>
      <c r="AG134" s="10" t="n">
        <v>-0.0091</v>
      </c>
      <c r="AH134" s="6" t="n">
        <v>27.4</v>
      </c>
    </row>
    <row r="135" customFormat="false" ht="15" hidden="false" customHeight="false" outlineLevel="0" collapsed="false">
      <c r="A135" s="3" t="n">
        <v>133</v>
      </c>
      <c r="B135" s="4" t="s">
        <v>524</v>
      </c>
      <c r="C135" s="5" t="s">
        <v>99</v>
      </c>
      <c r="D135" s="4" t="s">
        <v>525</v>
      </c>
      <c r="E135" s="4" t="s">
        <v>178</v>
      </c>
      <c r="F135" s="4" t="s">
        <v>99</v>
      </c>
      <c r="G135" s="3" t="n">
        <v>4</v>
      </c>
      <c r="H135" s="6" t="n">
        <v>28.8</v>
      </c>
      <c r="I135" s="3" t="n">
        <v>7</v>
      </c>
      <c r="J135" s="3" t="n">
        <v>8</v>
      </c>
      <c r="K135" s="7" t="n">
        <v>208.67</v>
      </c>
      <c r="L135" s="7" t="n">
        <v>25.21</v>
      </c>
      <c r="M135" s="8" t="n">
        <v>136</v>
      </c>
      <c r="N135" s="8" t="n">
        <v>296</v>
      </c>
      <c r="O135" s="7" t="n">
        <v>208.67</v>
      </c>
      <c r="P135" s="6" t="n">
        <v>11.2</v>
      </c>
      <c r="Q135" s="7" t="n">
        <v>-0.182</v>
      </c>
      <c r="R135" s="7" t="n">
        <v>-0.621</v>
      </c>
      <c r="S135" s="4" t="s">
        <v>102</v>
      </c>
      <c r="T135" s="4"/>
      <c r="U135" s="8" t="n">
        <v>15</v>
      </c>
      <c r="V135" s="6" t="n">
        <v>82.3</v>
      </c>
      <c r="W135" s="7" t="n">
        <v>5.487</v>
      </c>
      <c r="X135" s="8" t="n">
        <v>68</v>
      </c>
      <c r="Y135" s="8" t="n">
        <v>177</v>
      </c>
      <c r="Z135" s="10" t="n">
        <v>0.352</v>
      </c>
      <c r="AA135" s="8" t="n">
        <v>3</v>
      </c>
      <c r="AB135" s="10" t="n">
        <v>0.006</v>
      </c>
      <c r="AC135" s="8" t="n">
        <v>21</v>
      </c>
      <c r="AD135" s="6" t="n">
        <v>45.9</v>
      </c>
      <c r="AE135" s="10" t="n">
        <v>0.723</v>
      </c>
      <c r="AF135" s="8" t="n">
        <v>4</v>
      </c>
      <c r="AG135" s="10" t="n">
        <v>-0.0466</v>
      </c>
      <c r="AH135" s="6" t="n">
        <v>22.4</v>
      </c>
    </row>
    <row r="136" customFormat="false" ht="15" hidden="false" customHeight="false" outlineLevel="0" collapsed="false">
      <c r="A136" s="3" t="n">
        <v>134</v>
      </c>
      <c r="B136" s="4" t="s">
        <v>425</v>
      </c>
      <c r="C136" s="11" t="s">
        <v>104</v>
      </c>
      <c r="D136" s="4" t="s">
        <v>426</v>
      </c>
      <c r="E136" s="4" t="s">
        <v>265</v>
      </c>
      <c r="F136" s="4" t="s">
        <v>104</v>
      </c>
      <c r="G136" s="3" t="n">
        <v>2</v>
      </c>
      <c r="H136" s="6" t="n">
        <v>25.2</v>
      </c>
      <c r="I136" s="3" t="n">
        <v>4</v>
      </c>
      <c r="J136" s="3" t="n">
        <v>9</v>
      </c>
      <c r="K136" s="7" t="n">
        <v>145.85</v>
      </c>
      <c r="L136" s="7" t="n">
        <v>17.52</v>
      </c>
      <c r="M136" s="8" t="n">
        <v>103</v>
      </c>
      <c r="N136" s="8" t="n">
        <v>228</v>
      </c>
      <c r="O136" s="7" t="n">
        <v>145.85</v>
      </c>
      <c r="P136" s="6" t="n">
        <v>36.9</v>
      </c>
      <c r="Q136" s="7" t="n">
        <v>-0.185</v>
      </c>
      <c r="R136" s="7" t="n">
        <v>-0.054</v>
      </c>
      <c r="S136" s="4" t="s">
        <v>102</v>
      </c>
      <c r="T136" s="4"/>
      <c r="U136" s="8" t="n">
        <v>13</v>
      </c>
      <c r="V136" s="6" t="n">
        <v>111.7</v>
      </c>
      <c r="W136" s="7" t="n">
        <v>8.592</v>
      </c>
      <c r="X136" s="8" t="n">
        <v>43</v>
      </c>
      <c r="Y136" s="8" t="n">
        <v>152</v>
      </c>
      <c r="Z136" s="10" t="n">
        <v>0.287</v>
      </c>
      <c r="AA136" s="8" t="n">
        <v>0</v>
      </c>
      <c r="AB136" s="10" t="n">
        <v>0</v>
      </c>
      <c r="AC136" s="8" t="n">
        <v>8</v>
      </c>
      <c r="AD136" s="6" t="n">
        <v>41.1</v>
      </c>
      <c r="AE136" s="10" t="n">
        <v>0.527</v>
      </c>
      <c r="AF136" s="8" t="n">
        <v>3</v>
      </c>
      <c r="AG136" s="10" t="n">
        <v>-0.0385</v>
      </c>
      <c r="AH136" s="6" t="n">
        <v>16.7</v>
      </c>
    </row>
    <row r="137" customFormat="false" ht="15" hidden="false" customHeight="false" outlineLevel="0" collapsed="false">
      <c r="A137" s="3" t="n">
        <v>135</v>
      </c>
      <c r="B137" s="4" t="s">
        <v>429</v>
      </c>
      <c r="C137" s="11" t="s">
        <v>104</v>
      </c>
      <c r="D137" s="4" t="s">
        <v>430</v>
      </c>
      <c r="E137" s="4" t="s">
        <v>158</v>
      </c>
      <c r="F137" s="4" t="s">
        <v>104</v>
      </c>
      <c r="G137" s="3" t="n">
        <v>2</v>
      </c>
      <c r="H137" s="6" t="n">
        <v>31.1</v>
      </c>
      <c r="I137" s="3" t="n">
        <v>10</v>
      </c>
      <c r="J137" s="3" t="n">
        <v>8</v>
      </c>
      <c r="K137" s="7" t="n">
        <v>148.76</v>
      </c>
      <c r="L137" s="7" t="n">
        <v>17.47</v>
      </c>
      <c r="M137" s="8" t="n">
        <v>103</v>
      </c>
      <c r="N137" s="8" t="n">
        <v>214</v>
      </c>
      <c r="O137" s="7" t="n">
        <v>148.76</v>
      </c>
      <c r="P137" s="6" t="n">
        <v>46</v>
      </c>
      <c r="Q137" s="7" t="n">
        <v>-0.193</v>
      </c>
      <c r="R137" s="7" t="n">
        <v>0.201</v>
      </c>
      <c r="S137" s="4" t="s">
        <v>102</v>
      </c>
      <c r="T137" s="4"/>
      <c r="U137" s="8" t="n">
        <v>11</v>
      </c>
      <c r="V137" s="6" t="n">
        <v>100.7</v>
      </c>
      <c r="W137" s="7" t="n">
        <v>9.155</v>
      </c>
      <c r="X137" s="8" t="n">
        <v>44</v>
      </c>
      <c r="Y137" s="8" t="n">
        <v>127</v>
      </c>
      <c r="Z137" s="10" t="n">
        <v>0.225</v>
      </c>
      <c r="AA137" s="8" t="n">
        <v>21</v>
      </c>
      <c r="AB137" s="10" t="n">
        <v>0.048</v>
      </c>
      <c r="AC137" s="8" t="n">
        <v>15</v>
      </c>
      <c r="AD137" s="6" t="n">
        <v>41.9</v>
      </c>
      <c r="AE137" s="10" t="n">
        <v>0.784</v>
      </c>
      <c r="AF137" s="8" t="n">
        <v>4</v>
      </c>
      <c r="AG137" s="10" t="n">
        <v>-0.0301</v>
      </c>
      <c r="AH137" s="6" t="n">
        <v>18</v>
      </c>
    </row>
    <row r="138" customFormat="false" ht="15" hidden="false" customHeight="false" outlineLevel="0" collapsed="false">
      <c r="A138" s="3" t="n">
        <v>136</v>
      </c>
      <c r="B138" s="4" t="s">
        <v>437</v>
      </c>
      <c r="C138" s="12" t="s">
        <v>149</v>
      </c>
      <c r="D138" s="4" t="s">
        <v>438</v>
      </c>
      <c r="E138" s="4" t="s">
        <v>221</v>
      </c>
      <c r="F138" s="4" t="s">
        <v>149</v>
      </c>
      <c r="G138" s="3" t="n">
        <v>1</v>
      </c>
      <c r="H138" s="6" t="n">
        <v>26.9</v>
      </c>
      <c r="I138" s="3" t="n">
        <v>5</v>
      </c>
      <c r="J138" s="3" t="n">
        <v>7</v>
      </c>
      <c r="K138" s="7" t="n">
        <v>153.41</v>
      </c>
      <c r="L138" s="7" t="n">
        <v>26.85</v>
      </c>
      <c r="M138" s="8" t="n">
        <v>111</v>
      </c>
      <c r="N138" s="8" t="n">
        <v>229</v>
      </c>
      <c r="O138" s="7" t="n">
        <v>153.41</v>
      </c>
      <c r="P138" s="6" t="n">
        <v>38.5</v>
      </c>
      <c r="Q138" s="7" t="n">
        <v>-0.195</v>
      </c>
      <c r="R138" s="7" t="n">
        <v>-0.503</v>
      </c>
      <c r="S138" s="4" t="s">
        <v>102</v>
      </c>
      <c r="T138" s="4"/>
      <c r="U138" s="8" t="n">
        <v>17</v>
      </c>
      <c r="V138" s="6" t="n">
        <v>124</v>
      </c>
      <c r="W138" s="7" t="n">
        <v>7.294</v>
      </c>
      <c r="X138" s="8" t="n">
        <v>19</v>
      </c>
      <c r="Y138" s="8" t="n">
        <v>138</v>
      </c>
      <c r="Z138" s="10" t="n">
        <v>0.319</v>
      </c>
      <c r="AA138" s="8" t="n">
        <v>142</v>
      </c>
      <c r="AB138" s="10" t="n">
        <v>0.293</v>
      </c>
      <c r="AC138" s="8" t="n">
        <v>56</v>
      </c>
      <c r="AD138" s="6" t="n">
        <v>54.8</v>
      </c>
      <c r="AE138" s="10" t="n">
        <v>0.706</v>
      </c>
      <c r="AF138" s="8" t="n">
        <v>4</v>
      </c>
      <c r="AG138" s="10" t="n">
        <v>-0.0427</v>
      </c>
      <c r="AH138" s="6" t="n">
        <v>20.9</v>
      </c>
    </row>
    <row r="139" customFormat="false" ht="15" hidden="false" customHeight="false" outlineLevel="0" collapsed="false">
      <c r="A139" s="3" t="n">
        <v>137</v>
      </c>
      <c r="B139" s="4" t="s">
        <v>391</v>
      </c>
      <c r="C139" s="5" t="s">
        <v>99</v>
      </c>
      <c r="D139" s="4" t="s">
        <v>392</v>
      </c>
      <c r="E139" s="4" t="s">
        <v>139</v>
      </c>
      <c r="F139" s="4" t="s">
        <v>99</v>
      </c>
      <c r="G139" s="3" t="n">
        <v>2</v>
      </c>
      <c r="H139" s="6" t="n">
        <v>23.7</v>
      </c>
      <c r="I139" s="3" t="n">
        <v>2</v>
      </c>
      <c r="J139" s="3" t="n">
        <v>8</v>
      </c>
      <c r="K139" s="7" t="n">
        <v>122.79</v>
      </c>
      <c r="L139" s="7" t="n">
        <v>13.21</v>
      </c>
      <c r="M139" s="8" t="n">
        <v>94</v>
      </c>
      <c r="N139" s="8" t="n">
        <v>176</v>
      </c>
      <c r="O139" s="7" t="n">
        <v>122.79</v>
      </c>
      <c r="P139" s="6" t="n">
        <v>46.8</v>
      </c>
      <c r="Q139" s="7" t="n">
        <v>-0.21</v>
      </c>
      <c r="R139" s="7" t="n">
        <v>-0.868</v>
      </c>
      <c r="S139" s="4" t="s">
        <v>102</v>
      </c>
      <c r="T139" s="4"/>
      <c r="U139" s="8" t="n">
        <v>17</v>
      </c>
      <c r="V139" s="6" t="n">
        <v>129.5</v>
      </c>
      <c r="W139" s="7" t="n">
        <v>7.618</v>
      </c>
      <c r="X139" s="8" t="n">
        <v>46</v>
      </c>
      <c r="Y139" s="8" t="n">
        <v>82</v>
      </c>
      <c r="Z139" s="10" t="n">
        <v>0.148</v>
      </c>
      <c r="AA139" s="8" t="n">
        <v>21</v>
      </c>
      <c r="AB139" s="10" t="n">
        <v>0.044</v>
      </c>
      <c r="AC139" s="8" t="n">
        <v>18</v>
      </c>
      <c r="AD139" s="6" t="n">
        <v>45.8</v>
      </c>
      <c r="AE139" s="10" t="n">
        <v>0.713</v>
      </c>
      <c r="AF139" s="8" t="n">
        <v>2</v>
      </c>
      <c r="AG139" s="10" t="n">
        <v>-0.0098</v>
      </c>
      <c r="AH139" s="6" t="n">
        <v>23.8</v>
      </c>
    </row>
    <row r="140" customFormat="false" ht="15" hidden="false" customHeight="false" outlineLevel="0" collapsed="false">
      <c r="A140" s="3" t="n">
        <v>138</v>
      </c>
      <c r="B140" s="4" t="s">
        <v>552</v>
      </c>
      <c r="C140" s="11" t="s">
        <v>104</v>
      </c>
      <c r="D140" s="4" t="s">
        <v>553</v>
      </c>
      <c r="E140" s="4" t="s">
        <v>161</v>
      </c>
      <c r="F140" s="4" t="s">
        <v>104</v>
      </c>
      <c r="G140" s="3" t="n">
        <v>2</v>
      </c>
      <c r="H140" s="6" t="n">
        <v>23.4</v>
      </c>
      <c r="I140" s="3" t="n">
        <v>3</v>
      </c>
      <c r="J140" s="3" t="n">
        <v>6</v>
      </c>
      <c r="K140" s="7" t="n">
        <v>231.65</v>
      </c>
      <c r="L140" s="7" t="n">
        <v>26.28</v>
      </c>
      <c r="M140" s="8" t="n">
        <v>157</v>
      </c>
      <c r="N140" s="8" t="n">
        <v>296</v>
      </c>
      <c r="O140" s="7" t="n">
        <v>231.65</v>
      </c>
      <c r="P140" s="6" t="n">
        <v>8</v>
      </c>
      <c r="Q140" s="7" t="n">
        <v>-0.221</v>
      </c>
      <c r="R140" s="7" t="n">
        <v>-0.003</v>
      </c>
      <c r="S140" s="4" t="s">
        <v>102</v>
      </c>
      <c r="T140" s="4"/>
      <c r="U140" s="8" t="n">
        <v>9</v>
      </c>
      <c r="V140" s="6" t="n">
        <v>48.2</v>
      </c>
      <c r="W140" s="7" t="n">
        <v>5.356</v>
      </c>
      <c r="X140" s="8" t="n">
        <v>60</v>
      </c>
      <c r="Y140" s="8" t="n">
        <v>209</v>
      </c>
      <c r="Z140" s="10" t="n">
        <v>0.452</v>
      </c>
      <c r="AA140" s="8" t="n">
        <v>28</v>
      </c>
      <c r="AB140" s="10" t="n">
        <v>0.065</v>
      </c>
      <c r="AC140" s="8" t="n">
        <v>32</v>
      </c>
      <c r="AD140" s="6" t="n">
        <v>38.6</v>
      </c>
      <c r="AE140" s="10" t="n">
        <v>0.672</v>
      </c>
      <c r="AF140" s="8" t="n">
        <v>4</v>
      </c>
      <c r="AG140" s="10" t="n">
        <v>-0.0584</v>
      </c>
      <c r="AH140" s="6" t="n">
        <v>20.4</v>
      </c>
    </row>
    <row r="141" customFormat="false" ht="15" hidden="false" customHeight="false" outlineLevel="0" collapsed="false">
      <c r="A141" s="3" t="n">
        <v>139</v>
      </c>
      <c r="B141" s="4" t="s">
        <v>174</v>
      </c>
      <c r="C141" s="11" t="s">
        <v>104</v>
      </c>
      <c r="D141" s="4" t="s">
        <v>175</v>
      </c>
      <c r="E141" s="4" t="s">
        <v>136</v>
      </c>
      <c r="F141" s="4" t="s">
        <v>104</v>
      </c>
      <c r="G141" s="3" t="n">
        <v>1</v>
      </c>
      <c r="H141" s="6" t="n">
        <v>29.5</v>
      </c>
      <c r="I141" s="3" t="n">
        <v>9</v>
      </c>
      <c r="J141" s="3" t="n">
        <v>10</v>
      </c>
      <c r="K141" s="7" t="n">
        <v>25.94</v>
      </c>
      <c r="L141" s="7" t="n">
        <v>7.1</v>
      </c>
      <c r="M141" s="8" t="n">
        <v>10</v>
      </c>
      <c r="N141" s="8" t="n">
        <v>41</v>
      </c>
      <c r="O141" s="7" t="n">
        <v>25.94</v>
      </c>
      <c r="P141" s="6" t="n">
        <v>99.4</v>
      </c>
      <c r="Q141" s="7" t="n">
        <v>-0.224</v>
      </c>
      <c r="R141" s="7" t="n">
        <v>-0.268</v>
      </c>
      <c r="S141" s="4" t="s">
        <v>102</v>
      </c>
      <c r="T141" s="4"/>
      <c r="U141" s="8" t="n">
        <v>16</v>
      </c>
      <c r="V141" s="6" t="n">
        <v>232.3</v>
      </c>
      <c r="W141" s="7" t="n">
        <v>14.519</v>
      </c>
      <c r="X141" s="8" t="n">
        <v>14</v>
      </c>
      <c r="Y141" s="8" t="n">
        <v>175</v>
      </c>
      <c r="Z141" s="10" t="n">
        <v>0.377</v>
      </c>
      <c r="AA141" s="8" t="n">
        <v>12</v>
      </c>
      <c r="AB141" s="10" t="n">
        <v>0.025</v>
      </c>
      <c r="AC141" s="8" t="n">
        <v>23</v>
      </c>
      <c r="AD141" s="6" t="n">
        <v>48.2</v>
      </c>
      <c r="AE141" s="10" t="n">
        <v>0.909</v>
      </c>
      <c r="AF141" s="8" t="n">
        <v>5</v>
      </c>
      <c r="AG141" s="10" t="n">
        <v>-0.0248</v>
      </c>
      <c r="AH141" s="6" t="n">
        <v>22.3</v>
      </c>
    </row>
    <row r="142" customFormat="false" ht="15" hidden="false" customHeight="false" outlineLevel="0" collapsed="false">
      <c r="A142" s="3" t="n">
        <v>140</v>
      </c>
      <c r="B142" s="4" t="s">
        <v>542</v>
      </c>
      <c r="C142" s="12" t="s">
        <v>149</v>
      </c>
      <c r="D142" s="4" t="s">
        <v>543</v>
      </c>
      <c r="E142" s="4" t="s">
        <v>265</v>
      </c>
      <c r="F142" s="4" t="s">
        <v>149</v>
      </c>
      <c r="G142" s="3" t="n">
        <v>1</v>
      </c>
      <c r="H142" s="6" t="n">
        <v>23.9</v>
      </c>
      <c r="I142" s="3" t="n">
        <v>2</v>
      </c>
      <c r="J142" s="3" t="n">
        <v>9</v>
      </c>
      <c r="K142" s="7" t="n">
        <v>222.29</v>
      </c>
      <c r="L142" s="7" t="n">
        <v>26.71</v>
      </c>
      <c r="M142" s="8" t="n">
        <v>153</v>
      </c>
      <c r="N142" s="8" t="n">
        <v>290</v>
      </c>
      <c r="O142" s="7" t="n">
        <v>222.29</v>
      </c>
      <c r="P142" s="6" t="n">
        <v>14</v>
      </c>
      <c r="Q142" s="7" t="n">
        <v>-0.227</v>
      </c>
      <c r="R142" s="7" t="n">
        <v>-0.359</v>
      </c>
      <c r="S142" s="4" t="s">
        <v>102</v>
      </c>
      <c r="T142" s="4"/>
      <c r="U142" s="8" t="n">
        <v>16</v>
      </c>
      <c r="V142" s="6" t="n">
        <v>91.7</v>
      </c>
      <c r="W142" s="7" t="n">
        <v>5.731</v>
      </c>
      <c r="X142" s="8" t="n">
        <v>27</v>
      </c>
      <c r="Y142" s="8" t="n">
        <v>152</v>
      </c>
      <c r="Z142" s="10" t="n">
        <v>0.287</v>
      </c>
      <c r="AA142" s="8" t="n">
        <v>0</v>
      </c>
      <c r="AB142" s="10" t="n">
        <v>0</v>
      </c>
      <c r="AC142" s="8" t="n">
        <v>8</v>
      </c>
      <c r="AD142" s="6" t="n">
        <v>41.1</v>
      </c>
      <c r="AE142" s="10" t="n">
        <v>0.527</v>
      </c>
      <c r="AF142" s="8" t="n">
        <v>3</v>
      </c>
      <c r="AG142" s="10" t="n">
        <v>-0.0385</v>
      </c>
      <c r="AH142" s="6" t="n">
        <v>16.7</v>
      </c>
    </row>
    <row r="143" customFormat="false" ht="15" hidden="false" customHeight="false" outlineLevel="0" collapsed="false">
      <c r="A143" s="3" t="n">
        <v>141</v>
      </c>
      <c r="B143" s="4" t="s">
        <v>484</v>
      </c>
      <c r="C143" s="12" t="s">
        <v>149</v>
      </c>
      <c r="D143" s="4" t="s">
        <v>485</v>
      </c>
      <c r="E143" s="4" t="s">
        <v>127</v>
      </c>
      <c r="F143" s="4" t="s">
        <v>149</v>
      </c>
      <c r="G143" s="3" t="n">
        <v>1</v>
      </c>
      <c r="H143" s="6" t="n">
        <v>29.1</v>
      </c>
      <c r="I143" s="3" t="n">
        <v>8</v>
      </c>
      <c r="J143" s="3" t="n">
        <v>6</v>
      </c>
      <c r="K143" s="7" t="n">
        <v>191.24</v>
      </c>
      <c r="L143" s="7" t="n">
        <v>21.43</v>
      </c>
      <c r="M143" s="8" t="n">
        <v>124</v>
      </c>
      <c r="N143" s="8" t="n">
        <v>246</v>
      </c>
      <c r="O143" s="7" t="n">
        <v>191.24</v>
      </c>
      <c r="P143" s="6" t="n">
        <v>49.7</v>
      </c>
      <c r="Q143" s="7" t="n">
        <v>-0.237</v>
      </c>
      <c r="R143" s="7" t="n">
        <v>-0.282</v>
      </c>
      <c r="S143" s="4" t="s">
        <v>102</v>
      </c>
      <c r="T143" s="4"/>
      <c r="U143" s="8" t="n">
        <v>15</v>
      </c>
      <c r="V143" s="6" t="n">
        <v>112.8</v>
      </c>
      <c r="W143" s="7" t="n">
        <v>7.52</v>
      </c>
      <c r="X143" s="8" t="n">
        <v>24</v>
      </c>
      <c r="Y143" s="8" t="n">
        <v>82</v>
      </c>
      <c r="Z143" s="10" t="n">
        <v>0.175</v>
      </c>
      <c r="AA143" s="8" t="n">
        <v>24</v>
      </c>
      <c r="AB143" s="10" t="n">
        <v>0.059</v>
      </c>
      <c r="AC143" s="8" t="n">
        <v>17</v>
      </c>
      <c r="AD143" s="6" t="n">
        <v>36</v>
      </c>
      <c r="AE143" s="10" t="n">
        <v>0.819</v>
      </c>
      <c r="AF143" s="8" t="n">
        <v>5</v>
      </c>
      <c r="AG143" s="10" t="n">
        <v>-0.012</v>
      </c>
      <c r="AH143" s="6" t="n">
        <v>20.2</v>
      </c>
    </row>
    <row r="144" customFormat="false" ht="15" hidden="false" customHeight="false" outlineLevel="0" collapsed="false">
      <c r="A144" s="3" t="n">
        <v>142</v>
      </c>
      <c r="B144" s="4" t="s">
        <v>441</v>
      </c>
      <c r="C144" s="12" t="s">
        <v>149</v>
      </c>
      <c r="D144" s="4" t="s">
        <v>442</v>
      </c>
      <c r="E144" s="4" t="s">
        <v>235</v>
      </c>
      <c r="F144" s="4" t="s">
        <v>149</v>
      </c>
      <c r="G144" s="3" t="n">
        <v>1</v>
      </c>
      <c r="H144" s="6" t="n">
        <v>25.6</v>
      </c>
      <c r="I144" s="3" t="n">
        <v>4</v>
      </c>
      <c r="J144" s="3" t="n">
        <v>7</v>
      </c>
      <c r="K144" s="7" t="n">
        <v>156.63</v>
      </c>
      <c r="L144" s="7" t="n">
        <v>25.26</v>
      </c>
      <c r="M144" s="8" t="n">
        <v>111</v>
      </c>
      <c r="N144" s="8" t="n">
        <v>236</v>
      </c>
      <c r="O144" s="7" t="n">
        <v>156.63</v>
      </c>
      <c r="P144" s="6" t="n">
        <v>43.4</v>
      </c>
      <c r="Q144" s="7" t="n">
        <v>-0.248</v>
      </c>
      <c r="R144" s="7" t="n">
        <v>-0.073</v>
      </c>
      <c r="S144" s="4" t="s">
        <v>102</v>
      </c>
      <c r="T144" s="4"/>
      <c r="U144" s="8" t="n">
        <v>12</v>
      </c>
      <c r="V144" s="6" t="n">
        <v>118</v>
      </c>
      <c r="W144" s="7" t="n">
        <v>9.833</v>
      </c>
      <c r="X144" s="8" t="n">
        <v>21</v>
      </c>
      <c r="Y144" s="8" t="n">
        <v>132</v>
      </c>
      <c r="Z144" s="10" t="n">
        <v>0.241</v>
      </c>
      <c r="AA144" s="8" t="n">
        <v>271</v>
      </c>
      <c r="AB144" s="10" t="n">
        <v>0.554</v>
      </c>
      <c r="AC144" s="8" t="n">
        <v>85</v>
      </c>
      <c r="AD144" s="6" t="n">
        <v>44.3</v>
      </c>
      <c r="AE144" s="10" t="n">
        <v>1</v>
      </c>
      <c r="AF144" s="8" t="n">
        <v>5</v>
      </c>
      <c r="AG144" s="10" t="n">
        <v>0.0164</v>
      </c>
      <c r="AH144" s="6" t="n">
        <v>27.9</v>
      </c>
    </row>
    <row r="145" customFormat="false" ht="15" hidden="false" customHeight="false" outlineLevel="0" collapsed="false">
      <c r="A145" s="3" t="n">
        <v>143</v>
      </c>
      <c r="B145" s="4" t="s">
        <v>196</v>
      </c>
      <c r="C145" s="5" t="s">
        <v>99</v>
      </c>
      <c r="D145" s="4" t="s">
        <v>197</v>
      </c>
      <c r="E145" s="4" t="s">
        <v>198</v>
      </c>
      <c r="F145" s="4" t="s">
        <v>99</v>
      </c>
      <c r="G145" s="3" t="n">
        <v>1</v>
      </c>
      <c r="H145" s="6" t="n">
        <v>23.8</v>
      </c>
      <c r="I145" s="3" t="n">
        <v>2</v>
      </c>
      <c r="J145" s="3" t="n">
        <v>10</v>
      </c>
      <c r="K145" s="7" t="n">
        <v>37.67</v>
      </c>
      <c r="L145" s="7" t="n">
        <v>7.99</v>
      </c>
      <c r="M145" s="8" t="n">
        <v>14</v>
      </c>
      <c r="N145" s="8" t="n">
        <v>55</v>
      </c>
      <c r="O145" s="7" t="n">
        <v>37.67</v>
      </c>
      <c r="P145" s="6" t="n">
        <v>96.8</v>
      </c>
      <c r="Q145" s="7" t="n">
        <v>-0.264</v>
      </c>
      <c r="R145" s="7" t="n">
        <v>-0.834</v>
      </c>
      <c r="S145" s="4" t="s">
        <v>102</v>
      </c>
      <c r="T145" s="4"/>
      <c r="U145" s="8" t="n">
        <v>17</v>
      </c>
      <c r="V145" s="6" t="n">
        <v>195.7</v>
      </c>
      <c r="W145" s="7" t="n">
        <v>11.512</v>
      </c>
      <c r="X145" s="8" t="n">
        <v>23</v>
      </c>
      <c r="Y145" s="8" t="n">
        <v>111</v>
      </c>
      <c r="Z145" s="10" t="n">
        <v>0.205</v>
      </c>
      <c r="AA145" s="8" t="n">
        <v>138</v>
      </c>
      <c r="AB145" s="10" t="n">
        <v>0.292</v>
      </c>
      <c r="AC145" s="8" t="n">
        <v>38</v>
      </c>
      <c r="AD145" s="6" t="n">
        <v>57.4</v>
      </c>
      <c r="AE145" s="10" t="n">
        <v>0.791</v>
      </c>
      <c r="AF145" s="8" t="n">
        <v>4</v>
      </c>
      <c r="AG145" s="10" t="n">
        <v>-0.0347</v>
      </c>
      <c r="AH145" s="6" t="n">
        <v>22.4</v>
      </c>
    </row>
    <row r="146" customFormat="false" ht="15" hidden="false" customHeight="false" outlineLevel="0" collapsed="false">
      <c r="A146" s="3" t="n">
        <v>144</v>
      </c>
      <c r="B146" s="4" t="s">
        <v>357</v>
      </c>
      <c r="C146" s="5" t="s">
        <v>99</v>
      </c>
      <c r="D146" s="4" t="s">
        <v>358</v>
      </c>
      <c r="E146" s="4" t="s">
        <v>127</v>
      </c>
      <c r="F146" s="4" t="s">
        <v>99</v>
      </c>
      <c r="G146" s="3" t="n">
        <v>2</v>
      </c>
      <c r="H146" s="6" t="n">
        <v>24.6</v>
      </c>
      <c r="I146" s="3" t="n">
        <v>4</v>
      </c>
      <c r="J146" s="3" t="n">
        <v>6</v>
      </c>
      <c r="K146" s="7" t="n">
        <v>108.59</v>
      </c>
      <c r="L146" s="7" t="n">
        <v>14.13</v>
      </c>
      <c r="M146" s="8" t="n">
        <v>68</v>
      </c>
      <c r="N146" s="8" t="n">
        <v>149</v>
      </c>
      <c r="O146" s="7" t="n">
        <v>108.59</v>
      </c>
      <c r="P146" s="6" t="n">
        <v>79.2</v>
      </c>
      <c r="Q146" s="7" t="n">
        <v>-0.264</v>
      </c>
      <c r="R146" s="7" t="n">
        <v>-0.483</v>
      </c>
      <c r="S146" s="4" t="s">
        <v>102</v>
      </c>
      <c r="T146" s="4"/>
      <c r="U146" s="8" t="n">
        <v>14</v>
      </c>
      <c r="V146" s="6" t="n">
        <v>135.1</v>
      </c>
      <c r="W146" s="7" t="n">
        <v>9.65</v>
      </c>
      <c r="X146" s="8" t="n">
        <v>44</v>
      </c>
      <c r="Y146" s="8" t="n">
        <v>82</v>
      </c>
      <c r="Z146" s="10" t="n">
        <v>0.175</v>
      </c>
      <c r="AA146" s="8" t="n">
        <v>24</v>
      </c>
      <c r="AB146" s="10" t="n">
        <v>0.059</v>
      </c>
      <c r="AC146" s="8" t="n">
        <v>17</v>
      </c>
      <c r="AD146" s="6" t="n">
        <v>36</v>
      </c>
      <c r="AE146" s="10" t="n">
        <v>0.819</v>
      </c>
      <c r="AF146" s="8" t="n">
        <v>5</v>
      </c>
      <c r="AG146" s="10" t="n">
        <v>-0.012</v>
      </c>
      <c r="AH146" s="6" t="n">
        <v>20.2</v>
      </c>
    </row>
    <row r="147" customFormat="false" ht="15" hidden="false" customHeight="false" outlineLevel="0" collapsed="false">
      <c r="A147" s="3" t="n">
        <v>145</v>
      </c>
      <c r="B147" s="4" t="s">
        <v>140</v>
      </c>
      <c r="C147" s="11" t="s">
        <v>104</v>
      </c>
      <c r="D147" s="4" t="s">
        <v>141</v>
      </c>
      <c r="E147" s="4" t="s">
        <v>142</v>
      </c>
      <c r="F147" s="4" t="s">
        <v>104</v>
      </c>
      <c r="G147" s="3" t="n">
        <v>1</v>
      </c>
      <c r="H147" s="6" t="n">
        <v>22.7</v>
      </c>
      <c r="I147" s="3" t="n">
        <v>2</v>
      </c>
      <c r="J147" s="3" t="n">
        <v>13</v>
      </c>
      <c r="K147" s="7" t="n">
        <v>17.07</v>
      </c>
      <c r="L147" s="7" t="n">
        <v>5.84</v>
      </c>
      <c r="M147" s="8" t="n">
        <v>7</v>
      </c>
      <c r="N147" s="8" t="n">
        <v>39</v>
      </c>
      <c r="O147" s="7" t="n">
        <v>17.07</v>
      </c>
      <c r="P147" s="6" t="n">
        <v>99.3</v>
      </c>
      <c r="Q147" s="7" t="n">
        <v>-0.27</v>
      </c>
      <c r="R147" s="7" t="n">
        <v>-0.489</v>
      </c>
      <c r="S147" s="4" t="s">
        <v>102</v>
      </c>
      <c r="T147" s="4"/>
      <c r="U147" s="8" t="n">
        <v>17</v>
      </c>
      <c r="V147" s="6" t="n">
        <v>245.1</v>
      </c>
      <c r="W147" s="7" t="n">
        <v>14.418</v>
      </c>
      <c r="X147" s="8" t="n">
        <v>11</v>
      </c>
      <c r="Y147" s="8" t="n">
        <v>55</v>
      </c>
      <c r="Z147" s="10" t="n">
        <v>0.111</v>
      </c>
      <c r="AA147" s="8" t="n">
        <v>58</v>
      </c>
      <c r="AB147" s="10" t="n">
        <v>0.157</v>
      </c>
      <c r="AC147" s="8" t="n">
        <v>13</v>
      </c>
      <c r="AD147" s="6" t="n">
        <v>15.2</v>
      </c>
      <c r="AE147" s="10" t="n">
        <v>0.384</v>
      </c>
      <c r="AF147" s="8" t="n">
        <v>2</v>
      </c>
      <c r="AG147" s="10" t="n">
        <v>-0.0175</v>
      </c>
      <c r="AH147" s="6" t="n">
        <v>14.2</v>
      </c>
    </row>
    <row r="148" customFormat="false" ht="15" hidden="false" customHeight="false" outlineLevel="0" collapsed="false">
      <c r="A148" s="3" t="n">
        <v>146</v>
      </c>
      <c r="B148" s="4" t="s">
        <v>207</v>
      </c>
      <c r="C148" s="5" t="s">
        <v>99</v>
      </c>
      <c r="D148" s="4" t="s">
        <v>208</v>
      </c>
      <c r="E148" s="4" t="s">
        <v>209</v>
      </c>
      <c r="F148" s="4" t="s">
        <v>99</v>
      </c>
      <c r="G148" s="3" t="n">
        <v>2</v>
      </c>
      <c r="H148" s="6" t="n">
        <v>27.7</v>
      </c>
      <c r="I148" s="3" t="n">
        <v>6</v>
      </c>
      <c r="J148" s="3" t="n">
        <v>10</v>
      </c>
      <c r="K148" s="7" t="n">
        <v>38.17</v>
      </c>
      <c r="L148" s="7" t="n">
        <v>7.48</v>
      </c>
      <c r="M148" s="8" t="n">
        <v>18</v>
      </c>
      <c r="N148" s="8" t="n">
        <v>59</v>
      </c>
      <c r="O148" s="7" t="n">
        <v>38.17</v>
      </c>
      <c r="P148" s="6" t="n">
        <v>95.7</v>
      </c>
      <c r="Q148" s="7" t="n">
        <v>-0.273</v>
      </c>
      <c r="R148" s="7" t="n">
        <v>-0.492</v>
      </c>
      <c r="S148" s="4" t="s">
        <v>102</v>
      </c>
      <c r="T148" s="4"/>
      <c r="U148" s="8" t="n">
        <v>16</v>
      </c>
      <c r="V148" s="6" t="n">
        <v>194.12</v>
      </c>
      <c r="W148" s="7" t="n">
        <v>12.132</v>
      </c>
      <c r="X148" s="8" t="n">
        <v>24</v>
      </c>
      <c r="Y148" s="8" t="n">
        <v>4</v>
      </c>
      <c r="Z148" s="10" t="n">
        <v>0.007</v>
      </c>
      <c r="AA148" s="8" t="n">
        <v>0</v>
      </c>
      <c r="AB148" s="10" t="n">
        <v>0</v>
      </c>
      <c r="AC148" s="8" t="n">
        <v>1</v>
      </c>
      <c r="AD148" s="6" t="n">
        <v>63.2</v>
      </c>
      <c r="AE148" s="10" t="n">
        <v>0.999</v>
      </c>
      <c r="AF148" s="8" t="n">
        <v>5</v>
      </c>
      <c r="AG148" s="10" t="n">
        <v>0.0157</v>
      </c>
      <c r="AH148" s="6" t="n">
        <v>23.6</v>
      </c>
    </row>
    <row r="149" customFormat="false" ht="15" hidden="false" customHeight="false" outlineLevel="0" collapsed="false">
      <c r="A149" s="3" t="n">
        <v>147</v>
      </c>
      <c r="B149" s="4" t="s">
        <v>584</v>
      </c>
      <c r="C149" s="11" t="s">
        <v>104</v>
      </c>
      <c r="D149" s="4" t="s">
        <v>585</v>
      </c>
      <c r="E149" s="4" t="s">
        <v>115</v>
      </c>
      <c r="F149" s="4" t="s">
        <v>281</v>
      </c>
      <c r="G149" s="3" t="n">
        <v>3</v>
      </c>
      <c r="H149" s="6" t="n">
        <v>26.7</v>
      </c>
      <c r="I149" s="3" t="n">
        <v>3</v>
      </c>
      <c r="J149" s="3" t="n">
        <v>11</v>
      </c>
      <c r="K149" s="7" t="n">
        <v>251.2</v>
      </c>
      <c r="L149" s="7" t="n">
        <v>40.97</v>
      </c>
      <c r="M149" s="8" t="n">
        <v>160</v>
      </c>
      <c r="N149" s="8" t="n">
        <v>313</v>
      </c>
      <c r="O149" s="7" t="n">
        <v>251.2</v>
      </c>
      <c r="P149" s="6" t="n">
        <v>5.3</v>
      </c>
      <c r="Q149" s="7" t="n">
        <v>-0.299</v>
      </c>
      <c r="R149" s="7" t="n">
        <v>-0.299</v>
      </c>
      <c r="S149" s="4" t="s">
        <v>102</v>
      </c>
      <c r="T149" s="4"/>
      <c r="U149" s="8" t="n">
        <v>10</v>
      </c>
      <c r="V149" s="6" t="n">
        <v>20.8</v>
      </c>
      <c r="W149" s="7" t="n">
        <v>2.08</v>
      </c>
      <c r="X149" s="8" t="n">
        <v>65</v>
      </c>
      <c r="Y149" s="8" t="n">
        <v>39</v>
      </c>
      <c r="Z149" s="10" t="n">
        <v>0.086</v>
      </c>
      <c r="AA149" s="8" t="n">
        <v>221</v>
      </c>
      <c r="AB149" s="10" t="n">
        <v>0.436</v>
      </c>
      <c r="AC149" s="8" t="n">
        <v>37</v>
      </c>
      <c r="AD149" s="6" t="n">
        <v>49.9</v>
      </c>
      <c r="AE149" s="10" t="n">
        <v>0.942</v>
      </c>
      <c r="AF149" s="8" t="n">
        <v>5</v>
      </c>
      <c r="AG149" s="10" t="n">
        <v>-0.0677</v>
      </c>
      <c r="AH149" s="6" t="n">
        <v>28.4</v>
      </c>
    </row>
    <row r="150" customFormat="false" ht="15" hidden="false" customHeight="false" outlineLevel="0" collapsed="false">
      <c r="A150" s="3" t="n">
        <v>148</v>
      </c>
      <c r="B150" s="4" t="s">
        <v>212</v>
      </c>
      <c r="C150" s="11" t="s">
        <v>104</v>
      </c>
      <c r="D150" s="4" t="s">
        <v>213</v>
      </c>
      <c r="E150" s="4" t="s">
        <v>186</v>
      </c>
      <c r="F150" s="4" t="s">
        <v>104</v>
      </c>
      <c r="G150" s="3" t="n">
        <v>1</v>
      </c>
      <c r="H150" s="6" t="n">
        <v>25.2</v>
      </c>
      <c r="I150" s="3" t="n">
        <v>5</v>
      </c>
      <c r="J150" s="3" t="n">
        <v>13</v>
      </c>
      <c r="K150" s="7" t="n">
        <v>40.83</v>
      </c>
      <c r="L150" s="7" t="n">
        <v>6.55</v>
      </c>
      <c r="M150" s="8" t="n">
        <v>26</v>
      </c>
      <c r="N150" s="8" t="n">
        <v>67</v>
      </c>
      <c r="O150" s="7" t="n">
        <v>40.83</v>
      </c>
      <c r="P150" s="6" t="n">
        <v>97</v>
      </c>
      <c r="Q150" s="7" t="n">
        <v>-0.302</v>
      </c>
      <c r="R150" s="7" t="n">
        <v>-0.39</v>
      </c>
      <c r="S150" s="4" t="s">
        <v>102</v>
      </c>
      <c r="T150" s="4"/>
      <c r="U150" s="8" t="n">
        <v>16</v>
      </c>
      <c r="V150" s="6" t="n">
        <v>207.66</v>
      </c>
      <c r="W150" s="7" t="n">
        <v>12.979</v>
      </c>
      <c r="X150" s="8" t="n">
        <v>19</v>
      </c>
      <c r="Y150" s="8" t="n">
        <v>76</v>
      </c>
      <c r="Z150" s="10" t="n">
        <v>0.161</v>
      </c>
      <c r="AA150" s="8" t="n">
        <v>117</v>
      </c>
      <c r="AB150" s="10" t="n">
        <v>0.257</v>
      </c>
      <c r="AC150" s="8" t="n">
        <v>27</v>
      </c>
      <c r="AD150" s="6" t="n">
        <v>38.6</v>
      </c>
      <c r="AE150" s="10" t="n">
        <v>0.808</v>
      </c>
      <c r="AF150" s="8" t="n">
        <v>3</v>
      </c>
      <c r="AG150" s="10" t="n">
        <v>-0.0877</v>
      </c>
      <c r="AH150" s="6" t="n">
        <v>17.6</v>
      </c>
    </row>
    <row r="151" customFormat="false" ht="15" hidden="false" customHeight="false" outlineLevel="0" collapsed="false">
      <c r="A151" s="3" t="n">
        <v>149</v>
      </c>
      <c r="B151" s="4" t="s">
        <v>520</v>
      </c>
      <c r="C151" s="5" t="s">
        <v>99</v>
      </c>
      <c r="D151" s="4" t="s">
        <v>521</v>
      </c>
      <c r="E151" s="4" t="s">
        <v>106</v>
      </c>
      <c r="F151" s="4" t="s">
        <v>99</v>
      </c>
      <c r="G151" s="3" t="n">
        <v>3</v>
      </c>
      <c r="H151" s="6" t="n">
        <v>24.5</v>
      </c>
      <c r="I151" s="3" t="n">
        <v>2</v>
      </c>
      <c r="J151" s="3" t="n">
        <v>6</v>
      </c>
      <c r="K151" s="7" t="n">
        <v>208.59</v>
      </c>
      <c r="L151" s="7" t="n">
        <v>26.21</v>
      </c>
      <c r="M151" s="8" t="n">
        <v>163</v>
      </c>
      <c r="N151" s="8" t="n">
        <v>278</v>
      </c>
      <c r="O151" s="7" t="n">
        <v>208.59</v>
      </c>
      <c r="P151" s="6" t="n">
        <v>16.4</v>
      </c>
      <c r="Q151" s="7" t="n">
        <v>-0.305</v>
      </c>
      <c r="R151" s="7" t="n">
        <v>-0.7</v>
      </c>
      <c r="S151" s="4" t="s">
        <v>102</v>
      </c>
      <c r="T151" s="4"/>
      <c r="U151" s="8" t="n">
        <v>14</v>
      </c>
      <c r="V151" s="6" t="n">
        <v>75.9</v>
      </c>
      <c r="W151" s="7" t="n">
        <v>5.421</v>
      </c>
      <c r="X151" s="8" t="n">
        <v>70</v>
      </c>
      <c r="Y151" s="8" t="n">
        <v>79</v>
      </c>
      <c r="Z151" s="10" t="n">
        <v>0.144</v>
      </c>
      <c r="AA151" s="8" t="n">
        <v>167</v>
      </c>
      <c r="AB151" s="10" t="n">
        <v>0.378</v>
      </c>
      <c r="AC151" s="8" t="n">
        <v>45</v>
      </c>
      <c r="AD151" s="6" t="n">
        <v>46.7</v>
      </c>
      <c r="AE151" s="10" t="n">
        <v>0.521</v>
      </c>
      <c r="AF151" s="8" t="n">
        <v>3</v>
      </c>
      <c r="AG151" s="10" t="n">
        <v>-0.0456</v>
      </c>
      <c r="AH151" s="6" t="n">
        <v>28.3</v>
      </c>
    </row>
    <row r="152" customFormat="false" ht="15" hidden="false" customHeight="false" outlineLevel="0" collapsed="false">
      <c r="A152" s="3" t="n">
        <v>150</v>
      </c>
      <c r="B152" s="4" t="s">
        <v>256</v>
      </c>
      <c r="C152" s="11" t="s">
        <v>104</v>
      </c>
      <c r="D152" s="4" t="s">
        <v>257</v>
      </c>
      <c r="E152" s="4" t="s">
        <v>258</v>
      </c>
      <c r="F152" s="4" t="s">
        <v>104</v>
      </c>
      <c r="G152" s="3" t="n">
        <v>1</v>
      </c>
      <c r="H152" s="6" t="n">
        <v>22.8</v>
      </c>
      <c r="I152" s="3" t="n">
        <v>2</v>
      </c>
      <c r="J152" s="3" t="n">
        <v>11</v>
      </c>
      <c r="K152" s="7" t="n">
        <v>60.99</v>
      </c>
      <c r="L152" s="7" t="n">
        <v>8.96</v>
      </c>
      <c r="M152" s="8" t="n">
        <v>41</v>
      </c>
      <c r="N152" s="8" t="n">
        <v>78</v>
      </c>
      <c r="O152" s="7" t="n">
        <v>60.99</v>
      </c>
      <c r="P152" s="6" t="n">
        <v>93.8</v>
      </c>
      <c r="Q152" s="7" t="n">
        <v>-0.325</v>
      </c>
      <c r="R152" s="7" t="n">
        <v>-0.282</v>
      </c>
      <c r="S152" s="4" t="s">
        <v>102</v>
      </c>
      <c r="T152" s="4"/>
      <c r="U152" s="8" t="n">
        <v>14</v>
      </c>
      <c r="V152" s="6" t="n">
        <v>169.8</v>
      </c>
      <c r="W152" s="7" t="n">
        <v>12.129</v>
      </c>
      <c r="X152" s="8" t="n">
        <v>26</v>
      </c>
      <c r="Y152" s="8" t="n">
        <v>88</v>
      </c>
      <c r="Z152" s="10" t="n">
        <v>0.169</v>
      </c>
      <c r="AA152" s="8" t="n">
        <v>37</v>
      </c>
      <c r="AB152" s="10" t="n">
        <v>0.088</v>
      </c>
      <c r="AC152" s="8" t="n">
        <v>23</v>
      </c>
      <c r="AD152" s="6" t="n">
        <v>15.1</v>
      </c>
      <c r="AE152" s="10" t="n">
        <v>0.261</v>
      </c>
      <c r="AF152" s="8" t="n">
        <v>1</v>
      </c>
      <c r="AG152" s="10" t="n">
        <v>-0.0372</v>
      </c>
      <c r="AH152" s="6" t="n">
        <v>16.4</v>
      </c>
    </row>
    <row r="153" customFormat="false" ht="15" hidden="false" customHeight="false" outlineLevel="0" collapsed="false">
      <c r="A153" s="3" t="n">
        <v>151</v>
      </c>
      <c r="B153" s="4" t="s">
        <v>365</v>
      </c>
      <c r="C153" s="11" t="s">
        <v>104</v>
      </c>
      <c r="D153" s="4" t="s">
        <v>366</v>
      </c>
      <c r="E153" s="4" t="s">
        <v>109</v>
      </c>
      <c r="F153" s="4" t="s">
        <v>104</v>
      </c>
      <c r="G153" s="3" t="n">
        <v>2</v>
      </c>
      <c r="H153" s="6" t="n">
        <v>25.7</v>
      </c>
      <c r="I153" s="3" t="n">
        <v>3</v>
      </c>
      <c r="J153" s="3" t="n">
        <v>11</v>
      </c>
      <c r="K153" s="7" t="n">
        <v>112.83</v>
      </c>
      <c r="L153" s="7" t="n">
        <v>13.44</v>
      </c>
      <c r="M153" s="8" t="n">
        <v>84</v>
      </c>
      <c r="N153" s="8" t="n">
        <v>145</v>
      </c>
      <c r="O153" s="7" t="n">
        <v>112.83</v>
      </c>
      <c r="P153" s="6" t="n">
        <v>79.7</v>
      </c>
      <c r="Q153" s="7" t="n">
        <v>-0.328</v>
      </c>
      <c r="R153" s="7" t="n">
        <v>-0.679</v>
      </c>
      <c r="S153" s="4" t="s">
        <v>102</v>
      </c>
      <c r="T153" s="4"/>
      <c r="U153" s="8" t="n">
        <v>17</v>
      </c>
      <c r="V153" s="6" t="n">
        <v>122.2</v>
      </c>
      <c r="W153" s="7" t="n">
        <v>7.188</v>
      </c>
      <c r="X153" s="8" t="n">
        <v>39</v>
      </c>
      <c r="Y153" s="8" t="n">
        <v>15</v>
      </c>
      <c r="Z153" s="10" t="n">
        <v>0.026</v>
      </c>
      <c r="AA153" s="8" t="n">
        <v>0</v>
      </c>
      <c r="AB153" s="10" t="n">
        <v>0</v>
      </c>
      <c r="AC153" s="8" t="n">
        <v>1</v>
      </c>
      <c r="AD153" s="6" t="n">
        <v>80.4</v>
      </c>
      <c r="AE153" s="10" t="n">
        <v>0.904</v>
      </c>
      <c r="AF153" s="8" t="n">
        <v>5</v>
      </c>
      <c r="AG153" s="10" t="n">
        <v>0.0296</v>
      </c>
      <c r="AH153" s="6" t="n">
        <v>30.5</v>
      </c>
    </row>
    <row r="154" customFormat="false" ht="15" hidden="false" customHeight="false" outlineLevel="0" collapsed="false">
      <c r="A154" s="3" t="n">
        <v>152</v>
      </c>
      <c r="B154" s="4" t="s">
        <v>373</v>
      </c>
      <c r="C154" s="12" t="s">
        <v>149</v>
      </c>
      <c r="D154" s="4" t="s">
        <v>374</v>
      </c>
      <c r="E154" s="4" t="s">
        <v>147</v>
      </c>
      <c r="F154" s="4" t="s">
        <v>149</v>
      </c>
      <c r="G154" s="3" t="n">
        <v>1</v>
      </c>
      <c r="H154" s="6" t="n">
        <v>26.8</v>
      </c>
      <c r="I154" s="3" t="n">
        <v>4</v>
      </c>
      <c r="J154" s="3" t="n">
        <v>7</v>
      </c>
      <c r="K154" s="7" t="n">
        <v>114.64</v>
      </c>
      <c r="L154" s="7" t="n">
        <v>14.17</v>
      </c>
      <c r="M154" s="8" t="n">
        <v>95</v>
      </c>
      <c r="N154" s="8" t="n">
        <v>155</v>
      </c>
      <c r="O154" s="7" t="n">
        <v>114.64</v>
      </c>
      <c r="P154" s="6" t="n">
        <v>80</v>
      </c>
      <c r="Q154" s="7" t="n">
        <v>-0.329</v>
      </c>
      <c r="R154" s="7" t="n">
        <v>-0.154</v>
      </c>
      <c r="S154" s="4" t="s">
        <v>102</v>
      </c>
      <c r="T154" s="4"/>
      <c r="U154" s="8" t="n">
        <v>12</v>
      </c>
      <c r="V154" s="6" t="n">
        <v>126.1</v>
      </c>
      <c r="W154" s="7" t="n">
        <v>10.508</v>
      </c>
      <c r="X154" s="8" t="n">
        <v>18</v>
      </c>
      <c r="Y154" s="8" t="n">
        <v>19</v>
      </c>
      <c r="Z154" s="10" t="n">
        <v>0.04</v>
      </c>
      <c r="AA154" s="8" t="n">
        <v>17</v>
      </c>
      <c r="AB154" s="10" t="n">
        <v>0.031</v>
      </c>
      <c r="AC154" s="8" t="n">
        <v>2</v>
      </c>
      <c r="AD154" s="6" t="n">
        <v>73.6</v>
      </c>
      <c r="AE154" s="10" t="n">
        <v>0.763</v>
      </c>
      <c r="AF154" s="8" t="n">
        <v>4</v>
      </c>
      <c r="AG154" s="10" t="n">
        <v>-0.0352</v>
      </c>
      <c r="AH154" s="6" t="n">
        <v>28.3</v>
      </c>
    </row>
    <row r="155" customFormat="false" ht="15" hidden="false" customHeight="false" outlineLevel="0" collapsed="false">
      <c r="A155" s="3" t="n">
        <v>153</v>
      </c>
      <c r="B155" s="4" t="s">
        <v>259</v>
      </c>
      <c r="C155" s="11" t="s">
        <v>104</v>
      </c>
      <c r="D155" s="4" t="s">
        <v>260</v>
      </c>
      <c r="E155" s="4" t="s">
        <v>139</v>
      </c>
      <c r="F155" s="4" t="s">
        <v>104</v>
      </c>
      <c r="G155" s="3" t="n">
        <v>1</v>
      </c>
      <c r="H155" s="6" t="n">
        <v>29.2</v>
      </c>
      <c r="I155" s="3" t="n">
        <v>8</v>
      </c>
      <c r="J155" s="3" t="n">
        <v>8</v>
      </c>
      <c r="K155" s="7" t="n">
        <v>61.73</v>
      </c>
      <c r="L155" s="7" t="n">
        <v>9.12</v>
      </c>
      <c r="M155" s="8" t="n">
        <v>42</v>
      </c>
      <c r="N155" s="8" t="n">
        <v>84</v>
      </c>
      <c r="O155" s="7" t="n">
        <v>61.73</v>
      </c>
      <c r="P155" s="6" t="n">
        <v>92.6</v>
      </c>
      <c r="Q155" s="7" t="n">
        <v>-0.333</v>
      </c>
      <c r="R155" s="7" t="n">
        <v>-0.641</v>
      </c>
      <c r="S155" s="4" t="s">
        <v>102</v>
      </c>
      <c r="T155" s="4"/>
      <c r="U155" s="8" t="n">
        <v>17</v>
      </c>
      <c r="V155" s="6" t="n">
        <v>166.92</v>
      </c>
      <c r="W155" s="7" t="n">
        <v>9.819</v>
      </c>
      <c r="X155" s="8" t="n">
        <v>27</v>
      </c>
      <c r="Y155" s="8" t="n">
        <v>82</v>
      </c>
      <c r="Z155" s="10" t="n">
        <v>0.148</v>
      </c>
      <c r="AA155" s="8" t="n">
        <v>21</v>
      </c>
      <c r="AB155" s="10" t="n">
        <v>0.044</v>
      </c>
      <c r="AC155" s="8" t="n">
        <v>18</v>
      </c>
      <c r="AD155" s="6" t="n">
        <v>45.8</v>
      </c>
      <c r="AE155" s="10" t="n">
        <v>0.713</v>
      </c>
      <c r="AF155" s="8" t="n">
        <v>2</v>
      </c>
      <c r="AG155" s="10" t="n">
        <v>-0.0098</v>
      </c>
      <c r="AH155" s="6" t="n">
        <v>23.8</v>
      </c>
    </row>
    <row r="156" customFormat="false" ht="15" hidden="false" customHeight="false" outlineLevel="0" collapsed="false">
      <c r="A156" s="3" t="n">
        <v>154</v>
      </c>
      <c r="B156" s="4" t="s">
        <v>371</v>
      </c>
      <c r="C156" s="11" t="s">
        <v>104</v>
      </c>
      <c r="D156" s="4" t="s">
        <v>372</v>
      </c>
      <c r="E156" s="4" t="s">
        <v>127</v>
      </c>
      <c r="F156" s="4" t="s">
        <v>104</v>
      </c>
      <c r="G156" s="3" t="n">
        <v>1</v>
      </c>
      <c r="H156" s="6" t="n">
        <v>31.7</v>
      </c>
      <c r="I156" s="3" t="n">
        <v>10</v>
      </c>
      <c r="J156" s="3" t="n">
        <v>6</v>
      </c>
      <c r="K156" s="7" t="n">
        <v>113.67</v>
      </c>
      <c r="L156" s="7" t="n">
        <v>13.47</v>
      </c>
      <c r="M156" s="8" t="n">
        <v>77</v>
      </c>
      <c r="N156" s="8" t="n">
        <v>141</v>
      </c>
      <c r="O156" s="7" t="n">
        <v>113.67</v>
      </c>
      <c r="P156" s="6" t="n">
        <v>76.9</v>
      </c>
      <c r="Q156" s="7" t="n">
        <v>-0.337</v>
      </c>
      <c r="R156" s="7" t="n">
        <v>-0.03</v>
      </c>
      <c r="S156" s="4" t="s">
        <v>102</v>
      </c>
      <c r="T156" s="4"/>
      <c r="U156" s="8" t="n">
        <v>12</v>
      </c>
      <c r="V156" s="6" t="n">
        <v>118.7</v>
      </c>
      <c r="W156" s="7" t="n">
        <v>9.892</v>
      </c>
      <c r="X156" s="8" t="n">
        <v>40</v>
      </c>
      <c r="Y156" s="8" t="n">
        <v>82</v>
      </c>
      <c r="Z156" s="10" t="n">
        <v>0.175</v>
      </c>
      <c r="AA156" s="8" t="n">
        <v>24</v>
      </c>
      <c r="AB156" s="10" t="n">
        <v>0.059</v>
      </c>
      <c r="AC156" s="8" t="n">
        <v>17</v>
      </c>
      <c r="AD156" s="6" t="n">
        <v>36</v>
      </c>
      <c r="AE156" s="10" t="n">
        <v>0.819</v>
      </c>
      <c r="AF156" s="8" t="n">
        <v>5</v>
      </c>
      <c r="AG156" s="10" t="n">
        <v>-0.012</v>
      </c>
      <c r="AH156" s="6" t="n">
        <v>20.2</v>
      </c>
    </row>
    <row r="157" customFormat="false" ht="15" hidden="false" customHeight="false" outlineLevel="0" collapsed="false">
      <c r="A157" s="3" t="n">
        <v>155</v>
      </c>
      <c r="B157" s="4" t="s">
        <v>154</v>
      </c>
      <c r="C157" s="12" t="s">
        <v>149</v>
      </c>
      <c r="D157" s="4" t="s">
        <v>155</v>
      </c>
      <c r="E157" s="4" t="s">
        <v>142</v>
      </c>
      <c r="F157" s="4" t="s">
        <v>149</v>
      </c>
      <c r="G157" s="3" t="n">
        <v>1</v>
      </c>
      <c r="H157" s="6" t="n">
        <v>23.7</v>
      </c>
      <c r="I157" s="3" t="n">
        <v>3</v>
      </c>
      <c r="J157" s="3" t="n">
        <v>13</v>
      </c>
      <c r="K157" s="7" t="n">
        <v>20.44</v>
      </c>
      <c r="L157" s="7" t="n">
        <v>3.47</v>
      </c>
      <c r="M157" s="8" t="n">
        <v>11</v>
      </c>
      <c r="N157" s="8" t="n">
        <v>32</v>
      </c>
      <c r="O157" s="7" t="n">
        <v>20.44</v>
      </c>
      <c r="P157" s="6" t="n">
        <v>99.5</v>
      </c>
      <c r="Q157" s="7" t="n">
        <v>-0.376</v>
      </c>
      <c r="R157" s="7" t="n">
        <v>0.018</v>
      </c>
      <c r="S157" s="4" t="s">
        <v>121</v>
      </c>
      <c r="T157" s="4"/>
      <c r="U157" s="8" t="n">
        <v>12</v>
      </c>
      <c r="V157" s="6" t="n">
        <v>176.2</v>
      </c>
      <c r="W157" s="7" t="n">
        <v>14.683</v>
      </c>
      <c r="X157" s="8" t="n">
        <v>11</v>
      </c>
      <c r="Y157" s="8" t="n">
        <v>55</v>
      </c>
      <c r="Z157" s="10" t="n">
        <v>0.111</v>
      </c>
      <c r="AA157" s="8" t="n">
        <v>58</v>
      </c>
      <c r="AB157" s="10" t="n">
        <v>0.157</v>
      </c>
      <c r="AC157" s="8" t="n">
        <v>13</v>
      </c>
      <c r="AD157" s="6" t="n">
        <v>15.2</v>
      </c>
      <c r="AE157" s="10" t="n">
        <v>0.384</v>
      </c>
      <c r="AF157" s="8" t="n">
        <v>2</v>
      </c>
      <c r="AG157" s="10" t="n">
        <v>-0.0175</v>
      </c>
      <c r="AH157" s="6" t="n">
        <v>14.2</v>
      </c>
    </row>
    <row r="158" customFormat="false" ht="15" hidden="false" customHeight="false" outlineLevel="0" collapsed="false">
      <c r="A158" s="3" t="n">
        <v>156</v>
      </c>
      <c r="B158" s="4" t="s">
        <v>166</v>
      </c>
      <c r="C158" s="5" t="s">
        <v>99</v>
      </c>
      <c r="D158" s="4" t="s">
        <v>167</v>
      </c>
      <c r="E158" s="4" t="s">
        <v>136</v>
      </c>
      <c r="F158" s="4" t="s">
        <v>99</v>
      </c>
      <c r="G158" s="3" t="n">
        <v>1</v>
      </c>
      <c r="H158" s="6" t="n">
        <v>27.8</v>
      </c>
      <c r="I158" s="3" t="n">
        <v>6</v>
      </c>
      <c r="J158" s="3" t="n">
        <v>10</v>
      </c>
      <c r="K158" s="7" t="n">
        <v>23.99</v>
      </c>
      <c r="L158" s="7" t="n">
        <v>7.6</v>
      </c>
      <c r="M158" s="8" t="n">
        <v>11</v>
      </c>
      <c r="N158" s="8" t="n">
        <v>48</v>
      </c>
      <c r="O158" s="7" t="n">
        <v>23.99</v>
      </c>
      <c r="P158" s="6" t="n">
        <v>97.9</v>
      </c>
      <c r="Q158" s="7" t="n">
        <v>-0.381</v>
      </c>
      <c r="R158" s="7" t="n">
        <v>-0.863</v>
      </c>
      <c r="S158" s="4" t="s">
        <v>121</v>
      </c>
      <c r="T158" s="4"/>
      <c r="U158" s="8" t="n">
        <v>17</v>
      </c>
      <c r="V158" s="6" t="n">
        <v>201.8</v>
      </c>
      <c r="W158" s="7" t="n">
        <v>11.871</v>
      </c>
      <c r="X158" s="8" t="n">
        <v>20</v>
      </c>
      <c r="Y158" s="8" t="n">
        <v>175</v>
      </c>
      <c r="Z158" s="10" t="n">
        <v>0.377</v>
      </c>
      <c r="AA158" s="8" t="n">
        <v>12</v>
      </c>
      <c r="AB158" s="10" t="n">
        <v>0.025</v>
      </c>
      <c r="AC158" s="8" t="n">
        <v>23</v>
      </c>
      <c r="AD158" s="6" t="n">
        <v>48.2</v>
      </c>
      <c r="AE158" s="10" t="n">
        <v>0.909</v>
      </c>
      <c r="AF158" s="8" t="n">
        <v>5</v>
      </c>
      <c r="AG158" s="10" t="n">
        <v>-0.0248</v>
      </c>
      <c r="AH158" s="6" t="n">
        <v>22.3</v>
      </c>
    </row>
    <row r="159" customFormat="false" ht="15" hidden="false" customHeight="false" outlineLevel="0" collapsed="false">
      <c r="A159" s="3" t="n">
        <v>157</v>
      </c>
      <c r="B159" s="4" t="s">
        <v>201</v>
      </c>
      <c r="C159" s="12" t="s">
        <v>149</v>
      </c>
      <c r="D159" s="4" t="s">
        <v>202</v>
      </c>
      <c r="E159" s="4" t="s">
        <v>203</v>
      </c>
      <c r="F159" s="4" t="s">
        <v>149</v>
      </c>
      <c r="G159" s="3" t="n">
        <v>1</v>
      </c>
      <c r="H159" s="6" t="n">
        <v>22.4</v>
      </c>
      <c r="I159" s="3" t="n">
        <v>2</v>
      </c>
      <c r="J159" s="3" t="n">
        <v>10</v>
      </c>
      <c r="K159" s="7" t="n">
        <v>37.97</v>
      </c>
      <c r="L159" s="7" t="n">
        <v>14.42</v>
      </c>
      <c r="M159" s="8" t="n">
        <v>22</v>
      </c>
      <c r="N159" s="8" t="n">
        <v>97</v>
      </c>
      <c r="O159" s="7" t="n">
        <v>37.97</v>
      </c>
      <c r="P159" s="6" t="n">
        <v>99.1</v>
      </c>
      <c r="Q159" s="7" t="n">
        <v>-0.384</v>
      </c>
      <c r="R159" s="7" t="n">
        <v>-0.56</v>
      </c>
      <c r="S159" s="4" t="s">
        <v>121</v>
      </c>
      <c r="T159" s="4"/>
      <c r="U159" s="8" t="n">
        <v>16</v>
      </c>
      <c r="V159" s="6" t="n">
        <v>165.1</v>
      </c>
      <c r="W159" s="7" t="n">
        <v>10.319</v>
      </c>
      <c r="X159" s="8" t="n">
        <v>12</v>
      </c>
      <c r="Y159" s="8" t="n">
        <v>161</v>
      </c>
      <c r="Z159" s="10" t="n">
        <v>0.303</v>
      </c>
      <c r="AA159" s="8" t="n">
        <v>20</v>
      </c>
      <c r="AB159" s="10" t="n">
        <v>0.04</v>
      </c>
      <c r="AC159" s="8" t="n">
        <v>26</v>
      </c>
      <c r="AD159" s="6" t="n">
        <v>76.3</v>
      </c>
      <c r="AE159" s="10" t="n">
        <v>0.802</v>
      </c>
      <c r="AF159" s="8" t="n">
        <v>4</v>
      </c>
      <c r="AG159" s="10" t="n">
        <v>-0.039</v>
      </c>
      <c r="AH159" s="6" t="n">
        <v>25.9</v>
      </c>
    </row>
    <row r="160" customFormat="false" ht="15" hidden="false" customHeight="false" outlineLevel="0" collapsed="false">
      <c r="A160" s="3" t="n">
        <v>158</v>
      </c>
      <c r="B160" s="4" t="s">
        <v>488</v>
      </c>
      <c r="C160" s="11" t="s">
        <v>104</v>
      </c>
      <c r="D160" s="4" t="s">
        <v>489</v>
      </c>
      <c r="E160" s="4" t="s">
        <v>147</v>
      </c>
      <c r="F160" s="4" t="s">
        <v>281</v>
      </c>
      <c r="G160" s="3" t="n">
        <v>1</v>
      </c>
      <c r="H160" s="6" t="n">
        <v>26.7</v>
      </c>
      <c r="I160" s="3" t="n">
        <v>3</v>
      </c>
      <c r="J160" s="3" t="n">
        <v>7</v>
      </c>
      <c r="K160" s="7" t="n">
        <v>192.99</v>
      </c>
      <c r="L160" s="7" t="n">
        <v>30.27</v>
      </c>
      <c r="M160" s="8" t="n">
        <v>143</v>
      </c>
      <c r="N160" s="8" t="n">
        <v>263</v>
      </c>
      <c r="O160" s="7" t="n">
        <v>192.99</v>
      </c>
      <c r="P160" s="6" t="n">
        <v>13.5</v>
      </c>
      <c r="Q160" s="7" t="n">
        <v>-0.392</v>
      </c>
      <c r="R160" s="7" t="n">
        <v>-0.655</v>
      </c>
      <c r="S160" s="4" t="s">
        <v>121</v>
      </c>
      <c r="T160" s="4"/>
      <c r="U160" s="8" t="n">
        <v>17</v>
      </c>
      <c r="V160" s="6" t="n">
        <v>64.1</v>
      </c>
      <c r="W160" s="7" t="n">
        <v>3.771</v>
      </c>
      <c r="X160" s="8" t="n">
        <v>55</v>
      </c>
      <c r="Y160" s="8" t="n">
        <v>19</v>
      </c>
      <c r="Z160" s="10" t="n">
        <v>0.04</v>
      </c>
      <c r="AA160" s="8" t="n">
        <v>17</v>
      </c>
      <c r="AB160" s="10" t="n">
        <v>0.031</v>
      </c>
      <c r="AC160" s="8" t="n">
        <v>2</v>
      </c>
      <c r="AD160" s="6" t="n">
        <v>73.6</v>
      </c>
      <c r="AE160" s="10" t="n">
        <v>0.763</v>
      </c>
      <c r="AF160" s="8" t="n">
        <v>4</v>
      </c>
      <c r="AG160" s="10" t="n">
        <v>-0.0352</v>
      </c>
      <c r="AH160" s="6" t="n">
        <v>28.3</v>
      </c>
    </row>
    <row r="161" customFormat="false" ht="15" hidden="false" customHeight="false" outlineLevel="0" collapsed="false">
      <c r="A161" s="3" t="n">
        <v>159</v>
      </c>
      <c r="B161" s="4" t="s">
        <v>387</v>
      </c>
      <c r="C161" s="13" t="s">
        <v>172</v>
      </c>
      <c r="D161" s="4" t="s">
        <v>388</v>
      </c>
      <c r="E161" s="4" t="s">
        <v>158</v>
      </c>
      <c r="F161" s="4" t="s">
        <v>172</v>
      </c>
      <c r="G161" s="3" t="n">
        <v>1</v>
      </c>
      <c r="H161" s="6" t="n">
        <v>26.9</v>
      </c>
      <c r="I161" s="3" t="n">
        <v>2</v>
      </c>
      <c r="J161" s="3" t="n">
        <v>8</v>
      </c>
      <c r="K161" s="7" t="n">
        <v>122.47</v>
      </c>
      <c r="L161" s="7" t="n">
        <v>14.13</v>
      </c>
      <c r="M161" s="8" t="n">
        <v>104</v>
      </c>
      <c r="N161" s="8" t="n">
        <v>195</v>
      </c>
      <c r="O161" s="7" t="n">
        <v>122.47</v>
      </c>
      <c r="P161" s="6" t="n">
        <v>47.8</v>
      </c>
      <c r="Q161" s="7" t="n">
        <v>-0.396</v>
      </c>
      <c r="R161" s="7" t="n">
        <v>-0.265</v>
      </c>
      <c r="S161" s="4" t="s">
        <v>121</v>
      </c>
      <c r="T161" s="4"/>
      <c r="U161" s="8" t="n">
        <v>11</v>
      </c>
      <c r="V161" s="6" t="n">
        <v>157.96</v>
      </c>
      <c r="W161" s="7" t="n">
        <v>14.36</v>
      </c>
      <c r="X161" s="8" t="n">
        <v>26</v>
      </c>
      <c r="Y161" s="8" t="n">
        <v>127</v>
      </c>
      <c r="Z161" s="10" t="n">
        <v>0.225</v>
      </c>
      <c r="AA161" s="8" t="n">
        <v>21</v>
      </c>
      <c r="AB161" s="10" t="n">
        <v>0.048</v>
      </c>
      <c r="AC161" s="8" t="n">
        <v>15</v>
      </c>
      <c r="AD161" s="6" t="n">
        <v>41.9</v>
      </c>
      <c r="AE161" s="10" t="n">
        <v>0.784</v>
      </c>
      <c r="AF161" s="8" t="n">
        <v>4</v>
      </c>
      <c r="AG161" s="10" t="n">
        <v>-0.0301</v>
      </c>
      <c r="AH161" s="6" t="n">
        <v>18</v>
      </c>
    </row>
    <row r="162" customFormat="false" ht="15" hidden="false" customHeight="false" outlineLevel="0" collapsed="false">
      <c r="A162" s="3" t="n">
        <v>160</v>
      </c>
      <c r="B162" s="4" t="s">
        <v>556</v>
      </c>
      <c r="C162" s="12" t="s">
        <v>149</v>
      </c>
      <c r="D162" s="4" t="s">
        <v>557</v>
      </c>
      <c r="E162" s="4" t="s">
        <v>109</v>
      </c>
      <c r="F162" s="4" t="s">
        <v>149</v>
      </c>
      <c r="G162" s="3" t="n">
        <v>3</v>
      </c>
      <c r="H162" s="6" t="n">
        <v>23.4</v>
      </c>
      <c r="I162" s="3" t="n">
        <v>2</v>
      </c>
      <c r="J162" s="3" t="n">
        <v>11</v>
      </c>
      <c r="K162" s="7" t="n">
        <v>235.18</v>
      </c>
      <c r="L162" s="7" t="n">
        <v>24.88</v>
      </c>
      <c r="M162" s="8" t="n">
        <v>173</v>
      </c>
      <c r="N162" s="8" t="n">
        <v>290</v>
      </c>
      <c r="O162" s="7" t="n">
        <v>235.18</v>
      </c>
      <c r="P162" s="6" t="n">
        <v>18.5</v>
      </c>
      <c r="Q162" s="7" t="n">
        <v>-0.411</v>
      </c>
      <c r="R162" s="7" t="n">
        <v>-0.411</v>
      </c>
      <c r="S162" s="4" t="s">
        <v>121</v>
      </c>
      <c r="T162" s="4"/>
      <c r="U162" s="8" t="n">
        <v>11</v>
      </c>
      <c r="V162" s="6" t="n">
        <v>52.1</v>
      </c>
      <c r="W162" s="7" t="n">
        <v>4.736</v>
      </c>
      <c r="X162" s="8" t="n">
        <v>32</v>
      </c>
      <c r="Y162" s="8" t="n">
        <v>15</v>
      </c>
      <c r="Z162" s="10" t="n">
        <v>0.026</v>
      </c>
      <c r="AA162" s="8" t="n">
        <v>0</v>
      </c>
      <c r="AB162" s="10" t="n">
        <v>0</v>
      </c>
      <c r="AC162" s="8" t="n">
        <v>1</v>
      </c>
      <c r="AD162" s="6" t="n">
        <v>80.4</v>
      </c>
      <c r="AE162" s="10" t="n">
        <v>0.904</v>
      </c>
      <c r="AF162" s="8" t="n">
        <v>5</v>
      </c>
      <c r="AG162" s="10" t="n">
        <v>0.0296</v>
      </c>
      <c r="AH162" s="6" t="n">
        <v>30.5</v>
      </c>
    </row>
    <row r="163" customFormat="false" ht="15" hidden="false" customHeight="false" outlineLevel="0" collapsed="false">
      <c r="A163" s="3" t="n">
        <v>161</v>
      </c>
      <c r="B163" s="4" t="s">
        <v>431</v>
      </c>
      <c r="C163" s="11" t="s">
        <v>104</v>
      </c>
      <c r="D163" s="4" t="s">
        <v>432</v>
      </c>
      <c r="E163" s="4" t="s">
        <v>258</v>
      </c>
      <c r="F163" s="4" t="s">
        <v>104</v>
      </c>
      <c r="G163" s="3" t="n">
        <v>2</v>
      </c>
      <c r="H163" s="6" t="n">
        <v>21.9</v>
      </c>
      <c r="I163" s="3" t="n">
        <v>2</v>
      </c>
      <c r="J163" s="3" t="n">
        <v>11</v>
      </c>
      <c r="K163" s="7" t="n">
        <v>149.56</v>
      </c>
      <c r="L163" s="7" t="n">
        <v>17.35</v>
      </c>
      <c r="M163" s="8" t="n">
        <v>103</v>
      </c>
      <c r="N163" s="8" t="n">
        <v>203</v>
      </c>
      <c r="O163" s="7" t="n">
        <v>149.56</v>
      </c>
      <c r="P163" s="6" t="n">
        <v>21.1</v>
      </c>
      <c r="Q163" s="7" t="n">
        <v>-0.421</v>
      </c>
      <c r="R163" s="7" t="n">
        <v>-0.509</v>
      </c>
      <c r="S163" s="4" t="s">
        <v>121</v>
      </c>
      <c r="T163" s="4"/>
      <c r="U163" s="8" t="n">
        <v>15</v>
      </c>
      <c r="V163" s="6" t="n">
        <v>87.6</v>
      </c>
      <c r="W163" s="7" t="n">
        <v>5.84</v>
      </c>
      <c r="X163" s="8" t="n">
        <v>50</v>
      </c>
      <c r="Y163" s="8" t="n">
        <v>88</v>
      </c>
      <c r="Z163" s="10" t="n">
        <v>0.169</v>
      </c>
      <c r="AA163" s="8" t="n">
        <v>37</v>
      </c>
      <c r="AB163" s="10" t="n">
        <v>0.088</v>
      </c>
      <c r="AC163" s="8" t="n">
        <v>23</v>
      </c>
      <c r="AD163" s="6" t="n">
        <v>15.1</v>
      </c>
      <c r="AE163" s="10" t="n">
        <v>0.261</v>
      </c>
      <c r="AF163" s="8" t="n">
        <v>1</v>
      </c>
      <c r="AG163" s="10" t="n">
        <v>-0.0372</v>
      </c>
      <c r="AH163" s="6" t="n">
        <v>16.4</v>
      </c>
    </row>
    <row r="164" customFormat="false" ht="15" hidden="false" customHeight="false" outlineLevel="0" collapsed="false">
      <c r="A164" s="3" t="n">
        <v>162</v>
      </c>
      <c r="B164" s="4" t="s">
        <v>433</v>
      </c>
      <c r="C164" s="11" t="s">
        <v>104</v>
      </c>
      <c r="D164" s="4" t="s">
        <v>434</v>
      </c>
      <c r="E164" s="4" t="s">
        <v>106</v>
      </c>
      <c r="F164" s="4" t="s">
        <v>104</v>
      </c>
      <c r="G164" s="3" t="n">
        <v>2</v>
      </c>
      <c r="H164" s="6" t="n">
        <v>27.5</v>
      </c>
      <c r="I164" s="3" t="n">
        <v>5</v>
      </c>
      <c r="J164" s="3" t="n">
        <v>6</v>
      </c>
      <c r="K164" s="7" t="n">
        <v>151.56</v>
      </c>
      <c r="L164" s="7" t="n">
        <v>12.45</v>
      </c>
      <c r="M164" s="8" t="n">
        <v>118</v>
      </c>
      <c r="N164" s="8" t="n">
        <v>189</v>
      </c>
      <c r="O164" s="7" t="n">
        <v>151.56</v>
      </c>
      <c r="P164" s="6" t="n">
        <v>43</v>
      </c>
      <c r="Q164" s="7" t="n">
        <v>-0.429</v>
      </c>
      <c r="R164" s="7" t="n">
        <v>-0.298</v>
      </c>
      <c r="S164" s="4" t="s">
        <v>121</v>
      </c>
      <c r="T164" s="4"/>
      <c r="U164" s="8" t="n">
        <v>13</v>
      </c>
      <c r="V164" s="6" t="n">
        <v>87.3</v>
      </c>
      <c r="W164" s="7" t="n">
        <v>6.715</v>
      </c>
      <c r="X164" s="8" t="n">
        <v>51</v>
      </c>
      <c r="Y164" s="8" t="n">
        <v>79</v>
      </c>
      <c r="Z164" s="10" t="n">
        <v>0.144</v>
      </c>
      <c r="AA164" s="8" t="n">
        <v>167</v>
      </c>
      <c r="AB164" s="10" t="n">
        <v>0.378</v>
      </c>
      <c r="AC164" s="8" t="n">
        <v>45</v>
      </c>
      <c r="AD164" s="6" t="n">
        <v>46.7</v>
      </c>
      <c r="AE164" s="10" t="n">
        <v>0.521</v>
      </c>
      <c r="AF164" s="8" t="n">
        <v>3</v>
      </c>
      <c r="AG164" s="10" t="n">
        <v>-0.0456</v>
      </c>
      <c r="AH164" s="6" t="n">
        <v>28.3</v>
      </c>
    </row>
    <row r="165" customFormat="false" ht="15" hidden="false" customHeight="false" outlineLevel="0" collapsed="false">
      <c r="A165" s="3" t="n">
        <v>163</v>
      </c>
      <c r="B165" s="4" t="s">
        <v>419</v>
      </c>
      <c r="C165" s="11" t="s">
        <v>104</v>
      </c>
      <c r="D165" s="4" t="s">
        <v>420</v>
      </c>
      <c r="E165" s="4" t="s">
        <v>235</v>
      </c>
      <c r="F165" s="4" t="s">
        <v>104</v>
      </c>
      <c r="G165" s="3" t="n">
        <v>2</v>
      </c>
      <c r="H165" s="6" t="n">
        <v>26.9</v>
      </c>
      <c r="I165" s="3" t="n">
        <v>4</v>
      </c>
      <c r="J165" s="3" t="n">
        <v>7</v>
      </c>
      <c r="K165" s="7" t="n">
        <v>143.1</v>
      </c>
      <c r="L165" s="7" t="n">
        <v>20.38</v>
      </c>
      <c r="M165" s="8" t="n">
        <v>118</v>
      </c>
      <c r="N165" s="8" t="n">
        <v>263</v>
      </c>
      <c r="O165" s="7" t="n">
        <v>143.1</v>
      </c>
      <c r="P165" s="6" t="n">
        <v>39</v>
      </c>
      <c r="Q165" s="7" t="n">
        <v>-0.431</v>
      </c>
      <c r="R165" s="7" t="n">
        <v>-0.344</v>
      </c>
      <c r="S165" s="4" t="s">
        <v>121</v>
      </c>
      <c r="T165" s="4"/>
      <c r="U165" s="8" t="n">
        <v>12</v>
      </c>
      <c r="V165" s="6" t="n">
        <v>92</v>
      </c>
      <c r="W165" s="7" t="n">
        <v>7.667</v>
      </c>
      <c r="X165" s="8" t="n">
        <v>47</v>
      </c>
      <c r="Y165" s="8" t="n">
        <v>132</v>
      </c>
      <c r="Z165" s="10" t="n">
        <v>0.241</v>
      </c>
      <c r="AA165" s="8" t="n">
        <v>271</v>
      </c>
      <c r="AB165" s="10" t="n">
        <v>0.554</v>
      </c>
      <c r="AC165" s="8" t="n">
        <v>85</v>
      </c>
      <c r="AD165" s="6" t="n">
        <v>44.3</v>
      </c>
      <c r="AE165" s="10" t="n">
        <v>1</v>
      </c>
      <c r="AF165" s="8" t="n">
        <v>5</v>
      </c>
      <c r="AG165" s="10" t="n">
        <v>0.0164</v>
      </c>
      <c r="AH165" s="6" t="n">
        <v>27.9</v>
      </c>
    </row>
    <row r="166" customFormat="false" ht="15" hidden="false" customHeight="false" outlineLevel="0" collapsed="false">
      <c r="A166" s="3" t="n">
        <v>164</v>
      </c>
      <c r="B166" s="4" t="s">
        <v>506</v>
      </c>
      <c r="C166" s="12" t="s">
        <v>149</v>
      </c>
      <c r="D166" s="4" t="s">
        <v>507</v>
      </c>
      <c r="E166" s="4" t="s">
        <v>161</v>
      </c>
      <c r="F166" s="4" t="s">
        <v>149</v>
      </c>
      <c r="G166" s="3" t="n">
        <v>1</v>
      </c>
      <c r="H166" s="6" t="n">
        <v>26.4</v>
      </c>
      <c r="I166" s="3" t="n">
        <v>5</v>
      </c>
      <c r="J166" s="3" t="n">
        <v>6</v>
      </c>
      <c r="K166" s="7" t="n">
        <v>200.16</v>
      </c>
      <c r="L166" s="7" t="n">
        <v>43.44</v>
      </c>
      <c r="M166" s="8" t="n">
        <v>131</v>
      </c>
      <c r="N166" s="8" t="n">
        <v>306</v>
      </c>
      <c r="O166" s="7" t="n">
        <v>200.16</v>
      </c>
      <c r="P166" s="6" t="n">
        <v>14.8</v>
      </c>
      <c r="Q166" s="7" t="n">
        <v>-0.465</v>
      </c>
      <c r="R166" s="7" t="n">
        <v>-0.334</v>
      </c>
      <c r="S166" s="4" t="s">
        <v>121</v>
      </c>
      <c r="T166" s="4"/>
      <c r="U166" s="8" t="n">
        <v>9</v>
      </c>
      <c r="V166" s="6" t="n">
        <v>62.8</v>
      </c>
      <c r="W166" s="7" t="n">
        <v>6.978</v>
      </c>
      <c r="X166" s="8" t="n">
        <v>30</v>
      </c>
      <c r="Y166" s="8" t="n">
        <v>209</v>
      </c>
      <c r="Z166" s="10" t="n">
        <v>0.452</v>
      </c>
      <c r="AA166" s="8" t="n">
        <v>28</v>
      </c>
      <c r="AB166" s="10" t="n">
        <v>0.065</v>
      </c>
      <c r="AC166" s="8" t="n">
        <v>32</v>
      </c>
      <c r="AD166" s="6" t="n">
        <v>38.6</v>
      </c>
      <c r="AE166" s="10" t="n">
        <v>0.672</v>
      </c>
      <c r="AF166" s="8" t="n">
        <v>4</v>
      </c>
      <c r="AG166" s="10" t="n">
        <v>-0.0584</v>
      </c>
      <c r="AH166" s="6" t="n">
        <v>20.4</v>
      </c>
    </row>
    <row r="167" customFormat="false" ht="15" hidden="false" customHeight="false" outlineLevel="0" collapsed="false">
      <c r="A167" s="3" t="n">
        <v>165</v>
      </c>
      <c r="B167" s="4" t="s">
        <v>311</v>
      </c>
      <c r="C167" s="5" t="s">
        <v>99</v>
      </c>
      <c r="D167" s="4" t="s">
        <v>312</v>
      </c>
      <c r="E167" s="4" t="s">
        <v>130</v>
      </c>
      <c r="F167" s="4" t="s">
        <v>99</v>
      </c>
      <c r="G167" s="3" t="n">
        <v>2</v>
      </c>
      <c r="H167" s="6" t="n">
        <v>25</v>
      </c>
      <c r="I167" s="3" t="n">
        <v>4</v>
      </c>
      <c r="J167" s="3" t="n">
        <v>13</v>
      </c>
      <c r="K167" s="7" t="n">
        <v>85.44</v>
      </c>
      <c r="L167" s="7" t="n">
        <v>13.37</v>
      </c>
      <c r="M167" s="8" t="n">
        <v>51</v>
      </c>
      <c r="N167" s="8" t="n">
        <v>126</v>
      </c>
      <c r="O167" s="7" t="n">
        <v>85.44</v>
      </c>
      <c r="P167" s="6" t="n">
        <v>77.9</v>
      </c>
      <c r="Q167" s="7" t="n">
        <v>-0.468</v>
      </c>
      <c r="R167" s="7" t="n">
        <v>-0.994</v>
      </c>
      <c r="S167" s="4" t="s">
        <v>121</v>
      </c>
      <c r="T167" s="4"/>
      <c r="U167" s="8" t="n">
        <v>16</v>
      </c>
      <c r="V167" s="6" t="n">
        <v>138.4</v>
      </c>
      <c r="W167" s="7" t="n">
        <v>8.65</v>
      </c>
      <c r="X167" s="8" t="n">
        <v>43</v>
      </c>
      <c r="Y167" s="8" t="n">
        <v>147</v>
      </c>
      <c r="Z167" s="10" t="n">
        <v>0.277</v>
      </c>
      <c r="AA167" s="8" t="n">
        <v>24</v>
      </c>
      <c r="AB167" s="10" t="n">
        <v>0.054</v>
      </c>
      <c r="AC167" s="8" t="n">
        <v>20</v>
      </c>
      <c r="AD167" s="6" t="n">
        <v>60.3</v>
      </c>
      <c r="AE167" s="10" t="n">
        <v>0.832</v>
      </c>
      <c r="AF167" s="8" t="n">
        <v>5</v>
      </c>
      <c r="AG167" s="10" t="n">
        <v>-0.0091</v>
      </c>
      <c r="AH167" s="6" t="n">
        <v>27.4</v>
      </c>
    </row>
    <row r="168" customFormat="false" ht="15" hidden="false" customHeight="false" outlineLevel="0" collapsed="false">
      <c r="A168" s="3" t="n">
        <v>166</v>
      </c>
      <c r="B168" s="4" t="s">
        <v>510</v>
      </c>
      <c r="C168" s="5" t="s">
        <v>99</v>
      </c>
      <c r="D168" s="4" t="s">
        <v>511</v>
      </c>
      <c r="E168" s="4" t="s">
        <v>209</v>
      </c>
      <c r="F168" s="4" t="s">
        <v>99</v>
      </c>
      <c r="G168" s="3" t="n">
        <v>5</v>
      </c>
      <c r="H168" s="6" t="n">
        <v>23.7</v>
      </c>
      <c r="I168" s="3" t="n">
        <v>2</v>
      </c>
      <c r="J168" s="3" t="n">
        <v>10</v>
      </c>
      <c r="K168" s="7" t="n">
        <v>202.14</v>
      </c>
      <c r="L168" s="7" t="n">
        <v>30.84</v>
      </c>
      <c r="M168" s="8" t="n">
        <v>137</v>
      </c>
      <c r="N168" s="8" t="n">
        <v>280</v>
      </c>
      <c r="O168" s="7" t="n">
        <v>202.14</v>
      </c>
      <c r="P168" s="6" t="n">
        <v>9.9</v>
      </c>
      <c r="Q168" s="7" t="n">
        <v>-0.499</v>
      </c>
      <c r="R168" s="7" t="n">
        <v>-0.675</v>
      </c>
      <c r="S168" s="4" t="s">
        <v>121</v>
      </c>
      <c r="T168" s="4"/>
      <c r="U168" s="8" t="n">
        <v>13</v>
      </c>
      <c r="V168" s="6" t="n">
        <v>74.8</v>
      </c>
      <c r="W168" s="7" t="n">
        <v>5.754</v>
      </c>
      <c r="X168" s="8" t="n">
        <v>72</v>
      </c>
      <c r="Y168" s="8" t="n">
        <v>4</v>
      </c>
      <c r="Z168" s="10" t="n">
        <v>0.007</v>
      </c>
      <c r="AA168" s="8" t="n">
        <v>0</v>
      </c>
      <c r="AB168" s="10" t="n">
        <v>0</v>
      </c>
      <c r="AC168" s="8" t="n">
        <v>1</v>
      </c>
      <c r="AD168" s="6" t="n">
        <v>63.2</v>
      </c>
      <c r="AE168" s="10" t="n">
        <v>0.999</v>
      </c>
      <c r="AF168" s="8" t="n">
        <v>5</v>
      </c>
      <c r="AG168" s="10" t="n">
        <v>0.0157</v>
      </c>
      <c r="AH168" s="6" t="n">
        <v>23.6</v>
      </c>
    </row>
    <row r="169" customFormat="false" ht="15" hidden="false" customHeight="false" outlineLevel="0" collapsed="false">
      <c r="A169" s="3" t="n">
        <v>167</v>
      </c>
      <c r="B169" s="4" t="s">
        <v>463</v>
      </c>
      <c r="C169" s="11" t="s">
        <v>104</v>
      </c>
      <c r="D169" s="4" t="s">
        <v>464</v>
      </c>
      <c r="E169" s="4" t="s">
        <v>112</v>
      </c>
      <c r="F169" s="4" t="s">
        <v>104</v>
      </c>
      <c r="G169" s="3" t="n">
        <v>2</v>
      </c>
      <c r="H169" s="6" t="n">
        <v>27.4</v>
      </c>
      <c r="I169" s="3" t="n">
        <v>3</v>
      </c>
      <c r="J169" s="3" t="n">
        <v>11</v>
      </c>
      <c r="K169" s="7" t="n">
        <v>170.02</v>
      </c>
      <c r="L169" s="7" t="n">
        <v>20.52</v>
      </c>
      <c r="M169" s="8" t="n">
        <v>144</v>
      </c>
      <c r="N169" s="8" t="n">
        <v>234</v>
      </c>
      <c r="O169" s="7" t="n">
        <v>170.02</v>
      </c>
      <c r="P169" s="6" t="n">
        <v>32.8</v>
      </c>
      <c r="Q169" s="7" t="n">
        <v>-0.506</v>
      </c>
      <c r="R169" s="7" t="n">
        <v>-0.77</v>
      </c>
      <c r="S169" s="4" t="s">
        <v>121</v>
      </c>
      <c r="T169" s="4"/>
      <c r="U169" s="8" t="n">
        <v>17</v>
      </c>
      <c r="V169" s="6" t="n">
        <v>62.5</v>
      </c>
      <c r="W169" s="7" t="n">
        <v>3.676</v>
      </c>
      <c r="X169" s="8" t="n">
        <v>56</v>
      </c>
      <c r="Y169" s="8" t="n">
        <v>151</v>
      </c>
      <c r="Z169" s="10" t="n">
        <v>0.291</v>
      </c>
      <c r="AA169" s="8" t="n">
        <v>160</v>
      </c>
      <c r="AB169" s="10" t="n">
        <v>0.335</v>
      </c>
      <c r="AC169" s="8" t="n">
        <v>49</v>
      </c>
      <c r="AD169" s="6" t="n">
        <v>62.4</v>
      </c>
      <c r="AE169" s="10" t="n">
        <v>0.798</v>
      </c>
      <c r="AF169" s="8" t="n">
        <v>4</v>
      </c>
      <c r="AG169" s="10" t="n">
        <v>-0.0621</v>
      </c>
      <c r="AH169" s="6" t="n">
        <v>20.8</v>
      </c>
    </row>
    <row r="170" customFormat="false" ht="15" hidden="false" customHeight="false" outlineLevel="0" collapsed="false">
      <c r="A170" s="3" t="n">
        <v>168</v>
      </c>
      <c r="B170" s="4" t="s">
        <v>313</v>
      </c>
      <c r="C170" s="11" t="s">
        <v>104</v>
      </c>
      <c r="D170" s="4" t="s">
        <v>314</v>
      </c>
      <c r="E170" s="4" t="s">
        <v>191</v>
      </c>
      <c r="F170" s="4" t="s">
        <v>104</v>
      </c>
      <c r="G170" s="3" t="n">
        <v>1</v>
      </c>
      <c r="H170" s="6" t="n">
        <v>27.2</v>
      </c>
      <c r="I170" s="3" t="n">
        <v>6</v>
      </c>
      <c r="J170" s="3" t="n">
        <v>5</v>
      </c>
      <c r="K170" s="7" t="n">
        <v>86.83</v>
      </c>
      <c r="L170" s="7" t="n">
        <v>11.41</v>
      </c>
      <c r="M170" s="8" t="n">
        <v>61</v>
      </c>
      <c r="N170" s="8" t="n">
        <v>127</v>
      </c>
      <c r="O170" s="7" t="n">
        <v>86.83</v>
      </c>
      <c r="P170" s="6" t="n">
        <v>87.1</v>
      </c>
      <c r="Q170" s="7" t="n">
        <v>-0.524</v>
      </c>
      <c r="R170" s="7" t="n">
        <v>-0.743</v>
      </c>
      <c r="S170" s="4" t="s">
        <v>121</v>
      </c>
      <c r="T170" s="4"/>
      <c r="U170" s="8" t="n">
        <v>15</v>
      </c>
      <c r="V170" s="6" t="n">
        <v>125.4</v>
      </c>
      <c r="W170" s="7" t="n">
        <v>8.36</v>
      </c>
      <c r="X170" s="8" t="n">
        <v>37</v>
      </c>
      <c r="Y170" s="8" t="n">
        <v>50</v>
      </c>
      <c r="Z170" s="10" t="n">
        <v>0.104</v>
      </c>
      <c r="AA170" s="8" t="n">
        <v>242</v>
      </c>
      <c r="AB170" s="10" t="n">
        <v>0.525</v>
      </c>
      <c r="AC170" s="8" t="n">
        <v>40</v>
      </c>
      <c r="AD170" s="6" t="n">
        <v>56.6</v>
      </c>
      <c r="AE170" s="10" t="n">
        <v>0.596</v>
      </c>
      <c r="AF170" s="8" t="n">
        <v>3</v>
      </c>
      <c r="AG170" s="10" t="n">
        <v>-0.061</v>
      </c>
      <c r="AH170" s="6" t="n">
        <v>18.3</v>
      </c>
    </row>
    <row r="171" customFormat="false" ht="15" hidden="false" customHeight="false" outlineLevel="0" collapsed="false">
      <c r="A171" s="3" t="n">
        <v>169</v>
      </c>
      <c r="B171" s="4" t="s">
        <v>502</v>
      </c>
      <c r="C171" s="5" t="s">
        <v>99</v>
      </c>
      <c r="D171" s="4" t="s">
        <v>503</v>
      </c>
      <c r="E171" s="4" t="s">
        <v>136</v>
      </c>
      <c r="F171" s="4" t="s">
        <v>99</v>
      </c>
      <c r="G171" s="3" t="n">
        <v>2</v>
      </c>
      <c r="H171" s="6" t="n">
        <v>25.2</v>
      </c>
      <c r="I171" s="3" t="n">
        <v>4</v>
      </c>
      <c r="J171" s="3" t="n">
        <v>10</v>
      </c>
      <c r="K171" s="7" t="n">
        <v>199.45</v>
      </c>
      <c r="L171" s="7" t="n">
        <v>29.58</v>
      </c>
      <c r="M171" s="8" t="n">
        <v>133</v>
      </c>
      <c r="N171" s="8" t="n">
        <v>268</v>
      </c>
      <c r="O171" s="7" t="n">
        <v>199.45</v>
      </c>
      <c r="P171" s="6" t="n">
        <v>8.8</v>
      </c>
      <c r="Q171" s="7" t="n">
        <v>-0.526</v>
      </c>
      <c r="R171" s="7" t="n">
        <v>-0.702</v>
      </c>
      <c r="S171" s="4" t="s">
        <v>121</v>
      </c>
      <c r="T171" s="4"/>
      <c r="U171" s="8" t="n">
        <v>13</v>
      </c>
      <c r="V171" s="6" t="n">
        <v>75.8</v>
      </c>
      <c r="W171" s="7" t="n">
        <v>5.831</v>
      </c>
      <c r="X171" s="8" t="n">
        <v>71</v>
      </c>
      <c r="Y171" s="8" t="n">
        <v>175</v>
      </c>
      <c r="Z171" s="10" t="n">
        <v>0.377</v>
      </c>
      <c r="AA171" s="8" t="n">
        <v>12</v>
      </c>
      <c r="AB171" s="10" t="n">
        <v>0.025</v>
      </c>
      <c r="AC171" s="8" t="n">
        <v>23</v>
      </c>
      <c r="AD171" s="6" t="n">
        <v>48.2</v>
      </c>
      <c r="AE171" s="10" t="n">
        <v>0.909</v>
      </c>
      <c r="AF171" s="8" t="n">
        <v>5</v>
      </c>
      <c r="AG171" s="10" t="n">
        <v>-0.0248</v>
      </c>
      <c r="AH171" s="6" t="n">
        <v>22.3</v>
      </c>
    </row>
    <row r="172" customFormat="false" ht="15" hidden="false" customHeight="false" outlineLevel="0" collapsed="false">
      <c r="A172" s="3" t="n">
        <v>170</v>
      </c>
      <c r="B172" s="4" t="s">
        <v>401</v>
      </c>
      <c r="C172" s="13" t="s">
        <v>172</v>
      </c>
      <c r="D172" s="4" t="s">
        <v>402</v>
      </c>
      <c r="E172" s="4" t="s">
        <v>161</v>
      </c>
      <c r="F172" s="4" t="s">
        <v>172</v>
      </c>
      <c r="G172" s="3" t="n">
        <v>1</v>
      </c>
      <c r="H172" s="6" t="n">
        <v>27.2</v>
      </c>
      <c r="I172" s="3" t="n">
        <v>5</v>
      </c>
      <c r="J172" s="3" t="n">
        <v>6</v>
      </c>
      <c r="K172" s="7" t="n">
        <v>130.22</v>
      </c>
      <c r="L172" s="7" t="n">
        <v>23.63</v>
      </c>
      <c r="M172" s="8" t="n">
        <v>101</v>
      </c>
      <c r="N172" s="8" t="n">
        <v>300</v>
      </c>
      <c r="O172" s="7" t="n">
        <v>130.22</v>
      </c>
      <c r="P172" s="6" t="n">
        <v>37.4</v>
      </c>
      <c r="Q172" s="7" t="n">
        <v>-0.536</v>
      </c>
      <c r="R172" s="7" t="n">
        <v>-0.405</v>
      </c>
      <c r="S172" s="4" t="s">
        <v>121</v>
      </c>
      <c r="T172" s="4"/>
      <c r="U172" s="8" t="n">
        <v>4</v>
      </c>
      <c r="V172" s="6" t="n">
        <v>51.18</v>
      </c>
      <c r="W172" s="7" t="n">
        <v>12.795</v>
      </c>
      <c r="X172" s="8" t="n">
        <v>30</v>
      </c>
      <c r="Y172" s="8" t="n">
        <v>209</v>
      </c>
      <c r="Z172" s="10" t="n">
        <v>0.452</v>
      </c>
      <c r="AA172" s="8" t="n">
        <v>28</v>
      </c>
      <c r="AB172" s="10" t="n">
        <v>0.065</v>
      </c>
      <c r="AC172" s="8" t="n">
        <v>32</v>
      </c>
      <c r="AD172" s="6" t="n">
        <v>38.6</v>
      </c>
      <c r="AE172" s="10" t="n">
        <v>0.672</v>
      </c>
      <c r="AF172" s="8" t="n">
        <v>4</v>
      </c>
      <c r="AG172" s="10" t="n">
        <v>-0.0584</v>
      </c>
      <c r="AH172" s="6" t="n">
        <v>20.4</v>
      </c>
    </row>
    <row r="173" customFormat="false" ht="15" hidden="false" customHeight="false" outlineLevel="0" collapsed="false">
      <c r="A173" s="3" t="n">
        <v>171</v>
      </c>
      <c r="B173" s="4" t="s">
        <v>179</v>
      </c>
      <c r="C173" s="11" t="s">
        <v>104</v>
      </c>
      <c r="D173" s="4" t="s">
        <v>180</v>
      </c>
      <c r="E173" s="4" t="s">
        <v>164</v>
      </c>
      <c r="F173" s="4" t="s">
        <v>104</v>
      </c>
      <c r="G173" s="3" t="n">
        <v>1</v>
      </c>
      <c r="H173" s="6" t="n">
        <v>25.8</v>
      </c>
      <c r="I173" s="3" t="n">
        <v>5</v>
      </c>
      <c r="J173" s="3" t="n">
        <v>5</v>
      </c>
      <c r="K173" s="7" t="n">
        <v>29.29</v>
      </c>
      <c r="L173" s="7" t="n">
        <v>9.13</v>
      </c>
      <c r="M173" s="8" t="n">
        <v>14</v>
      </c>
      <c r="N173" s="8" t="n">
        <v>56</v>
      </c>
      <c r="O173" s="7" t="n">
        <v>29.29</v>
      </c>
      <c r="P173" s="6" t="n">
        <v>99.2</v>
      </c>
      <c r="Q173" s="7" t="n">
        <v>-0.539</v>
      </c>
      <c r="R173" s="7" t="n">
        <v>-0.846</v>
      </c>
      <c r="S173" s="4" t="s">
        <v>121</v>
      </c>
      <c r="T173" s="4"/>
      <c r="U173" s="8" t="n">
        <v>17</v>
      </c>
      <c r="V173" s="6" t="n">
        <v>191.9</v>
      </c>
      <c r="W173" s="7" t="n">
        <v>11.288</v>
      </c>
      <c r="X173" s="8" t="n">
        <v>22</v>
      </c>
      <c r="Y173" s="8" t="n">
        <v>147</v>
      </c>
      <c r="Z173" s="10" t="n">
        <v>0.268</v>
      </c>
      <c r="AA173" s="8" t="n">
        <v>129</v>
      </c>
      <c r="AB173" s="10" t="n">
        <v>0.3</v>
      </c>
      <c r="AC173" s="8" t="n">
        <v>43</v>
      </c>
      <c r="AD173" s="6" t="n">
        <v>50.1</v>
      </c>
      <c r="AE173" s="10" t="n">
        <v>0.864</v>
      </c>
      <c r="AF173" s="8" t="n">
        <v>5</v>
      </c>
      <c r="AG173" s="10" t="n">
        <v>0.0395</v>
      </c>
      <c r="AH173" s="6" t="n">
        <v>21.3</v>
      </c>
    </row>
    <row r="174" customFormat="false" ht="15" hidden="false" customHeight="false" outlineLevel="0" collapsed="false">
      <c r="A174" s="3" t="n">
        <v>172</v>
      </c>
      <c r="B174" s="4" t="s">
        <v>328</v>
      </c>
      <c r="C174" s="13" t="s">
        <v>172</v>
      </c>
      <c r="D174" s="4" t="s">
        <v>329</v>
      </c>
      <c r="E174" s="4" t="s">
        <v>124</v>
      </c>
      <c r="F174" s="4" t="s">
        <v>172</v>
      </c>
      <c r="G174" s="3" t="n">
        <v>1</v>
      </c>
      <c r="H174" s="6" t="n">
        <v>26.6</v>
      </c>
      <c r="I174" s="3" t="n">
        <v>5</v>
      </c>
      <c r="J174" s="3" t="n">
        <v>8</v>
      </c>
      <c r="K174" s="7" t="n">
        <v>97.35</v>
      </c>
      <c r="L174" s="7" t="n">
        <v>9.37</v>
      </c>
      <c r="M174" s="8" t="n">
        <v>63</v>
      </c>
      <c r="N174" s="8" t="n">
        <v>125</v>
      </c>
      <c r="O174" s="7" t="n">
        <v>97.35</v>
      </c>
      <c r="P174" s="6" t="n">
        <v>86.4</v>
      </c>
      <c r="Q174" s="7" t="n">
        <v>-0.548</v>
      </c>
      <c r="R174" s="7" t="n">
        <v>0.197</v>
      </c>
      <c r="S174" s="4" t="s">
        <v>121</v>
      </c>
      <c r="T174" s="4"/>
      <c r="U174" s="8" t="n">
        <v>9</v>
      </c>
      <c r="V174" s="6" t="n">
        <v>177.38</v>
      </c>
      <c r="W174" s="7" t="n">
        <v>19.709</v>
      </c>
      <c r="X174" s="8" t="n">
        <v>23</v>
      </c>
      <c r="Y174" s="8" t="n">
        <v>170</v>
      </c>
      <c r="Z174" s="10" t="n">
        <v>0.309</v>
      </c>
      <c r="AA174" s="8" t="n">
        <v>94</v>
      </c>
      <c r="AB174" s="10" t="n">
        <v>0.195</v>
      </c>
      <c r="AC174" s="8" t="n">
        <v>38</v>
      </c>
      <c r="AD174" s="6" t="n">
        <v>63.3</v>
      </c>
      <c r="AE174" s="10" t="n">
        <v>0.852</v>
      </c>
      <c r="AF174" s="8" t="n">
        <v>4</v>
      </c>
      <c r="AG174" s="10" t="n">
        <v>-0.0088</v>
      </c>
      <c r="AH174" s="6" t="n">
        <v>25.7</v>
      </c>
    </row>
    <row r="175" customFormat="false" ht="15" hidden="false" customHeight="false" outlineLevel="0" collapsed="false">
      <c r="A175" s="3" t="n">
        <v>173</v>
      </c>
      <c r="B175" s="4" t="s">
        <v>131</v>
      </c>
      <c r="C175" s="5" t="s">
        <v>99</v>
      </c>
      <c r="D175" s="4" t="s">
        <v>132</v>
      </c>
      <c r="E175" s="4" t="s">
        <v>112</v>
      </c>
      <c r="F175" s="4" t="s">
        <v>99</v>
      </c>
      <c r="G175" s="3" t="n">
        <v>1</v>
      </c>
      <c r="H175" s="6" t="n">
        <v>25.1</v>
      </c>
      <c r="I175" s="3" t="n">
        <v>5</v>
      </c>
      <c r="J175" s="3" t="n">
        <v>11</v>
      </c>
      <c r="K175" s="7" t="n">
        <v>12.35</v>
      </c>
      <c r="L175" s="7" t="n">
        <v>3.39</v>
      </c>
      <c r="M175" s="8" t="n">
        <v>8</v>
      </c>
      <c r="N175" s="8" t="n">
        <v>26</v>
      </c>
      <c r="O175" s="7" t="n">
        <v>12.35</v>
      </c>
      <c r="P175" s="6" t="n">
        <v>99.1</v>
      </c>
      <c r="Q175" s="7" t="n">
        <v>-0.55</v>
      </c>
      <c r="R175" s="7" t="n">
        <v>-0.024</v>
      </c>
      <c r="S175" s="4" t="s">
        <v>121</v>
      </c>
      <c r="T175" s="4"/>
      <c r="U175" s="8" t="n">
        <v>12</v>
      </c>
      <c r="V175" s="6" t="n">
        <v>201.9</v>
      </c>
      <c r="W175" s="7" t="n">
        <v>16.825</v>
      </c>
      <c r="X175" s="8" t="n">
        <v>19</v>
      </c>
      <c r="Y175" s="8" t="n">
        <v>151</v>
      </c>
      <c r="Z175" s="10" t="n">
        <v>0.291</v>
      </c>
      <c r="AA175" s="8" t="n">
        <v>160</v>
      </c>
      <c r="AB175" s="10" t="n">
        <v>0.335</v>
      </c>
      <c r="AC175" s="8" t="n">
        <v>49</v>
      </c>
      <c r="AD175" s="6" t="n">
        <v>62.4</v>
      </c>
      <c r="AE175" s="10" t="n">
        <v>0.798</v>
      </c>
      <c r="AF175" s="8" t="n">
        <v>4</v>
      </c>
      <c r="AG175" s="10" t="n">
        <v>-0.0621</v>
      </c>
      <c r="AH175" s="6" t="n">
        <v>20.8</v>
      </c>
    </row>
    <row r="176" customFormat="false" ht="15" hidden="false" customHeight="false" outlineLevel="0" collapsed="false">
      <c r="A176" s="3" t="n">
        <v>174</v>
      </c>
      <c r="B176" s="4" t="s">
        <v>544</v>
      </c>
      <c r="C176" s="11" t="s">
        <v>104</v>
      </c>
      <c r="D176" s="4" t="s">
        <v>545</v>
      </c>
      <c r="E176" s="4" t="s">
        <v>120</v>
      </c>
      <c r="F176" s="4" t="s">
        <v>104</v>
      </c>
      <c r="G176" s="3" t="n">
        <v>2</v>
      </c>
      <c r="H176" s="6" t="n">
        <v>22.6</v>
      </c>
      <c r="I176" s="3" t="n">
        <v>2</v>
      </c>
      <c r="J176" s="3" t="n">
        <v>14</v>
      </c>
      <c r="K176" s="7" t="n">
        <v>223.65</v>
      </c>
      <c r="L176" s="7" t="n">
        <v>47.84</v>
      </c>
      <c r="M176" s="8" t="n">
        <v>135</v>
      </c>
      <c r="N176" s="8" t="n">
        <v>328</v>
      </c>
      <c r="O176" s="7" t="n">
        <v>223.65</v>
      </c>
      <c r="P176" s="6" t="n">
        <v>10.3</v>
      </c>
      <c r="Q176" s="7" t="n">
        <v>-0.555</v>
      </c>
      <c r="R176" s="7" t="n">
        <v>-0.249</v>
      </c>
      <c r="S176" s="4" t="s">
        <v>121</v>
      </c>
      <c r="T176" s="4"/>
      <c r="U176" s="8" t="n">
        <v>5</v>
      </c>
      <c r="V176" s="6" t="n">
        <v>20.4</v>
      </c>
      <c r="W176" s="7" t="n">
        <v>4.08</v>
      </c>
      <c r="X176" s="8" t="n">
        <v>66</v>
      </c>
      <c r="Y176" s="8" t="n">
        <v>34</v>
      </c>
      <c r="Z176" s="10" t="n">
        <v>0.056</v>
      </c>
      <c r="AA176" s="8" t="n">
        <v>0</v>
      </c>
      <c r="AB176" s="10" t="n">
        <v>0</v>
      </c>
      <c r="AC176" s="8" t="n">
        <v>4</v>
      </c>
      <c r="AD176" s="6" t="n">
        <v>65.1</v>
      </c>
      <c r="AE176" s="10" t="n">
        <v>0.848</v>
      </c>
      <c r="AF176" s="8" t="n">
        <v>5</v>
      </c>
      <c r="AG176" s="10" t="n">
        <v>-0.0098</v>
      </c>
      <c r="AH176" s="6" t="n">
        <v>27.7</v>
      </c>
    </row>
    <row r="177" customFormat="false" ht="15" hidden="false" customHeight="false" outlineLevel="0" collapsed="false">
      <c r="A177" s="3" t="n">
        <v>175</v>
      </c>
      <c r="B177" s="4" t="s">
        <v>236</v>
      </c>
      <c r="C177" s="5" t="s">
        <v>99</v>
      </c>
      <c r="D177" s="4" t="s">
        <v>237</v>
      </c>
      <c r="E177" s="4" t="s">
        <v>147</v>
      </c>
      <c r="F177" s="4" t="s">
        <v>99</v>
      </c>
      <c r="G177" s="3" t="n">
        <v>1</v>
      </c>
      <c r="H177" s="6" t="n">
        <v>29.3</v>
      </c>
      <c r="I177" s="3" t="n">
        <v>9</v>
      </c>
      <c r="J177" s="3" t="n">
        <v>7</v>
      </c>
      <c r="K177" s="7" t="n">
        <v>52.14</v>
      </c>
      <c r="L177" s="7" t="n">
        <v>9.31</v>
      </c>
      <c r="M177" s="8" t="n">
        <v>28</v>
      </c>
      <c r="N177" s="8" t="n">
        <v>76</v>
      </c>
      <c r="O177" s="7" t="n">
        <v>52.14</v>
      </c>
      <c r="P177" s="6" t="n">
        <v>92.5</v>
      </c>
      <c r="Q177" s="7" t="n">
        <v>-0.569</v>
      </c>
      <c r="R177" s="7" t="n">
        <v>-1.096</v>
      </c>
      <c r="S177" s="4" t="s">
        <v>121</v>
      </c>
      <c r="T177" s="4"/>
      <c r="U177" s="8" t="n">
        <v>17</v>
      </c>
      <c r="V177" s="6" t="n">
        <v>172.18</v>
      </c>
      <c r="W177" s="7" t="n">
        <v>10.128</v>
      </c>
      <c r="X177" s="8" t="n">
        <v>34</v>
      </c>
      <c r="Y177" s="8" t="n">
        <v>19</v>
      </c>
      <c r="Z177" s="10" t="n">
        <v>0.04</v>
      </c>
      <c r="AA177" s="8" t="n">
        <v>17</v>
      </c>
      <c r="AB177" s="10" t="n">
        <v>0.031</v>
      </c>
      <c r="AC177" s="8" t="n">
        <v>2</v>
      </c>
      <c r="AD177" s="6" t="n">
        <v>73.6</v>
      </c>
      <c r="AE177" s="10" t="n">
        <v>0.763</v>
      </c>
      <c r="AF177" s="8" t="n">
        <v>4</v>
      </c>
      <c r="AG177" s="10" t="n">
        <v>-0.0352</v>
      </c>
      <c r="AH177" s="6" t="n">
        <v>28.3</v>
      </c>
    </row>
    <row r="178" customFormat="false" ht="15" hidden="false" customHeight="false" outlineLevel="0" collapsed="false">
      <c r="A178" s="3" t="n">
        <v>176</v>
      </c>
      <c r="B178" s="4" t="s">
        <v>465</v>
      </c>
      <c r="C178" s="5" t="s">
        <v>99</v>
      </c>
      <c r="D178" s="4" t="s">
        <v>466</v>
      </c>
      <c r="E178" s="4" t="s">
        <v>186</v>
      </c>
      <c r="F178" s="4" t="s">
        <v>99</v>
      </c>
      <c r="G178" s="3" t="n">
        <v>2</v>
      </c>
      <c r="H178" s="6" t="n">
        <v>23.9</v>
      </c>
      <c r="I178" s="3" t="n">
        <v>3</v>
      </c>
      <c r="J178" s="3" t="n">
        <v>13</v>
      </c>
      <c r="K178" s="7" t="n">
        <v>171.09</v>
      </c>
      <c r="L178" s="7" t="n">
        <v>24.55</v>
      </c>
      <c r="M178" s="8" t="n">
        <v>133</v>
      </c>
      <c r="N178" s="8" t="n">
        <v>270</v>
      </c>
      <c r="O178" s="7" t="n">
        <v>171.09</v>
      </c>
      <c r="P178" s="6" t="n">
        <v>17.1</v>
      </c>
      <c r="Q178" s="7" t="n">
        <v>-0.582</v>
      </c>
      <c r="R178" s="7" t="n">
        <v>-1.108</v>
      </c>
      <c r="S178" s="4" t="s">
        <v>121</v>
      </c>
      <c r="T178" s="4"/>
      <c r="U178" s="8" t="n">
        <v>16</v>
      </c>
      <c r="V178" s="6" t="n">
        <v>87.9</v>
      </c>
      <c r="W178" s="7" t="n">
        <v>5.494</v>
      </c>
      <c r="X178" s="8" t="n">
        <v>65</v>
      </c>
      <c r="Y178" s="8" t="n">
        <v>76</v>
      </c>
      <c r="Z178" s="10" t="n">
        <v>0.161</v>
      </c>
      <c r="AA178" s="8" t="n">
        <v>117</v>
      </c>
      <c r="AB178" s="10" t="n">
        <v>0.257</v>
      </c>
      <c r="AC178" s="8" t="n">
        <v>27</v>
      </c>
      <c r="AD178" s="6" t="n">
        <v>38.6</v>
      </c>
      <c r="AE178" s="10" t="n">
        <v>0.808</v>
      </c>
      <c r="AF178" s="8" t="n">
        <v>3</v>
      </c>
      <c r="AG178" s="10" t="n">
        <v>-0.0877</v>
      </c>
      <c r="AH178" s="6" t="n">
        <v>17.6</v>
      </c>
    </row>
    <row r="179" customFormat="false" ht="15" hidden="false" customHeight="false" outlineLevel="0" collapsed="false">
      <c r="A179" s="3" t="n">
        <v>177</v>
      </c>
      <c r="B179" s="4" t="s">
        <v>512</v>
      </c>
      <c r="C179" s="5" t="s">
        <v>99</v>
      </c>
      <c r="D179" s="4" t="s">
        <v>513</v>
      </c>
      <c r="E179" s="4" t="s">
        <v>139</v>
      </c>
      <c r="F179" s="4" t="s">
        <v>270</v>
      </c>
      <c r="G179" s="3" t="n">
        <v>1</v>
      </c>
      <c r="H179" s="6" t="n">
        <v>24</v>
      </c>
      <c r="I179" s="3" t="n">
        <v>2</v>
      </c>
      <c r="J179" s="3" t="n">
        <v>8</v>
      </c>
      <c r="K179" s="7" t="n">
        <v>203.1</v>
      </c>
      <c r="L179" s="7" t="n">
        <v>29.97</v>
      </c>
      <c r="M179" s="8" t="n">
        <v>140</v>
      </c>
      <c r="N179" s="8" t="n">
        <v>302</v>
      </c>
      <c r="O179" s="7" t="n">
        <v>203.1</v>
      </c>
      <c r="P179" s="6" t="n">
        <v>8.1</v>
      </c>
      <c r="Q179" s="7" t="n">
        <v>-0.595</v>
      </c>
      <c r="R179" s="7" t="n">
        <v>-0.99</v>
      </c>
      <c r="S179" s="4" t="s">
        <v>121</v>
      </c>
      <c r="T179" s="4"/>
      <c r="U179" s="8" t="n">
        <v>17</v>
      </c>
      <c r="V179" s="6" t="n">
        <v>68.4</v>
      </c>
      <c r="W179" s="7" t="n">
        <v>4.024</v>
      </c>
      <c r="X179" s="8" t="n">
        <v>75</v>
      </c>
      <c r="Y179" s="8" t="n">
        <v>82</v>
      </c>
      <c r="Z179" s="10" t="n">
        <v>0.148</v>
      </c>
      <c r="AA179" s="8" t="n">
        <v>21</v>
      </c>
      <c r="AB179" s="10" t="n">
        <v>0.044</v>
      </c>
      <c r="AC179" s="8" t="n">
        <v>18</v>
      </c>
      <c r="AD179" s="6" t="n">
        <v>45.8</v>
      </c>
      <c r="AE179" s="10" t="n">
        <v>0.713</v>
      </c>
      <c r="AF179" s="8" t="n">
        <v>2</v>
      </c>
      <c r="AG179" s="10" t="n">
        <v>-0.0098</v>
      </c>
      <c r="AH179" s="6" t="n">
        <v>23.8</v>
      </c>
    </row>
    <row r="180" customFormat="false" ht="15" hidden="false" customHeight="false" outlineLevel="0" collapsed="false">
      <c r="A180" s="3" t="n">
        <v>178</v>
      </c>
      <c r="B180" s="4" t="s">
        <v>340</v>
      </c>
      <c r="C180" s="11" t="s">
        <v>104</v>
      </c>
      <c r="D180" s="4" t="s">
        <v>341</v>
      </c>
      <c r="E180" s="4" t="s">
        <v>209</v>
      </c>
      <c r="F180" s="4" t="s">
        <v>104</v>
      </c>
      <c r="G180" s="3" t="n">
        <v>1</v>
      </c>
      <c r="H180" s="6" t="n">
        <v>27.7</v>
      </c>
      <c r="I180" s="3" t="n">
        <v>7</v>
      </c>
      <c r="J180" s="3" t="n">
        <v>10</v>
      </c>
      <c r="K180" s="7" t="n">
        <v>102.06</v>
      </c>
      <c r="L180" s="7" t="n">
        <v>17.7</v>
      </c>
      <c r="M180" s="8" t="n">
        <v>72</v>
      </c>
      <c r="N180" s="8" t="n">
        <v>177</v>
      </c>
      <c r="O180" s="7" t="n">
        <v>102.06</v>
      </c>
      <c r="P180" s="6" t="n">
        <v>82.6</v>
      </c>
      <c r="Q180" s="7" t="n">
        <v>-0.601</v>
      </c>
      <c r="R180" s="7" t="n">
        <v>0.056</v>
      </c>
      <c r="S180" s="4" t="s">
        <v>121</v>
      </c>
      <c r="T180" s="4"/>
      <c r="U180" s="8" t="n">
        <v>10</v>
      </c>
      <c r="V180" s="6" t="n">
        <v>115.9</v>
      </c>
      <c r="W180" s="7" t="n">
        <v>11.59</v>
      </c>
      <c r="X180" s="8" t="n">
        <v>42</v>
      </c>
      <c r="Y180" s="8" t="n">
        <v>4</v>
      </c>
      <c r="Z180" s="10" t="n">
        <v>0.007</v>
      </c>
      <c r="AA180" s="8" t="n">
        <v>0</v>
      </c>
      <c r="AB180" s="10" t="n">
        <v>0</v>
      </c>
      <c r="AC180" s="8" t="n">
        <v>1</v>
      </c>
      <c r="AD180" s="6" t="n">
        <v>63.2</v>
      </c>
      <c r="AE180" s="10" t="n">
        <v>0.999</v>
      </c>
      <c r="AF180" s="8" t="n">
        <v>5</v>
      </c>
      <c r="AG180" s="10" t="n">
        <v>0.0157</v>
      </c>
      <c r="AH180" s="6" t="n">
        <v>23.6</v>
      </c>
    </row>
    <row r="181" customFormat="false" ht="15" hidden="false" customHeight="false" outlineLevel="0" collapsed="false">
      <c r="A181" s="3" t="n">
        <v>179</v>
      </c>
      <c r="B181" s="4" t="s">
        <v>536</v>
      </c>
      <c r="C181" s="5" t="s">
        <v>99</v>
      </c>
      <c r="D181" s="4" t="s">
        <v>537</v>
      </c>
      <c r="E181" s="4" t="s">
        <v>183</v>
      </c>
      <c r="F181" s="4" t="s">
        <v>99</v>
      </c>
      <c r="G181" s="3" t="n">
        <v>2</v>
      </c>
      <c r="H181" s="6" t="n">
        <v>26.7</v>
      </c>
      <c r="I181" s="3" t="n">
        <v>6</v>
      </c>
      <c r="J181" s="3" t="n">
        <v>13</v>
      </c>
      <c r="K181" s="7" t="n">
        <v>220.8</v>
      </c>
      <c r="L181" s="7" t="n">
        <v>28.38</v>
      </c>
      <c r="M181" s="8" t="n">
        <v>163</v>
      </c>
      <c r="N181" s="8" t="n">
        <v>296</v>
      </c>
      <c r="O181" s="7" t="n">
        <v>220.8</v>
      </c>
      <c r="P181" s="6" t="n">
        <v>7.8</v>
      </c>
      <c r="Q181" s="7" t="n">
        <v>-0.602</v>
      </c>
      <c r="R181" s="7" t="n">
        <v>-0.734</v>
      </c>
      <c r="S181" s="4" t="s">
        <v>121</v>
      </c>
      <c r="T181" s="4"/>
      <c r="U181" s="8" t="n">
        <v>13</v>
      </c>
      <c r="V181" s="6" t="n">
        <v>55.4</v>
      </c>
      <c r="W181" s="7" t="n">
        <v>4.262</v>
      </c>
      <c r="X181" s="8" t="n">
        <v>80</v>
      </c>
      <c r="Y181" s="8" t="n">
        <v>75</v>
      </c>
      <c r="Z181" s="10" t="n">
        <v>0.184</v>
      </c>
      <c r="AA181" s="8" t="n">
        <v>64</v>
      </c>
      <c r="AB181" s="10" t="n">
        <v>0.126</v>
      </c>
      <c r="AC181" s="8" t="n">
        <v>26</v>
      </c>
      <c r="AD181" s="6" t="n">
        <v>53.2</v>
      </c>
      <c r="AE181" s="10" t="n">
        <v>0.572</v>
      </c>
      <c r="AF181" s="8" t="n">
        <v>2</v>
      </c>
      <c r="AG181" s="10" t="n">
        <v>-0.0884</v>
      </c>
      <c r="AH181" s="6" t="n">
        <v>24.9</v>
      </c>
    </row>
    <row r="182" customFormat="false" ht="15" hidden="false" customHeight="false" outlineLevel="0" collapsed="false">
      <c r="A182" s="3" t="n">
        <v>180</v>
      </c>
      <c r="B182" s="4" t="s">
        <v>194</v>
      </c>
      <c r="C182" s="5" t="s">
        <v>99</v>
      </c>
      <c r="D182" s="4" t="s">
        <v>195</v>
      </c>
      <c r="E182" s="4" t="s">
        <v>170</v>
      </c>
      <c r="F182" s="4" t="s">
        <v>99</v>
      </c>
      <c r="G182" s="3" t="n">
        <v>1</v>
      </c>
      <c r="H182" s="6" t="n">
        <v>24.8</v>
      </c>
      <c r="I182" s="3" t="n">
        <v>3</v>
      </c>
      <c r="J182" s="3" t="n">
        <v>7</v>
      </c>
      <c r="K182" s="7" t="n">
        <v>35.74</v>
      </c>
      <c r="L182" s="7" t="n">
        <v>6.91</v>
      </c>
      <c r="M182" s="8" t="n">
        <v>14</v>
      </c>
      <c r="N182" s="8" t="n">
        <v>48</v>
      </c>
      <c r="O182" s="7" t="n">
        <v>35.74</v>
      </c>
      <c r="P182" s="6" t="n">
        <v>96</v>
      </c>
      <c r="Q182" s="7" t="n">
        <v>-0.607</v>
      </c>
      <c r="R182" s="7" t="n">
        <v>-0.958</v>
      </c>
      <c r="S182" s="4" t="s">
        <v>121</v>
      </c>
      <c r="T182" s="4"/>
      <c r="U182" s="8" t="n">
        <v>16</v>
      </c>
      <c r="V182" s="6" t="n">
        <v>180.9</v>
      </c>
      <c r="W182" s="7" t="n">
        <v>11.306</v>
      </c>
      <c r="X182" s="8" t="n">
        <v>30</v>
      </c>
      <c r="Y182" s="8" t="n">
        <v>15</v>
      </c>
      <c r="Z182" s="10" t="n">
        <v>0.028</v>
      </c>
      <c r="AA182" s="8" t="n">
        <v>23</v>
      </c>
      <c r="AB182" s="10" t="n">
        <v>0.049</v>
      </c>
      <c r="AC182" s="8" t="n">
        <v>2</v>
      </c>
      <c r="AD182" s="6" t="n">
        <v>26.9</v>
      </c>
      <c r="AE182" s="10" t="n">
        <v>0.205</v>
      </c>
      <c r="AF182" s="8" t="n">
        <v>1</v>
      </c>
      <c r="AG182" s="10" t="n">
        <v>0.0064</v>
      </c>
      <c r="AH182" s="6" t="n">
        <v>21.6</v>
      </c>
    </row>
    <row r="183" customFormat="false" ht="15" hidden="false" customHeight="false" outlineLevel="0" collapsed="false">
      <c r="A183" s="3" t="n">
        <v>181</v>
      </c>
      <c r="B183" s="4" t="s">
        <v>570</v>
      </c>
      <c r="C183" s="5" t="s">
        <v>99</v>
      </c>
      <c r="D183" s="4" t="s">
        <v>571</v>
      </c>
      <c r="E183" s="4" t="s">
        <v>142</v>
      </c>
      <c r="F183" s="4" t="s">
        <v>99</v>
      </c>
      <c r="G183" s="3" t="n">
        <v>4</v>
      </c>
      <c r="H183" s="6" t="n">
        <v>23.7</v>
      </c>
      <c r="I183" s="3" t="n">
        <v>2</v>
      </c>
      <c r="J183" s="3" t="n">
        <v>13</v>
      </c>
      <c r="K183" s="7" t="n">
        <v>244</v>
      </c>
      <c r="L183" s="7" t="n">
        <v>26.3</v>
      </c>
      <c r="M183" s="8" t="n">
        <v>178</v>
      </c>
      <c r="N183" s="8" t="n">
        <v>331</v>
      </c>
      <c r="O183" s="7" t="n">
        <v>244</v>
      </c>
      <c r="P183" s="6" t="n">
        <v>7.1</v>
      </c>
      <c r="Q183" s="7" t="n">
        <v>-0.609</v>
      </c>
      <c r="R183" s="7" t="n">
        <v>-0.653</v>
      </c>
      <c r="S183" s="4" t="s">
        <v>121</v>
      </c>
      <c r="T183" s="4"/>
      <c r="U183" s="8" t="n">
        <v>14</v>
      </c>
      <c r="V183" s="6" t="n">
        <v>42.4</v>
      </c>
      <c r="W183" s="7" t="n">
        <v>3.029</v>
      </c>
      <c r="X183" s="8" t="n">
        <v>85</v>
      </c>
      <c r="Y183" s="8" t="n">
        <v>55</v>
      </c>
      <c r="Z183" s="10" t="n">
        <v>0.111</v>
      </c>
      <c r="AA183" s="8" t="n">
        <v>58</v>
      </c>
      <c r="AB183" s="10" t="n">
        <v>0.157</v>
      </c>
      <c r="AC183" s="8" t="n">
        <v>13</v>
      </c>
      <c r="AD183" s="6" t="n">
        <v>15.2</v>
      </c>
      <c r="AE183" s="10" t="n">
        <v>0.384</v>
      </c>
      <c r="AF183" s="8" t="n">
        <v>2</v>
      </c>
      <c r="AG183" s="10" t="n">
        <v>-0.0175</v>
      </c>
      <c r="AH183" s="6" t="n">
        <v>14.2</v>
      </c>
    </row>
    <row r="184" customFormat="false" ht="15" hidden="false" customHeight="false" outlineLevel="0" collapsed="false">
      <c r="A184" s="3" t="n">
        <v>182</v>
      </c>
      <c r="B184" s="4" t="s">
        <v>395</v>
      </c>
      <c r="C184" s="5" t="s">
        <v>99</v>
      </c>
      <c r="D184" s="4" t="s">
        <v>396</v>
      </c>
      <c r="E184" s="4" t="s">
        <v>164</v>
      </c>
      <c r="F184" s="4" t="s">
        <v>99</v>
      </c>
      <c r="G184" s="3" t="n">
        <v>2</v>
      </c>
      <c r="H184" s="6" t="n">
        <v>23.3</v>
      </c>
      <c r="I184" s="3" t="n">
        <v>3</v>
      </c>
      <c r="J184" s="3" t="n">
        <v>5</v>
      </c>
      <c r="K184" s="7" t="n">
        <v>127.07</v>
      </c>
      <c r="L184" s="7" t="n">
        <v>13.27</v>
      </c>
      <c r="M184" s="8" t="n">
        <v>90</v>
      </c>
      <c r="N184" s="8" t="n">
        <v>180</v>
      </c>
      <c r="O184" s="7" t="n">
        <v>127.07</v>
      </c>
      <c r="P184" s="6" t="n">
        <v>67.3</v>
      </c>
      <c r="Q184" s="7" t="n">
        <v>-0.621</v>
      </c>
      <c r="R184" s="7" t="n">
        <v>-0.753</v>
      </c>
      <c r="S184" s="4" t="s">
        <v>121</v>
      </c>
      <c r="T184" s="4"/>
      <c r="U184" s="8" t="n">
        <v>14</v>
      </c>
      <c r="V184" s="6" t="n">
        <v>109.9</v>
      </c>
      <c r="W184" s="7" t="n">
        <v>7.85</v>
      </c>
      <c r="X184" s="8" t="n">
        <v>57</v>
      </c>
      <c r="Y184" s="8" t="n">
        <v>147</v>
      </c>
      <c r="Z184" s="10" t="n">
        <v>0.268</v>
      </c>
      <c r="AA184" s="8" t="n">
        <v>129</v>
      </c>
      <c r="AB184" s="10" t="n">
        <v>0.3</v>
      </c>
      <c r="AC184" s="8" t="n">
        <v>43</v>
      </c>
      <c r="AD184" s="6" t="n">
        <v>50.1</v>
      </c>
      <c r="AE184" s="10" t="n">
        <v>0.864</v>
      </c>
      <c r="AF184" s="8" t="n">
        <v>5</v>
      </c>
      <c r="AG184" s="10" t="n">
        <v>0.0395</v>
      </c>
      <c r="AH184" s="6" t="n">
        <v>21.3</v>
      </c>
    </row>
    <row r="185" customFormat="false" ht="15" hidden="false" customHeight="false" outlineLevel="0" collapsed="false">
      <c r="A185" s="3" t="n">
        <v>183</v>
      </c>
      <c r="B185" s="4" t="s">
        <v>367</v>
      </c>
      <c r="C185" s="13" t="s">
        <v>172</v>
      </c>
      <c r="D185" s="4" t="s">
        <v>368</v>
      </c>
      <c r="E185" s="4" t="s">
        <v>127</v>
      </c>
      <c r="F185" s="4" t="s">
        <v>172</v>
      </c>
      <c r="G185" s="3" t="n">
        <v>1</v>
      </c>
      <c r="H185" s="6" t="n">
        <v>29</v>
      </c>
      <c r="I185" s="3" t="n">
        <v>8</v>
      </c>
      <c r="J185" s="3" t="n">
        <v>6</v>
      </c>
      <c r="K185" s="7" t="n">
        <v>113.28</v>
      </c>
      <c r="L185" s="7" t="n">
        <v>9.12</v>
      </c>
      <c r="M185" s="8" t="n">
        <v>92</v>
      </c>
      <c r="N185" s="8" t="n">
        <v>134</v>
      </c>
      <c r="O185" s="7" t="n">
        <v>113.28</v>
      </c>
      <c r="P185" s="6" t="n">
        <v>66</v>
      </c>
      <c r="Q185" s="7" t="n">
        <v>-0.634</v>
      </c>
      <c r="R185" s="7" t="n">
        <v>-0.283</v>
      </c>
      <c r="S185" s="4" t="s">
        <v>121</v>
      </c>
      <c r="T185" s="4"/>
      <c r="U185" s="8" t="n">
        <v>5</v>
      </c>
      <c r="V185" s="6" t="n">
        <v>77.78</v>
      </c>
      <c r="W185" s="7" t="n">
        <v>15.556</v>
      </c>
      <c r="X185" s="8" t="n">
        <v>29</v>
      </c>
      <c r="Y185" s="8" t="n">
        <v>82</v>
      </c>
      <c r="Z185" s="10" t="n">
        <v>0.175</v>
      </c>
      <c r="AA185" s="8" t="n">
        <v>24</v>
      </c>
      <c r="AB185" s="10" t="n">
        <v>0.059</v>
      </c>
      <c r="AC185" s="8" t="n">
        <v>17</v>
      </c>
      <c r="AD185" s="6" t="n">
        <v>36</v>
      </c>
      <c r="AE185" s="10" t="n">
        <v>0.819</v>
      </c>
      <c r="AF185" s="8" t="n">
        <v>5</v>
      </c>
      <c r="AG185" s="10" t="n">
        <v>-0.012</v>
      </c>
      <c r="AH185" s="6" t="n">
        <v>20.2</v>
      </c>
    </row>
    <row r="186" customFormat="false" ht="15" hidden="false" customHeight="false" outlineLevel="0" collapsed="false">
      <c r="A186" s="3" t="n">
        <v>184</v>
      </c>
      <c r="B186" s="4" t="s">
        <v>287</v>
      </c>
      <c r="C186" s="5" t="s">
        <v>99</v>
      </c>
      <c r="D186" s="4" t="s">
        <v>288</v>
      </c>
      <c r="E186" s="4" t="s">
        <v>235</v>
      </c>
      <c r="F186" s="4" t="s">
        <v>99</v>
      </c>
      <c r="G186" s="3" t="n">
        <v>1</v>
      </c>
      <c r="H186" s="6" t="n">
        <v>23.9</v>
      </c>
      <c r="I186" s="3" t="n">
        <v>3</v>
      </c>
      <c r="J186" s="3" t="n">
        <v>7</v>
      </c>
      <c r="K186" s="7" t="n">
        <v>77.84</v>
      </c>
      <c r="L186" s="7" t="n">
        <v>13</v>
      </c>
      <c r="M186" s="8" t="n">
        <v>48</v>
      </c>
      <c r="N186" s="8" t="n">
        <v>110</v>
      </c>
      <c r="O186" s="7" t="n">
        <v>77.84</v>
      </c>
      <c r="P186" s="6" t="n">
        <v>87.2</v>
      </c>
      <c r="Q186" s="7" t="n">
        <v>-0.637</v>
      </c>
      <c r="R186" s="7" t="n">
        <v>-0.856</v>
      </c>
      <c r="S186" s="4" t="s">
        <v>121</v>
      </c>
      <c r="T186" s="4"/>
      <c r="U186" s="8" t="n">
        <v>14</v>
      </c>
      <c r="V186" s="6" t="n">
        <v>138.8</v>
      </c>
      <c r="W186" s="7" t="n">
        <v>9.914</v>
      </c>
      <c r="X186" s="8" t="n">
        <v>42</v>
      </c>
      <c r="Y186" s="8" t="n">
        <v>132</v>
      </c>
      <c r="Z186" s="10" t="n">
        <v>0.241</v>
      </c>
      <c r="AA186" s="8" t="n">
        <v>271</v>
      </c>
      <c r="AB186" s="10" t="n">
        <v>0.554</v>
      </c>
      <c r="AC186" s="8" t="n">
        <v>85</v>
      </c>
      <c r="AD186" s="6" t="n">
        <v>44.3</v>
      </c>
      <c r="AE186" s="10" t="n">
        <v>1</v>
      </c>
      <c r="AF186" s="8" t="n">
        <v>5</v>
      </c>
      <c r="AG186" s="10" t="n">
        <v>0.0164</v>
      </c>
      <c r="AH186" s="6" t="n">
        <v>27.9</v>
      </c>
    </row>
    <row r="187" customFormat="false" ht="15" hidden="false" customHeight="false" outlineLevel="0" collapsed="false">
      <c r="A187" s="3" t="n">
        <v>185</v>
      </c>
      <c r="B187" s="4" t="s">
        <v>439</v>
      </c>
      <c r="C187" s="11" t="s">
        <v>104</v>
      </c>
      <c r="D187" s="4" t="s">
        <v>440</v>
      </c>
      <c r="E187" s="4" t="s">
        <v>170</v>
      </c>
      <c r="F187" s="4" t="s">
        <v>281</v>
      </c>
      <c r="G187" s="3" t="n">
        <v>2</v>
      </c>
      <c r="H187" s="6" t="n">
        <v>24.6</v>
      </c>
      <c r="I187" s="3" t="n">
        <v>4</v>
      </c>
      <c r="J187" s="3" t="n">
        <v>7</v>
      </c>
      <c r="K187" s="7" t="n">
        <v>155.54</v>
      </c>
      <c r="L187" s="7" t="n">
        <v>27.44</v>
      </c>
      <c r="M187" s="8" t="n">
        <v>122</v>
      </c>
      <c r="N187" s="8" t="n">
        <v>275</v>
      </c>
      <c r="O187" s="7" t="n">
        <v>155.54</v>
      </c>
      <c r="P187" s="6" t="n">
        <v>28</v>
      </c>
      <c r="Q187" s="7" t="n">
        <v>-0.657</v>
      </c>
      <c r="R187" s="7" t="n">
        <v>-0.701</v>
      </c>
      <c r="S187" s="4" t="s">
        <v>121</v>
      </c>
      <c r="T187" s="4"/>
      <c r="U187" s="8" t="n">
        <v>13</v>
      </c>
      <c r="V187" s="6" t="n">
        <v>55.4</v>
      </c>
      <c r="W187" s="7" t="n">
        <v>4.262</v>
      </c>
      <c r="X187" s="8" t="n">
        <v>57</v>
      </c>
      <c r="Y187" s="8" t="n">
        <v>15</v>
      </c>
      <c r="Z187" s="10" t="n">
        <v>0.028</v>
      </c>
      <c r="AA187" s="8" t="n">
        <v>23</v>
      </c>
      <c r="AB187" s="10" t="n">
        <v>0.049</v>
      </c>
      <c r="AC187" s="8" t="n">
        <v>2</v>
      </c>
      <c r="AD187" s="6" t="n">
        <v>26.9</v>
      </c>
      <c r="AE187" s="10" t="n">
        <v>0.205</v>
      </c>
      <c r="AF187" s="8" t="n">
        <v>1</v>
      </c>
      <c r="AG187" s="10" t="n">
        <v>0.0064</v>
      </c>
      <c r="AH187" s="6" t="n">
        <v>21.6</v>
      </c>
    </row>
    <row r="188" customFormat="false" ht="15" hidden="false" customHeight="false" outlineLevel="0" collapsed="false">
      <c r="A188" s="3" t="n">
        <v>186</v>
      </c>
      <c r="B188" s="4" t="s">
        <v>490</v>
      </c>
      <c r="C188" s="11" t="s">
        <v>104</v>
      </c>
      <c r="D188" s="4" t="s">
        <v>491</v>
      </c>
      <c r="E188" s="4" t="s">
        <v>151</v>
      </c>
      <c r="F188" s="4" t="s">
        <v>104</v>
      </c>
      <c r="G188" s="3" t="n">
        <v>3</v>
      </c>
      <c r="H188" s="6" t="n">
        <v>31.3</v>
      </c>
      <c r="I188" s="3" t="n">
        <v>10</v>
      </c>
      <c r="J188" s="3" t="n">
        <v>14</v>
      </c>
      <c r="K188" s="7" t="n">
        <v>194.7</v>
      </c>
      <c r="L188" s="7" t="n">
        <v>41.07</v>
      </c>
      <c r="M188" s="8" t="n">
        <v>117</v>
      </c>
      <c r="N188" s="8" t="n">
        <v>318</v>
      </c>
      <c r="O188" s="7" t="n">
        <v>194.7</v>
      </c>
      <c r="P188" s="6" t="n">
        <v>19.5</v>
      </c>
      <c r="Q188" s="7" t="n">
        <v>-0.663</v>
      </c>
      <c r="R188" s="7" t="n">
        <v>0.739</v>
      </c>
      <c r="S188" s="4" t="s">
        <v>121</v>
      </c>
      <c r="T188" s="4"/>
      <c r="U188" s="8" t="n">
        <v>3</v>
      </c>
      <c r="V188" s="6" t="n">
        <v>33.3</v>
      </c>
      <c r="W188" s="7" t="n">
        <v>11.1</v>
      </c>
      <c r="X188" s="8" t="n">
        <v>62</v>
      </c>
      <c r="Y188" s="8" t="n">
        <v>106</v>
      </c>
      <c r="Z188" s="10" t="n">
        <v>0.172</v>
      </c>
      <c r="AA188" s="8" t="n">
        <v>173</v>
      </c>
      <c r="AB188" s="10" t="n">
        <v>0.473</v>
      </c>
      <c r="AC188" s="8" t="n">
        <v>41</v>
      </c>
      <c r="AD188" s="6" t="n">
        <v>36.9</v>
      </c>
      <c r="AE188" s="10" t="n">
        <v>0.686</v>
      </c>
      <c r="AF188" s="8" t="n">
        <v>3</v>
      </c>
      <c r="AG188" s="10" t="n">
        <v>0.0399</v>
      </c>
      <c r="AH188" s="6" t="n">
        <v>20.9</v>
      </c>
    </row>
    <row r="189" customFormat="false" ht="15" hidden="false" customHeight="false" outlineLevel="0" collapsed="false">
      <c r="A189" s="3" t="n">
        <v>187</v>
      </c>
      <c r="B189" s="4" t="s">
        <v>125</v>
      </c>
      <c r="C189" s="5" t="s">
        <v>99</v>
      </c>
      <c r="D189" s="4" t="s">
        <v>126</v>
      </c>
      <c r="E189" s="4" t="s">
        <v>127</v>
      </c>
      <c r="F189" s="4" t="s">
        <v>99</v>
      </c>
      <c r="G189" s="3" t="n">
        <v>1</v>
      </c>
      <c r="H189" s="6" t="n">
        <v>27.2</v>
      </c>
      <c r="I189" s="3" t="n">
        <v>7</v>
      </c>
      <c r="J189" s="3" t="n">
        <v>6</v>
      </c>
      <c r="K189" s="7" t="n">
        <v>9.58</v>
      </c>
      <c r="L189" s="7" t="n">
        <v>2.63</v>
      </c>
      <c r="M189" s="8" t="n">
        <v>5</v>
      </c>
      <c r="N189" s="8" t="n">
        <v>20</v>
      </c>
      <c r="O189" s="7" t="n">
        <v>9.58</v>
      </c>
      <c r="P189" s="6" t="n">
        <v>99.4</v>
      </c>
      <c r="Q189" s="7" t="n">
        <v>-0.673</v>
      </c>
      <c r="R189" s="7" t="n">
        <v>-1.155</v>
      </c>
      <c r="S189" s="4" t="s">
        <v>121</v>
      </c>
      <c r="T189" s="4"/>
      <c r="U189" s="8" t="n">
        <v>17</v>
      </c>
      <c r="V189" s="6" t="n">
        <v>201.5</v>
      </c>
      <c r="W189" s="7" t="n">
        <v>11.853</v>
      </c>
      <c r="X189" s="8" t="n">
        <v>21</v>
      </c>
      <c r="Y189" s="8" t="n">
        <v>82</v>
      </c>
      <c r="Z189" s="10" t="n">
        <v>0.175</v>
      </c>
      <c r="AA189" s="8" t="n">
        <v>24</v>
      </c>
      <c r="AB189" s="10" t="n">
        <v>0.059</v>
      </c>
      <c r="AC189" s="8" t="n">
        <v>17</v>
      </c>
      <c r="AD189" s="6" t="n">
        <v>36</v>
      </c>
      <c r="AE189" s="10" t="n">
        <v>0.819</v>
      </c>
      <c r="AF189" s="8" t="n">
        <v>5</v>
      </c>
      <c r="AG189" s="10" t="n">
        <v>-0.012</v>
      </c>
      <c r="AH189" s="6" t="n">
        <v>20.2</v>
      </c>
    </row>
    <row r="190" customFormat="false" ht="15" hidden="false" customHeight="false" outlineLevel="0" collapsed="false">
      <c r="A190" s="3" t="n">
        <v>188</v>
      </c>
      <c r="B190" s="4" t="s">
        <v>459</v>
      </c>
      <c r="C190" s="11" t="s">
        <v>104</v>
      </c>
      <c r="D190" s="4" t="s">
        <v>460</v>
      </c>
      <c r="E190" s="4" t="s">
        <v>136</v>
      </c>
      <c r="F190" s="4" t="s">
        <v>281</v>
      </c>
      <c r="G190" s="3" t="n">
        <v>2</v>
      </c>
      <c r="H190" s="6" t="n">
        <v>24</v>
      </c>
      <c r="I190" s="3" t="n">
        <v>4</v>
      </c>
      <c r="J190" s="3" t="n">
        <v>10</v>
      </c>
      <c r="K190" s="7" t="n">
        <v>168.33</v>
      </c>
      <c r="L190" s="7" t="n">
        <v>22.85</v>
      </c>
      <c r="M190" s="8" t="n">
        <v>132</v>
      </c>
      <c r="N190" s="8" t="n">
        <v>234</v>
      </c>
      <c r="O190" s="7" t="n">
        <v>168.33</v>
      </c>
      <c r="P190" s="6" t="n">
        <v>25.9</v>
      </c>
      <c r="Q190" s="7" t="n">
        <v>-0.673</v>
      </c>
      <c r="R190" s="7" t="n">
        <v>-0.849</v>
      </c>
      <c r="S190" s="4" t="s">
        <v>121</v>
      </c>
      <c r="T190" s="4"/>
      <c r="U190" s="8" t="n">
        <v>15</v>
      </c>
      <c r="V190" s="6" t="n">
        <v>53.8</v>
      </c>
      <c r="W190" s="7" t="n">
        <v>3.587</v>
      </c>
      <c r="X190" s="8" t="n">
        <v>59</v>
      </c>
      <c r="Y190" s="8" t="n">
        <v>175</v>
      </c>
      <c r="Z190" s="10" t="n">
        <v>0.377</v>
      </c>
      <c r="AA190" s="8" t="n">
        <v>12</v>
      </c>
      <c r="AB190" s="10" t="n">
        <v>0.025</v>
      </c>
      <c r="AC190" s="8" t="n">
        <v>23</v>
      </c>
      <c r="AD190" s="6" t="n">
        <v>48.2</v>
      </c>
      <c r="AE190" s="10" t="n">
        <v>0.909</v>
      </c>
      <c r="AF190" s="8" t="n">
        <v>5</v>
      </c>
      <c r="AG190" s="10" t="n">
        <v>-0.0248</v>
      </c>
      <c r="AH190" s="6" t="n">
        <v>22.3</v>
      </c>
    </row>
    <row r="191" customFormat="false" ht="15" hidden="false" customHeight="false" outlineLevel="0" collapsed="false">
      <c r="A191" s="3" t="n">
        <v>189</v>
      </c>
      <c r="B191" s="4" t="s">
        <v>250</v>
      </c>
      <c r="C191" s="11" t="s">
        <v>104</v>
      </c>
      <c r="D191" s="4" t="s">
        <v>251</v>
      </c>
      <c r="E191" s="4" t="s">
        <v>198</v>
      </c>
      <c r="F191" s="4" t="s">
        <v>104</v>
      </c>
      <c r="G191" s="3" t="n">
        <v>1</v>
      </c>
      <c r="H191" s="6" t="n">
        <v>24</v>
      </c>
      <c r="I191" s="3" t="n">
        <v>3</v>
      </c>
      <c r="J191" s="3" t="n">
        <v>10</v>
      </c>
      <c r="K191" s="7" t="n">
        <v>57.86</v>
      </c>
      <c r="L191" s="7" t="n">
        <v>8.33</v>
      </c>
      <c r="M191" s="8" t="n">
        <v>33</v>
      </c>
      <c r="N191" s="8" t="n">
        <v>77</v>
      </c>
      <c r="O191" s="7" t="n">
        <v>57.86</v>
      </c>
      <c r="P191" s="6" t="n">
        <v>95.1</v>
      </c>
      <c r="Q191" s="7" t="n">
        <v>-0.703</v>
      </c>
      <c r="R191" s="7" t="n">
        <v>-0.046</v>
      </c>
      <c r="S191" s="4" t="s">
        <v>121</v>
      </c>
      <c r="T191" s="4"/>
      <c r="U191" s="8" t="n">
        <v>10</v>
      </c>
      <c r="V191" s="6" t="n">
        <v>138.5</v>
      </c>
      <c r="W191" s="7" t="n">
        <v>13.85</v>
      </c>
      <c r="X191" s="8" t="n">
        <v>33</v>
      </c>
      <c r="Y191" s="8" t="n">
        <v>111</v>
      </c>
      <c r="Z191" s="10" t="n">
        <v>0.205</v>
      </c>
      <c r="AA191" s="8" t="n">
        <v>138</v>
      </c>
      <c r="AB191" s="10" t="n">
        <v>0.292</v>
      </c>
      <c r="AC191" s="8" t="n">
        <v>38</v>
      </c>
      <c r="AD191" s="6" t="n">
        <v>57.4</v>
      </c>
      <c r="AE191" s="10" t="n">
        <v>0.791</v>
      </c>
      <c r="AF191" s="8" t="n">
        <v>4</v>
      </c>
      <c r="AG191" s="10" t="n">
        <v>-0.0347</v>
      </c>
      <c r="AH191" s="6" t="n">
        <v>22.4</v>
      </c>
    </row>
    <row r="192" customFormat="false" ht="15" hidden="false" customHeight="false" outlineLevel="0" collapsed="false">
      <c r="A192" s="3" t="n">
        <v>190</v>
      </c>
      <c r="B192" s="4" t="s">
        <v>252</v>
      </c>
      <c r="C192" s="5" t="s">
        <v>99</v>
      </c>
      <c r="D192" s="4" t="s">
        <v>253</v>
      </c>
      <c r="E192" s="4" t="s">
        <v>203</v>
      </c>
      <c r="F192" s="4" t="s">
        <v>99</v>
      </c>
      <c r="G192" s="3" t="n">
        <v>1</v>
      </c>
      <c r="H192" s="6" t="n">
        <v>24.2</v>
      </c>
      <c r="I192" s="3" t="n">
        <v>3</v>
      </c>
      <c r="J192" s="3" t="n">
        <v>10</v>
      </c>
      <c r="K192" s="7" t="n">
        <v>59.12</v>
      </c>
      <c r="L192" s="7" t="n">
        <v>8.06</v>
      </c>
      <c r="M192" s="8" t="n">
        <v>42</v>
      </c>
      <c r="N192" s="8" t="n">
        <v>82</v>
      </c>
      <c r="O192" s="7" t="n">
        <v>59.12</v>
      </c>
      <c r="P192" s="6" t="n">
        <v>91.9</v>
      </c>
      <c r="Q192" s="7" t="n">
        <v>-0.734</v>
      </c>
      <c r="R192" s="7" t="n">
        <v>-0.165</v>
      </c>
      <c r="S192" s="4" t="s">
        <v>121</v>
      </c>
      <c r="T192" s="4"/>
      <c r="U192" s="8" t="n">
        <v>12</v>
      </c>
      <c r="V192" s="6" t="n">
        <v>146.1</v>
      </c>
      <c r="W192" s="7" t="n">
        <v>12.175</v>
      </c>
      <c r="X192" s="8" t="n">
        <v>41</v>
      </c>
      <c r="Y192" s="8" t="n">
        <v>161</v>
      </c>
      <c r="Z192" s="10" t="n">
        <v>0.303</v>
      </c>
      <c r="AA192" s="8" t="n">
        <v>20</v>
      </c>
      <c r="AB192" s="10" t="n">
        <v>0.04</v>
      </c>
      <c r="AC192" s="8" t="n">
        <v>26</v>
      </c>
      <c r="AD192" s="6" t="n">
        <v>76.3</v>
      </c>
      <c r="AE192" s="10" t="n">
        <v>0.802</v>
      </c>
      <c r="AF192" s="8" t="n">
        <v>4</v>
      </c>
      <c r="AG192" s="10" t="n">
        <v>-0.039</v>
      </c>
      <c r="AH192" s="6" t="n">
        <v>25.9</v>
      </c>
    </row>
    <row r="193" customFormat="false" ht="15" hidden="false" customHeight="false" outlineLevel="0" collapsed="false">
      <c r="A193" s="3" t="n">
        <v>191</v>
      </c>
      <c r="B193" s="4" t="s">
        <v>118</v>
      </c>
      <c r="C193" s="5" t="s">
        <v>99</v>
      </c>
      <c r="D193" s="4" t="s">
        <v>119</v>
      </c>
      <c r="E193" s="4" t="s">
        <v>120</v>
      </c>
      <c r="F193" s="4" t="s">
        <v>99</v>
      </c>
      <c r="G193" s="3" t="n">
        <v>1</v>
      </c>
      <c r="H193" s="6" t="n">
        <v>27.4</v>
      </c>
      <c r="I193" s="3" t="n">
        <v>7</v>
      </c>
      <c r="J193" s="3" t="n">
        <v>14</v>
      </c>
      <c r="K193" s="7" t="n">
        <v>8.7</v>
      </c>
      <c r="L193" s="7" t="n">
        <v>1.63</v>
      </c>
      <c r="M193" s="8" t="n">
        <v>6</v>
      </c>
      <c r="N193" s="8" t="n">
        <v>16</v>
      </c>
      <c r="O193" s="7" t="n">
        <v>8.7</v>
      </c>
      <c r="P193" s="6" t="n">
        <v>99.4</v>
      </c>
      <c r="Q193" s="7" t="n">
        <v>-0.752</v>
      </c>
      <c r="R193" s="7" t="n">
        <v>-0.226</v>
      </c>
      <c r="S193" s="4" t="s">
        <v>121</v>
      </c>
      <c r="T193" s="4"/>
      <c r="U193" s="8" t="n">
        <v>13</v>
      </c>
      <c r="V193" s="6" t="n">
        <v>200.9</v>
      </c>
      <c r="W193" s="7" t="n">
        <v>15.454</v>
      </c>
      <c r="X193" s="8" t="n">
        <v>22</v>
      </c>
      <c r="Y193" s="8" t="n">
        <v>34</v>
      </c>
      <c r="Z193" s="10" t="n">
        <v>0.056</v>
      </c>
      <c r="AA193" s="8" t="n">
        <v>0</v>
      </c>
      <c r="AB193" s="10" t="n">
        <v>0</v>
      </c>
      <c r="AC193" s="8" t="n">
        <v>4</v>
      </c>
      <c r="AD193" s="6" t="n">
        <v>65.1</v>
      </c>
      <c r="AE193" s="10" t="n">
        <v>0.848</v>
      </c>
      <c r="AF193" s="8" t="n">
        <v>5</v>
      </c>
      <c r="AG193" s="10" t="n">
        <v>-0.0098</v>
      </c>
      <c r="AH193" s="6" t="n">
        <v>27.7</v>
      </c>
    </row>
    <row r="194" customFormat="false" ht="15" hidden="false" customHeight="false" outlineLevel="0" collapsed="false">
      <c r="A194" s="3" t="n">
        <v>192</v>
      </c>
      <c r="B194" s="4" t="s">
        <v>277</v>
      </c>
      <c r="C194" s="12" t="s">
        <v>149</v>
      </c>
      <c r="D194" s="4" t="s">
        <v>278</v>
      </c>
      <c r="E194" s="4" t="s">
        <v>218</v>
      </c>
      <c r="F194" s="4" t="s">
        <v>149</v>
      </c>
      <c r="G194" s="3" t="n">
        <v>1</v>
      </c>
      <c r="H194" s="6" t="n">
        <v>25.8</v>
      </c>
      <c r="I194" s="3" t="n">
        <v>4</v>
      </c>
      <c r="J194" s="3" t="n">
        <v>11</v>
      </c>
      <c r="K194" s="7" t="n">
        <v>72.87</v>
      </c>
      <c r="L194" s="7" t="n">
        <v>12.62</v>
      </c>
      <c r="M194" s="8" t="n">
        <v>32</v>
      </c>
      <c r="N194" s="8" t="n">
        <v>111</v>
      </c>
      <c r="O194" s="7" t="n">
        <v>72.87</v>
      </c>
      <c r="P194" s="6" t="n">
        <v>92.5</v>
      </c>
      <c r="Q194" s="7" t="n">
        <v>-0.752</v>
      </c>
      <c r="R194" s="7" t="n">
        <v>0.037</v>
      </c>
      <c r="S194" s="4" t="s">
        <v>121</v>
      </c>
      <c r="T194" s="4"/>
      <c r="U194" s="8" t="n">
        <v>8</v>
      </c>
      <c r="V194" s="6" t="n">
        <v>117.2</v>
      </c>
      <c r="W194" s="7" t="n">
        <v>14.65</v>
      </c>
      <c r="X194" s="8" t="n">
        <v>22</v>
      </c>
      <c r="Y194" s="8" t="n">
        <v>155</v>
      </c>
      <c r="Z194" s="10" t="n">
        <v>0.337</v>
      </c>
      <c r="AA194" s="8" t="n">
        <v>148</v>
      </c>
      <c r="AB194" s="10" t="n">
        <v>0.301</v>
      </c>
      <c r="AC194" s="8" t="n">
        <v>52</v>
      </c>
      <c r="AD194" s="6" t="n">
        <v>52.5</v>
      </c>
      <c r="AE194" s="10" t="n">
        <v>0.704</v>
      </c>
      <c r="AF194" s="8" t="n">
        <v>4</v>
      </c>
      <c r="AG194" s="10" t="n">
        <v>-0.0441</v>
      </c>
      <c r="AH194" s="6" t="n">
        <v>23</v>
      </c>
    </row>
    <row r="195" customFormat="false" ht="15" hidden="false" customHeight="false" outlineLevel="0" collapsed="false">
      <c r="A195" s="3" t="n">
        <v>193</v>
      </c>
      <c r="B195" s="4" t="s">
        <v>187</v>
      </c>
      <c r="C195" s="13" t="s">
        <v>172</v>
      </c>
      <c r="D195" s="4" t="s">
        <v>188</v>
      </c>
      <c r="E195" s="4" t="s">
        <v>183</v>
      </c>
      <c r="F195" s="4" t="s">
        <v>172</v>
      </c>
      <c r="G195" s="3" t="n">
        <v>1</v>
      </c>
      <c r="H195" s="6" t="n">
        <v>29.6</v>
      </c>
      <c r="I195" s="3" t="n">
        <v>9</v>
      </c>
      <c r="J195" s="3" t="n">
        <v>13</v>
      </c>
      <c r="K195" s="7" t="n">
        <v>32.31</v>
      </c>
      <c r="L195" s="7" t="n">
        <v>9.26</v>
      </c>
      <c r="M195" s="8" t="n">
        <v>25</v>
      </c>
      <c r="N195" s="8" t="n">
        <v>59</v>
      </c>
      <c r="O195" s="7" t="n">
        <v>32.31</v>
      </c>
      <c r="P195" s="6" t="n">
        <v>99.2</v>
      </c>
      <c r="Q195" s="7" t="n">
        <v>-0.77</v>
      </c>
      <c r="R195" s="7" t="n">
        <v>-0.596</v>
      </c>
      <c r="S195" s="4" t="s">
        <v>121</v>
      </c>
      <c r="T195" s="4"/>
      <c r="U195" s="8" t="n">
        <v>13</v>
      </c>
      <c r="V195" s="6" t="n">
        <v>214.86</v>
      </c>
      <c r="W195" s="7" t="n">
        <v>16.528</v>
      </c>
      <c r="X195" s="8" t="n">
        <v>20</v>
      </c>
      <c r="Y195" s="8" t="n">
        <v>75</v>
      </c>
      <c r="Z195" s="10" t="n">
        <v>0.184</v>
      </c>
      <c r="AA195" s="8" t="n">
        <v>64</v>
      </c>
      <c r="AB195" s="10" t="n">
        <v>0.126</v>
      </c>
      <c r="AC195" s="8" t="n">
        <v>26</v>
      </c>
      <c r="AD195" s="6" t="n">
        <v>53.2</v>
      </c>
      <c r="AE195" s="10" t="n">
        <v>0.572</v>
      </c>
      <c r="AF195" s="8" t="n">
        <v>2</v>
      </c>
      <c r="AG195" s="10" t="n">
        <v>-0.0884</v>
      </c>
      <c r="AH195" s="6" t="n">
        <v>24.9</v>
      </c>
    </row>
    <row r="196" customFormat="false" ht="15" hidden="false" customHeight="false" outlineLevel="0" collapsed="false">
      <c r="A196" s="3" t="n">
        <v>194</v>
      </c>
      <c r="B196" s="4" t="s">
        <v>301</v>
      </c>
      <c r="C196" s="12" t="s">
        <v>149</v>
      </c>
      <c r="D196" s="4" t="s">
        <v>302</v>
      </c>
      <c r="E196" s="4" t="s">
        <v>106</v>
      </c>
      <c r="F196" s="4" t="s">
        <v>149</v>
      </c>
      <c r="G196" s="3" t="n">
        <v>1</v>
      </c>
      <c r="H196" s="6" t="n">
        <v>25.6</v>
      </c>
      <c r="I196" s="3" t="n">
        <v>4</v>
      </c>
      <c r="J196" s="3" t="n">
        <v>6</v>
      </c>
      <c r="K196" s="7" t="n">
        <v>82.49</v>
      </c>
      <c r="L196" s="7" t="n">
        <v>10.07</v>
      </c>
      <c r="M196" s="8" t="n">
        <v>54</v>
      </c>
      <c r="N196" s="8" t="n">
        <v>97</v>
      </c>
      <c r="O196" s="7" t="n">
        <v>82.49</v>
      </c>
      <c r="P196" s="6" t="n">
        <v>95.1</v>
      </c>
      <c r="Q196" s="7" t="n">
        <v>-0.812</v>
      </c>
      <c r="R196" s="7" t="n">
        <v>-0.024</v>
      </c>
      <c r="S196" s="4" t="s">
        <v>121</v>
      </c>
      <c r="T196" s="4"/>
      <c r="U196" s="8" t="n">
        <v>9</v>
      </c>
      <c r="V196" s="6" t="n">
        <v>106.9</v>
      </c>
      <c r="W196" s="7" t="n">
        <v>11.878</v>
      </c>
      <c r="X196" s="8" t="n">
        <v>25</v>
      </c>
      <c r="Y196" s="8" t="n">
        <v>79</v>
      </c>
      <c r="Z196" s="10" t="n">
        <v>0.144</v>
      </c>
      <c r="AA196" s="8" t="n">
        <v>167</v>
      </c>
      <c r="AB196" s="10" t="n">
        <v>0.378</v>
      </c>
      <c r="AC196" s="8" t="n">
        <v>45</v>
      </c>
      <c r="AD196" s="6" t="n">
        <v>46.7</v>
      </c>
      <c r="AE196" s="10" t="n">
        <v>0.521</v>
      </c>
      <c r="AF196" s="8" t="n">
        <v>3</v>
      </c>
      <c r="AG196" s="10" t="n">
        <v>-0.0456</v>
      </c>
      <c r="AH196" s="6" t="n">
        <v>28.3</v>
      </c>
    </row>
    <row r="197" customFormat="false" ht="15" hidden="false" customHeight="false" outlineLevel="0" collapsed="false">
      <c r="A197" s="3" t="n">
        <v>195</v>
      </c>
      <c r="B197" s="4" t="s">
        <v>478</v>
      </c>
      <c r="C197" s="5" t="s">
        <v>99</v>
      </c>
      <c r="D197" s="4" t="s">
        <v>479</v>
      </c>
      <c r="E197" s="4" t="s">
        <v>170</v>
      </c>
      <c r="F197" s="4" t="s">
        <v>99</v>
      </c>
      <c r="G197" s="3" t="n">
        <v>3</v>
      </c>
      <c r="H197" s="6" t="n">
        <v>24.5</v>
      </c>
      <c r="I197" s="3" t="n">
        <v>2</v>
      </c>
      <c r="J197" s="3" t="n">
        <v>7</v>
      </c>
      <c r="K197" s="7" t="n">
        <v>180.35</v>
      </c>
      <c r="L197" s="7" t="n">
        <v>27.53</v>
      </c>
      <c r="M197" s="8" t="n">
        <v>123</v>
      </c>
      <c r="N197" s="8" t="n">
        <v>296</v>
      </c>
      <c r="O197" s="7" t="n">
        <v>180.35</v>
      </c>
      <c r="P197" s="6" t="n">
        <v>13.7</v>
      </c>
      <c r="Q197" s="7" t="n">
        <v>-0.835</v>
      </c>
      <c r="R197" s="7" t="n">
        <v>-1.186</v>
      </c>
      <c r="S197" s="4" t="s">
        <v>121</v>
      </c>
      <c r="T197" s="4"/>
      <c r="U197" s="8" t="n">
        <v>16</v>
      </c>
      <c r="V197" s="6" t="n">
        <v>69.4</v>
      </c>
      <c r="W197" s="7" t="n">
        <v>4.338</v>
      </c>
      <c r="X197" s="8" t="n">
        <v>74</v>
      </c>
      <c r="Y197" s="8" t="n">
        <v>15</v>
      </c>
      <c r="Z197" s="10" t="n">
        <v>0.028</v>
      </c>
      <c r="AA197" s="8" t="n">
        <v>23</v>
      </c>
      <c r="AB197" s="10" t="n">
        <v>0.049</v>
      </c>
      <c r="AC197" s="8" t="n">
        <v>2</v>
      </c>
      <c r="AD197" s="6" t="n">
        <v>26.9</v>
      </c>
      <c r="AE197" s="10" t="n">
        <v>0.205</v>
      </c>
      <c r="AF197" s="8" t="n">
        <v>1</v>
      </c>
      <c r="AG197" s="10" t="n">
        <v>0.0064</v>
      </c>
      <c r="AH197" s="6" t="n">
        <v>21.6</v>
      </c>
    </row>
    <row r="198" customFormat="false" ht="15" hidden="false" customHeight="false" outlineLevel="0" collapsed="false">
      <c r="A198" s="3" t="n">
        <v>196</v>
      </c>
      <c r="B198" s="4" t="s">
        <v>375</v>
      </c>
      <c r="C198" s="12" t="s">
        <v>149</v>
      </c>
      <c r="D198" s="4" t="s">
        <v>376</v>
      </c>
      <c r="E198" s="4" t="s">
        <v>178</v>
      </c>
      <c r="F198" s="4" t="s">
        <v>149</v>
      </c>
      <c r="G198" s="3" t="n">
        <v>1</v>
      </c>
      <c r="H198" s="6" t="n">
        <v>26.3</v>
      </c>
      <c r="I198" s="3" t="n">
        <v>5</v>
      </c>
      <c r="J198" s="3" t="n">
        <v>8</v>
      </c>
      <c r="K198" s="7" t="n">
        <v>116.67</v>
      </c>
      <c r="L198" s="7" t="n">
        <v>25.51</v>
      </c>
      <c r="M198" s="8" t="n">
        <v>85</v>
      </c>
      <c r="N198" s="8" t="n">
        <v>229</v>
      </c>
      <c r="O198" s="7" t="n">
        <v>116.67</v>
      </c>
      <c r="P198" s="6" t="n">
        <v>82</v>
      </c>
      <c r="Q198" s="7" t="n">
        <v>-0.863</v>
      </c>
      <c r="R198" s="7" t="n">
        <v>-0.863</v>
      </c>
      <c r="S198" s="4" t="s">
        <v>121</v>
      </c>
      <c r="T198" s="4"/>
      <c r="U198" s="8" t="n">
        <v>12</v>
      </c>
      <c r="V198" s="6" t="n">
        <v>61.7</v>
      </c>
      <c r="W198" s="7" t="n">
        <v>5.142</v>
      </c>
      <c r="X198" s="8" t="n">
        <v>31</v>
      </c>
      <c r="Y198" s="8" t="n">
        <v>177</v>
      </c>
      <c r="Z198" s="10" t="n">
        <v>0.352</v>
      </c>
      <c r="AA198" s="8" t="n">
        <v>3</v>
      </c>
      <c r="AB198" s="10" t="n">
        <v>0.006</v>
      </c>
      <c r="AC198" s="8" t="n">
        <v>21</v>
      </c>
      <c r="AD198" s="6" t="n">
        <v>45.9</v>
      </c>
      <c r="AE198" s="10" t="n">
        <v>0.723</v>
      </c>
      <c r="AF198" s="8" t="n">
        <v>4</v>
      </c>
      <c r="AG198" s="10" t="n">
        <v>-0.0466</v>
      </c>
      <c r="AH198" s="6" t="n">
        <v>22.4</v>
      </c>
    </row>
    <row r="199" customFormat="false" ht="15" hidden="false" customHeight="false" outlineLevel="0" collapsed="false">
      <c r="A199" s="3" t="n">
        <v>197</v>
      </c>
      <c r="B199" s="4" t="s">
        <v>242</v>
      </c>
      <c r="C199" s="11" t="s">
        <v>104</v>
      </c>
      <c r="D199" s="4" t="s">
        <v>243</v>
      </c>
      <c r="E199" s="4" t="s">
        <v>178</v>
      </c>
      <c r="F199" s="4" t="s">
        <v>104</v>
      </c>
      <c r="G199" s="3" t="n">
        <v>1</v>
      </c>
      <c r="H199" s="6" t="n">
        <v>24.5</v>
      </c>
      <c r="I199" s="3" t="n">
        <v>2</v>
      </c>
      <c r="J199" s="3" t="n">
        <v>8</v>
      </c>
      <c r="K199" s="7" t="n">
        <v>54.84</v>
      </c>
      <c r="L199" s="7" t="n">
        <v>8.9</v>
      </c>
      <c r="M199" s="8" t="n">
        <v>39</v>
      </c>
      <c r="N199" s="8" t="n">
        <v>86</v>
      </c>
      <c r="O199" s="7" t="n">
        <v>54.84</v>
      </c>
      <c r="P199" s="6" t="n">
        <v>96.8</v>
      </c>
      <c r="Q199" s="7" t="n">
        <v>-0.87</v>
      </c>
      <c r="R199" s="7" t="n">
        <v>0.313</v>
      </c>
      <c r="S199" s="4" t="s">
        <v>121</v>
      </c>
      <c r="T199" s="4"/>
      <c r="U199" s="8" t="n">
        <v>8</v>
      </c>
      <c r="V199" s="6" t="n">
        <v>127.7</v>
      </c>
      <c r="W199" s="7" t="n">
        <v>15.962</v>
      </c>
      <c r="X199" s="8" t="n">
        <v>36</v>
      </c>
      <c r="Y199" s="8" t="n">
        <v>177</v>
      </c>
      <c r="Z199" s="10" t="n">
        <v>0.352</v>
      </c>
      <c r="AA199" s="8" t="n">
        <v>3</v>
      </c>
      <c r="AB199" s="10" t="n">
        <v>0.006</v>
      </c>
      <c r="AC199" s="8" t="n">
        <v>21</v>
      </c>
      <c r="AD199" s="6" t="n">
        <v>45.9</v>
      </c>
      <c r="AE199" s="10" t="n">
        <v>0.723</v>
      </c>
      <c r="AF199" s="8" t="n">
        <v>4</v>
      </c>
      <c r="AG199" s="10" t="n">
        <v>-0.0466</v>
      </c>
      <c r="AH199" s="6" t="n">
        <v>22.4</v>
      </c>
    </row>
    <row r="200" customFormat="false" ht="15" hidden="false" customHeight="false" outlineLevel="0" collapsed="false">
      <c r="A200" s="3" t="n">
        <v>198</v>
      </c>
      <c r="B200" s="4" t="s">
        <v>393</v>
      </c>
      <c r="C200" s="5" t="s">
        <v>99</v>
      </c>
      <c r="D200" s="4" t="s">
        <v>394</v>
      </c>
      <c r="E200" s="4" t="s">
        <v>191</v>
      </c>
      <c r="F200" s="4" t="s">
        <v>99</v>
      </c>
      <c r="G200" s="3" t="n">
        <v>2</v>
      </c>
      <c r="H200" s="6" t="n">
        <v>24.8</v>
      </c>
      <c r="I200" s="3" t="n">
        <v>3</v>
      </c>
      <c r="J200" s="3" t="n">
        <v>5</v>
      </c>
      <c r="K200" s="7" t="n">
        <v>125.3</v>
      </c>
      <c r="L200" s="7" t="n">
        <v>13.93</v>
      </c>
      <c r="M200" s="8" t="n">
        <v>90</v>
      </c>
      <c r="N200" s="8" t="n">
        <v>163</v>
      </c>
      <c r="O200" s="7" t="n">
        <v>125.3</v>
      </c>
      <c r="P200" s="6" t="n">
        <v>45.2</v>
      </c>
      <c r="Q200" s="7" t="n">
        <v>-0.919</v>
      </c>
      <c r="R200" s="7" t="n">
        <v>-0.701</v>
      </c>
      <c r="S200" s="4" t="s">
        <v>121</v>
      </c>
      <c r="T200" s="4"/>
      <c r="U200" s="8" t="n">
        <v>11</v>
      </c>
      <c r="V200" s="6" t="n">
        <v>90.4</v>
      </c>
      <c r="W200" s="7" t="n">
        <v>8.218</v>
      </c>
      <c r="X200" s="8" t="n">
        <v>63</v>
      </c>
      <c r="Y200" s="8" t="n">
        <v>50</v>
      </c>
      <c r="Z200" s="10" t="n">
        <v>0.104</v>
      </c>
      <c r="AA200" s="8" t="n">
        <v>242</v>
      </c>
      <c r="AB200" s="10" t="n">
        <v>0.525</v>
      </c>
      <c r="AC200" s="8" t="n">
        <v>40</v>
      </c>
      <c r="AD200" s="6" t="n">
        <v>56.6</v>
      </c>
      <c r="AE200" s="10" t="n">
        <v>0.596</v>
      </c>
      <c r="AF200" s="8" t="n">
        <v>3</v>
      </c>
      <c r="AG200" s="10" t="n">
        <v>-0.061</v>
      </c>
      <c r="AH200" s="6" t="n">
        <v>18.3</v>
      </c>
    </row>
    <row r="201" customFormat="false" ht="15" hidden="false" customHeight="false" outlineLevel="0" collapsed="false">
      <c r="A201" s="3" t="n">
        <v>199</v>
      </c>
      <c r="B201" s="4" t="s">
        <v>246</v>
      </c>
      <c r="C201" s="5" t="s">
        <v>99</v>
      </c>
      <c r="D201" s="4" t="s">
        <v>247</v>
      </c>
      <c r="E201" s="4" t="s">
        <v>218</v>
      </c>
      <c r="F201" s="4" t="s">
        <v>99</v>
      </c>
      <c r="G201" s="3" t="n">
        <v>1</v>
      </c>
      <c r="H201" s="6" t="n">
        <v>27.3</v>
      </c>
      <c r="I201" s="3" t="n">
        <v>5</v>
      </c>
      <c r="J201" s="3" t="n">
        <v>11</v>
      </c>
      <c r="K201" s="7" t="n">
        <v>56.57</v>
      </c>
      <c r="L201" s="7" t="n">
        <v>12.34</v>
      </c>
      <c r="M201" s="8" t="n">
        <v>40</v>
      </c>
      <c r="N201" s="8" t="n">
        <v>115</v>
      </c>
      <c r="O201" s="7" t="n">
        <v>56.57</v>
      </c>
      <c r="P201" s="6" t="n">
        <v>88.9</v>
      </c>
      <c r="Q201" s="7" t="n">
        <v>-0.945</v>
      </c>
      <c r="R201" s="7" t="n">
        <v>0.194</v>
      </c>
      <c r="S201" s="4" t="s">
        <v>121</v>
      </c>
      <c r="T201" s="4"/>
      <c r="U201" s="8" t="n">
        <v>10</v>
      </c>
      <c r="V201" s="6" t="n">
        <v>132.4</v>
      </c>
      <c r="W201" s="7" t="n">
        <v>13.24</v>
      </c>
      <c r="X201" s="8" t="n">
        <v>45</v>
      </c>
      <c r="Y201" s="8" t="n">
        <v>155</v>
      </c>
      <c r="Z201" s="10" t="n">
        <v>0.337</v>
      </c>
      <c r="AA201" s="8" t="n">
        <v>148</v>
      </c>
      <c r="AB201" s="10" t="n">
        <v>0.301</v>
      </c>
      <c r="AC201" s="8" t="n">
        <v>52</v>
      </c>
      <c r="AD201" s="6" t="n">
        <v>52.5</v>
      </c>
      <c r="AE201" s="10" t="n">
        <v>0.704</v>
      </c>
      <c r="AF201" s="8" t="n">
        <v>4</v>
      </c>
      <c r="AG201" s="10" t="n">
        <v>-0.0441</v>
      </c>
      <c r="AH201" s="6" t="n">
        <v>23</v>
      </c>
    </row>
    <row r="202" customFormat="false" ht="15" hidden="false" customHeight="false" outlineLevel="0" collapsed="false">
      <c r="A202" s="3" t="n">
        <v>200</v>
      </c>
      <c r="B202" s="4" t="s">
        <v>480</v>
      </c>
      <c r="C202" s="11" t="s">
        <v>104</v>
      </c>
      <c r="D202" s="4" t="s">
        <v>481</v>
      </c>
      <c r="E202" s="4" t="s">
        <v>186</v>
      </c>
      <c r="F202" s="4" t="s">
        <v>104</v>
      </c>
      <c r="G202" s="3" t="n">
        <v>2</v>
      </c>
      <c r="H202" s="6" t="n">
        <v>22.6</v>
      </c>
      <c r="I202" s="3" t="n">
        <v>3</v>
      </c>
      <c r="J202" s="3" t="n">
        <v>13</v>
      </c>
      <c r="K202" s="7" t="n">
        <v>182.34</v>
      </c>
      <c r="L202" s="7" t="n">
        <v>31.3</v>
      </c>
      <c r="M202" s="8" t="n">
        <v>135</v>
      </c>
      <c r="N202" s="8" t="n">
        <v>266</v>
      </c>
      <c r="O202" s="7" t="n">
        <v>182.34</v>
      </c>
      <c r="P202" s="6" t="n">
        <v>16.8</v>
      </c>
      <c r="Q202" s="7" t="n">
        <v>-0.953</v>
      </c>
      <c r="R202" s="7" t="n">
        <v>-0.647</v>
      </c>
      <c r="S202" s="4" t="s">
        <v>121</v>
      </c>
      <c r="T202" s="4"/>
      <c r="U202" s="8" t="n">
        <v>4</v>
      </c>
      <c r="V202" s="6" t="n">
        <v>15.3</v>
      </c>
      <c r="W202" s="7" t="n">
        <v>3.825</v>
      </c>
      <c r="X202" s="8" t="n">
        <v>67</v>
      </c>
      <c r="Y202" s="8" t="n">
        <v>76</v>
      </c>
      <c r="Z202" s="10" t="n">
        <v>0.161</v>
      </c>
      <c r="AA202" s="8" t="n">
        <v>117</v>
      </c>
      <c r="AB202" s="10" t="n">
        <v>0.257</v>
      </c>
      <c r="AC202" s="8" t="n">
        <v>27</v>
      </c>
      <c r="AD202" s="6" t="n">
        <v>38.6</v>
      </c>
      <c r="AE202" s="10" t="n">
        <v>0.808</v>
      </c>
      <c r="AF202" s="8" t="n">
        <v>3</v>
      </c>
      <c r="AG202" s="10" t="n">
        <v>-0.0877</v>
      </c>
      <c r="AH202" s="6" t="n">
        <v>17.6</v>
      </c>
    </row>
    <row r="203" customFormat="false" ht="15" hidden="false" customHeight="false" outlineLevel="0" collapsed="false">
      <c r="A203" s="3" t="n">
        <v>201</v>
      </c>
      <c r="B203" s="4" t="s">
        <v>514</v>
      </c>
      <c r="C203" s="5" t="s">
        <v>99</v>
      </c>
      <c r="D203" s="4" t="s">
        <v>515</v>
      </c>
      <c r="E203" s="4" t="s">
        <v>265</v>
      </c>
      <c r="F203" s="4" t="s">
        <v>99</v>
      </c>
      <c r="G203" s="3" t="n">
        <v>3</v>
      </c>
      <c r="H203" s="6" t="n">
        <v>31.7</v>
      </c>
      <c r="I203" s="3" t="n">
        <v>8</v>
      </c>
      <c r="J203" s="3" t="n">
        <v>9</v>
      </c>
      <c r="K203" s="7" t="n">
        <v>204.36</v>
      </c>
      <c r="L203" s="7" t="n">
        <v>35.76</v>
      </c>
      <c r="M203" s="8" t="n">
        <v>126</v>
      </c>
      <c r="N203" s="8" t="n">
        <v>316</v>
      </c>
      <c r="O203" s="7" t="n">
        <v>204.36</v>
      </c>
      <c r="P203" s="6" t="n">
        <v>16.8</v>
      </c>
      <c r="Q203" s="7" t="n">
        <v>-0.954</v>
      </c>
      <c r="R203" s="7" t="n">
        <v>-0.341</v>
      </c>
      <c r="S203" s="4" t="s">
        <v>121</v>
      </c>
      <c r="T203" s="4"/>
      <c r="U203" s="8" t="n">
        <v>7</v>
      </c>
      <c r="V203" s="6" t="n">
        <v>47.3</v>
      </c>
      <c r="W203" s="7" t="n">
        <v>6.757</v>
      </c>
      <c r="X203" s="8" t="n">
        <v>84</v>
      </c>
      <c r="Y203" s="8" t="n">
        <v>152</v>
      </c>
      <c r="Z203" s="10" t="n">
        <v>0.287</v>
      </c>
      <c r="AA203" s="8" t="n">
        <v>0</v>
      </c>
      <c r="AB203" s="10" t="n">
        <v>0</v>
      </c>
      <c r="AC203" s="8" t="n">
        <v>8</v>
      </c>
      <c r="AD203" s="6" t="n">
        <v>41.1</v>
      </c>
      <c r="AE203" s="10" t="n">
        <v>0.527</v>
      </c>
      <c r="AF203" s="8" t="n">
        <v>3</v>
      </c>
      <c r="AG203" s="10" t="n">
        <v>-0.0385</v>
      </c>
      <c r="AH203" s="6" t="n">
        <v>16.7</v>
      </c>
    </row>
    <row r="204" customFormat="false" ht="15" hidden="false" customHeight="false" outlineLevel="0" collapsed="false">
      <c r="A204" s="3" t="n">
        <v>202</v>
      </c>
      <c r="B204" s="4" t="s">
        <v>271</v>
      </c>
      <c r="C204" s="5" t="s">
        <v>99</v>
      </c>
      <c r="D204" s="4" t="s">
        <v>272</v>
      </c>
      <c r="E204" s="4" t="s">
        <v>151</v>
      </c>
      <c r="F204" s="4" t="s">
        <v>99</v>
      </c>
      <c r="G204" s="3" t="n">
        <v>1</v>
      </c>
      <c r="H204" s="6" t="n">
        <v>24</v>
      </c>
      <c r="I204" s="3" t="n">
        <v>3</v>
      </c>
      <c r="J204" s="3" t="n">
        <v>14</v>
      </c>
      <c r="K204" s="7" t="n">
        <v>69.8</v>
      </c>
      <c r="L204" s="7" t="n">
        <v>11.64</v>
      </c>
      <c r="M204" s="8" t="n">
        <v>45</v>
      </c>
      <c r="N204" s="8" t="n">
        <v>100</v>
      </c>
      <c r="O204" s="7" t="n">
        <v>69.8</v>
      </c>
      <c r="P204" s="6" t="n">
        <v>88.2</v>
      </c>
      <c r="Q204" s="7" t="n">
        <v>-0.979</v>
      </c>
      <c r="R204" s="7" t="n">
        <v>-0.629</v>
      </c>
      <c r="S204" s="4" t="s">
        <v>121</v>
      </c>
      <c r="T204" s="4"/>
      <c r="U204" s="8" t="n">
        <v>12</v>
      </c>
      <c r="V204" s="6" t="n">
        <v>127.8</v>
      </c>
      <c r="W204" s="7" t="n">
        <v>10.65</v>
      </c>
      <c r="X204" s="8" t="n">
        <v>49</v>
      </c>
      <c r="Y204" s="8" t="n">
        <v>106</v>
      </c>
      <c r="Z204" s="10" t="n">
        <v>0.172</v>
      </c>
      <c r="AA204" s="8" t="n">
        <v>173</v>
      </c>
      <c r="AB204" s="10" t="n">
        <v>0.473</v>
      </c>
      <c r="AC204" s="8" t="n">
        <v>41</v>
      </c>
      <c r="AD204" s="6" t="n">
        <v>36.9</v>
      </c>
      <c r="AE204" s="10" t="n">
        <v>0.686</v>
      </c>
      <c r="AF204" s="8" t="n">
        <v>3</v>
      </c>
      <c r="AG204" s="10" t="n">
        <v>0.0399</v>
      </c>
      <c r="AH204" s="6" t="n">
        <v>20.9</v>
      </c>
    </row>
    <row r="205" customFormat="false" ht="15" hidden="false" customHeight="false" outlineLevel="0" collapsed="false">
      <c r="A205" s="3" t="n">
        <v>203</v>
      </c>
      <c r="B205" s="4" t="s">
        <v>471</v>
      </c>
      <c r="C205" s="5" t="s">
        <v>99</v>
      </c>
      <c r="D205" s="4" t="s">
        <v>472</v>
      </c>
      <c r="E205" s="4" t="s">
        <v>235</v>
      </c>
      <c r="F205" s="4" t="s">
        <v>473</v>
      </c>
      <c r="G205" s="3" t="n">
        <v>1</v>
      </c>
      <c r="H205" s="6" t="n">
        <v>23.3</v>
      </c>
      <c r="I205" s="3" t="n">
        <v>2</v>
      </c>
      <c r="J205" s="3" t="n">
        <v>7</v>
      </c>
      <c r="K205" s="7" t="n">
        <v>175.65</v>
      </c>
      <c r="L205" s="7" t="n">
        <v>30.86</v>
      </c>
      <c r="M205" s="8" t="n">
        <v>116</v>
      </c>
      <c r="N205" s="8" t="n">
        <v>292</v>
      </c>
      <c r="O205" s="7" t="n">
        <v>175.65</v>
      </c>
      <c r="P205" s="6" t="n">
        <v>66.2</v>
      </c>
      <c r="Q205" s="7" t="n">
        <v>-1.002</v>
      </c>
      <c r="R205" s="7" t="n">
        <v>0.093</v>
      </c>
      <c r="S205" s="4" t="s">
        <v>165</v>
      </c>
      <c r="T205" s="4"/>
      <c r="U205" s="8" t="n">
        <v>7</v>
      </c>
      <c r="V205" s="6" t="n">
        <v>63.8</v>
      </c>
      <c r="W205" s="7" t="n">
        <v>9.114</v>
      </c>
      <c r="X205" s="8" t="n">
        <v>77</v>
      </c>
      <c r="Y205" s="8" t="n">
        <v>132</v>
      </c>
      <c r="Z205" s="10" t="n">
        <v>0.241</v>
      </c>
      <c r="AA205" s="8" t="n">
        <v>271</v>
      </c>
      <c r="AB205" s="10" t="n">
        <v>0.554</v>
      </c>
      <c r="AC205" s="8" t="n">
        <v>85</v>
      </c>
      <c r="AD205" s="6" t="n">
        <v>44.3</v>
      </c>
      <c r="AE205" s="10" t="n">
        <v>1</v>
      </c>
      <c r="AF205" s="8" t="n">
        <v>5</v>
      </c>
      <c r="AG205" s="10" t="n">
        <v>0.0164</v>
      </c>
      <c r="AH205" s="6" t="n">
        <v>27.9</v>
      </c>
    </row>
    <row r="206" customFormat="false" ht="15" hidden="false" customHeight="false" outlineLevel="0" collapsed="false">
      <c r="A206" s="3" t="n">
        <v>204</v>
      </c>
      <c r="B206" s="4" t="s">
        <v>224</v>
      </c>
      <c r="C206" s="13" t="s">
        <v>172</v>
      </c>
      <c r="D206" s="4" t="s">
        <v>225</v>
      </c>
      <c r="E206" s="4" t="s">
        <v>101</v>
      </c>
      <c r="F206" s="4" t="s">
        <v>172</v>
      </c>
      <c r="G206" s="3" t="n">
        <v>1</v>
      </c>
      <c r="H206" s="6" t="n">
        <v>29.7</v>
      </c>
      <c r="I206" s="3" t="n">
        <v>7</v>
      </c>
      <c r="J206" s="3" t="n">
        <v>6</v>
      </c>
      <c r="K206" s="7" t="n">
        <v>45.77</v>
      </c>
      <c r="L206" s="7" t="n">
        <v>12.34</v>
      </c>
      <c r="M206" s="8" t="n">
        <v>27</v>
      </c>
      <c r="N206" s="8" t="n">
        <v>72</v>
      </c>
      <c r="O206" s="7" t="n">
        <v>45.77</v>
      </c>
      <c r="P206" s="6" t="n">
        <v>97.8</v>
      </c>
      <c r="Q206" s="7" t="n">
        <v>-1.006</v>
      </c>
      <c r="R206" s="7" t="n">
        <v>-0.481</v>
      </c>
      <c r="S206" s="4" t="s">
        <v>165</v>
      </c>
      <c r="T206" s="4"/>
      <c r="U206" s="8" t="n">
        <v>8</v>
      </c>
      <c r="V206" s="6" t="n">
        <v>134.46</v>
      </c>
      <c r="W206" s="7" t="n">
        <v>16.808</v>
      </c>
      <c r="X206" s="8" t="n">
        <v>27</v>
      </c>
      <c r="Y206" s="8" t="n">
        <v>41</v>
      </c>
      <c r="Z206" s="10" t="n">
        <v>0.067</v>
      </c>
      <c r="AA206" s="8" t="n">
        <v>9</v>
      </c>
      <c r="AB206" s="10" t="n">
        <v>0.024</v>
      </c>
      <c r="AC206" s="8" t="n">
        <v>6</v>
      </c>
      <c r="AD206" s="6" t="n">
        <v>60.4</v>
      </c>
      <c r="AE206" s="10" t="n">
        <v>0.996</v>
      </c>
      <c r="AF206" s="8" t="n">
        <v>5</v>
      </c>
      <c r="AG206" s="10" t="n">
        <v>0.0172</v>
      </c>
      <c r="AH206" s="6" t="n">
        <v>24.4</v>
      </c>
    </row>
    <row r="207" customFormat="false" ht="15" hidden="false" customHeight="false" outlineLevel="0" collapsed="false">
      <c r="A207" s="3" t="n">
        <v>205</v>
      </c>
      <c r="B207" s="4" t="s">
        <v>228</v>
      </c>
      <c r="C207" s="13" t="s">
        <v>172</v>
      </c>
      <c r="D207" s="4" t="s">
        <v>229</v>
      </c>
      <c r="E207" s="4" t="s">
        <v>221</v>
      </c>
      <c r="F207" s="4" t="s">
        <v>172</v>
      </c>
      <c r="G207" s="3" t="n">
        <v>1</v>
      </c>
      <c r="H207" s="6" t="n">
        <v>25.7</v>
      </c>
      <c r="I207" s="3" t="n">
        <v>3</v>
      </c>
      <c r="J207" s="3" t="n">
        <v>7</v>
      </c>
      <c r="K207" s="7" t="n">
        <v>49.78</v>
      </c>
      <c r="L207" s="7" t="n">
        <v>14.77</v>
      </c>
      <c r="M207" s="8" t="n">
        <v>27</v>
      </c>
      <c r="N207" s="8" t="n">
        <v>92</v>
      </c>
      <c r="O207" s="7" t="n">
        <v>49.78</v>
      </c>
      <c r="P207" s="6" t="n">
        <v>97.7</v>
      </c>
      <c r="Q207" s="7" t="n">
        <v>-1.015</v>
      </c>
      <c r="R207" s="7" t="n">
        <v>-0.533</v>
      </c>
      <c r="S207" s="4" t="s">
        <v>165</v>
      </c>
      <c r="T207" s="4"/>
      <c r="U207" s="8" t="n">
        <v>7</v>
      </c>
      <c r="V207" s="6" t="n">
        <v>114.28</v>
      </c>
      <c r="W207" s="7" t="n">
        <v>16.326</v>
      </c>
      <c r="X207" s="8" t="n">
        <v>28</v>
      </c>
      <c r="Y207" s="8" t="n">
        <v>138</v>
      </c>
      <c r="Z207" s="10" t="n">
        <v>0.319</v>
      </c>
      <c r="AA207" s="8" t="n">
        <v>142</v>
      </c>
      <c r="AB207" s="10" t="n">
        <v>0.293</v>
      </c>
      <c r="AC207" s="8" t="n">
        <v>56</v>
      </c>
      <c r="AD207" s="6" t="n">
        <v>54.8</v>
      </c>
      <c r="AE207" s="10" t="n">
        <v>0.706</v>
      </c>
      <c r="AF207" s="8" t="n">
        <v>4</v>
      </c>
      <c r="AG207" s="10" t="n">
        <v>-0.0427</v>
      </c>
      <c r="AH207" s="6" t="n">
        <v>20.9</v>
      </c>
    </row>
    <row r="208" customFormat="false" ht="15" hidden="false" customHeight="false" outlineLevel="0" collapsed="false">
      <c r="A208" s="3" t="n">
        <v>206</v>
      </c>
      <c r="B208" s="4" t="s">
        <v>168</v>
      </c>
      <c r="C208" s="11" t="s">
        <v>104</v>
      </c>
      <c r="D208" s="4" t="s">
        <v>169</v>
      </c>
      <c r="E208" s="4" t="s">
        <v>170</v>
      </c>
      <c r="F208" s="4" t="s">
        <v>104</v>
      </c>
      <c r="G208" s="3" t="n">
        <v>1</v>
      </c>
      <c r="H208" s="6" t="n">
        <v>23.4</v>
      </c>
      <c r="I208" s="3" t="n">
        <v>2</v>
      </c>
      <c r="J208" s="3" t="n">
        <v>7</v>
      </c>
      <c r="K208" s="7" t="n">
        <v>25.64</v>
      </c>
      <c r="L208" s="7" t="n">
        <v>7.39</v>
      </c>
      <c r="M208" s="8" t="n">
        <v>11</v>
      </c>
      <c r="N208" s="8" t="n">
        <v>46</v>
      </c>
      <c r="O208" s="7" t="n">
        <v>25.64</v>
      </c>
      <c r="P208" s="6" t="n">
        <v>99</v>
      </c>
      <c r="Q208" s="7" t="n">
        <v>-1.136</v>
      </c>
      <c r="R208" s="7" t="n">
        <v>-0.216</v>
      </c>
      <c r="S208" s="4" t="s">
        <v>165</v>
      </c>
      <c r="T208" s="4"/>
      <c r="U208" s="8" t="n">
        <v>9</v>
      </c>
      <c r="V208" s="6" t="n">
        <v>135.7</v>
      </c>
      <c r="W208" s="7" t="n">
        <v>15.078</v>
      </c>
      <c r="X208" s="8" t="n">
        <v>34</v>
      </c>
      <c r="Y208" s="8" t="n">
        <v>15</v>
      </c>
      <c r="Z208" s="10" t="n">
        <v>0.028</v>
      </c>
      <c r="AA208" s="8" t="n">
        <v>23</v>
      </c>
      <c r="AB208" s="10" t="n">
        <v>0.049</v>
      </c>
      <c r="AC208" s="8" t="n">
        <v>2</v>
      </c>
      <c r="AD208" s="6" t="n">
        <v>26.9</v>
      </c>
      <c r="AE208" s="10" t="n">
        <v>0.205</v>
      </c>
      <c r="AF208" s="8" t="n">
        <v>1</v>
      </c>
      <c r="AG208" s="10" t="n">
        <v>0.0064</v>
      </c>
      <c r="AH208" s="6" t="n">
        <v>21.6</v>
      </c>
    </row>
    <row r="209" customFormat="false" ht="15" hidden="false" customHeight="false" outlineLevel="0" collapsed="false">
      <c r="A209" s="3" t="n">
        <v>207</v>
      </c>
      <c r="B209" s="4" t="s">
        <v>275</v>
      </c>
      <c r="C209" s="11" t="s">
        <v>104</v>
      </c>
      <c r="D209" s="4" t="s">
        <v>276</v>
      </c>
      <c r="E209" s="4" t="s">
        <v>235</v>
      </c>
      <c r="F209" s="4" t="s">
        <v>104</v>
      </c>
      <c r="G209" s="3" t="n">
        <v>1</v>
      </c>
      <c r="H209" s="6" t="n">
        <v>24.5</v>
      </c>
      <c r="I209" s="3" t="n">
        <v>2</v>
      </c>
      <c r="J209" s="3" t="n">
        <v>7</v>
      </c>
      <c r="K209" s="7" t="n">
        <v>70.03</v>
      </c>
      <c r="L209" s="7" t="n">
        <v>10.68</v>
      </c>
      <c r="M209" s="8" t="n">
        <v>47</v>
      </c>
      <c r="N209" s="8" t="n">
        <v>99</v>
      </c>
      <c r="O209" s="7" t="n">
        <v>70.03</v>
      </c>
      <c r="P209" s="6" t="n">
        <v>90.1</v>
      </c>
      <c r="Q209" s="7" t="n">
        <v>-1.227</v>
      </c>
      <c r="R209" s="7" t="n">
        <v>-1.271</v>
      </c>
      <c r="S209" s="4" t="s">
        <v>165</v>
      </c>
      <c r="T209" s="4"/>
      <c r="U209" s="8" t="n">
        <v>15</v>
      </c>
      <c r="V209" s="6" t="n">
        <v>88.6</v>
      </c>
      <c r="W209" s="7" t="n">
        <v>5.907</v>
      </c>
      <c r="X209" s="8" t="n">
        <v>49</v>
      </c>
      <c r="Y209" s="8" t="n">
        <v>132</v>
      </c>
      <c r="Z209" s="10" t="n">
        <v>0.241</v>
      </c>
      <c r="AA209" s="8" t="n">
        <v>271</v>
      </c>
      <c r="AB209" s="10" t="n">
        <v>0.554</v>
      </c>
      <c r="AC209" s="8" t="n">
        <v>85</v>
      </c>
      <c r="AD209" s="6" t="n">
        <v>44.3</v>
      </c>
      <c r="AE209" s="10" t="n">
        <v>1</v>
      </c>
      <c r="AF209" s="8" t="n">
        <v>5</v>
      </c>
      <c r="AG209" s="10" t="n">
        <v>0.0164</v>
      </c>
      <c r="AH209" s="6" t="n">
        <v>27.9</v>
      </c>
    </row>
    <row r="210" customFormat="false" ht="15" hidden="false" customHeight="false" outlineLevel="0" collapsed="false">
      <c r="A210" s="3" t="n">
        <v>208</v>
      </c>
      <c r="B210" s="4" t="s">
        <v>403</v>
      </c>
      <c r="C210" s="5" t="s">
        <v>99</v>
      </c>
      <c r="D210" s="4" t="s">
        <v>404</v>
      </c>
      <c r="E210" s="4" t="s">
        <v>218</v>
      </c>
      <c r="F210" s="4" t="s">
        <v>99</v>
      </c>
      <c r="G210" s="3" t="n">
        <v>3</v>
      </c>
      <c r="H210" s="6" t="n">
        <v>23</v>
      </c>
      <c r="I210" s="3" t="n">
        <v>2</v>
      </c>
      <c r="J210" s="3" t="n">
        <v>11</v>
      </c>
      <c r="K210" s="7" t="n">
        <v>131.5</v>
      </c>
      <c r="L210" s="7" t="n">
        <v>17.42</v>
      </c>
      <c r="M210" s="8" t="n">
        <v>82</v>
      </c>
      <c r="N210" s="8" t="n">
        <v>183</v>
      </c>
      <c r="O210" s="7" t="n">
        <v>131.5</v>
      </c>
      <c r="P210" s="6" t="n">
        <v>68.4</v>
      </c>
      <c r="Q210" s="7" t="n">
        <v>-1.251</v>
      </c>
      <c r="R210" s="7" t="n">
        <v>-1.602</v>
      </c>
      <c r="S210" s="4" t="s">
        <v>165</v>
      </c>
      <c r="T210" s="4"/>
      <c r="U210" s="8" t="n">
        <v>14</v>
      </c>
      <c r="V210" s="6" t="n">
        <v>70</v>
      </c>
      <c r="W210" s="7" t="n">
        <v>5</v>
      </c>
      <c r="X210" s="8" t="n">
        <v>73</v>
      </c>
      <c r="Y210" s="8" t="n">
        <v>155</v>
      </c>
      <c r="Z210" s="10" t="n">
        <v>0.337</v>
      </c>
      <c r="AA210" s="8" t="n">
        <v>148</v>
      </c>
      <c r="AB210" s="10" t="n">
        <v>0.301</v>
      </c>
      <c r="AC210" s="8" t="n">
        <v>52</v>
      </c>
      <c r="AD210" s="6" t="n">
        <v>52.5</v>
      </c>
      <c r="AE210" s="10" t="n">
        <v>0.704</v>
      </c>
      <c r="AF210" s="8" t="n">
        <v>4</v>
      </c>
      <c r="AG210" s="10" t="n">
        <v>-0.0441</v>
      </c>
      <c r="AH210" s="6" t="n">
        <v>23</v>
      </c>
    </row>
    <row r="211" customFormat="false" ht="15" hidden="false" customHeight="false" outlineLevel="0" collapsed="false">
      <c r="A211" s="3" t="n">
        <v>209</v>
      </c>
      <c r="B211" s="4" t="s">
        <v>226</v>
      </c>
      <c r="C211" s="5" t="s">
        <v>99</v>
      </c>
      <c r="D211" s="4" t="s">
        <v>227</v>
      </c>
      <c r="E211" s="4" t="s">
        <v>203</v>
      </c>
      <c r="F211" s="4" t="s">
        <v>99</v>
      </c>
      <c r="G211" s="3" t="n">
        <v>2</v>
      </c>
      <c r="H211" s="6" t="n">
        <v>22.7</v>
      </c>
      <c r="I211" s="3" t="n">
        <v>2</v>
      </c>
      <c r="J211" s="3" t="n">
        <v>10</v>
      </c>
      <c r="K211" s="7" t="n">
        <v>46.29</v>
      </c>
      <c r="L211" s="7" t="n">
        <v>7.39</v>
      </c>
      <c r="M211" s="8" t="n">
        <v>28</v>
      </c>
      <c r="N211" s="8" t="n">
        <v>83</v>
      </c>
      <c r="O211" s="7" t="n">
        <v>46.29</v>
      </c>
      <c r="P211" s="6" t="n">
        <v>93.2</v>
      </c>
      <c r="Q211" s="7" t="n">
        <v>-1.254</v>
      </c>
      <c r="R211" s="7" t="n">
        <v>-1.648</v>
      </c>
      <c r="S211" s="4" t="s">
        <v>165</v>
      </c>
      <c r="T211" s="4"/>
      <c r="U211" s="8" t="n">
        <v>15</v>
      </c>
      <c r="V211" s="6" t="n">
        <v>127.9</v>
      </c>
      <c r="W211" s="7" t="n">
        <v>8.527</v>
      </c>
      <c r="X211" s="8" t="n">
        <v>48</v>
      </c>
      <c r="Y211" s="8" t="n">
        <v>161</v>
      </c>
      <c r="Z211" s="10" t="n">
        <v>0.303</v>
      </c>
      <c r="AA211" s="8" t="n">
        <v>20</v>
      </c>
      <c r="AB211" s="10" t="n">
        <v>0.04</v>
      </c>
      <c r="AC211" s="8" t="n">
        <v>26</v>
      </c>
      <c r="AD211" s="6" t="n">
        <v>76.3</v>
      </c>
      <c r="AE211" s="10" t="n">
        <v>0.802</v>
      </c>
      <c r="AF211" s="8" t="n">
        <v>4</v>
      </c>
      <c r="AG211" s="10" t="n">
        <v>-0.039</v>
      </c>
      <c r="AH211" s="6" t="n">
        <v>25.9</v>
      </c>
    </row>
    <row r="212" customFormat="false" ht="15" hidden="false" customHeight="false" outlineLevel="0" collapsed="false">
      <c r="A212" s="3" t="n">
        <v>210</v>
      </c>
      <c r="B212" s="4" t="s">
        <v>162</v>
      </c>
      <c r="C212" s="5" t="s">
        <v>99</v>
      </c>
      <c r="D212" s="4" t="s">
        <v>163</v>
      </c>
      <c r="E212" s="4" t="s">
        <v>164</v>
      </c>
      <c r="F212" s="4" t="s">
        <v>99</v>
      </c>
      <c r="G212" s="3" t="n">
        <v>1</v>
      </c>
      <c r="H212" s="6" t="n">
        <v>26.3</v>
      </c>
      <c r="I212" s="3" t="n">
        <v>4</v>
      </c>
      <c r="J212" s="3" t="n">
        <v>5</v>
      </c>
      <c r="K212" s="7" t="n">
        <v>22.15</v>
      </c>
      <c r="L212" s="7" t="n">
        <v>9.15</v>
      </c>
      <c r="M212" s="8" t="n">
        <v>8</v>
      </c>
      <c r="N212" s="8" t="n">
        <v>48</v>
      </c>
      <c r="O212" s="7" t="n">
        <v>22.15</v>
      </c>
      <c r="P212" s="6" t="n">
        <v>98.4</v>
      </c>
      <c r="Q212" s="7" t="n">
        <v>-1.293</v>
      </c>
      <c r="R212" s="7" t="n">
        <v>0.241</v>
      </c>
      <c r="S212" s="4" t="s">
        <v>165</v>
      </c>
      <c r="T212" s="4"/>
      <c r="U212" s="8" t="n">
        <v>8</v>
      </c>
      <c r="V212" s="6" t="n">
        <v>150.1</v>
      </c>
      <c r="W212" s="7" t="n">
        <v>18.762</v>
      </c>
      <c r="X212" s="8" t="n">
        <v>40</v>
      </c>
      <c r="Y212" s="8" t="n">
        <v>147</v>
      </c>
      <c r="Z212" s="10" t="n">
        <v>0.268</v>
      </c>
      <c r="AA212" s="8" t="n">
        <v>129</v>
      </c>
      <c r="AB212" s="10" t="n">
        <v>0.3</v>
      </c>
      <c r="AC212" s="8" t="n">
        <v>43</v>
      </c>
      <c r="AD212" s="6" t="n">
        <v>50.1</v>
      </c>
      <c r="AE212" s="10" t="n">
        <v>0.864</v>
      </c>
      <c r="AF212" s="8" t="n">
        <v>5</v>
      </c>
      <c r="AG212" s="10" t="n">
        <v>0.0395</v>
      </c>
      <c r="AH212" s="6" t="n">
        <v>21.3</v>
      </c>
    </row>
    <row r="213" customFormat="false" ht="15" hidden="false" customHeight="false" outlineLevel="0" collapsed="false">
      <c r="A213" s="3" t="n">
        <v>211</v>
      </c>
      <c r="B213" s="4" t="s">
        <v>461</v>
      </c>
      <c r="C213" s="5" t="s">
        <v>99</v>
      </c>
      <c r="D213" s="4" t="s">
        <v>462</v>
      </c>
      <c r="E213" s="4" t="s">
        <v>198</v>
      </c>
      <c r="F213" s="4" t="s">
        <v>99</v>
      </c>
      <c r="G213" s="3" t="n">
        <v>3</v>
      </c>
      <c r="H213" s="6" t="n">
        <v>24.7</v>
      </c>
      <c r="I213" s="3" t="n">
        <v>3</v>
      </c>
      <c r="J213" s="3" t="n">
        <v>10</v>
      </c>
      <c r="K213" s="7" t="n">
        <v>168.98</v>
      </c>
      <c r="L213" s="7" t="n">
        <v>24.54</v>
      </c>
      <c r="M213" s="8" t="n">
        <v>128</v>
      </c>
      <c r="N213" s="8" t="n">
        <v>293</v>
      </c>
      <c r="O213" s="7" t="n">
        <v>168.98</v>
      </c>
      <c r="P213" s="6" t="n">
        <v>26.9</v>
      </c>
      <c r="Q213" s="7" t="n">
        <v>-1.538</v>
      </c>
      <c r="R213" s="7" t="n">
        <v>-0.574</v>
      </c>
      <c r="S213" s="4" t="s">
        <v>165</v>
      </c>
      <c r="T213" s="4"/>
      <c r="U213" s="8" t="n">
        <v>4</v>
      </c>
      <c r="V213" s="6" t="n">
        <v>29.9</v>
      </c>
      <c r="W213" s="7" t="n">
        <v>7.475</v>
      </c>
      <c r="X213" s="8" t="n">
        <v>86</v>
      </c>
      <c r="Y213" s="8" t="n">
        <v>111</v>
      </c>
      <c r="Z213" s="10" t="n">
        <v>0.205</v>
      </c>
      <c r="AA213" s="8" t="n">
        <v>138</v>
      </c>
      <c r="AB213" s="10" t="n">
        <v>0.292</v>
      </c>
      <c r="AC213" s="8" t="n">
        <v>38</v>
      </c>
      <c r="AD213" s="6" t="n">
        <v>57.4</v>
      </c>
      <c r="AE213" s="10" t="n">
        <v>0.791</v>
      </c>
      <c r="AF213" s="8" t="n">
        <v>4</v>
      </c>
      <c r="AG213" s="10" t="n">
        <v>-0.0347</v>
      </c>
      <c r="AH213" s="6" t="n">
        <v>22.4</v>
      </c>
    </row>
    <row r="214" customFormat="false" ht="15" hidden="false" customHeight="false" outlineLevel="0" collapsed="false">
      <c r="A214" s="3" t="n">
        <v>212</v>
      </c>
      <c r="B214" s="4" t="s">
        <v>219</v>
      </c>
      <c r="C214" s="5" t="s">
        <v>99</v>
      </c>
      <c r="D214" s="4" t="s">
        <v>220</v>
      </c>
      <c r="E214" s="4" t="s">
        <v>221</v>
      </c>
      <c r="F214" s="4" t="s">
        <v>99</v>
      </c>
      <c r="G214" s="3" t="n">
        <v>1</v>
      </c>
      <c r="H214" s="6" t="n">
        <v>30.9</v>
      </c>
      <c r="I214" s="3" t="n">
        <v>8</v>
      </c>
      <c r="J214" s="3" t="n">
        <v>7</v>
      </c>
      <c r="K214" s="7" t="n">
        <v>44.65</v>
      </c>
      <c r="L214" s="7" t="n">
        <v>5.89</v>
      </c>
      <c r="M214" s="8" t="n">
        <v>26</v>
      </c>
      <c r="N214" s="8" t="n">
        <v>68</v>
      </c>
      <c r="O214" s="7" t="n">
        <v>44.65</v>
      </c>
      <c r="P214" s="6" t="n">
        <v>93.9</v>
      </c>
      <c r="Q214" s="7" t="n">
        <v>-1.596</v>
      </c>
      <c r="R214" s="7" t="n">
        <v>-0.807</v>
      </c>
      <c r="S214" s="4" t="s">
        <v>165</v>
      </c>
      <c r="T214" s="4"/>
      <c r="U214" s="8" t="n">
        <v>10</v>
      </c>
      <c r="V214" s="6" t="n">
        <v>114.2</v>
      </c>
      <c r="W214" s="7" t="n">
        <v>11.42</v>
      </c>
      <c r="X214" s="8" t="n">
        <v>55</v>
      </c>
      <c r="Y214" s="8" t="n">
        <v>138</v>
      </c>
      <c r="Z214" s="10" t="n">
        <v>0.319</v>
      </c>
      <c r="AA214" s="8" t="n">
        <v>142</v>
      </c>
      <c r="AB214" s="10" t="n">
        <v>0.293</v>
      </c>
      <c r="AC214" s="8" t="n">
        <v>56</v>
      </c>
      <c r="AD214" s="6" t="n">
        <v>54.8</v>
      </c>
      <c r="AE214" s="10" t="n">
        <v>0.706</v>
      </c>
      <c r="AF214" s="8" t="n">
        <v>4</v>
      </c>
      <c r="AG214" s="10" t="n">
        <v>-0.0427</v>
      </c>
      <c r="AH214" s="6" t="n">
        <v>20.9</v>
      </c>
    </row>
    <row r="215" customFormat="false" ht="15" hidden="false" customHeight="false" outlineLevel="0" collapsed="false">
      <c r="A215" s="3" t="n">
        <v>213</v>
      </c>
      <c r="B215" s="4" t="s">
        <v>297</v>
      </c>
      <c r="C215" s="5" t="s">
        <v>99</v>
      </c>
      <c r="D215" s="4" t="s">
        <v>298</v>
      </c>
      <c r="E215" s="4" t="s">
        <v>198</v>
      </c>
      <c r="F215" s="4" t="s">
        <v>99</v>
      </c>
      <c r="G215" s="3" t="n">
        <v>2</v>
      </c>
      <c r="H215" s="6" t="n">
        <v>30.5</v>
      </c>
      <c r="I215" s="3" t="n">
        <v>10</v>
      </c>
      <c r="J215" s="3" t="n">
        <v>10</v>
      </c>
      <c r="K215" s="7" t="n">
        <v>81.74</v>
      </c>
      <c r="L215" s="7" t="n">
        <v>12.65</v>
      </c>
      <c r="M215" s="8" t="n">
        <v>51</v>
      </c>
      <c r="N215" s="8" t="n">
        <v>123</v>
      </c>
      <c r="O215" s="7" t="n">
        <v>81.74</v>
      </c>
      <c r="P215" s="6" t="n">
        <v>80</v>
      </c>
      <c r="Q215" s="7" t="n">
        <v>-1.661</v>
      </c>
      <c r="R215" s="7" t="n">
        <v>-0.961</v>
      </c>
      <c r="S215" s="4" t="s">
        <v>165</v>
      </c>
      <c r="T215" s="4"/>
      <c r="U215" s="8" t="n">
        <v>9</v>
      </c>
      <c r="V215" s="6" t="n">
        <v>83</v>
      </c>
      <c r="W215" s="7" t="n">
        <v>9.222</v>
      </c>
      <c r="X215" s="8" t="n">
        <v>67</v>
      </c>
      <c r="Y215" s="8" t="n">
        <v>111</v>
      </c>
      <c r="Z215" s="10" t="n">
        <v>0.205</v>
      </c>
      <c r="AA215" s="8" t="n">
        <v>138</v>
      </c>
      <c r="AB215" s="10" t="n">
        <v>0.292</v>
      </c>
      <c r="AC215" s="8" t="n">
        <v>38</v>
      </c>
      <c r="AD215" s="6" t="n">
        <v>57.4</v>
      </c>
      <c r="AE215" s="10" t="n">
        <v>0.791</v>
      </c>
      <c r="AF215" s="8" t="n">
        <v>4</v>
      </c>
      <c r="AG215" s="10" t="n">
        <v>-0.0347</v>
      </c>
      <c r="AH215" s="6" t="n">
        <v>22.4</v>
      </c>
    </row>
    <row r="216" customFormat="false" ht="15" hidden="false" customHeight="false" outlineLevel="0" collapsed="false">
      <c r="A216" s="3" t="n">
        <v>214</v>
      </c>
      <c r="B216" s="4" t="s">
        <v>240</v>
      </c>
      <c r="C216" s="5" t="s">
        <v>99</v>
      </c>
      <c r="D216" s="4" t="s">
        <v>241</v>
      </c>
      <c r="E216" s="4" t="s">
        <v>124</v>
      </c>
      <c r="F216" s="4" t="s">
        <v>99</v>
      </c>
      <c r="G216" s="3" t="n">
        <v>1</v>
      </c>
      <c r="H216" s="6" t="n">
        <v>33</v>
      </c>
      <c r="I216" s="3" t="n">
        <v>13</v>
      </c>
      <c r="J216" s="3" t="n">
        <v>8</v>
      </c>
      <c r="K216" s="7" t="n">
        <v>54.06</v>
      </c>
      <c r="L216" s="7" t="n">
        <v>9.53</v>
      </c>
      <c r="M216" s="8" t="n">
        <v>38</v>
      </c>
      <c r="N216" s="8" t="n">
        <v>82</v>
      </c>
      <c r="O216" s="7" t="n">
        <v>54.06</v>
      </c>
      <c r="P216" s="6" t="n">
        <v>90.6</v>
      </c>
      <c r="Q216" s="7" t="n">
        <v>-1.936</v>
      </c>
      <c r="R216" s="7" t="n">
        <v>-0.885</v>
      </c>
      <c r="S216" s="4" t="s">
        <v>165</v>
      </c>
      <c r="T216" s="4"/>
      <c r="U216" s="8" t="n">
        <v>8</v>
      </c>
      <c r="V216" s="6" t="n">
        <v>84.8</v>
      </c>
      <c r="W216" s="7" t="n">
        <v>10.6</v>
      </c>
      <c r="X216" s="8" t="n">
        <v>66</v>
      </c>
      <c r="Y216" s="8" t="n">
        <v>170</v>
      </c>
      <c r="Z216" s="10" t="n">
        <v>0.309</v>
      </c>
      <c r="AA216" s="8" t="n">
        <v>94</v>
      </c>
      <c r="AB216" s="10" t="n">
        <v>0.195</v>
      </c>
      <c r="AC216" s="8" t="n">
        <v>38</v>
      </c>
      <c r="AD216" s="6" t="n">
        <v>63.3</v>
      </c>
      <c r="AE216" s="10" t="n">
        <v>0.852</v>
      </c>
      <c r="AF216" s="8" t="n">
        <v>4</v>
      </c>
      <c r="AG216" s="10" t="n">
        <v>-0.0088</v>
      </c>
      <c r="AH216" s="6" t="n">
        <v>25.7</v>
      </c>
    </row>
    <row r="217" customFormat="false" ht="15" hidden="false" customHeight="false" outlineLevel="0" collapsed="false">
      <c r="A217" s="3" t="n">
        <v>215</v>
      </c>
      <c r="B217" s="4" t="s">
        <v>361</v>
      </c>
      <c r="C217" s="5" t="s">
        <v>99</v>
      </c>
      <c r="D217" s="4" t="s">
        <v>362</v>
      </c>
      <c r="E217" s="4" t="s">
        <v>218</v>
      </c>
      <c r="F217" s="4" t="s">
        <v>99</v>
      </c>
      <c r="G217" s="3" t="n">
        <v>2</v>
      </c>
      <c r="H217" s="6" t="n">
        <v>26.3</v>
      </c>
      <c r="I217" s="3" t="n">
        <v>4</v>
      </c>
      <c r="J217" s="3" t="n">
        <v>11</v>
      </c>
      <c r="K217" s="7" t="n">
        <v>109.66</v>
      </c>
      <c r="L217" s="7" t="n">
        <v>13.54</v>
      </c>
      <c r="M217" s="8" t="n">
        <v>76</v>
      </c>
      <c r="N217" s="8" t="n">
        <v>149</v>
      </c>
      <c r="O217" s="7" t="n">
        <v>109.66</v>
      </c>
      <c r="P217" s="6" t="n">
        <v>75.3</v>
      </c>
      <c r="Q217" s="7" t="n">
        <v>-1.938</v>
      </c>
      <c r="R217" s="7" t="n">
        <v>-0.404</v>
      </c>
      <c r="S217" s="4" t="s">
        <v>165</v>
      </c>
      <c r="T217" s="4"/>
      <c r="U217" s="8" t="n">
        <v>5</v>
      </c>
      <c r="V217" s="6" t="n">
        <v>48.5</v>
      </c>
      <c r="W217" s="7" t="n">
        <v>9.7</v>
      </c>
      <c r="X217" s="8" t="n">
        <v>83</v>
      </c>
      <c r="Y217" s="8" t="n">
        <v>155</v>
      </c>
      <c r="Z217" s="10" t="n">
        <v>0.337</v>
      </c>
      <c r="AA217" s="8" t="n">
        <v>148</v>
      </c>
      <c r="AB217" s="10" t="n">
        <v>0.301</v>
      </c>
      <c r="AC217" s="8" t="n">
        <v>52</v>
      </c>
      <c r="AD217" s="6" t="n">
        <v>52.5</v>
      </c>
      <c r="AE217" s="10" t="n">
        <v>0.704</v>
      </c>
      <c r="AF217" s="8" t="n">
        <v>4</v>
      </c>
      <c r="AG217" s="10" t="n">
        <v>-0.0441</v>
      </c>
      <c r="AH217" s="6" t="n">
        <v>23</v>
      </c>
    </row>
    <row r="218" customFormat="false" ht="15" hidden="false" customHeight="false" outlineLevel="0" collapsed="false">
      <c r="A218" s="3" t="n">
        <v>216</v>
      </c>
      <c r="B218" s="4" t="s">
        <v>184</v>
      </c>
      <c r="C218" s="5" t="s">
        <v>99</v>
      </c>
      <c r="D218" s="4" t="s">
        <v>185</v>
      </c>
      <c r="E218" s="4" t="s">
        <v>186</v>
      </c>
      <c r="F218" s="4" t="s">
        <v>99</v>
      </c>
      <c r="G218" s="3" t="n">
        <v>1</v>
      </c>
      <c r="H218" s="6" t="n">
        <v>26.1</v>
      </c>
      <c r="I218" s="3" t="n">
        <v>5</v>
      </c>
      <c r="J218" s="3" t="n">
        <v>13</v>
      </c>
      <c r="K218" s="7" t="n">
        <v>30.29</v>
      </c>
      <c r="L218" s="7" t="n">
        <v>6.99</v>
      </c>
      <c r="M218" s="8" t="n">
        <v>15</v>
      </c>
      <c r="N218" s="8" t="n">
        <v>46</v>
      </c>
      <c r="O218" s="7" t="n">
        <v>30.29</v>
      </c>
      <c r="P218" s="6" t="n">
        <v>96.6</v>
      </c>
      <c r="Q218" s="7" t="n">
        <v>-2.027</v>
      </c>
      <c r="R218" s="7" t="n">
        <v>-0.056</v>
      </c>
      <c r="S218" s="4" t="s">
        <v>165</v>
      </c>
      <c r="T218" s="4"/>
      <c r="U218" s="8" t="n">
        <v>7</v>
      </c>
      <c r="V218" s="6" t="n">
        <v>99.5</v>
      </c>
      <c r="W218" s="7" t="n">
        <v>14.214</v>
      </c>
      <c r="X218" s="8" t="n">
        <v>60</v>
      </c>
      <c r="Y218" s="8" t="n">
        <v>76</v>
      </c>
      <c r="Z218" s="10" t="n">
        <v>0.161</v>
      </c>
      <c r="AA218" s="8" t="n">
        <v>117</v>
      </c>
      <c r="AB218" s="10" t="n">
        <v>0.257</v>
      </c>
      <c r="AC218" s="8" t="n">
        <v>27</v>
      </c>
      <c r="AD218" s="6" t="n">
        <v>38.6</v>
      </c>
      <c r="AE218" s="10" t="n">
        <v>0.808</v>
      </c>
      <c r="AF218" s="8" t="n">
        <v>3</v>
      </c>
      <c r="AG218" s="10" t="n">
        <v>-0.0877</v>
      </c>
      <c r="AH218" s="6" t="n">
        <v>17.6</v>
      </c>
    </row>
    <row r="219" customFormat="false" ht="15" hidden="false" customHeight="false" outlineLevel="0" collapsed="false">
      <c r="A219" s="3" t="n">
        <v>217</v>
      </c>
      <c r="B219" s="4" t="s">
        <v>176</v>
      </c>
      <c r="C219" s="5" t="s">
        <v>99</v>
      </c>
      <c r="D219" s="4" t="s">
        <v>177</v>
      </c>
      <c r="E219" s="4" t="s">
        <v>178</v>
      </c>
      <c r="F219" s="4" t="s">
        <v>99</v>
      </c>
      <c r="G219" s="3" t="n">
        <v>1</v>
      </c>
      <c r="H219" s="6" t="n">
        <v>23.1</v>
      </c>
      <c r="I219" s="3" t="n">
        <v>3</v>
      </c>
      <c r="J219" s="3" t="n">
        <v>8</v>
      </c>
      <c r="K219" s="7" t="n">
        <v>28.55</v>
      </c>
      <c r="L219" s="7" t="n">
        <v>11.16</v>
      </c>
      <c r="M219" s="8" t="n">
        <v>8</v>
      </c>
      <c r="N219" s="8" t="n">
        <v>60</v>
      </c>
      <c r="O219" s="7" t="n">
        <v>28.55</v>
      </c>
      <c r="P219" s="6" t="n">
        <v>98.4</v>
      </c>
      <c r="Q219" s="7" t="n">
        <v>-2.931</v>
      </c>
      <c r="R219" s="7" t="n">
        <v>-0.083</v>
      </c>
      <c r="S219" s="4" t="s">
        <v>165</v>
      </c>
      <c r="T219" s="4"/>
      <c r="U219" s="8" t="n">
        <v>4</v>
      </c>
      <c r="V219" s="6" t="n">
        <v>57.1</v>
      </c>
      <c r="W219" s="7" t="n">
        <v>14.275</v>
      </c>
      <c r="X219" s="8" t="n">
        <v>79</v>
      </c>
      <c r="Y219" s="8" t="n">
        <v>177</v>
      </c>
      <c r="Z219" s="10" t="n">
        <v>0.352</v>
      </c>
      <c r="AA219" s="8" t="n">
        <v>3</v>
      </c>
      <c r="AB219" s="10" t="n">
        <v>0.006</v>
      </c>
      <c r="AC219" s="8" t="n">
        <v>21</v>
      </c>
      <c r="AD219" s="6" t="n">
        <v>45.9</v>
      </c>
      <c r="AE219" s="10" t="n">
        <v>0.723</v>
      </c>
      <c r="AF219" s="8" t="n">
        <v>4</v>
      </c>
      <c r="AG219" s="10" t="n">
        <v>-0.0466</v>
      </c>
      <c r="AH219" s="6" t="n">
        <v>22.4</v>
      </c>
    </row>
    <row r="220" customFormat="false" ht="15" hidden="false" customHeight="false" outlineLevel="0" collapsed="false">
      <c r="A220" s="3" t="n">
        <v>218</v>
      </c>
      <c r="B220" s="4" t="s">
        <v>204</v>
      </c>
      <c r="C220" s="11" t="s">
        <v>104</v>
      </c>
      <c r="D220" s="4" t="s">
        <v>205</v>
      </c>
      <c r="E220" s="4" t="s">
        <v>151</v>
      </c>
      <c r="F220" s="4" t="s">
        <v>104</v>
      </c>
      <c r="G220" s="3" t="n">
        <v>1</v>
      </c>
      <c r="H220" s="6" t="n">
        <v>21.2</v>
      </c>
      <c r="I220" s="3" t="n">
        <v>0</v>
      </c>
      <c r="J220" s="3" t="n">
        <v>14</v>
      </c>
      <c r="K220" s="7" t="n">
        <v>38.13</v>
      </c>
      <c r="L220" s="7" t="n">
        <v>7.09</v>
      </c>
      <c r="M220" s="8" t="n">
        <v>22</v>
      </c>
      <c r="N220" s="8" t="n">
        <v>65</v>
      </c>
      <c r="O220" s="7" t="n">
        <v>38.13</v>
      </c>
      <c r="P220" s="6" t="n">
        <v>98.3</v>
      </c>
      <c r="Q220" s="7"/>
      <c r="R220" s="7"/>
      <c r="S220" s="4"/>
      <c r="T220" s="4" t="s">
        <v>206</v>
      </c>
      <c r="U220" s="8"/>
      <c r="V220" s="6"/>
      <c r="W220" s="7"/>
      <c r="X220" s="8"/>
      <c r="Y220" s="8" t="n">
        <v>106</v>
      </c>
      <c r="Z220" s="10" t="n">
        <v>0.172</v>
      </c>
      <c r="AA220" s="8" t="n">
        <v>173</v>
      </c>
      <c r="AB220" s="10" t="n">
        <v>0.473</v>
      </c>
      <c r="AC220" s="8" t="n">
        <v>41</v>
      </c>
      <c r="AD220" s="6" t="n">
        <v>36.9</v>
      </c>
      <c r="AE220" s="10" t="n">
        <v>0.686</v>
      </c>
      <c r="AF220" s="8" t="n">
        <v>3</v>
      </c>
      <c r="AG220" s="10" t="n">
        <v>0.0399</v>
      </c>
      <c r="AH220" s="6" t="n">
        <v>20.9</v>
      </c>
    </row>
    <row r="221" customFormat="false" ht="15" hidden="false" customHeight="false" outlineLevel="0" collapsed="false">
      <c r="A221" s="3" t="n">
        <v>219</v>
      </c>
      <c r="B221" s="4" t="s">
        <v>263</v>
      </c>
      <c r="C221" s="5" t="s">
        <v>99</v>
      </c>
      <c r="D221" s="4" t="s">
        <v>264</v>
      </c>
      <c r="E221" s="4" t="s">
        <v>265</v>
      </c>
      <c r="F221" s="4" t="s">
        <v>99</v>
      </c>
      <c r="G221" s="3" t="n">
        <v>1</v>
      </c>
      <c r="H221" s="6" t="n">
        <v>21.6</v>
      </c>
      <c r="I221" s="3" t="n">
        <v>0</v>
      </c>
      <c r="J221" s="3" t="n">
        <v>9</v>
      </c>
      <c r="K221" s="7" t="n">
        <v>65.44</v>
      </c>
      <c r="L221" s="7" t="n">
        <v>18.21</v>
      </c>
      <c r="M221" s="8" t="n">
        <v>45</v>
      </c>
      <c r="N221" s="8" t="n">
        <v>176</v>
      </c>
      <c r="O221" s="7" t="n">
        <v>65.44</v>
      </c>
      <c r="P221" s="6" t="n">
        <v>91.9</v>
      </c>
      <c r="Q221" s="7"/>
      <c r="R221" s="7"/>
      <c r="S221" s="4"/>
      <c r="T221" s="4" t="s">
        <v>206</v>
      </c>
      <c r="U221" s="8"/>
      <c r="V221" s="6"/>
      <c r="W221" s="7"/>
      <c r="X221" s="8"/>
      <c r="Y221" s="8" t="n">
        <v>152</v>
      </c>
      <c r="Z221" s="10" t="n">
        <v>0.287</v>
      </c>
      <c r="AA221" s="8" t="n">
        <v>0</v>
      </c>
      <c r="AB221" s="10" t="n">
        <v>0</v>
      </c>
      <c r="AC221" s="8" t="n">
        <v>8</v>
      </c>
      <c r="AD221" s="6" t="n">
        <v>41.1</v>
      </c>
      <c r="AE221" s="10" t="n">
        <v>0.527</v>
      </c>
      <c r="AF221" s="8" t="n">
        <v>3</v>
      </c>
      <c r="AG221" s="10" t="n">
        <v>-0.0385</v>
      </c>
      <c r="AH221" s="6" t="n">
        <v>16.7</v>
      </c>
    </row>
    <row r="222" customFormat="false" ht="15" hidden="false" customHeight="false" outlineLevel="0" collapsed="false">
      <c r="A222" s="3" t="n">
        <v>220</v>
      </c>
      <c r="B222" s="4" t="s">
        <v>279</v>
      </c>
      <c r="C222" s="11" t="s">
        <v>104</v>
      </c>
      <c r="D222" s="4" t="s">
        <v>280</v>
      </c>
      <c r="E222" s="4" t="s">
        <v>115</v>
      </c>
      <c r="F222" s="4" t="s">
        <v>281</v>
      </c>
      <c r="G222" s="3" t="n">
        <v>2</v>
      </c>
      <c r="H222" s="6" t="n">
        <v>22.9</v>
      </c>
      <c r="I222" s="3" t="n">
        <v>0</v>
      </c>
      <c r="J222" s="3" t="n">
        <v>11</v>
      </c>
      <c r="K222" s="7" t="n">
        <v>75.71</v>
      </c>
      <c r="L222" s="7" t="n">
        <v>8.56</v>
      </c>
      <c r="M222" s="8" t="n">
        <v>43</v>
      </c>
      <c r="N222" s="8" t="n">
        <v>89</v>
      </c>
      <c r="O222" s="7" t="n">
        <v>75.71</v>
      </c>
      <c r="P222" s="6" t="n">
        <v>89.2</v>
      </c>
      <c r="Q222" s="7"/>
      <c r="R222" s="7"/>
      <c r="S222" s="4"/>
      <c r="T222" s="4" t="s">
        <v>206</v>
      </c>
      <c r="U222" s="8"/>
      <c r="V222" s="6"/>
      <c r="W222" s="7"/>
      <c r="X222" s="8"/>
      <c r="Y222" s="8" t="n">
        <v>39</v>
      </c>
      <c r="Z222" s="10" t="n">
        <v>0.086</v>
      </c>
      <c r="AA222" s="8" t="n">
        <v>221</v>
      </c>
      <c r="AB222" s="10" t="n">
        <v>0.436</v>
      </c>
      <c r="AC222" s="8" t="n">
        <v>37</v>
      </c>
      <c r="AD222" s="6" t="n">
        <v>49.9</v>
      </c>
      <c r="AE222" s="10" t="n">
        <v>0.942</v>
      </c>
      <c r="AF222" s="8" t="n">
        <v>5</v>
      </c>
      <c r="AG222" s="10" t="n">
        <v>-0.0677</v>
      </c>
      <c r="AH222" s="6" t="n">
        <v>28.4</v>
      </c>
    </row>
    <row r="223" customFormat="false" ht="15" hidden="false" customHeight="false" outlineLevel="0" collapsed="false">
      <c r="A223" s="3" t="n">
        <v>221</v>
      </c>
      <c r="B223" s="4" t="s">
        <v>307</v>
      </c>
      <c r="C223" s="5" t="s">
        <v>99</v>
      </c>
      <c r="D223" s="4" t="s">
        <v>308</v>
      </c>
      <c r="E223" s="4" t="s">
        <v>158</v>
      </c>
      <c r="F223" s="4" t="s">
        <v>99</v>
      </c>
      <c r="G223" s="3" t="n">
        <v>2</v>
      </c>
      <c r="H223" s="6" t="n">
        <v>22</v>
      </c>
      <c r="I223" s="3" t="n">
        <v>0</v>
      </c>
      <c r="J223" s="3" t="n">
        <v>8</v>
      </c>
      <c r="K223" s="7" t="n">
        <v>83.83</v>
      </c>
      <c r="L223" s="7" t="n">
        <v>18.12</v>
      </c>
      <c r="M223" s="8" t="n">
        <v>51</v>
      </c>
      <c r="N223" s="8" t="n">
        <v>165</v>
      </c>
      <c r="O223" s="7" t="n">
        <v>83.83</v>
      </c>
      <c r="P223" s="6" t="n">
        <v>86.1</v>
      </c>
      <c r="Q223" s="7"/>
      <c r="R223" s="7"/>
      <c r="S223" s="4"/>
      <c r="T223" s="4" t="s">
        <v>206</v>
      </c>
      <c r="U223" s="8"/>
      <c r="V223" s="6"/>
      <c r="W223" s="7"/>
      <c r="X223" s="8"/>
      <c r="Y223" s="8" t="n">
        <v>127</v>
      </c>
      <c r="Z223" s="10" t="n">
        <v>0.225</v>
      </c>
      <c r="AA223" s="8" t="n">
        <v>21</v>
      </c>
      <c r="AB223" s="10" t="n">
        <v>0.048</v>
      </c>
      <c r="AC223" s="8" t="n">
        <v>15</v>
      </c>
      <c r="AD223" s="6" t="n">
        <v>41.9</v>
      </c>
      <c r="AE223" s="10" t="n">
        <v>0.784</v>
      </c>
      <c r="AF223" s="8" t="n">
        <v>4</v>
      </c>
      <c r="AG223" s="10" t="n">
        <v>-0.0301</v>
      </c>
      <c r="AH223" s="6" t="n">
        <v>18</v>
      </c>
    </row>
    <row r="224" customFormat="false" ht="15" hidden="false" customHeight="false" outlineLevel="0" collapsed="false">
      <c r="A224" s="3" t="n">
        <v>222</v>
      </c>
      <c r="B224" s="4" t="s">
        <v>336</v>
      </c>
      <c r="C224" s="5" t="s">
        <v>99</v>
      </c>
      <c r="D224" s="4" t="s">
        <v>337</v>
      </c>
      <c r="E224" s="4" t="s">
        <v>136</v>
      </c>
      <c r="F224" s="4" t="s">
        <v>99</v>
      </c>
      <c r="G224" s="3" t="n">
        <v>3</v>
      </c>
      <c r="H224" s="6" t="n">
        <v>22.2</v>
      </c>
      <c r="I224" s="3" t="n">
        <v>0</v>
      </c>
      <c r="J224" s="3" t="n">
        <v>10</v>
      </c>
      <c r="K224" s="7" t="n">
        <v>101.45</v>
      </c>
      <c r="L224" s="7" t="n">
        <v>15.64</v>
      </c>
      <c r="M224" s="8" t="n">
        <v>70</v>
      </c>
      <c r="N224" s="8" t="n">
        <v>136</v>
      </c>
      <c r="O224" s="7" t="n">
        <v>101.45</v>
      </c>
      <c r="P224" s="6" t="n">
        <v>82.9</v>
      </c>
      <c r="Q224" s="7"/>
      <c r="R224" s="7"/>
      <c r="S224" s="4"/>
      <c r="T224" s="4" t="s">
        <v>206</v>
      </c>
      <c r="U224" s="8"/>
      <c r="V224" s="6"/>
      <c r="W224" s="7"/>
      <c r="X224" s="8"/>
      <c r="Y224" s="8" t="n">
        <v>175</v>
      </c>
      <c r="Z224" s="10" t="n">
        <v>0.377</v>
      </c>
      <c r="AA224" s="8" t="n">
        <v>12</v>
      </c>
      <c r="AB224" s="10" t="n">
        <v>0.025</v>
      </c>
      <c r="AC224" s="8" t="n">
        <v>23</v>
      </c>
      <c r="AD224" s="6" t="n">
        <v>48.2</v>
      </c>
      <c r="AE224" s="10" t="n">
        <v>0.909</v>
      </c>
      <c r="AF224" s="8" t="n">
        <v>5</v>
      </c>
      <c r="AG224" s="10" t="n">
        <v>-0.0248</v>
      </c>
      <c r="AH224" s="6" t="n">
        <v>22.3</v>
      </c>
    </row>
    <row r="225" customFormat="false" ht="15" hidden="false" customHeight="false" outlineLevel="0" collapsed="false">
      <c r="A225" s="3" t="n">
        <v>223</v>
      </c>
      <c r="B225" s="4" t="s">
        <v>352</v>
      </c>
      <c r="C225" s="11" t="s">
        <v>104</v>
      </c>
      <c r="D225" s="4" t="s">
        <v>353</v>
      </c>
      <c r="E225" s="4" t="s">
        <v>191</v>
      </c>
      <c r="F225" s="4" t="s">
        <v>104</v>
      </c>
      <c r="G225" s="3" t="n">
        <v>2</v>
      </c>
      <c r="H225" s="6" t="n">
        <v>23.1</v>
      </c>
      <c r="I225" s="3" t="n">
        <v>3</v>
      </c>
      <c r="J225" s="3" t="n">
        <v>5</v>
      </c>
      <c r="K225" s="7" t="n">
        <v>106.31</v>
      </c>
      <c r="L225" s="7" t="n">
        <v>31.34</v>
      </c>
      <c r="M225" s="8" t="n">
        <v>67</v>
      </c>
      <c r="N225" s="8" t="n">
        <v>243</v>
      </c>
      <c r="O225" s="7" t="n">
        <v>106.31</v>
      </c>
      <c r="P225" s="6" t="n">
        <v>74</v>
      </c>
      <c r="Q225" s="7"/>
      <c r="R225" s="7"/>
      <c r="S225" s="4"/>
      <c r="T225" s="4" t="s">
        <v>354</v>
      </c>
      <c r="U225" s="8"/>
      <c r="V225" s="6"/>
      <c r="W225" s="7"/>
      <c r="X225" s="8"/>
      <c r="Y225" s="8" t="n">
        <v>50</v>
      </c>
      <c r="Z225" s="10" t="n">
        <v>0.104</v>
      </c>
      <c r="AA225" s="8" t="n">
        <v>242</v>
      </c>
      <c r="AB225" s="10" t="n">
        <v>0.525</v>
      </c>
      <c r="AC225" s="8" t="n">
        <v>40</v>
      </c>
      <c r="AD225" s="6" t="n">
        <v>56.6</v>
      </c>
      <c r="AE225" s="10" t="n">
        <v>0.596</v>
      </c>
      <c r="AF225" s="8" t="n">
        <v>3</v>
      </c>
      <c r="AG225" s="10" t="n">
        <v>-0.061</v>
      </c>
      <c r="AH225" s="6" t="n">
        <v>18.3</v>
      </c>
    </row>
    <row r="226" customFormat="false" ht="15" hidden="false" customHeight="false" outlineLevel="0" collapsed="false">
      <c r="A226" s="3" t="n">
        <v>224</v>
      </c>
      <c r="B226" s="4" t="s">
        <v>405</v>
      </c>
      <c r="C226" s="5" t="s">
        <v>99</v>
      </c>
      <c r="D226" s="4" t="s">
        <v>406</v>
      </c>
      <c r="E226" s="4" t="s">
        <v>258</v>
      </c>
      <c r="F226" s="4" t="s">
        <v>99</v>
      </c>
      <c r="G226" s="3" t="n">
        <v>2</v>
      </c>
      <c r="H226" s="6" t="n">
        <v>21.9</v>
      </c>
      <c r="I226" s="3" t="n">
        <v>0</v>
      </c>
      <c r="J226" s="3" t="n">
        <v>11</v>
      </c>
      <c r="K226" s="7" t="n">
        <v>131.55</v>
      </c>
      <c r="L226" s="7" t="n">
        <v>30.01</v>
      </c>
      <c r="M226" s="8" t="n">
        <v>90</v>
      </c>
      <c r="N226" s="8" t="n">
        <v>298</v>
      </c>
      <c r="O226" s="7" t="n">
        <v>131.55</v>
      </c>
      <c r="P226" s="6" t="n">
        <v>59.2</v>
      </c>
      <c r="Q226" s="7"/>
      <c r="R226" s="7"/>
      <c r="S226" s="4"/>
      <c r="T226" s="4" t="s">
        <v>206</v>
      </c>
      <c r="U226" s="8"/>
      <c r="V226" s="6"/>
      <c r="W226" s="7"/>
      <c r="X226" s="8"/>
      <c r="Y226" s="8" t="n">
        <v>88</v>
      </c>
      <c r="Z226" s="10" t="n">
        <v>0.169</v>
      </c>
      <c r="AA226" s="8" t="n">
        <v>37</v>
      </c>
      <c r="AB226" s="10" t="n">
        <v>0.088</v>
      </c>
      <c r="AC226" s="8" t="n">
        <v>23</v>
      </c>
      <c r="AD226" s="6" t="n">
        <v>15.1</v>
      </c>
      <c r="AE226" s="10" t="n">
        <v>0.261</v>
      </c>
      <c r="AF226" s="8" t="n">
        <v>1</v>
      </c>
      <c r="AG226" s="10" t="n">
        <v>-0.0372</v>
      </c>
      <c r="AH226" s="6" t="n">
        <v>16.4</v>
      </c>
    </row>
    <row r="227" customFormat="false" ht="15" hidden="false" customHeight="false" outlineLevel="0" collapsed="false">
      <c r="A227" s="3" t="n">
        <v>225</v>
      </c>
      <c r="B227" s="4" t="s">
        <v>443</v>
      </c>
      <c r="C227" s="5" t="s">
        <v>99</v>
      </c>
      <c r="D227" s="4" t="s">
        <v>444</v>
      </c>
      <c r="E227" s="4" t="s">
        <v>258</v>
      </c>
      <c r="F227" s="4" t="s">
        <v>99</v>
      </c>
      <c r="G227" s="3" t="n">
        <v>3</v>
      </c>
      <c r="H227" s="6" t="n">
        <v>22.7</v>
      </c>
      <c r="I227" s="3" t="n">
        <v>0</v>
      </c>
      <c r="J227" s="3" t="n">
        <v>11</v>
      </c>
      <c r="K227" s="7" t="n">
        <v>157.29</v>
      </c>
      <c r="L227" s="7" t="n">
        <v>31.44</v>
      </c>
      <c r="M227" s="8" t="n">
        <v>115</v>
      </c>
      <c r="N227" s="8" t="n">
        <v>304</v>
      </c>
      <c r="O227" s="7" t="n">
        <v>157.29</v>
      </c>
      <c r="P227" s="6" t="n">
        <v>31.5</v>
      </c>
      <c r="Q227" s="7"/>
      <c r="R227" s="7"/>
      <c r="S227" s="4"/>
      <c r="T227" s="4" t="s">
        <v>206</v>
      </c>
      <c r="U227" s="8"/>
      <c r="V227" s="6"/>
      <c r="W227" s="7"/>
      <c r="X227" s="8"/>
      <c r="Y227" s="8" t="n">
        <v>88</v>
      </c>
      <c r="Z227" s="10" t="n">
        <v>0.169</v>
      </c>
      <c r="AA227" s="8" t="n">
        <v>37</v>
      </c>
      <c r="AB227" s="10" t="n">
        <v>0.088</v>
      </c>
      <c r="AC227" s="8" t="n">
        <v>23</v>
      </c>
      <c r="AD227" s="6" t="n">
        <v>15.1</v>
      </c>
      <c r="AE227" s="10" t="n">
        <v>0.261</v>
      </c>
      <c r="AF227" s="8" t="n">
        <v>1</v>
      </c>
      <c r="AG227" s="10" t="n">
        <v>-0.0372</v>
      </c>
      <c r="AH227" s="6" t="n">
        <v>16.4</v>
      </c>
    </row>
    <row r="228" customFormat="false" ht="15" hidden="false" customHeight="false" outlineLevel="0" collapsed="false">
      <c r="A228" s="3" t="n">
        <v>226</v>
      </c>
      <c r="B228" s="4" t="s">
        <v>451</v>
      </c>
      <c r="C228" s="11" t="s">
        <v>104</v>
      </c>
      <c r="D228" s="4" t="s">
        <v>452</v>
      </c>
      <c r="E228" s="4" t="s">
        <v>209</v>
      </c>
      <c r="F228" s="4" t="s">
        <v>104</v>
      </c>
      <c r="G228" s="3" t="n">
        <v>3</v>
      </c>
      <c r="H228" s="6" t="n">
        <v>23</v>
      </c>
      <c r="I228" s="3" t="n">
        <v>0</v>
      </c>
      <c r="J228" s="3" t="n">
        <v>10</v>
      </c>
      <c r="K228" s="7" t="n">
        <v>165.71</v>
      </c>
      <c r="L228" s="7" t="n">
        <v>32.36</v>
      </c>
      <c r="M228" s="8" t="n">
        <v>127</v>
      </c>
      <c r="N228" s="8" t="n">
        <v>322</v>
      </c>
      <c r="O228" s="7" t="n">
        <v>165.71</v>
      </c>
      <c r="P228" s="6" t="n">
        <v>26.5</v>
      </c>
      <c r="Q228" s="7"/>
      <c r="R228" s="7"/>
      <c r="S228" s="4"/>
      <c r="T228" s="4" t="s">
        <v>206</v>
      </c>
      <c r="U228" s="8"/>
      <c r="V228" s="6"/>
      <c r="W228" s="7"/>
      <c r="X228" s="8"/>
      <c r="Y228" s="8" t="n">
        <v>4</v>
      </c>
      <c r="Z228" s="10" t="n">
        <v>0.007</v>
      </c>
      <c r="AA228" s="8" t="n">
        <v>0</v>
      </c>
      <c r="AB228" s="10" t="n">
        <v>0</v>
      </c>
      <c r="AC228" s="8" t="n">
        <v>1</v>
      </c>
      <c r="AD228" s="6" t="n">
        <v>63.2</v>
      </c>
      <c r="AE228" s="10" t="n">
        <v>0.999</v>
      </c>
      <c r="AF228" s="8" t="n">
        <v>5</v>
      </c>
      <c r="AG228" s="10" t="n">
        <v>0.0157</v>
      </c>
      <c r="AH228" s="6" t="n">
        <v>23.6</v>
      </c>
    </row>
    <row r="229" customFormat="false" ht="15" hidden="false" customHeight="false" outlineLevel="0" collapsed="false">
      <c r="A229" s="3" t="n">
        <v>227</v>
      </c>
      <c r="B229" s="4" t="s">
        <v>457</v>
      </c>
      <c r="C229" s="5" t="s">
        <v>99</v>
      </c>
      <c r="D229" s="4" t="s">
        <v>458</v>
      </c>
      <c r="E229" s="4" t="s">
        <v>186</v>
      </c>
      <c r="F229" s="4" t="s">
        <v>99</v>
      </c>
      <c r="G229" s="3" t="n">
        <v>3</v>
      </c>
      <c r="H229" s="6" t="n">
        <v>22.7</v>
      </c>
      <c r="I229" s="3" t="n">
        <v>0</v>
      </c>
      <c r="J229" s="3" t="n">
        <v>13</v>
      </c>
      <c r="K229" s="7" t="n">
        <v>167.8</v>
      </c>
      <c r="L229" s="7" t="n">
        <v>31.69</v>
      </c>
      <c r="M229" s="8" t="n">
        <v>133</v>
      </c>
      <c r="N229" s="8" t="n">
        <v>301</v>
      </c>
      <c r="O229" s="7" t="n">
        <v>167.8</v>
      </c>
      <c r="P229" s="6" t="n">
        <v>29.3</v>
      </c>
      <c r="Q229" s="7"/>
      <c r="R229" s="7"/>
      <c r="S229" s="4"/>
      <c r="T229" s="4" t="s">
        <v>206</v>
      </c>
      <c r="U229" s="8"/>
      <c r="V229" s="6"/>
      <c r="W229" s="7"/>
      <c r="X229" s="8"/>
      <c r="Y229" s="8" t="n">
        <v>76</v>
      </c>
      <c r="Z229" s="10" t="n">
        <v>0.161</v>
      </c>
      <c r="AA229" s="8" t="n">
        <v>117</v>
      </c>
      <c r="AB229" s="10" t="n">
        <v>0.257</v>
      </c>
      <c r="AC229" s="8" t="n">
        <v>27</v>
      </c>
      <c r="AD229" s="6" t="n">
        <v>38.6</v>
      </c>
      <c r="AE229" s="10" t="n">
        <v>0.808</v>
      </c>
      <c r="AF229" s="8" t="n">
        <v>3</v>
      </c>
      <c r="AG229" s="10" t="n">
        <v>-0.0877</v>
      </c>
      <c r="AH229" s="6" t="n">
        <v>17.6</v>
      </c>
    </row>
    <row r="230" customFormat="false" ht="15" hidden="false" customHeight="false" outlineLevel="0" collapsed="false">
      <c r="A230" s="3" t="n">
        <v>228</v>
      </c>
      <c r="B230" s="4" t="s">
        <v>469</v>
      </c>
      <c r="C230" s="5" t="s">
        <v>99</v>
      </c>
      <c r="D230" s="4" t="s">
        <v>470</v>
      </c>
      <c r="E230" s="4" t="s">
        <v>124</v>
      </c>
      <c r="F230" s="4" t="s">
        <v>99</v>
      </c>
      <c r="G230" s="3" t="n">
        <v>4</v>
      </c>
      <c r="H230" s="6" t="n">
        <v>23.7</v>
      </c>
      <c r="I230" s="3" t="n">
        <v>0</v>
      </c>
      <c r="J230" s="3" t="n">
        <v>8</v>
      </c>
      <c r="K230" s="7" t="n">
        <v>174.84</v>
      </c>
      <c r="L230" s="7" t="n">
        <v>42.74</v>
      </c>
      <c r="M230" s="8" t="n">
        <v>100</v>
      </c>
      <c r="N230" s="8" t="n">
        <v>290</v>
      </c>
      <c r="O230" s="7" t="n">
        <v>174.84</v>
      </c>
      <c r="P230" s="6" t="n">
        <v>22.7</v>
      </c>
      <c r="Q230" s="7"/>
      <c r="R230" s="7"/>
      <c r="S230" s="4"/>
      <c r="T230" s="4" t="s">
        <v>206</v>
      </c>
      <c r="U230" s="8"/>
      <c r="V230" s="6"/>
      <c r="W230" s="7"/>
      <c r="X230" s="8"/>
      <c r="Y230" s="8" t="n">
        <v>170</v>
      </c>
      <c r="Z230" s="10" t="n">
        <v>0.309</v>
      </c>
      <c r="AA230" s="8" t="n">
        <v>94</v>
      </c>
      <c r="AB230" s="10" t="n">
        <v>0.195</v>
      </c>
      <c r="AC230" s="8" t="n">
        <v>38</v>
      </c>
      <c r="AD230" s="6" t="n">
        <v>63.3</v>
      </c>
      <c r="AE230" s="10" t="n">
        <v>0.852</v>
      </c>
      <c r="AF230" s="8" t="n">
        <v>4</v>
      </c>
      <c r="AG230" s="10" t="n">
        <v>-0.0088</v>
      </c>
      <c r="AH230" s="6" t="n">
        <v>25.7</v>
      </c>
    </row>
    <row r="231" customFormat="false" ht="15" hidden="false" customHeight="false" outlineLevel="0" collapsed="false">
      <c r="A231" s="3" t="n">
        <v>229</v>
      </c>
      <c r="B231" s="4" t="s">
        <v>498</v>
      </c>
      <c r="C231" s="11" t="s">
        <v>104</v>
      </c>
      <c r="D231" s="4" t="s">
        <v>499</v>
      </c>
      <c r="E231" s="4" t="s">
        <v>164</v>
      </c>
      <c r="F231" s="4" t="s">
        <v>104</v>
      </c>
      <c r="G231" s="3" t="n">
        <v>3</v>
      </c>
      <c r="H231" s="6" t="n">
        <v>22.9</v>
      </c>
      <c r="I231" s="3" t="n">
        <v>0</v>
      </c>
      <c r="J231" s="3" t="n">
        <v>5</v>
      </c>
      <c r="K231" s="7" t="n">
        <v>198</v>
      </c>
      <c r="L231" s="7" t="n">
        <v>40.58</v>
      </c>
      <c r="M231" s="8" t="n">
        <v>148</v>
      </c>
      <c r="N231" s="8" t="n">
        <v>322</v>
      </c>
      <c r="O231" s="7" t="n">
        <v>198</v>
      </c>
      <c r="P231" s="6" t="n">
        <v>18.5</v>
      </c>
      <c r="Q231" s="7"/>
      <c r="R231" s="7"/>
      <c r="S231" s="4"/>
      <c r="T231" s="4" t="s">
        <v>206</v>
      </c>
      <c r="U231" s="8"/>
      <c r="V231" s="6"/>
      <c r="W231" s="7"/>
      <c r="X231" s="8"/>
      <c r="Y231" s="8" t="n">
        <v>147</v>
      </c>
      <c r="Z231" s="10" t="n">
        <v>0.268</v>
      </c>
      <c r="AA231" s="8" t="n">
        <v>129</v>
      </c>
      <c r="AB231" s="10" t="n">
        <v>0.3</v>
      </c>
      <c r="AC231" s="8" t="n">
        <v>43</v>
      </c>
      <c r="AD231" s="6" t="n">
        <v>50.1</v>
      </c>
      <c r="AE231" s="10" t="n">
        <v>0.864</v>
      </c>
      <c r="AF231" s="8" t="n">
        <v>5</v>
      </c>
      <c r="AG231" s="10" t="n">
        <v>0.0395</v>
      </c>
      <c r="AH231" s="6" t="n">
        <v>21.3</v>
      </c>
    </row>
    <row r="232" customFormat="false" ht="15" hidden="false" customHeight="false" outlineLevel="0" collapsed="false">
      <c r="A232" s="3" t="n">
        <v>230</v>
      </c>
      <c r="B232" s="4" t="s">
        <v>516</v>
      </c>
      <c r="C232" s="11" t="s">
        <v>104</v>
      </c>
      <c r="D232" s="4" t="s">
        <v>517</v>
      </c>
      <c r="E232" s="4" t="s">
        <v>142</v>
      </c>
      <c r="F232" s="4"/>
      <c r="G232" s="3"/>
      <c r="H232" s="6" t="n">
        <v>23.1</v>
      </c>
      <c r="I232" s="3" t="n">
        <v>0</v>
      </c>
      <c r="J232" s="3" t="n">
        <v>13</v>
      </c>
      <c r="K232" s="7" t="n">
        <v>206.02</v>
      </c>
      <c r="L232" s="7" t="n">
        <v>34.45</v>
      </c>
      <c r="M232" s="8" t="n">
        <v>143</v>
      </c>
      <c r="N232" s="8" t="n">
        <v>313</v>
      </c>
      <c r="O232" s="7" t="n">
        <v>206.02</v>
      </c>
      <c r="P232" s="6" t="n">
        <v>17.5</v>
      </c>
      <c r="Q232" s="7"/>
      <c r="R232" s="7"/>
      <c r="S232" s="4"/>
      <c r="T232" s="4" t="s">
        <v>206</v>
      </c>
      <c r="U232" s="8"/>
      <c r="V232" s="6"/>
      <c r="W232" s="7"/>
      <c r="X232" s="8"/>
      <c r="Y232" s="8" t="n">
        <v>55</v>
      </c>
      <c r="Z232" s="10" t="n">
        <v>0.111</v>
      </c>
      <c r="AA232" s="8" t="n">
        <v>58</v>
      </c>
      <c r="AB232" s="10" t="n">
        <v>0.157</v>
      </c>
      <c r="AC232" s="8" t="n">
        <v>13</v>
      </c>
      <c r="AD232" s="6" t="n">
        <v>15.2</v>
      </c>
      <c r="AE232" s="10" t="n">
        <v>0.384</v>
      </c>
      <c r="AF232" s="8" t="n">
        <v>2</v>
      </c>
      <c r="AG232" s="10" t="n">
        <v>-0.0175</v>
      </c>
      <c r="AH232" s="6" t="n">
        <v>14.2</v>
      </c>
    </row>
    <row r="233" customFormat="false" ht="15" hidden="false" customHeight="false" outlineLevel="0" collapsed="false">
      <c r="A233" s="3" t="n">
        <v>231</v>
      </c>
      <c r="B233" s="4" t="s">
        <v>526</v>
      </c>
      <c r="C233" s="5" t="s">
        <v>99</v>
      </c>
      <c r="D233" s="4" t="s">
        <v>527</v>
      </c>
      <c r="E233" s="4" t="s">
        <v>139</v>
      </c>
      <c r="F233" s="4" t="s">
        <v>270</v>
      </c>
      <c r="G233" s="3" t="n">
        <v>2</v>
      </c>
      <c r="H233" s="6" t="n">
        <v>26.8</v>
      </c>
      <c r="I233" s="3" t="n">
        <v>4</v>
      </c>
      <c r="J233" s="3" t="n">
        <v>8</v>
      </c>
      <c r="K233" s="7" t="n">
        <v>214.57</v>
      </c>
      <c r="L233" s="7" t="n">
        <v>27.67</v>
      </c>
      <c r="M233" s="8" t="n">
        <v>150</v>
      </c>
      <c r="N233" s="8" t="n">
        <v>281</v>
      </c>
      <c r="O233" s="7" t="n">
        <v>214.57</v>
      </c>
      <c r="P233" s="6" t="n">
        <v>20.4</v>
      </c>
      <c r="Q233" s="7"/>
      <c r="R233" s="7"/>
      <c r="S233" s="4"/>
      <c r="T233" s="4" t="s">
        <v>354</v>
      </c>
      <c r="U233" s="8"/>
      <c r="V233" s="6"/>
      <c r="W233" s="7"/>
      <c r="X233" s="8"/>
      <c r="Y233" s="8" t="n">
        <v>82</v>
      </c>
      <c r="Z233" s="10" t="n">
        <v>0.148</v>
      </c>
      <c r="AA233" s="8" t="n">
        <v>21</v>
      </c>
      <c r="AB233" s="10" t="n">
        <v>0.044</v>
      </c>
      <c r="AC233" s="8" t="n">
        <v>18</v>
      </c>
      <c r="AD233" s="6" t="n">
        <v>45.8</v>
      </c>
      <c r="AE233" s="10" t="n">
        <v>0.713</v>
      </c>
      <c r="AF233" s="8" t="n">
        <v>2</v>
      </c>
      <c r="AG233" s="10" t="n">
        <v>-0.0098</v>
      </c>
      <c r="AH233" s="6" t="n">
        <v>23.8</v>
      </c>
    </row>
    <row r="234" customFormat="false" ht="15" hidden="false" customHeight="false" outlineLevel="0" collapsed="false">
      <c r="A234" s="3" t="n">
        <v>232</v>
      </c>
      <c r="B234" s="4" t="s">
        <v>528</v>
      </c>
      <c r="C234" s="11" t="s">
        <v>104</v>
      </c>
      <c r="D234" s="4" t="s">
        <v>529</v>
      </c>
      <c r="E234" s="4" t="s">
        <v>265</v>
      </c>
      <c r="F234" s="4" t="s">
        <v>104</v>
      </c>
      <c r="G234" s="3" t="n">
        <v>3</v>
      </c>
      <c r="H234" s="6" t="n">
        <v>22.6</v>
      </c>
      <c r="I234" s="3" t="n">
        <v>0</v>
      </c>
      <c r="J234" s="3" t="n">
        <v>9</v>
      </c>
      <c r="K234" s="7" t="n">
        <v>216.81</v>
      </c>
      <c r="L234" s="7" t="n">
        <v>42.14</v>
      </c>
      <c r="M234" s="8" t="n">
        <v>135</v>
      </c>
      <c r="N234" s="8" t="n">
        <v>323</v>
      </c>
      <c r="O234" s="7" t="n">
        <v>216.81</v>
      </c>
      <c r="P234" s="6" t="n">
        <v>17</v>
      </c>
      <c r="Q234" s="7"/>
      <c r="R234" s="7"/>
      <c r="S234" s="4"/>
      <c r="T234" s="4" t="s">
        <v>206</v>
      </c>
      <c r="U234" s="8"/>
      <c r="V234" s="6"/>
      <c r="W234" s="7"/>
      <c r="X234" s="8"/>
      <c r="Y234" s="8" t="n">
        <v>152</v>
      </c>
      <c r="Z234" s="10" t="n">
        <v>0.287</v>
      </c>
      <c r="AA234" s="8" t="n">
        <v>0</v>
      </c>
      <c r="AB234" s="10" t="n">
        <v>0</v>
      </c>
      <c r="AC234" s="8" t="n">
        <v>8</v>
      </c>
      <c r="AD234" s="6" t="n">
        <v>41.1</v>
      </c>
      <c r="AE234" s="10" t="n">
        <v>0.527</v>
      </c>
      <c r="AF234" s="8" t="n">
        <v>3</v>
      </c>
      <c r="AG234" s="10" t="n">
        <v>-0.0385</v>
      </c>
      <c r="AH234" s="6" t="n">
        <v>16.7</v>
      </c>
    </row>
    <row r="235" customFormat="false" ht="15" hidden="false" customHeight="false" outlineLevel="0" collapsed="false">
      <c r="A235" s="3" t="n">
        <v>233</v>
      </c>
      <c r="B235" s="4" t="s">
        <v>530</v>
      </c>
      <c r="C235" s="12" t="s">
        <v>149</v>
      </c>
      <c r="D235" s="4" t="s">
        <v>531</v>
      </c>
      <c r="E235" s="4" t="s">
        <v>186</v>
      </c>
      <c r="F235" s="4" t="s">
        <v>149</v>
      </c>
      <c r="G235" s="3" t="n">
        <v>1</v>
      </c>
      <c r="H235" s="6" t="n">
        <v>21.5</v>
      </c>
      <c r="I235" s="3" t="n">
        <v>0</v>
      </c>
      <c r="J235" s="3" t="n">
        <v>13</v>
      </c>
      <c r="K235" s="7" t="n">
        <v>218.32</v>
      </c>
      <c r="L235" s="7" t="n">
        <v>37.7</v>
      </c>
      <c r="M235" s="8" t="n">
        <v>144</v>
      </c>
      <c r="N235" s="8" t="n">
        <v>392</v>
      </c>
      <c r="O235" s="7" t="n">
        <v>218.32</v>
      </c>
      <c r="P235" s="6" t="n">
        <v>57</v>
      </c>
      <c r="Q235" s="7"/>
      <c r="R235" s="7"/>
      <c r="S235" s="4"/>
      <c r="T235" s="4" t="s">
        <v>206</v>
      </c>
      <c r="U235" s="8"/>
      <c r="V235" s="6"/>
      <c r="W235" s="7"/>
      <c r="X235" s="8"/>
      <c r="Y235" s="8" t="n">
        <v>76</v>
      </c>
      <c r="Z235" s="10" t="n">
        <v>0.161</v>
      </c>
      <c r="AA235" s="8" t="n">
        <v>117</v>
      </c>
      <c r="AB235" s="10" t="n">
        <v>0.257</v>
      </c>
      <c r="AC235" s="8" t="n">
        <v>27</v>
      </c>
      <c r="AD235" s="6" t="n">
        <v>38.6</v>
      </c>
      <c r="AE235" s="10" t="n">
        <v>0.808</v>
      </c>
      <c r="AF235" s="8" t="n">
        <v>3</v>
      </c>
      <c r="AG235" s="10" t="n">
        <v>-0.0877</v>
      </c>
      <c r="AH235" s="6" t="n">
        <v>17.6</v>
      </c>
    </row>
    <row r="236" customFormat="false" ht="15" hidden="false" customHeight="false" outlineLevel="0" collapsed="false">
      <c r="A236" s="3" t="n">
        <v>234</v>
      </c>
      <c r="B236" s="4" t="s">
        <v>532</v>
      </c>
      <c r="C236" s="5" t="s">
        <v>99</v>
      </c>
      <c r="D236" s="4" t="s">
        <v>533</v>
      </c>
      <c r="E236" s="4" t="s">
        <v>221</v>
      </c>
      <c r="F236" s="4" t="s">
        <v>99</v>
      </c>
      <c r="G236" s="3" t="n">
        <v>4</v>
      </c>
      <c r="H236" s="6" t="n">
        <v>22.1</v>
      </c>
      <c r="I236" s="3" t="n">
        <v>0</v>
      </c>
      <c r="J236" s="3" t="n">
        <v>7</v>
      </c>
      <c r="K236" s="7" t="n">
        <v>219.38</v>
      </c>
      <c r="L236" s="7" t="n">
        <v>40.11</v>
      </c>
      <c r="M236" s="8" t="n">
        <v>136</v>
      </c>
      <c r="N236" s="8" t="n">
        <v>328</v>
      </c>
      <c r="O236" s="7" t="n">
        <v>219.38</v>
      </c>
      <c r="P236" s="6" t="n">
        <v>18.7</v>
      </c>
      <c r="Q236" s="7"/>
      <c r="R236" s="7"/>
      <c r="S236" s="4"/>
      <c r="T236" s="4" t="s">
        <v>206</v>
      </c>
      <c r="U236" s="8"/>
      <c r="V236" s="6"/>
      <c r="W236" s="7"/>
      <c r="X236" s="8"/>
      <c r="Y236" s="8" t="n">
        <v>138</v>
      </c>
      <c r="Z236" s="10" t="n">
        <v>0.319</v>
      </c>
      <c r="AA236" s="8" t="n">
        <v>142</v>
      </c>
      <c r="AB236" s="10" t="n">
        <v>0.293</v>
      </c>
      <c r="AC236" s="8" t="n">
        <v>56</v>
      </c>
      <c r="AD236" s="6" t="n">
        <v>54.8</v>
      </c>
      <c r="AE236" s="10" t="n">
        <v>0.706</v>
      </c>
      <c r="AF236" s="8" t="n">
        <v>4</v>
      </c>
      <c r="AG236" s="10" t="n">
        <v>-0.0427</v>
      </c>
      <c r="AH236" s="6" t="n">
        <v>20.9</v>
      </c>
    </row>
    <row r="237" customFormat="false" ht="15" hidden="false" customHeight="false" outlineLevel="0" collapsed="false">
      <c r="A237" s="3" t="n">
        <v>235</v>
      </c>
      <c r="B237" s="4" t="s">
        <v>534</v>
      </c>
      <c r="C237" s="11" t="s">
        <v>104</v>
      </c>
      <c r="D237" s="4" t="s">
        <v>535</v>
      </c>
      <c r="E237" s="4" t="s">
        <v>218</v>
      </c>
      <c r="F237" s="4" t="s">
        <v>104</v>
      </c>
      <c r="G237" s="3" t="n">
        <v>2</v>
      </c>
      <c r="H237" s="6" t="n">
        <v>25.6</v>
      </c>
      <c r="I237" s="3" t="n">
        <v>3</v>
      </c>
      <c r="J237" s="3" t="n">
        <v>11</v>
      </c>
      <c r="K237" s="7" t="n">
        <v>220.8</v>
      </c>
      <c r="L237" s="7" t="n">
        <v>54</v>
      </c>
      <c r="M237" s="8" t="n">
        <v>136</v>
      </c>
      <c r="N237" s="8" t="n">
        <v>330</v>
      </c>
      <c r="O237" s="7" t="n">
        <v>220.8</v>
      </c>
      <c r="P237" s="6" t="n">
        <v>10.5</v>
      </c>
      <c r="Q237" s="7"/>
      <c r="R237" s="7"/>
      <c r="S237" s="4"/>
      <c r="T237" s="4" t="s">
        <v>354</v>
      </c>
      <c r="U237" s="8"/>
      <c r="V237" s="6"/>
      <c r="W237" s="7"/>
      <c r="X237" s="8"/>
      <c r="Y237" s="8" t="n">
        <v>155</v>
      </c>
      <c r="Z237" s="10" t="n">
        <v>0.337</v>
      </c>
      <c r="AA237" s="8" t="n">
        <v>148</v>
      </c>
      <c r="AB237" s="10" t="n">
        <v>0.301</v>
      </c>
      <c r="AC237" s="8" t="n">
        <v>52</v>
      </c>
      <c r="AD237" s="6" t="n">
        <v>52.5</v>
      </c>
      <c r="AE237" s="10" t="n">
        <v>0.704</v>
      </c>
      <c r="AF237" s="8" t="n">
        <v>4</v>
      </c>
      <c r="AG237" s="10" t="n">
        <v>-0.0441</v>
      </c>
      <c r="AH237" s="6" t="n">
        <v>23</v>
      </c>
    </row>
    <row r="238" customFormat="false" ht="15" hidden="false" customHeight="false" outlineLevel="0" collapsed="false">
      <c r="A238" s="3" t="n">
        <v>236</v>
      </c>
      <c r="B238" s="4" t="s">
        <v>548</v>
      </c>
      <c r="C238" s="11" t="s">
        <v>104</v>
      </c>
      <c r="D238" s="4" t="s">
        <v>549</v>
      </c>
      <c r="E238" s="4" t="s">
        <v>221</v>
      </c>
      <c r="F238" s="4" t="s">
        <v>104</v>
      </c>
      <c r="G238" s="3" t="n">
        <v>3</v>
      </c>
      <c r="H238" s="6" t="n">
        <v>23.6</v>
      </c>
      <c r="I238" s="3" t="n">
        <v>0</v>
      </c>
      <c r="J238" s="3" t="n">
        <v>7</v>
      </c>
      <c r="K238" s="7" t="n">
        <v>227.85</v>
      </c>
      <c r="L238" s="7" t="n">
        <v>34.91</v>
      </c>
      <c r="M238" s="8" t="n">
        <v>158</v>
      </c>
      <c r="N238" s="8" t="n">
        <v>324</v>
      </c>
      <c r="O238" s="7" t="n">
        <v>227.85</v>
      </c>
      <c r="P238" s="6" t="n">
        <v>12.7</v>
      </c>
      <c r="Q238" s="7"/>
      <c r="R238" s="7"/>
      <c r="S238" s="4"/>
      <c r="T238" s="4" t="s">
        <v>206</v>
      </c>
      <c r="U238" s="8"/>
      <c r="V238" s="6"/>
      <c r="W238" s="7"/>
      <c r="X238" s="8"/>
      <c r="Y238" s="8" t="n">
        <v>138</v>
      </c>
      <c r="Z238" s="10" t="n">
        <v>0.319</v>
      </c>
      <c r="AA238" s="8" t="n">
        <v>142</v>
      </c>
      <c r="AB238" s="10" t="n">
        <v>0.293</v>
      </c>
      <c r="AC238" s="8" t="n">
        <v>56</v>
      </c>
      <c r="AD238" s="6" t="n">
        <v>54.8</v>
      </c>
      <c r="AE238" s="10" t="n">
        <v>0.706</v>
      </c>
      <c r="AF238" s="8" t="n">
        <v>4</v>
      </c>
      <c r="AG238" s="10" t="n">
        <v>-0.0427</v>
      </c>
      <c r="AH238" s="6" t="n">
        <v>20.9</v>
      </c>
    </row>
    <row r="239" customFormat="false" ht="15" hidden="false" customHeight="false" outlineLevel="0" collapsed="false">
      <c r="A239" s="3" t="n">
        <v>237</v>
      </c>
      <c r="B239" s="4" t="s">
        <v>550</v>
      </c>
      <c r="C239" s="5" t="s">
        <v>99</v>
      </c>
      <c r="D239" s="4" t="s">
        <v>551</v>
      </c>
      <c r="E239" s="4" t="s">
        <v>112</v>
      </c>
      <c r="F239" s="4" t="s">
        <v>270</v>
      </c>
      <c r="G239" s="3" t="n">
        <v>1</v>
      </c>
      <c r="H239" s="6" t="n">
        <v>22.4</v>
      </c>
      <c r="I239" s="3" t="n">
        <v>0</v>
      </c>
      <c r="J239" s="3" t="n">
        <v>11</v>
      </c>
      <c r="K239" s="7" t="n">
        <v>229.71</v>
      </c>
      <c r="L239" s="7" t="n">
        <v>32.85</v>
      </c>
      <c r="M239" s="8" t="n">
        <v>150</v>
      </c>
      <c r="N239" s="8" t="n">
        <v>313</v>
      </c>
      <c r="O239" s="7" t="n">
        <v>229.71</v>
      </c>
      <c r="P239" s="6" t="n">
        <v>17.4</v>
      </c>
      <c r="Q239" s="7"/>
      <c r="R239" s="7"/>
      <c r="S239" s="4"/>
      <c r="T239" s="4" t="s">
        <v>206</v>
      </c>
      <c r="U239" s="8"/>
      <c r="V239" s="6"/>
      <c r="W239" s="7"/>
      <c r="X239" s="8"/>
      <c r="Y239" s="8" t="n">
        <v>151</v>
      </c>
      <c r="Z239" s="10" t="n">
        <v>0.291</v>
      </c>
      <c r="AA239" s="8" t="n">
        <v>160</v>
      </c>
      <c r="AB239" s="10" t="n">
        <v>0.335</v>
      </c>
      <c r="AC239" s="8" t="n">
        <v>49</v>
      </c>
      <c r="AD239" s="6" t="n">
        <v>62.4</v>
      </c>
      <c r="AE239" s="10" t="n">
        <v>0.798</v>
      </c>
      <c r="AF239" s="8" t="n">
        <v>4</v>
      </c>
      <c r="AG239" s="10" t="n">
        <v>-0.0621</v>
      </c>
      <c r="AH239" s="6" t="n">
        <v>20.8</v>
      </c>
    </row>
    <row r="240" customFormat="false" ht="15" hidden="false" customHeight="false" outlineLevel="0" collapsed="false">
      <c r="A240" s="3" t="n">
        <v>238</v>
      </c>
      <c r="B240" s="4" t="s">
        <v>558</v>
      </c>
      <c r="C240" s="5" t="s">
        <v>99</v>
      </c>
      <c r="D240" s="4" t="s">
        <v>559</v>
      </c>
      <c r="E240" s="4" t="s">
        <v>284</v>
      </c>
      <c r="F240" s="4" t="s">
        <v>99</v>
      </c>
      <c r="G240" s="3" t="n">
        <v>4</v>
      </c>
      <c r="H240" s="6" t="n">
        <v>22.7</v>
      </c>
      <c r="I240" s="3" t="n">
        <v>0</v>
      </c>
      <c r="J240" s="3" t="n">
        <v>9</v>
      </c>
      <c r="K240" s="7" t="n">
        <v>236.01</v>
      </c>
      <c r="L240" s="7" t="n">
        <v>31.72</v>
      </c>
      <c r="M240" s="8" t="n">
        <v>173</v>
      </c>
      <c r="N240" s="8" t="n">
        <v>319</v>
      </c>
      <c r="O240" s="7" t="n">
        <v>236.01</v>
      </c>
      <c r="P240" s="6" t="n">
        <v>13.3</v>
      </c>
      <c r="Q240" s="7"/>
      <c r="R240" s="7"/>
      <c r="S240" s="4"/>
      <c r="T240" s="4" t="s">
        <v>206</v>
      </c>
      <c r="U240" s="8"/>
      <c r="V240" s="6"/>
      <c r="W240" s="7"/>
      <c r="X240" s="8"/>
      <c r="Y240" s="8" t="n">
        <v>179</v>
      </c>
      <c r="Z240" s="10" t="n">
        <v>0.343</v>
      </c>
      <c r="AA240" s="8" t="n">
        <v>129</v>
      </c>
      <c r="AB240" s="10" t="n">
        <v>0.317</v>
      </c>
      <c r="AC240" s="8" t="n">
        <v>59</v>
      </c>
      <c r="AD240" s="6" t="n">
        <v>57.4</v>
      </c>
      <c r="AE240" s="10" t="n">
        <v>0.824</v>
      </c>
      <c r="AF240" s="8" t="n">
        <v>5</v>
      </c>
      <c r="AG240" s="10" t="n">
        <v>-0.007</v>
      </c>
      <c r="AH240" s="6" t="n">
        <v>23.4</v>
      </c>
    </row>
    <row r="241" customFormat="false" ht="15" hidden="false" customHeight="false" outlineLevel="0" collapsed="false">
      <c r="A241" s="3" t="n">
        <v>239</v>
      </c>
      <c r="B241" s="4" t="s">
        <v>574</v>
      </c>
      <c r="C241" s="5" t="s">
        <v>99</v>
      </c>
      <c r="D241" s="4" t="s">
        <v>575</v>
      </c>
      <c r="E241" s="4" t="s">
        <v>124</v>
      </c>
      <c r="F241" s="4" t="s">
        <v>99</v>
      </c>
      <c r="G241" s="3" t="n">
        <v>13</v>
      </c>
      <c r="H241" s="6" t="n">
        <v>28.4</v>
      </c>
      <c r="I241" s="3" t="n">
        <v>6</v>
      </c>
      <c r="J241" s="3" t="n">
        <v>8</v>
      </c>
      <c r="K241" s="7" t="n">
        <v>245.86</v>
      </c>
      <c r="L241" s="7" t="n">
        <v>54.98</v>
      </c>
      <c r="M241" s="8" t="n">
        <v>128</v>
      </c>
      <c r="N241" s="8" t="n">
        <v>348</v>
      </c>
      <c r="O241" s="7" t="n">
        <v>245.86</v>
      </c>
      <c r="P241" s="6" t="n">
        <v>13.9</v>
      </c>
      <c r="Q241" s="7"/>
      <c r="R241" s="7"/>
      <c r="S241" s="4"/>
      <c r="T241" s="4" t="s">
        <v>354</v>
      </c>
      <c r="U241" s="8"/>
      <c r="V241" s="6"/>
      <c r="W241" s="7"/>
      <c r="X241" s="8"/>
      <c r="Y241" s="8" t="n">
        <v>170</v>
      </c>
      <c r="Z241" s="10" t="n">
        <v>0.309</v>
      </c>
      <c r="AA241" s="8" t="n">
        <v>94</v>
      </c>
      <c r="AB241" s="10" t="n">
        <v>0.195</v>
      </c>
      <c r="AC241" s="8" t="n">
        <v>38</v>
      </c>
      <c r="AD241" s="6" t="n">
        <v>63.3</v>
      </c>
      <c r="AE241" s="10" t="n">
        <v>0.852</v>
      </c>
      <c r="AF241" s="8" t="n">
        <v>4</v>
      </c>
      <c r="AG241" s="10" t="n">
        <v>-0.0088</v>
      </c>
      <c r="AH241" s="6" t="n">
        <v>25.7</v>
      </c>
    </row>
    <row r="242" customFormat="false" ht="15" hidden="false" customHeight="false" outlineLevel="0" collapsed="false">
      <c r="A242" s="3" t="n">
        <v>240</v>
      </c>
      <c r="B242" s="4" t="s">
        <v>580</v>
      </c>
      <c r="C242" s="5" t="s">
        <v>99</v>
      </c>
      <c r="D242" s="4" t="s">
        <v>581</v>
      </c>
      <c r="E242" s="4" t="s">
        <v>161</v>
      </c>
      <c r="F242" s="4" t="s">
        <v>99</v>
      </c>
      <c r="G242" s="3" t="n">
        <v>5</v>
      </c>
      <c r="H242" s="6" t="n">
        <v>22.2</v>
      </c>
      <c r="I242" s="3" t="n">
        <v>0</v>
      </c>
      <c r="J242" s="3" t="n">
        <v>6</v>
      </c>
      <c r="K242" s="7" t="n">
        <v>249.16</v>
      </c>
      <c r="L242" s="7" t="n">
        <v>30.46</v>
      </c>
      <c r="M242" s="8" t="n">
        <v>170</v>
      </c>
      <c r="N242" s="8" t="n">
        <v>311</v>
      </c>
      <c r="O242" s="7" t="n">
        <v>249.16</v>
      </c>
      <c r="P242" s="6" t="n">
        <v>13</v>
      </c>
      <c r="Q242" s="7"/>
      <c r="R242" s="7"/>
      <c r="S242" s="4"/>
      <c r="T242" s="4" t="s">
        <v>206</v>
      </c>
      <c r="U242" s="8"/>
      <c r="V242" s="6"/>
      <c r="W242" s="7"/>
      <c r="X242" s="8"/>
      <c r="Y242" s="8" t="n">
        <v>209</v>
      </c>
      <c r="Z242" s="10" t="n">
        <v>0.452</v>
      </c>
      <c r="AA242" s="8" t="n">
        <v>28</v>
      </c>
      <c r="AB242" s="10" t="n">
        <v>0.065</v>
      </c>
      <c r="AC242" s="8" t="n">
        <v>32</v>
      </c>
      <c r="AD242" s="6" t="n">
        <v>38.6</v>
      </c>
      <c r="AE242" s="10" t="n">
        <v>0.672</v>
      </c>
      <c r="AF242" s="8" t="n">
        <v>4</v>
      </c>
      <c r="AG242" s="10" t="n">
        <v>-0.0584</v>
      </c>
      <c r="AH242" s="6" t="n">
        <v>20.4</v>
      </c>
    </row>
    <row r="243" customFormat="false" ht="15" hidden="false" customHeight="false" outlineLevel="0" collapsed="false">
      <c r="A243" s="3" t="n">
        <v>241</v>
      </c>
      <c r="B243" s="4" t="s">
        <v>582</v>
      </c>
      <c r="C243" s="5" t="s">
        <v>99</v>
      </c>
      <c r="D243" s="4" t="s">
        <v>583</v>
      </c>
      <c r="E243" s="4" t="s">
        <v>164</v>
      </c>
      <c r="F243" s="4" t="s">
        <v>99</v>
      </c>
      <c r="G243" s="3" t="n">
        <v>5</v>
      </c>
      <c r="H243" s="6" t="n">
        <v>23.5</v>
      </c>
      <c r="I243" s="3" t="n">
        <v>0</v>
      </c>
      <c r="J243" s="3" t="n">
        <v>5</v>
      </c>
      <c r="K243" s="7" t="n">
        <v>249.26</v>
      </c>
      <c r="L243" s="7" t="n">
        <v>61.96</v>
      </c>
      <c r="M243" s="8" t="n">
        <v>150</v>
      </c>
      <c r="N243" s="8" t="n">
        <v>439</v>
      </c>
      <c r="O243" s="7" t="n">
        <v>249.26</v>
      </c>
      <c r="P243" s="6" t="n">
        <v>8</v>
      </c>
      <c r="Q243" s="7"/>
      <c r="R243" s="7"/>
      <c r="S243" s="4"/>
      <c r="T243" s="4" t="s">
        <v>206</v>
      </c>
      <c r="U243" s="8"/>
      <c r="V243" s="6"/>
      <c r="W243" s="7"/>
      <c r="X243" s="8"/>
      <c r="Y243" s="8" t="n">
        <v>147</v>
      </c>
      <c r="Z243" s="10" t="n">
        <v>0.268</v>
      </c>
      <c r="AA243" s="8" t="n">
        <v>129</v>
      </c>
      <c r="AB243" s="10" t="n">
        <v>0.3</v>
      </c>
      <c r="AC243" s="8" t="n">
        <v>43</v>
      </c>
      <c r="AD243" s="6" t="n">
        <v>50.1</v>
      </c>
      <c r="AE243" s="10" t="n">
        <v>0.864</v>
      </c>
      <c r="AF243" s="8" t="n">
        <v>5</v>
      </c>
      <c r="AG243" s="10" t="n">
        <v>0.0395</v>
      </c>
      <c r="AH243" s="6" t="n">
        <v>21.3</v>
      </c>
    </row>
    <row r="244" customFormat="false" ht="15" hidden="false" customHeight="false" outlineLevel="0" collapsed="false">
      <c r="A244" s="3" t="n">
        <v>242</v>
      </c>
      <c r="B244" s="4" t="s">
        <v>588</v>
      </c>
      <c r="C244" s="5" t="s">
        <v>99</v>
      </c>
      <c r="D244" s="4" t="s">
        <v>589</v>
      </c>
      <c r="E244" s="4" t="s">
        <v>183</v>
      </c>
      <c r="F244" s="4" t="s">
        <v>99</v>
      </c>
      <c r="G244" s="3" t="n">
        <v>3</v>
      </c>
      <c r="H244" s="6" t="n">
        <v>22</v>
      </c>
      <c r="I244" s="3" t="n">
        <v>0</v>
      </c>
      <c r="J244" s="3" t="n">
        <v>13</v>
      </c>
      <c r="K244" s="7" t="n">
        <v>251.76</v>
      </c>
      <c r="L244" s="7" t="n">
        <v>45.73</v>
      </c>
      <c r="M244" s="8" t="n">
        <v>154</v>
      </c>
      <c r="N244" s="8" t="n">
        <v>339</v>
      </c>
      <c r="O244" s="7" t="n">
        <v>251.76</v>
      </c>
      <c r="P244" s="6" t="n">
        <v>15.3</v>
      </c>
      <c r="Q244" s="7"/>
      <c r="R244" s="7"/>
      <c r="S244" s="4"/>
      <c r="T244" s="4" t="s">
        <v>206</v>
      </c>
      <c r="U244" s="8"/>
      <c r="V244" s="6"/>
      <c r="W244" s="7"/>
      <c r="X244" s="8"/>
      <c r="Y244" s="8" t="n">
        <v>75</v>
      </c>
      <c r="Z244" s="10" t="n">
        <v>0.184</v>
      </c>
      <c r="AA244" s="8" t="n">
        <v>64</v>
      </c>
      <c r="AB244" s="10" t="n">
        <v>0.126</v>
      </c>
      <c r="AC244" s="8" t="n">
        <v>26</v>
      </c>
      <c r="AD244" s="6" t="n">
        <v>53.2</v>
      </c>
      <c r="AE244" s="10" t="n">
        <v>0.572</v>
      </c>
      <c r="AF244" s="8" t="n">
        <v>2</v>
      </c>
      <c r="AG244" s="10" t="n">
        <v>-0.0884</v>
      </c>
      <c r="AH244" s="6" t="n">
        <v>24.9</v>
      </c>
    </row>
    <row r="245" customFormat="false" ht="15" hidden="false" customHeight="false" outlineLevel="0" collapsed="false">
      <c r="A245" s="3" t="n">
        <v>243</v>
      </c>
      <c r="B245" s="4" t="s">
        <v>592</v>
      </c>
      <c r="C245" s="11" t="s">
        <v>104</v>
      </c>
      <c r="D245" s="4" t="s">
        <v>593</v>
      </c>
      <c r="E245" s="4" t="s">
        <v>127</v>
      </c>
      <c r="F245" s="4" t="s">
        <v>281</v>
      </c>
      <c r="G245" s="3" t="n">
        <v>2</v>
      </c>
      <c r="H245" s="6" t="n">
        <v>22.9</v>
      </c>
      <c r="I245" s="3" t="n">
        <v>0</v>
      </c>
      <c r="J245" s="3" t="n">
        <v>6</v>
      </c>
      <c r="K245" s="7" t="n">
        <v>254</v>
      </c>
      <c r="L245" s="7" t="n">
        <v>34.79</v>
      </c>
      <c r="M245" s="8" t="n">
        <v>164</v>
      </c>
      <c r="N245" s="8" t="n">
        <v>354</v>
      </c>
      <c r="O245" s="7" t="n">
        <v>254</v>
      </c>
      <c r="P245" s="6" t="n">
        <v>9.9</v>
      </c>
      <c r="Q245" s="7"/>
      <c r="R245" s="7"/>
      <c r="S245" s="4"/>
      <c r="T245" s="4" t="s">
        <v>206</v>
      </c>
      <c r="U245" s="8"/>
      <c r="V245" s="6"/>
      <c r="W245" s="7"/>
      <c r="X245" s="8"/>
      <c r="Y245" s="8" t="n">
        <v>82</v>
      </c>
      <c r="Z245" s="10" t="n">
        <v>0.175</v>
      </c>
      <c r="AA245" s="8" t="n">
        <v>24</v>
      </c>
      <c r="AB245" s="10" t="n">
        <v>0.059</v>
      </c>
      <c r="AC245" s="8" t="n">
        <v>17</v>
      </c>
      <c r="AD245" s="6" t="n">
        <v>36</v>
      </c>
      <c r="AE245" s="10" t="n">
        <v>0.819</v>
      </c>
      <c r="AF245" s="8" t="n">
        <v>5</v>
      </c>
      <c r="AG245" s="10" t="n">
        <v>-0.012</v>
      </c>
      <c r="AH245" s="6" t="n">
        <v>20.2</v>
      </c>
    </row>
    <row r="246" customFormat="false" ht="15" hidden="false" customHeight="false" outlineLevel="0" collapsed="false">
      <c r="A246" s="3" t="n">
        <v>244</v>
      </c>
      <c r="B246" s="4" t="s">
        <v>594</v>
      </c>
      <c r="C246" s="5" t="s">
        <v>99</v>
      </c>
      <c r="D246" s="4" t="s">
        <v>595</v>
      </c>
      <c r="E246" s="4" t="s">
        <v>198</v>
      </c>
      <c r="F246" s="4" t="s">
        <v>99</v>
      </c>
      <c r="G246" s="3" t="n">
        <v>4</v>
      </c>
      <c r="H246" s="6" t="n">
        <v>22.1</v>
      </c>
      <c r="I246" s="3" t="n">
        <v>0</v>
      </c>
      <c r="J246" s="3" t="n">
        <v>10</v>
      </c>
      <c r="K246" s="7" t="n">
        <v>254.24</v>
      </c>
      <c r="L246" s="7" t="n">
        <v>35.2</v>
      </c>
      <c r="M246" s="8" t="n">
        <v>184</v>
      </c>
      <c r="N246" s="8" t="n">
        <v>351</v>
      </c>
      <c r="O246" s="7" t="n">
        <v>254.24</v>
      </c>
      <c r="P246" s="6" t="n">
        <v>9.4</v>
      </c>
      <c r="Q246" s="7"/>
      <c r="R246" s="7"/>
      <c r="S246" s="4"/>
      <c r="T246" s="4" t="s">
        <v>206</v>
      </c>
      <c r="U246" s="8"/>
      <c r="V246" s="6"/>
      <c r="W246" s="7"/>
      <c r="X246" s="8"/>
      <c r="Y246" s="8" t="n">
        <v>111</v>
      </c>
      <c r="Z246" s="10" t="n">
        <v>0.205</v>
      </c>
      <c r="AA246" s="8" t="n">
        <v>138</v>
      </c>
      <c r="AB246" s="10" t="n">
        <v>0.292</v>
      </c>
      <c r="AC246" s="8" t="n">
        <v>38</v>
      </c>
      <c r="AD246" s="6" t="n">
        <v>57.4</v>
      </c>
      <c r="AE246" s="10" t="n">
        <v>0.791</v>
      </c>
      <c r="AF246" s="8" t="n">
        <v>4</v>
      </c>
      <c r="AG246" s="10" t="n">
        <v>-0.0347</v>
      </c>
      <c r="AH246" s="6" t="n">
        <v>22.4</v>
      </c>
    </row>
    <row r="247" customFormat="false" ht="15" hidden="false" customHeight="false" outlineLevel="0" collapsed="false">
      <c r="A247" s="3" t="n">
        <v>245</v>
      </c>
      <c r="B247" s="4" t="s">
        <v>598</v>
      </c>
      <c r="C247" s="5" t="s">
        <v>99</v>
      </c>
      <c r="D247" s="4" t="s">
        <v>599</v>
      </c>
      <c r="E247" s="4" t="s">
        <v>178</v>
      </c>
      <c r="F247" s="4" t="s">
        <v>99</v>
      </c>
      <c r="G247" s="3" t="n">
        <v>5</v>
      </c>
      <c r="H247" s="6" t="n">
        <v>23</v>
      </c>
      <c r="I247" s="3" t="n">
        <v>0</v>
      </c>
      <c r="J247" s="3" t="n">
        <v>8</v>
      </c>
      <c r="K247" s="7" t="n">
        <v>254.83</v>
      </c>
      <c r="L247" s="7" t="n">
        <v>33.83</v>
      </c>
      <c r="M247" s="8" t="n">
        <v>190</v>
      </c>
      <c r="N247" s="8" t="n">
        <v>379</v>
      </c>
      <c r="O247" s="7" t="n">
        <v>254.83</v>
      </c>
      <c r="P247" s="6" t="n">
        <v>9.6</v>
      </c>
      <c r="Q247" s="7"/>
      <c r="R247" s="7"/>
      <c r="S247" s="4"/>
      <c r="T247" s="4" t="s">
        <v>206</v>
      </c>
      <c r="U247" s="8"/>
      <c r="V247" s="6"/>
      <c r="W247" s="7"/>
      <c r="X247" s="8"/>
      <c r="Y247" s="8" t="n">
        <v>177</v>
      </c>
      <c r="Z247" s="10" t="n">
        <v>0.352</v>
      </c>
      <c r="AA247" s="8" t="n">
        <v>3</v>
      </c>
      <c r="AB247" s="10" t="n">
        <v>0.006</v>
      </c>
      <c r="AC247" s="8" t="n">
        <v>21</v>
      </c>
      <c r="AD247" s="6" t="n">
        <v>45.9</v>
      </c>
      <c r="AE247" s="10" t="n">
        <v>0.723</v>
      </c>
      <c r="AF247" s="8" t="n">
        <v>4</v>
      </c>
      <c r="AG247" s="10" t="n">
        <v>-0.0466</v>
      </c>
      <c r="AH247" s="6" t="n">
        <v>22.4</v>
      </c>
    </row>
    <row r="248" customFormat="false" ht="15" hidden="false" customHeight="false" outlineLevel="0" collapsed="false">
      <c r="A248" s="3" t="n">
        <v>246</v>
      </c>
      <c r="B248" s="4" t="s">
        <v>602</v>
      </c>
      <c r="C248" s="13" t="s">
        <v>172</v>
      </c>
      <c r="D248" s="4" t="s">
        <v>603</v>
      </c>
      <c r="E248" s="4" t="s">
        <v>142</v>
      </c>
      <c r="F248" s="4" t="s">
        <v>172</v>
      </c>
      <c r="G248" s="3" t="n">
        <v>2</v>
      </c>
      <c r="H248" s="6" t="n">
        <v>22.9</v>
      </c>
      <c r="I248" s="3" t="n">
        <v>0</v>
      </c>
      <c r="J248" s="3" t="n">
        <v>13</v>
      </c>
      <c r="K248" s="7" t="n">
        <v>255.58</v>
      </c>
      <c r="L248" s="7" t="n">
        <v>37.52</v>
      </c>
      <c r="M248" s="8" t="n">
        <v>172</v>
      </c>
      <c r="N248" s="8" t="n">
        <v>345</v>
      </c>
      <c r="O248" s="7" t="n">
        <v>255.58</v>
      </c>
      <c r="P248" s="6" t="n">
        <v>25.6</v>
      </c>
      <c r="Q248" s="7"/>
      <c r="R248" s="7"/>
      <c r="S248" s="4"/>
      <c r="T248" s="4" t="s">
        <v>206</v>
      </c>
      <c r="U248" s="8"/>
      <c r="V248" s="6"/>
      <c r="W248" s="7"/>
      <c r="X248" s="8"/>
      <c r="Y248" s="8" t="n">
        <v>55</v>
      </c>
      <c r="Z248" s="10" t="n">
        <v>0.111</v>
      </c>
      <c r="AA248" s="8" t="n">
        <v>58</v>
      </c>
      <c r="AB248" s="10" t="n">
        <v>0.157</v>
      </c>
      <c r="AC248" s="8" t="n">
        <v>13</v>
      </c>
      <c r="AD248" s="6" t="n">
        <v>15.2</v>
      </c>
      <c r="AE248" s="10" t="n">
        <v>0.384</v>
      </c>
      <c r="AF248" s="8" t="n">
        <v>2</v>
      </c>
      <c r="AG248" s="10" t="n">
        <v>-0.0175</v>
      </c>
      <c r="AH248" s="6" t="n">
        <v>14.2</v>
      </c>
    </row>
    <row r="249" customFormat="false" ht="15" hidden="false" customHeight="false" outlineLevel="0" collapsed="false">
      <c r="A249" s="3" t="n">
        <v>247</v>
      </c>
      <c r="B249" s="4" t="s">
        <v>607</v>
      </c>
      <c r="C249" s="5" t="s">
        <v>99</v>
      </c>
      <c r="D249" s="4" t="s">
        <v>608</v>
      </c>
      <c r="E249" s="4" t="s">
        <v>161</v>
      </c>
      <c r="F249" s="4" t="s">
        <v>99</v>
      </c>
      <c r="G249" s="3" t="n">
        <v>3</v>
      </c>
      <c r="H249" s="6" t="n">
        <v>22.9</v>
      </c>
      <c r="I249" s="3" t="n">
        <v>0</v>
      </c>
      <c r="J249" s="3" t="n">
        <v>6</v>
      </c>
      <c r="K249" s="7" t="n">
        <v>257.79</v>
      </c>
      <c r="L249" s="7" t="n">
        <v>57.39</v>
      </c>
      <c r="M249" s="8" t="n">
        <v>164</v>
      </c>
      <c r="N249" s="8" t="n">
        <v>390</v>
      </c>
      <c r="O249" s="7" t="n">
        <v>257.79</v>
      </c>
      <c r="P249" s="6" t="n">
        <v>3.4</v>
      </c>
      <c r="Q249" s="7"/>
      <c r="R249" s="7"/>
      <c r="S249" s="4"/>
      <c r="T249" s="4" t="s">
        <v>206</v>
      </c>
      <c r="U249" s="8"/>
      <c r="V249" s="6"/>
      <c r="W249" s="7"/>
      <c r="X249" s="8"/>
      <c r="Y249" s="8" t="n">
        <v>209</v>
      </c>
      <c r="Z249" s="10" t="n">
        <v>0.452</v>
      </c>
      <c r="AA249" s="8" t="n">
        <v>28</v>
      </c>
      <c r="AB249" s="10" t="n">
        <v>0.065</v>
      </c>
      <c r="AC249" s="8" t="n">
        <v>32</v>
      </c>
      <c r="AD249" s="6" t="n">
        <v>38.6</v>
      </c>
      <c r="AE249" s="10" t="n">
        <v>0.672</v>
      </c>
      <c r="AF249" s="8" t="n">
        <v>4</v>
      </c>
      <c r="AG249" s="10" t="n">
        <v>-0.0584</v>
      </c>
      <c r="AH249" s="6" t="n">
        <v>20.4</v>
      </c>
    </row>
    <row r="250" customFormat="false" ht="15" hidden="false" customHeight="false" outlineLevel="0" collapsed="false">
      <c r="A250" s="3" t="n">
        <v>248</v>
      </c>
      <c r="B250" s="4" t="s">
        <v>609</v>
      </c>
      <c r="C250" s="5" t="s">
        <v>99</v>
      </c>
      <c r="D250" s="4" t="s">
        <v>610</v>
      </c>
      <c r="E250" s="4" t="s">
        <v>183</v>
      </c>
      <c r="F250" s="4" t="s">
        <v>270</v>
      </c>
      <c r="G250" s="3" t="n">
        <v>2</v>
      </c>
      <c r="H250" s="6" t="n">
        <v>23.2</v>
      </c>
      <c r="I250" s="3" t="n">
        <v>0</v>
      </c>
      <c r="J250" s="3" t="n">
        <v>13</v>
      </c>
      <c r="K250" s="7" t="n">
        <v>258.99</v>
      </c>
      <c r="L250" s="7" t="n">
        <v>23.75</v>
      </c>
      <c r="M250" s="8" t="n">
        <v>208</v>
      </c>
      <c r="N250" s="8" t="n">
        <v>350</v>
      </c>
      <c r="O250" s="7" t="n">
        <v>258.99</v>
      </c>
      <c r="P250" s="6" t="n">
        <v>8.5</v>
      </c>
      <c r="Q250" s="7"/>
      <c r="R250" s="7"/>
      <c r="S250" s="4"/>
      <c r="T250" s="4" t="s">
        <v>206</v>
      </c>
      <c r="U250" s="8"/>
      <c r="V250" s="6"/>
      <c r="W250" s="7"/>
      <c r="X250" s="8"/>
      <c r="Y250" s="8" t="n">
        <v>75</v>
      </c>
      <c r="Z250" s="10" t="n">
        <v>0.184</v>
      </c>
      <c r="AA250" s="8" t="n">
        <v>64</v>
      </c>
      <c r="AB250" s="10" t="n">
        <v>0.126</v>
      </c>
      <c r="AC250" s="8" t="n">
        <v>26</v>
      </c>
      <c r="AD250" s="6" t="n">
        <v>53.2</v>
      </c>
      <c r="AE250" s="10" t="n">
        <v>0.572</v>
      </c>
      <c r="AF250" s="8" t="n">
        <v>2</v>
      </c>
      <c r="AG250" s="10" t="n">
        <v>-0.0884</v>
      </c>
      <c r="AH250" s="6" t="n">
        <v>24.9</v>
      </c>
    </row>
    <row r="251" customFormat="false" ht="15" hidden="false" customHeight="false" outlineLevel="0" collapsed="false">
      <c r="A251" s="3" t="n">
        <v>249</v>
      </c>
      <c r="B251" s="4" t="s">
        <v>623</v>
      </c>
      <c r="C251" s="11" t="s">
        <v>104</v>
      </c>
      <c r="D251" s="4" t="s">
        <v>624</v>
      </c>
      <c r="E251" s="4" t="s">
        <v>124</v>
      </c>
      <c r="F251" s="4" t="s">
        <v>104</v>
      </c>
      <c r="G251" s="3" t="n">
        <v>2</v>
      </c>
      <c r="H251" s="6" t="n">
        <v>22.4</v>
      </c>
      <c r="I251" s="3" t="n">
        <v>2</v>
      </c>
      <c r="J251" s="3" t="n">
        <v>8</v>
      </c>
      <c r="K251" s="7" t="n">
        <v>264.7</v>
      </c>
      <c r="L251" s="7" t="n">
        <v>40.56</v>
      </c>
      <c r="M251" s="8" t="n">
        <v>160</v>
      </c>
      <c r="N251" s="8" t="n">
        <v>401</v>
      </c>
      <c r="O251" s="7" t="n">
        <v>264.7</v>
      </c>
      <c r="P251" s="6" t="n">
        <v>7.7</v>
      </c>
      <c r="Q251" s="7"/>
      <c r="R251" s="7"/>
      <c r="S251" s="4"/>
      <c r="T251" s="4" t="s">
        <v>354</v>
      </c>
      <c r="U251" s="8"/>
      <c r="V251" s="6"/>
      <c r="W251" s="7"/>
      <c r="X251" s="8"/>
      <c r="Y251" s="8" t="n">
        <v>170</v>
      </c>
      <c r="Z251" s="10" t="n">
        <v>0.309</v>
      </c>
      <c r="AA251" s="8" t="n">
        <v>94</v>
      </c>
      <c r="AB251" s="10" t="n">
        <v>0.195</v>
      </c>
      <c r="AC251" s="8" t="n">
        <v>38</v>
      </c>
      <c r="AD251" s="6" t="n">
        <v>63.3</v>
      </c>
      <c r="AE251" s="10" t="n">
        <v>0.852</v>
      </c>
      <c r="AF251" s="8" t="n">
        <v>4</v>
      </c>
      <c r="AG251" s="10" t="n">
        <v>-0.0088</v>
      </c>
      <c r="AH251" s="6" t="n">
        <v>25.7</v>
      </c>
    </row>
    <row r="252" customFormat="false" ht="15" hidden="false" customHeight="false" outlineLevel="0" collapsed="false">
      <c r="A252" s="3" t="n">
        <v>250</v>
      </c>
      <c r="B252" s="4" t="s">
        <v>635</v>
      </c>
      <c r="C252" s="11" t="s">
        <v>104</v>
      </c>
      <c r="D252" s="4" t="s">
        <v>636</v>
      </c>
      <c r="E252" s="4" t="s">
        <v>124</v>
      </c>
      <c r="F252" s="4" t="s">
        <v>104</v>
      </c>
      <c r="G252" s="3" t="n">
        <v>3</v>
      </c>
      <c r="H252" s="6" t="n">
        <v>24.8</v>
      </c>
      <c r="I252" s="3" t="n">
        <v>0</v>
      </c>
      <c r="J252" s="3" t="n">
        <v>8</v>
      </c>
      <c r="K252" s="7" t="n">
        <v>268.09</v>
      </c>
      <c r="L252" s="7" t="n">
        <v>45.39</v>
      </c>
      <c r="M252" s="8" t="n">
        <v>160</v>
      </c>
      <c r="N252" s="8" t="n">
        <v>337</v>
      </c>
      <c r="O252" s="7" t="n">
        <v>268.09</v>
      </c>
      <c r="P252" s="6" t="n">
        <v>8.6</v>
      </c>
      <c r="Q252" s="7"/>
      <c r="R252" s="7"/>
      <c r="S252" s="4"/>
      <c r="T252" s="4" t="s">
        <v>206</v>
      </c>
      <c r="U252" s="8"/>
      <c r="V252" s="6"/>
      <c r="W252" s="7"/>
      <c r="X252" s="8"/>
      <c r="Y252" s="8" t="n">
        <v>170</v>
      </c>
      <c r="Z252" s="10" t="n">
        <v>0.309</v>
      </c>
      <c r="AA252" s="8" t="n">
        <v>94</v>
      </c>
      <c r="AB252" s="10" t="n">
        <v>0.195</v>
      </c>
      <c r="AC252" s="8" t="n">
        <v>38</v>
      </c>
      <c r="AD252" s="6" t="n">
        <v>63.3</v>
      </c>
      <c r="AE252" s="10" t="n">
        <v>0.852</v>
      </c>
      <c r="AF252" s="8" t="n">
        <v>4</v>
      </c>
      <c r="AG252" s="10" t="n">
        <v>-0.0088</v>
      </c>
      <c r="AH252" s="6" t="n">
        <v>25.7</v>
      </c>
    </row>
  </sheetData>
  <autoFilter ref="A2:AH252"/>
  <conditionalFormatting sqref="G3:G252">
    <cfRule type="colorScale" priority="2">
      <colorScale>
        <cfvo type="percentile" val="5"/>
        <cfvo type="percentile" val="50"/>
        <cfvo type="percentile" val="95"/>
        <color rgb="FF63BE7B"/>
        <color rgb="FFFFEB84"/>
        <color rgb="FFF8696B"/>
      </colorScale>
    </cfRule>
  </conditionalFormatting>
  <conditionalFormatting sqref="K3:K252">
    <cfRule type="colorScale" priority="3">
      <colorScale>
        <cfvo type="percentile" val="5"/>
        <cfvo type="percentile" val="50"/>
        <cfvo type="percentile" val="95"/>
        <color rgb="FF63BE7B"/>
        <color rgb="FFFFEB84"/>
        <color rgb="FFF8696B"/>
      </colorScale>
    </cfRule>
  </conditionalFormatting>
  <conditionalFormatting sqref="O3:O252">
    <cfRule type="colorScale" priority="4">
      <colorScale>
        <cfvo type="percentile" val="5"/>
        <cfvo type="percentile" val="50"/>
        <cfvo type="percentile" val="95"/>
        <color rgb="FF63BE7B"/>
        <color rgb="FFFFEB84"/>
        <color rgb="FFF8696B"/>
      </colorScale>
    </cfRule>
  </conditionalFormatting>
  <conditionalFormatting sqref="X3:X252">
    <cfRule type="colorScale" priority="5">
      <colorScale>
        <cfvo type="percentile" val="5"/>
        <cfvo type="percentile" val="50"/>
        <cfvo type="percentile" val="95"/>
        <color rgb="FF63BE7B"/>
        <color rgb="FFFFEB84"/>
        <color rgb="FFF8696B"/>
      </colorScale>
    </cfRule>
  </conditionalFormatting>
  <conditionalFormatting sqref="Q3:Q252">
    <cfRule type="colorScale" priority="6">
      <colorScale>
        <cfvo type="percentile" val="5"/>
        <cfvo type="percentile" val="50"/>
        <cfvo type="percentile" val="95"/>
        <color rgb="FFF8696B"/>
        <color rgb="FFFFEB84"/>
        <color rgb="FF63BE7B"/>
      </colorScale>
    </cfRule>
  </conditionalFormatting>
  <conditionalFormatting sqref="R3:R252">
    <cfRule type="colorScale" priority="7">
      <colorScale>
        <cfvo type="percentile" val="5"/>
        <cfvo type="percentile" val="50"/>
        <cfvo type="percentile" val="95"/>
        <color rgb="FFF8696B"/>
        <color rgb="FFFFEB84"/>
        <color rgb="FF63BE7B"/>
      </colorScale>
    </cfRule>
  </conditionalFormatting>
  <conditionalFormatting sqref="U3:U252">
    <cfRule type="colorScale" priority="8">
      <colorScale>
        <cfvo type="percentile" val="5"/>
        <cfvo type="percentile" val="50"/>
        <cfvo type="percentile" val="95"/>
        <color rgb="FFF8696B"/>
        <color rgb="FFFFEB84"/>
        <color rgb="FF63BE7B"/>
      </colorScale>
    </cfRule>
  </conditionalFormatting>
  <conditionalFormatting sqref="V3:V252">
    <cfRule type="colorScale" priority="9">
      <colorScale>
        <cfvo type="percentile" val="5"/>
        <cfvo type="percentile" val="50"/>
        <cfvo type="percentile" val="95"/>
        <color rgb="FFF8696B"/>
        <color rgb="FFFFEB84"/>
        <color rgb="FF63BE7B"/>
      </colorScale>
    </cfRule>
  </conditionalFormatting>
  <conditionalFormatting sqref="W3:W252">
    <cfRule type="colorScale" priority="10">
      <colorScale>
        <cfvo type="percentile" val="5"/>
        <cfvo type="percentile" val="50"/>
        <cfvo type="percentile" val="95"/>
        <color rgb="FFF8696B"/>
        <color rgb="FFFFEB84"/>
        <color rgb="FF63BE7B"/>
      </colorScale>
    </cfRule>
  </conditionalFormatting>
  <conditionalFormatting sqref="P3:P252">
    <cfRule type="colorScale" priority="11">
      <colorScale>
        <cfvo type="percentile" val="5"/>
        <cfvo type="percentile" val="50"/>
        <cfvo type="percentile" val="95"/>
        <color rgb="FFF8696B"/>
        <color rgb="FFFFEB84"/>
        <color rgb="FF63BE7B"/>
      </colorScale>
    </cfRule>
  </conditionalFormatting>
  <conditionalFormatting sqref="Y3:Y252">
    <cfRule type="colorScale" priority="12">
      <colorScale>
        <cfvo type="percentile" val="5"/>
        <cfvo type="percentile" val="50"/>
        <cfvo type="percentile" val="95"/>
        <color rgb="FFF8696B"/>
        <color rgb="FFFFEB84"/>
        <color rgb="FF63BE7B"/>
      </colorScale>
    </cfRule>
  </conditionalFormatting>
  <conditionalFormatting sqref="Z3:Z252">
    <cfRule type="colorScale" priority="13">
      <colorScale>
        <cfvo type="percentile" val="5"/>
        <cfvo type="percentile" val="50"/>
        <cfvo type="percentile" val="95"/>
        <color rgb="FFF8696B"/>
        <color rgb="FFFFEB84"/>
        <color rgb="FF63BE7B"/>
      </colorScale>
    </cfRule>
  </conditionalFormatting>
  <conditionalFormatting sqref="AA3:AA252">
    <cfRule type="colorScale" priority="14">
      <colorScale>
        <cfvo type="percentile" val="5"/>
        <cfvo type="percentile" val="50"/>
        <cfvo type="percentile" val="95"/>
        <color rgb="FFF8696B"/>
        <color rgb="FFFFEB84"/>
        <color rgb="FF63BE7B"/>
      </colorScale>
    </cfRule>
  </conditionalFormatting>
  <conditionalFormatting sqref="AB3:AB252">
    <cfRule type="colorScale" priority="15">
      <colorScale>
        <cfvo type="percentile" val="5"/>
        <cfvo type="percentile" val="50"/>
        <cfvo type="percentile" val="95"/>
        <color rgb="FFF8696B"/>
        <color rgb="FFFFEB84"/>
        <color rgb="FF63BE7B"/>
      </colorScale>
    </cfRule>
  </conditionalFormatting>
  <conditionalFormatting sqref="AC3:AC252">
    <cfRule type="colorScale" priority="16">
      <colorScale>
        <cfvo type="percentile" val="5"/>
        <cfvo type="percentile" val="50"/>
        <cfvo type="percentile" val="95"/>
        <color rgb="FFF8696B"/>
        <color rgb="FFFFEB84"/>
        <color rgb="FF63BE7B"/>
      </colorScale>
    </cfRule>
  </conditionalFormatting>
  <conditionalFormatting sqref="AD3:AD252">
    <cfRule type="colorScale" priority="17">
      <colorScale>
        <cfvo type="percentile" val="5"/>
        <cfvo type="percentile" val="50"/>
        <cfvo type="percentile" val="95"/>
        <color rgb="FFF8696B"/>
        <color rgb="FFFFEB84"/>
        <color rgb="FF63BE7B"/>
      </colorScale>
    </cfRule>
  </conditionalFormatting>
  <conditionalFormatting sqref="AE3:AE252">
    <cfRule type="colorScale" priority="18">
      <colorScale>
        <cfvo type="percentile" val="5"/>
        <cfvo type="percentile" val="50"/>
        <cfvo type="percentile" val="95"/>
        <color rgb="FFF8696B"/>
        <color rgb="FFFFEB84"/>
        <color rgb="FF63BE7B"/>
      </colorScale>
    </cfRule>
  </conditionalFormatting>
  <conditionalFormatting sqref="AF3:AF252">
    <cfRule type="colorScale" priority="19">
      <colorScale>
        <cfvo type="percentile" val="5"/>
        <cfvo type="percentile" val="50"/>
        <cfvo type="percentile" val="95"/>
        <color rgb="FFF8696B"/>
        <color rgb="FFFFEB84"/>
        <color rgb="FF63BE7B"/>
      </colorScale>
    </cfRule>
  </conditionalFormatting>
  <conditionalFormatting sqref="AH3:AH252">
    <cfRule type="colorScale" priority="20">
      <colorScale>
        <cfvo type="percentile" val="5"/>
        <cfvo type="percentile" val="50"/>
        <cfvo type="percentile" val="95"/>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19" min="2" style="0" width="12"/>
    <col collapsed="false" customWidth="true" hidden="false" outlineLevel="0" max="20" min="20" style="0" width="9"/>
    <col collapsed="false" customWidth="true" hidden="false" outlineLevel="0" max="22" min="21" style="0" width="12"/>
    <col collapsed="false" customWidth="true" hidden="false" outlineLevel="0" max="24" min="23" style="0" width="9"/>
    <col collapsed="false" customWidth="true" hidden="false" outlineLevel="0" max="25" min="25" style="0" width="12"/>
    <col collapsed="false" customWidth="true" hidden="false" outlineLevel="0" max="26" min="26" style="0" width="9"/>
    <col collapsed="false" customWidth="true" hidden="false" outlineLevel="0" max="33" min="27" style="0" width="12"/>
  </cols>
  <sheetData>
    <row r="1" customFormat="false" ht="15" hidden="false" customHeight="false" outlineLevel="0" collapsed="false">
      <c r="A1" s="1" t="s">
        <v>657</v>
      </c>
    </row>
    <row r="2" customFormat="false" ht="33.75" hidden="false" customHeight="true" outlineLevel="0" collapsed="false">
      <c r="A2" s="2" t="s">
        <v>658</v>
      </c>
      <c r="B2" s="2" t="s">
        <v>69</v>
      </c>
      <c r="C2" s="2" t="s">
        <v>70</v>
      </c>
      <c r="D2" s="2" t="s">
        <v>71</v>
      </c>
      <c r="E2" s="2" t="s">
        <v>72</v>
      </c>
      <c r="F2" s="2" t="s">
        <v>659</v>
      </c>
      <c r="G2" s="2" t="s">
        <v>660</v>
      </c>
      <c r="H2" s="2" t="s">
        <v>73</v>
      </c>
      <c r="I2" s="2" t="s">
        <v>661</v>
      </c>
      <c r="J2" s="2" t="s">
        <v>74</v>
      </c>
      <c r="K2" s="2" t="s">
        <v>662</v>
      </c>
      <c r="L2" s="2" t="s">
        <v>663</v>
      </c>
      <c r="M2" s="2" t="s">
        <v>664</v>
      </c>
      <c r="N2" s="2" t="s">
        <v>76</v>
      </c>
      <c r="O2" s="2" t="s">
        <v>77</v>
      </c>
      <c r="P2" s="2" t="s">
        <v>665</v>
      </c>
      <c r="Q2" s="2" t="s">
        <v>78</v>
      </c>
      <c r="R2" s="2" t="s">
        <v>79</v>
      </c>
      <c r="S2" s="2" t="s">
        <v>666</v>
      </c>
      <c r="T2" s="2" t="s">
        <v>83</v>
      </c>
      <c r="U2" s="2" t="s">
        <v>82</v>
      </c>
      <c r="V2" s="2" t="s">
        <v>667</v>
      </c>
      <c r="W2" s="2" t="s">
        <v>81</v>
      </c>
      <c r="X2" s="2" t="s">
        <v>84</v>
      </c>
      <c r="Y2" s="2" t="s">
        <v>85</v>
      </c>
      <c r="Z2" s="2" t="s">
        <v>668</v>
      </c>
      <c r="AA2" s="2" t="s">
        <v>87</v>
      </c>
      <c r="AB2" s="2" t="s">
        <v>88</v>
      </c>
      <c r="AC2" s="2" t="s">
        <v>89</v>
      </c>
      <c r="AD2" s="2" t="s">
        <v>90</v>
      </c>
      <c r="AE2" s="2" t="s">
        <v>91</v>
      </c>
      <c r="AF2" s="2" t="s">
        <v>92</v>
      </c>
      <c r="AG2" s="2" t="s">
        <v>669</v>
      </c>
    </row>
    <row r="3" customFormat="false" ht="15" hidden="false" customHeight="false" outlineLevel="0" collapsed="false">
      <c r="A3" s="4" t="s">
        <v>109</v>
      </c>
      <c r="B3" s="6" t="n">
        <v>80.4</v>
      </c>
      <c r="C3" s="6" t="n">
        <v>76.4</v>
      </c>
      <c r="D3" s="6" t="n">
        <v>71.5</v>
      </c>
      <c r="E3" s="7" t="n">
        <v>3.462</v>
      </c>
      <c r="F3" s="7" t="n">
        <v>3.45544794188862</v>
      </c>
      <c r="G3" s="7" t="n">
        <v>2.94176720069723</v>
      </c>
      <c r="H3" s="10" t="n">
        <v>0.123486682808717</v>
      </c>
      <c r="I3" s="10" t="n">
        <v>0.1266</v>
      </c>
      <c r="J3" s="10" t="n">
        <v>0.638297872340426</v>
      </c>
      <c r="K3" s="7" t="n">
        <v>1.50847457627119</v>
      </c>
      <c r="L3" s="7" t="n">
        <v>0.711864406779661</v>
      </c>
      <c r="M3" s="7" t="n">
        <v>2.811</v>
      </c>
      <c r="N3" s="10" t="n">
        <v>0.194</v>
      </c>
      <c r="O3" s="10" t="n">
        <v>0.0368589743589744</v>
      </c>
      <c r="P3" s="10" t="n">
        <v>0.0424</v>
      </c>
      <c r="Q3" s="7" t="n">
        <v>2.396</v>
      </c>
      <c r="R3" s="10" t="n">
        <v>0.904</v>
      </c>
      <c r="S3" s="8" t="n">
        <v>5</v>
      </c>
      <c r="T3" s="6" t="n">
        <v>62.12</v>
      </c>
      <c r="U3" s="10" t="n">
        <v>0.6185</v>
      </c>
      <c r="V3" s="10" t="n">
        <v>0.3815</v>
      </c>
      <c r="W3" s="10" t="n">
        <v>0.0296</v>
      </c>
      <c r="X3" s="6" t="n">
        <v>37</v>
      </c>
      <c r="Y3" s="7" t="n">
        <v>4.47</v>
      </c>
      <c r="Z3" s="6" t="n">
        <v>30.5</v>
      </c>
      <c r="AA3" s="9" t="n">
        <v>0.0262</v>
      </c>
      <c r="AB3" s="9" t="n">
        <v>0.2292</v>
      </c>
      <c r="AC3" s="8" t="n">
        <v>15</v>
      </c>
      <c r="AD3" s="10" t="n">
        <v>0.026</v>
      </c>
      <c r="AE3" s="8" t="n">
        <v>0</v>
      </c>
      <c r="AF3" s="10" t="n">
        <v>0</v>
      </c>
      <c r="AG3" s="8" t="n">
        <v>1</v>
      </c>
    </row>
    <row r="4" customFormat="false" ht="15" hidden="false" customHeight="false" outlineLevel="0" collapsed="false">
      <c r="A4" s="4" t="s">
        <v>203</v>
      </c>
      <c r="B4" s="6" t="n">
        <v>76.3</v>
      </c>
      <c r="C4" s="6" t="n">
        <v>80.3</v>
      </c>
      <c r="D4" s="6" t="n">
        <v>61.1</v>
      </c>
      <c r="E4" s="7" t="n">
        <v>3.337</v>
      </c>
      <c r="F4" s="7" t="n">
        <v>3.37625</v>
      </c>
      <c r="G4" s="7" t="n">
        <v>2.98769008642548</v>
      </c>
      <c r="H4" s="10" t="n">
        <v>0.13</v>
      </c>
      <c r="I4" s="10" t="n">
        <v>0.1354</v>
      </c>
      <c r="J4" s="10" t="n">
        <v>0.794117647058824</v>
      </c>
      <c r="K4" s="7" t="n">
        <v>1.5225</v>
      </c>
      <c r="L4" s="7" t="n">
        <v>0.63</v>
      </c>
      <c r="M4" s="7" t="n">
        <v>3.125</v>
      </c>
      <c r="N4" s="10" t="n">
        <v>0.2787</v>
      </c>
      <c r="O4" s="10" t="n">
        <v>0.0375</v>
      </c>
      <c r="P4" s="10" t="n">
        <v>0.0358</v>
      </c>
      <c r="Q4" s="7" t="n">
        <v>2.496</v>
      </c>
      <c r="R4" s="10" t="n">
        <v>0.802</v>
      </c>
      <c r="S4" s="8" t="n">
        <v>4</v>
      </c>
      <c r="T4" s="6" t="n">
        <v>64.47</v>
      </c>
      <c r="U4" s="10" t="n">
        <v>0.5233</v>
      </c>
      <c r="V4" s="10" t="n">
        <v>0.4767</v>
      </c>
      <c r="W4" s="10" t="n">
        <v>-0.039</v>
      </c>
      <c r="X4" s="6" t="n">
        <v>37</v>
      </c>
      <c r="Y4" s="7" t="n">
        <v>3.41</v>
      </c>
      <c r="Z4" s="6" t="n">
        <v>25.9</v>
      </c>
      <c r="AA4" s="9" t="n">
        <v>0.0786</v>
      </c>
      <c r="AB4" s="9" t="n">
        <v>0.0802</v>
      </c>
      <c r="AC4" s="8" t="n">
        <v>161</v>
      </c>
      <c r="AD4" s="10" t="n">
        <v>0.303</v>
      </c>
      <c r="AE4" s="8" t="n">
        <v>20</v>
      </c>
      <c r="AF4" s="10" t="n">
        <v>0.04</v>
      </c>
      <c r="AG4" s="8" t="n">
        <v>26</v>
      </c>
    </row>
    <row r="5" customFormat="false" ht="15" hidden="false" customHeight="false" outlineLevel="0" collapsed="false">
      <c r="A5" s="4" t="s">
        <v>147</v>
      </c>
      <c r="B5" s="6" t="n">
        <v>73.6</v>
      </c>
      <c r="C5" s="6" t="n">
        <v>72.8</v>
      </c>
      <c r="D5" s="6" t="n">
        <v>64.4</v>
      </c>
      <c r="E5" s="7" t="n">
        <v>3.397</v>
      </c>
      <c r="F5" s="7" t="n">
        <v>3.36658711217184</v>
      </c>
      <c r="G5" s="7" t="n">
        <v>2.91817960590113</v>
      </c>
      <c r="H5" s="10" t="n">
        <v>0.126491646778043</v>
      </c>
      <c r="I5" s="10" t="n">
        <v>0.1265</v>
      </c>
      <c r="J5" s="10" t="n">
        <v>0.540540540540541</v>
      </c>
      <c r="K5" s="7" t="n">
        <v>1.44630071599045</v>
      </c>
      <c r="L5" s="7" t="n">
        <v>0.897374701670644</v>
      </c>
      <c r="M5" s="7" t="n">
        <v>2.905</v>
      </c>
      <c r="N5" s="10" t="n">
        <v>0.2</v>
      </c>
      <c r="O5" s="10" t="n">
        <v>0.0684931506849315</v>
      </c>
      <c r="P5" s="10" t="n">
        <v>0.0702</v>
      </c>
      <c r="Q5" s="7" t="n">
        <v>2.507</v>
      </c>
      <c r="R5" s="10" t="n">
        <v>0.763</v>
      </c>
      <c r="S5" s="8" t="n">
        <v>4</v>
      </c>
      <c r="T5" s="6" t="n">
        <v>62.65</v>
      </c>
      <c r="U5" s="10" t="n">
        <v>0.5028</v>
      </c>
      <c r="V5" s="10" t="n">
        <v>0.4972</v>
      </c>
      <c r="W5" s="10" t="n">
        <v>-0.0352</v>
      </c>
      <c r="X5" s="6" t="n">
        <v>40</v>
      </c>
      <c r="Y5" s="7" t="n">
        <v>4</v>
      </c>
      <c r="Z5" s="6" t="n">
        <v>28.3</v>
      </c>
      <c r="AA5" s="9" t="n">
        <v>0.1102</v>
      </c>
      <c r="AB5" s="9" t="n">
        <v>0.1599</v>
      </c>
      <c r="AC5" s="8" t="n">
        <v>19</v>
      </c>
      <c r="AD5" s="10" t="n">
        <v>0.04</v>
      </c>
      <c r="AE5" s="8" t="n">
        <v>17</v>
      </c>
      <c r="AF5" s="10" t="n">
        <v>0.031</v>
      </c>
      <c r="AG5" s="8" t="n">
        <v>2</v>
      </c>
    </row>
    <row r="6" customFormat="false" ht="15" hidden="false" customHeight="false" outlineLevel="0" collapsed="false">
      <c r="A6" s="4" t="s">
        <v>120</v>
      </c>
      <c r="B6" s="6" t="n">
        <v>65.1</v>
      </c>
      <c r="C6" s="6" t="n">
        <v>61.6</v>
      </c>
      <c r="D6" s="6" t="n">
        <v>62.2</v>
      </c>
      <c r="E6" s="7" t="n">
        <v>3.074</v>
      </c>
      <c r="F6" s="7" t="n">
        <v>3.16527415143603</v>
      </c>
      <c r="G6" s="7" t="n">
        <v>3.04016625444487</v>
      </c>
      <c r="H6" s="10" t="n">
        <v>0.130548302872063</v>
      </c>
      <c r="I6" s="10" t="n">
        <v>0.1352</v>
      </c>
      <c r="J6" s="10" t="n">
        <v>0.705882352941177</v>
      </c>
      <c r="K6" s="7" t="n">
        <v>1.25587467362924</v>
      </c>
      <c r="L6" s="7" t="n">
        <v>0.845953002610966</v>
      </c>
      <c r="M6" s="7" t="n">
        <v>2.563</v>
      </c>
      <c r="N6" s="10" t="n">
        <v>0.2356</v>
      </c>
      <c r="O6" s="10" t="n">
        <v>0.0455212922173275</v>
      </c>
      <c r="P6" s="10" t="n">
        <v>0.044</v>
      </c>
      <c r="Q6" s="7" t="n">
        <v>2.396</v>
      </c>
      <c r="R6" s="10" t="n">
        <v>0.848</v>
      </c>
      <c r="S6" s="8" t="n">
        <v>5</v>
      </c>
      <c r="T6" s="6" t="n">
        <v>64.94</v>
      </c>
      <c r="U6" s="10" t="n">
        <v>0.5628</v>
      </c>
      <c r="V6" s="10" t="n">
        <v>0.4372</v>
      </c>
      <c r="W6" s="10" t="n">
        <v>-0.0098</v>
      </c>
      <c r="X6" s="6" t="n">
        <v>36</v>
      </c>
      <c r="Y6" s="7" t="n">
        <v>3.82</v>
      </c>
      <c r="Z6" s="6" t="n">
        <v>27.7</v>
      </c>
      <c r="AA6" s="9" t="n">
        <v>0.005</v>
      </c>
      <c r="AB6" s="9" t="n">
        <v>0.1615</v>
      </c>
      <c r="AC6" s="8" t="n">
        <v>34</v>
      </c>
      <c r="AD6" s="10" t="n">
        <v>0.056</v>
      </c>
      <c r="AE6" s="8" t="n">
        <v>0</v>
      </c>
      <c r="AF6" s="10" t="n">
        <v>0</v>
      </c>
      <c r="AG6" s="8" t="n">
        <v>4</v>
      </c>
    </row>
    <row r="7" customFormat="false" ht="15" hidden="false" customHeight="false" outlineLevel="0" collapsed="false">
      <c r="A7" s="4" t="s">
        <v>124</v>
      </c>
      <c r="B7" s="6" t="n">
        <v>63.3</v>
      </c>
      <c r="C7" s="6" t="n">
        <v>46.4</v>
      </c>
      <c r="D7" s="6" t="n">
        <v>74.5</v>
      </c>
      <c r="E7" s="7" t="n">
        <v>2.906</v>
      </c>
      <c r="F7" s="7" t="n">
        <v>2.91456790123457</v>
      </c>
      <c r="G7" s="7" t="n">
        <v>2.9571088201075</v>
      </c>
      <c r="H7" s="10" t="n">
        <v>0.180246913580247</v>
      </c>
      <c r="I7" s="10" t="n">
        <v>0.1848</v>
      </c>
      <c r="J7" s="10" t="n">
        <v>0.655172413793103</v>
      </c>
      <c r="K7" s="7" t="n">
        <v>1.17530864197531</v>
      </c>
      <c r="L7" s="7" t="n">
        <v>0.402469135802469</v>
      </c>
      <c r="M7" s="7" t="n">
        <v>2.349</v>
      </c>
      <c r="N7" s="10" t="n">
        <v>0.2125</v>
      </c>
      <c r="O7" s="10" t="n">
        <v>0.0432692307692308</v>
      </c>
      <c r="P7" s="10" t="n">
        <v>0.0428</v>
      </c>
      <c r="Q7" s="7" t="n">
        <v>2.547</v>
      </c>
      <c r="R7" s="10" t="n">
        <v>0.852</v>
      </c>
      <c r="S7" s="8" t="n">
        <v>4</v>
      </c>
      <c r="T7" s="6" t="n">
        <v>62.65</v>
      </c>
      <c r="U7" s="10" t="n">
        <v>0.5521</v>
      </c>
      <c r="V7" s="10" t="n">
        <v>0.4479</v>
      </c>
      <c r="W7" s="10" t="n">
        <v>-0.0088</v>
      </c>
      <c r="X7" s="6" t="n">
        <v>38</v>
      </c>
      <c r="Y7" s="7" t="n">
        <v>3.88</v>
      </c>
      <c r="Z7" s="6" t="n">
        <v>25.7</v>
      </c>
      <c r="AA7" s="9" t="n">
        <v>-0.0044</v>
      </c>
      <c r="AB7" s="9" t="n">
        <v>0.1587</v>
      </c>
      <c r="AC7" s="8" t="n">
        <v>170</v>
      </c>
      <c r="AD7" s="10" t="n">
        <v>0.309</v>
      </c>
      <c r="AE7" s="8" t="n">
        <v>94</v>
      </c>
      <c r="AF7" s="10" t="n">
        <v>0.195</v>
      </c>
      <c r="AG7" s="8" t="n">
        <v>38</v>
      </c>
    </row>
    <row r="8" customFormat="false" ht="15" hidden="false" customHeight="false" outlineLevel="0" collapsed="false">
      <c r="A8" s="4" t="s">
        <v>209</v>
      </c>
      <c r="B8" s="6" t="n">
        <v>63.2</v>
      </c>
      <c r="C8" s="6" t="n">
        <v>50</v>
      </c>
      <c r="D8" s="6" t="n">
        <v>70.8</v>
      </c>
      <c r="E8" s="7" t="n">
        <v>2.952</v>
      </c>
      <c r="F8" s="7" t="n">
        <v>2.95932203389831</v>
      </c>
      <c r="G8" s="7" t="n">
        <v>2.95623424539257</v>
      </c>
      <c r="H8" s="10" t="n">
        <v>0.172316384180791</v>
      </c>
      <c r="I8" s="10" t="n">
        <v>0.1682</v>
      </c>
      <c r="J8" s="10" t="n">
        <v>0.551724137931035</v>
      </c>
      <c r="K8" s="7" t="n">
        <v>1.24293785310735</v>
      </c>
      <c r="L8" s="7" t="n">
        <v>0.807909604519774</v>
      </c>
      <c r="M8" s="7" t="n">
        <v>2.592</v>
      </c>
      <c r="N8" s="10" t="n">
        <v>0.2088</v>
      </c>
      <c r="O8" s="10" t="n">
        <v>0.0342771982116244</v>
      </c>
      <c r="P8" s="10" t="n">
        <v>0.037</v>
      </c>
      <c r="Q8" s="7" t="n">
        <v>2.401</v>
      </c>
      <c r="R8" s="10" t="n">
        <v>0.999</v>
      </c>
      <c r="S8" s="8" t="n">
        <v>5</v>
      </c>
      <c r="T8" s="6" t="n">
        <v>63.47</v>
      </c>
      <c r="U8" s="10" t="n">
        <v>0.59</v>
      </c>
      <c r="V8" s="10" t="n">
        <v>0.41</v>
      </c>
      <c r="W8" s="10" t="n">
        <v>0.0157</v>
      </c>
      <c r="X8" s="6" t="n">
        <v>38</v>
      </c>
      <c r="Y8" s="7" t="n">
        <v>3.47</v>
      </c>
      <c r="Z8" s="6" t="n">
        <v>23.6</v>
      </c>
      <c r="AA8" s="9" t="n">
        <v>0.0004</v>
      </c>
      <c r="AB8" s="9" t="n">
        <v>0.0835</v>
      </c>
      <c r="AC8" s="8" t="n">
        <v>4</v>
      </c>
      <c r="AD8" s="10" t="n">
        <v>0.007</v>
      </c>
      <c r="AE8" s="8" t="n">
        <v>0</v>
      </c>
      <c r="AF8" s="10" t="n">
        <v>0</v>
      </c>
      <c r="AG8" s="8" t="n">
        <v>1</v>
      </c>
    </row>
    <row r="9" customFormat="false" ht="15" hidden="false" customHeight="false" outlineLevel="0" collapsed="false">
      <c r="A9" s="4" t="s">
        <v>112</v>
      </c>
      <c r="B9" s="6" t="n">
        <v>62.4</v>
      </c>
      <c r="C9" s="6" t="n">
        <v>52.7</v>
      </c>
      <c r="D9" s="6" t="n">
        <v>66.9</v>
      </c>
      <c r="E9" s="7" t="n">
        <v>3.071</v>
      </c>
      <c r="F9" s="7" t="n">
        <v>3.05466970387244</v>
      </c>
      <c r="G9" s="7" t="n">
        <v>2.93179766542752</v>
      </c>
      <c r="H9" s="10" t="n">
        <v>0.16628701594533</v>
      </c>
      <c r="I9" s="10" t="n">
        <v>0.1627</v>
      </c>
      <c r="J9" s="10" t="n">
        <v>0.523809523809524</v>
      </c>
      <c r="K9" s="7" t="n">
        <v>1.35307517084283</v>
      </c>
      <c r="L9" s="7" t="n">
        <v>0.89749430523918</v>
      </c>
      <c r="M9" s="7" t="n">
        <v>2.522</v>
      </c>
      <c r="N9" s="10" t="n">
        <v>0.2037</v>
      </c>
      <c r="O9" s="10" t="n">
        <v>0.0445969125214408</v>
      </c>
      <c r="P9" s="10" t="n">
        <v>0.0494</v>
      </c>
      <c r="Q9" s="7" t="n">
        <v>2.4</v>
      </c>
      <c r="R9" s="10" t="n">
        <v>0.798</v>
      </c>
      <c r="S9" s="8" t="n">
        <v>4</v>
      </c>
      <c r="T9" s="6" t="n">
        <v>60.94</v>
      </c>
      <c r="U9" s="10" t="n">
        <v>0.549</v>
      </c>
      <c r="V9" s="10" t="n">
        <v>0.451</v>
      </c>
      <c r="W9" s="10" t="n">
        <v>-0.0621</v>
      </c>
      <c r="X9" s="6" t="n">
        <v>38</v>
      </c>
      <c r="Y9" s="7" t="n">
        <v>3.12</v>
      </c>
      <c r="Z9" s="6" t="n">
        <v>20.8</v>
      </c>
      <c r="AA9" s="9" t="n">
        <v>-0.0314</v>
      </c>
      <c r="AB9" s="9" t="n">
        <v>-0.0132</v>
      </c>
      <c r="AC9" s="8" t="n">
        <v>151</v>
      </c>
      <c r="AD9" s="10" t="n">
        <v>0.291</v>
      </c>
      <c r="AE9" s="8" t="n">
        <v>160</v>
      </c>
      <c r="AF9" s="10" t="n">
        <v>0.335</v>
      </c>
      <c r="AG9" s="8" t="n">
        <v>49</v>
      </c>
    </row>
    <row r="10" customFormat="false" ht="15" hidden="false" customHeight="false" outlineLevel="0" collapsed="false">
      <c r="A10" s="4" t="s">
        <v>101</v>
      </c>
      <c r="B10" s="6" t="n">
        <v>60.4</v>
      </c>
      <c r="C10" s="6" t="n">
        <v>63.4</v>
      </c>
      <c r="D10" s="6" t="n">
        <v>53</v>
      </c>
      <c r="E10" s="7" t="n">
        <v>3.212</v>
      </c>
      <c r="F10" s="7" t="n">
        <v>3.15059880239521</v>
      </c>
      <c r="G10" s="7" t="n">
        <v>2.88704171718939</v>
      </c>
      <c r="H10" s="10" t="n">
        <v>0.110778443113773</v>
      </c>
      <c r="I10" s="10" t="n">
        <v>0.1072</v>
      </c>
      <c r="J10" s="10" t="n">
        <v>0.657142857142857</v>
      </c>
      <c r="K10" s="7" t="n">
        <v>1.15269461077844</v>
      </c>
      <c r="L10" s="7" t="n">
        <v>0.583832335329341</v>
      </c>
      <c r="M10" s="7" t="n">
        <v>2.249</v>
      </c>
      <c r="N10" s="10" t="n">
        <v>0.2234</v>
      </c>
      <c r="O10" s="10" t="n">
        <v>0.0524017467248908</v>
      </c>
      <c r="P10" s="10" t="n">
        <v>0.0527</v>
      </c>
      <c r="Q10" s="7" t="n">
        <v>2.22</v>
      </c>
      <c r="R10" s="10" t="n">
        <v>0.996</v>
      </c>
      <c r="S10" s="8" t="n">
        <v>5</v>
      </c>
      <c r="T10" s="6" t="n">
        <v>61.71</v>
      </c>
      <c r="U10" s="10" t="n">
        <v>0.6322</v>
      </c>
      <c r="V10" s="10" t="n">
        <v>0.3678</v>
      </c>
      <c r="W10" s="10" t="n">
        <v>0.0172</v>
      </c>
      <c r="X10" s="6" t="n">
        <v>38</v>
      </c>
      <c r="Y10" s="7" t="n">
        <v>3.29</v>
      </c>
      <c r="Z10" s="6" t="n">
        <v>24.4</v>
      </c>
      <c r="AA10" s="9" t="n">
        <v>0.0246</v>
      </c>
      <c r="AB10" s="9" t="n">
        <v>-0.0266</v>
      </c>
      <c r="AC10" s="8" t="n">
        <v>41</v>
      </c>
      <c r="AD10" s="10" t="n">
        <v>0.067</v>
      </c>
      <c r="AE10" s="8" t="n">
        <v>9</v>
      </c>
      <c r="AF10" s="10" t="n">
        <v>0.024</v>
      </c>
      <c r="AG10" s="8" t="n">
        <v>6</v>
      </c>
    </row>
    <row r="11" customFormat="false" ht="15" hidden="false" customHeight="false" outlineLevel="0" collapsed="false">
      <c r="A11" s="4" t="s">
        <v>130</v>
      </c>
      <c r="B11" s="6" t="n">
        <v>60.3</v>
      </c>
      <c r="C11" s="6" t="n">
        <v>57.7</v>
      </c>
      <c r="D11" s="6" t="n">
        <v>58.5</v>
      </c>
      <c r="E11" s="7" t="n">
        <v>3.072</v>
      </c>
      <c r="F11" s="7" t="n">
        <v>3.01769436997319</v>
      </c>
      <c r="G11" s="7" t="n">
        <v>2.89403637630104</v>
      </c>
      <c r="H11" s="10" t="n">
        <v>0.152815013404826</v>
      </c>
      <c r="I11" s="10" t="n">
        <v>0.1487</v>
      </c>
      <c r="J11" s="10" t="n">
        <v>0.6875</v>
      </c>
      <c r="K11" s="7" t="n">
        <v>1.2171581769437</v>
      </c>
      <c r="L11" s="7" t="n">
        <v>1.07506702412869</v>
      </c>
      <c r="M11" s="7" t="n">
        <v>2.428</v>
      </c>
      <c r="N11" s="10" t="n">
        <v>0.2121</v>
      </c>
      <c r="O11" s="10" t="n">
        <v>0.0484140233722872</v>
      </c>
      <c r="P11" s="10" t="n">
        <v>0.047</v>
      </c>
      <c r="Q11" s="7" t="n">
        <v>2.237</v>
      </c>
      <c r="R11" s="10" t="n">
        <v>0.832</v>
      </c>
      <c r="S11" s="8" t="n">
        <v>5</v>
      </c>
      <c r="T11" s="6" t="n">
        <v>59.47</v>
      </c>
      <c r="U11" s="10" t="n">
        <v>0.5637</v>
      </c>
      <c r="V11" s="10" t="n">
        <v>0.4363</v>
      </c>
      <c r="W11" s="10" t="n">
        <v>-0.0091</v>
      </c>
      <c r="X11" s="6" t="n">
        <v>39</v>
      </c>
      <c r="Y11" s="7" t="n">
        <v>4.12</v>
      </c>
      <c r="Z11" s="6" t="n">
        <v>27.4</v>
      </c>
      <c r="AA11" s="9" t="n">
        <v>0.094</v>
      </c>
      <c r="AB11" s="9" t="n">
        <v>0.0558</v>
      </c>
      <c r="AC11" s="8" t="n">
        <v>147</v>
      </c>
      <c r="AD11" s="10" t="n">
        <v>0.277</v>
      </c>
      <c r="AE11" s="8" t="n">
        <v>24</v>
      </c>
      <c r="AF11" s="10" t="n">
        <v>0.054</v>
      </c>
      <c r="AG11" s="8" t="n">
        <v>20</v>
      </c>
    </row>
    <row r="12" customFormat="false" ht="15" hidden="false" customHeight="false" outlineLevel="0" collapsed="false">
      <c r="A12" s="4" t="s">
        <v>284</v>
      </c>
      <c r="B12" s="6" t="n">
        <v>57.4</v>
      </c>
      <c r="C12" s="6" t="n">
        <v>46.5</v>
      </c>
      <c r="D12" s="6" t="n">
        <v>65.1</v>
      </c>
      <c r="E12" s="7" t="n">
        <v>2.87</v>
      </c>
      <c r="F12" s="7" t="n">
        <v>2.85652173913044</v>
      </c>
      <c r="G12" s="7" t="n">
        <v>2.93472293301175</v>
      </c>
      <c r="H12" s="10" t="n">
        <v>0.173913043478261</v>
      </c>
      <c r="I12" s="10" t="n">
        <v>0.172</v>
      </c>
      <c r="J12" s="10" t="n">
        <v>0.68</v>
      </c>
      <c r="K12" s="7" t="n">
        <v>1.21739130434783</v>
      </c>
      <c r="L12" s="7" t="n">
        <v>0.864130434782609</v>
      </c>
      <c r="M12" s="7" t="n">
        <v>2.285</v>
      </c>
      <c r="N12" s="10" t="n">
        <v>0.1636</v>
      </c>
      <c r="O12" s="10" t="n">
        <v>0.0524534686971235</v>
      </c>
      <c r="P12" s="10" t="n">
        <v>0.0526</v>
      </c>
      <c r="Q12" s="7" t="n">
        <v>2.209</v>
      </c>
      <c r="R12" s="10" t="n">
        <v>0.824</v>
      </c>
      <c r="S12" s="8" t="n">
        <v>5</v>
      </c>
      <c r="T12" s="6" t="n">
        <v>57.35</v>
      </c>
      <c r="U12" s="10" t="n">
        <v>0.5795</v>
      </c>
      <c r="V12" s="10" t="n">
        <v>0.4205</v>
      </c>
      <c r="W12" s="10" t="n">
        <v>-0.007</v>
      </c>
      <c r="X12" s="6" t="n">
        <v>40</v>
      </c>
      <c r="Y12" s="7" t="n">
        <v>3</v>
      </c>
      <c r="Z12" s="6" t="n">
        <v>23.4</v>
      </c>
      <c r="AA12" s="9" t="n">
        <v>0.0188</v>
      </c>
      <c r="AB12" s="9" t="n">
        <v>0.0312</v>
      </c>
      <c r="AC12" s="8" t="n">
        <v>179</v>
      </c>
      <c r="AD12" s="10" t="n">
        <v>0.343</v>
      </c>
      <c r="AE12" s="8" t="n">
        <v>129</v>
      </c>
      <c r="AF12" s="10" t="n">
        <v>0.317</v>
      </c>
      <c r="AG12" s="8" t="n">
        <v>59</v>
      </c>
    </row>
    <row r="13" customFormat="false" ht="15" hidden="false" customHeight="false" outlineLevel="0" collapsed="false">
      <c r="A13" s="4" t="s">
        <v>198</v>
      </c>
      <c r="B13" s="6" t="n">
        <v>57.4</v>
      </c>
      <c r="C13" s="6" t="n">
        <v>46.3</v>
      </c>
      <c r="D13" s="6" t="n">
        <v>65.4</v>
      </c>
      <c r="E13" s="7" t="n">
        <v>2.736</v>
      </c>
      <c r="F13" s="7" t="n">
        <v>2.76407035175879</v>
      </c>
      <c r="G13" s="7" t="n">
        <v>2.97696363334511</v>
      </c>
      <c r="H13" s="10" t="n">
        <v>0.183417085427136</v>
      </c>
      <c r="I13" s="10" t="n">
        <v>0.1938</v>
      </c>
      <c r="J13" s="10" t="n">
        <v>0.708333333333333</v>
      </c>
      <c r="K13" s="7" t="n">
        <v>1.05276381909548</v>
      </c>
      <c r="L13" s="7" t="n">
        <v>0.42462311557789</v>
      </c>
      <c r="M13" s="7" t="n">
        <v>2.699</v>
      </c>
      <c r="N13" s="10" t="n">
        <v>0.172</v>
      </c>
      <c r="O13" s="10" t="n">
        <v>0.0595611285266458</v>
      </c>
      <c r="P13" s="10" t="n">
        <v>0.0571</v>
      </c>
      <c r="Q13" s="7" t="n">
        <v>2.292</v>
      </c>
      <c r="R13" s="10" t="n">
        <v>0.791</v>
      </c>
      <c r="S13" s="8" t="n">
        <v>4</v>
      </c>
      <c r="T13" s="6" t="n">
        <v>62.65</v>
      </c>
      <c r="U13" s="10" t="n">
        <v>0.5148</v>
      </c>
      <c r="V13" s="10" t="n">
        <v>0.4852</v>
      </c>
      <c r="W13" s="10" t="n">
        <v>-0.0347</v>
      </c>
      <c r="X13" s="6" t="n">
        <v>41</v>
      </c>
      <c r="Y13" s="7" t="n">
        <v>3.12</v>
      </c>
      <c r="Z13" s="6" t="n">
        <v>22.4</v>
      </c>
      <c r="AA13" s="9" t="n">
        <v>0.0138</v>
      </c>
      <c r="AB13" s="9" t="n">
        <v>-0.0264</v>
      </c>
      <c r="AC13" s="8" t="n">
        <v>111</v>
      </c>
      <c r="AD13" s="10" t="n">
        <v>0.205</v>
      </c>
      <c r="AE13" s="8" t="n">
        <v>138</v>
      </c>
      <c r="AF13" s="10" t="n">
        <v>0.292</v>
      </c>
      <c r="AG13" s="8" t="n">
        <v>38</v>
      </c>
    </row>
    <row r="14" customFormat="false" ht="15" hidden="false" customHeight="false" outlineLevel="0" collapsed="false">
      <c r="A14" s="4" t="s">
        <v>191</v>
      </c>
      <c r="B14" s="6" t="n">
        <v>56.6</v>
      </c>
      <c r="C14" s="6" t="n">
        <v>63.1</v>
      </c>
      <c r="D14" s="6" t="n">
        <v>47.3</v>
      </c>
      <c r="E14" s="7" t="n">
        <v>3.179</v>
      </c>
      <c r="F14" s="7" t="n">
        <v>3.16700767263427</v>
      </c>
      <c r="G14" s="7" t="n">
        <v>2.93615385596069</v>
      </c>
      <c r="H14" s="10" t="n">
        <v>0.138107416879795</v>
      </c>
      <c r="I14" s="10" t="n">
        <v>0.1391</v>
      </c>
      <c r="J14" s="10" t="n">
        <v>0.689655172413793</v>
      </c>
      <c r="K14" s="7" t="n">
        <v>1.15856777493606</v>
      </c>
      <c r="L14" s="7" t="n">
        <v>0.534526854219949</v>
      </c>
      <c r="M14" s="7" t="n">
        <v>2.49</v>
      </c>
      <c r="N14" s="10" t="n">
        <v>0.2718</v>
      </c>
      <c r="O14" s="10" t="n">
        <v>0.0601374570446735</v>
      </c>
      <c r="P14" s="10" t="n">
        <v>0.0629</v>
      </c>
      <c r="Q14" s="7" t="n">
        <v>2.4</v>
      </c>
      <c r="R14" s="10" t="n">
        <v>0.596</v>
      </c>
      <c r="S14" s="8" t="n">
        <v>3</v>
      </c>
      <c r="T14" s="6" t="n">
        <v>58.59</v>
      </c>
      <c r="U14" s="10" t="n">
        <v>0.5106</v>
      </c>
      <c r="V14" s="10" t="n">
        <v>0.4894</v>
      </c>
      <c r="W14" s="10" t="n">
        <v>-0.061</v>
      </c>
      <c r="X14" s="6" t="n">
        <v>39</v>
      </c>
      <c r="Y14" s="7" t="n">
        <v>2.82</v>
      </c>
      <c r="Z14" s="6" t="n">
        <v>18.3</v>
      </c>
      <c r="AA14" s="9" t="n">
        <v>-0.0262</v>
      </c>
      <c r="AB14" s="9" t="n">
        <v>-0.0498</v>
      </c>
      <c r="AC14" s="8" t="n">
        <v>50</v>
      </c>
      <c r="AD14" s="10" t="n">
        <v>0.104</v>
      </c>
      <c r="AE14" s="8" t="n">
        <v>242</v>
      </c>
      <c r="AF14" s="10" t="n">
        <v>0.525</v>
      </c>
      <c r="AG14" s="8" t="n">
        <v>40</v>
      </c>
    </row>
    <row r="15" customFormat="false" ht="15" hidden="false" customHeight="false" outlineLevel="0" collapsed="false">
      <c r="A15" s="4" t="s">
        <v>221</v>
      </c>
      <c r="B15" s="6" t="n">
        <v>54.8</v>
      </c>
      <c r="C15" s="6" t="n">
        <v>50.7</v>
      </c>
      <c r="D15" s="6" t="n">
        <v>56.8</v>
      </c>
      <c r="E15" s="7" t="n">
        <v>2.998</v>
      </c>
      <c r="F15" s="7" t="n">
        <v>3.01826086956522</v>
      </c>
      <c r="G15" s="7" t="n">
        <v>2.96856142572662</v>
      </c>
      <c r="H15" s="10" t="n">
        <v>0.165217391304348</v>
      </c>
      <c r="I15" s="10" t="n">
        <v>0.1651</v>
      </c>
      <c r="J15" s="10" t="n">
        <v>0.548387096774194</v>
      </c>
      <c r="K15" s="7" t="n">
        <v>1.27246376811594</v>
      </c>
      <c r="L15" s="7" t="n">
        <v>0.852173913043478</v>
      </c>
      <c r="M15" s="7" t="n">
        <v>2.512</v>
      </c>
      <c r="N15" s="10" t="n">
        <v>0.2217</v>
      </c>
      <c r="O15" s="10" t="n">
        <v>0.0656028368794326</v>
      </c>
      <c r="P15" s="10" t="n">
        <v>0.0606</v>
      </c>
      <c r="Q15" s="7" t="n">
        <v>2.36</v>
      </c>
      <c r="R15" s="10" t="n">
        <v>0.706</v>
      </c>
      <c r="S15" s="8" t="n">
        <v>4</v>
      </c>
      <c r="T15" s="6" t="n">
        <v>57.59</v>
      </c>
      <c r="U15" s="10" t="n">
        <v>0.4747</v>
      </c>
      <c r="V15" s="10" t="n">
        <v>0.5253</v>
      </c>
      <c r="W15" s="10" t="n">
        <v>-0.0427</v>
      </c>
      <c r="X15" s="6" t="n">
        <v>38</v>
      </c>
      <c r="Y15" s="7" t="n">
        <v>2.94</v>
      </c>
      <c r="Z15" s="6" t="n">
        <v>20.9</v>
      </c>
      <c r="AA15" s="9" t="n">
        <v>0.0192</v>
      </c>
      <c r="AB15" s="9" t="n">
        <v>-0.0055</v>
      </c>
      <c r="AC15" s="8" t="n">
        <v>138</v>
      </c>
      <c r="AD15" s="10" t="n">
        <v>0.319</v>
      </c>
      <c r="AE15" s="8" t="n">
        <v>142</v>
      </c>
      <c r="AF15" s="10" t="n">
        <v>0.293</v>
      </c>
      <c r="AG15" s="8" t="n">
        <v>56</v>
      </c>
    </row>
    <row r="16" customFormat="false" ht="15" hidden="false" customHeight="false" outlineLevel="0" collapsed="false">
      <c r="A16" s="4" t="s">
        <v>183</v>
      </c>
      <c r="B16" s="6" t="n">
        <v>53.2</v>
      </c>
      <c r="C16" s="6" t="n">
        <v>64.1</v>
      </c>
      <c r="D16" s="6" t="n">
        <v>41</v>
      </c>
      <c r="E16" s="7" t="n">
        <v>3.032</v>
      </c>
      <c r="F16" s="7" t="n">
        <v>3.03673469387755</v>
      </c>
      <c r="G16" s="7" t="n">
        <v>2.95276427199016</v>
      </c>
      <c r="H16" s="10" t="n">
        <v>0.153061224489796</v>
      </c>
      <c r="I16" s="10" t="n">
        <v>0.1574</v>
      </c>
      <c r="J16" s="10" t="n">
        <v>0.648648648648649</v>
      </c>
      <c r="K16" s="7" t="n">
        <v>1.31122448979592</v>
      </c>
      <c r="L16" s="7" t="n">
        <v>1.51275510204082</v>
      </c>
      <c r="M16" s="7" t="n">
        <v>3.144</v>
      </c>
      <c r="N16" s="10" t="n">
        <v>0.2725</v>
      </c>
      <c r="O16" s="10" t="n">
        <v>0.0898203592814371</v>
      </c>
      <c r="P16" s="10" t="n">
        <v>0.0849</v>
      </c>
      <c r="Q16" s="7" t="n">
        <v>2.454</v>
      </c>
      <c r="R16" s="10" t="n">
        <v>0.572</v>
      </c>
      <c r="S16" s="8" t="n">
        <v>2</v>
      </c>
      <c r="T16" s="6" t="n">
        <v>56.24</v>
      </c>
      <c r="U16" s="10" t="n">
        <v>0.4667</v>
      </c>
      <c r="V16" s="10" t="n">
        <v>0.5333</v>
      </c>
      <c r="W16" s="10" t="n">
        <v>-0.0884</v>
      </c>
      <c r="X16" s="6" t="n">
        <v>39</v>
      </c>
      <c r="Y16" s="7" t="n">
        <v>3.59</v>
      </c>
      <c r="Z16" s="6" t="n">
        <v>24.9</v>
      </c>
      <c r="AA16" s="9" t="n">
        <v>0.0996</v>
      </c>
      <c r="AB16" s="9" t="n">
        <v>-0.035</v>
      </c>
      <c r="AC16" s="8" t="n">
        <v>75</v>
      </c>
      <c r="AD16" s="10" t="n">
        <v>0.184</v>
      </c>
      <c r="AE16" s="8" t="n">
        <v>64</v>
      </c>
      <c r="AF16" s="10" t="n">
        <v>0.126</v>
      </c>
      <c r="AG16" s="8" t="n">
        <v>26</v>
      </c>
    </row>
    <row r="17" customFormat="false" ht="15" hidden="false" customHeight="false" outlineLevel="0" collapsed="false">
      <c r="A17" s="4" t="s">
        <v>218</v>
      </c>
      <c r="B17" s="6" t="n">
        <v>52.5</v>
      </c>
      <c r="C17" s="6" t="n">
        <v>45.3</v>
      </c>
      <c r="D17" s="6" t="n">
        <v>58.7</v>
      </c>
      <c r="E17" s="7" t="n">
        <v>2.905</v>
      </c>
      <c r="F17" s="7" t="n">
        <v>2.97227979274611</v>
      </c>
      <c r="G17" s="7" t="n">
        <v>3.01595136627878</v>
      </c>
      <c r="H17" s="10" t="n">
        <v>0.155440414507772</v>
      </c>
      <c r="I17" s="10" t="n">
        <v>0.1629</v>
      </c>
      <c r="J17" s="10" t="n">
        <v>0.604651162790698</v>
      </c>
      <c r="K17" s="7" t="n">
        <v>1.12694300518135</v>
      </c>
      <c r="L17" s="7" t="n">
        <v>0.39119170984456</v>
      </c>
      <c r="M17" s="7" t="n">
        <v>2.199</v>
      </c>
      <c r="N17" s="10" t="n">
        <v>0.2454</v>
      </c>
      <c r="O17" s="10" t="n">
        <v>0.052536231884058</v>
      </c>
      <c r="P17" s="10" t="n">
        <v>0.0493</v>
      </c>
      <c r="Q17" s="7" t="n">
        <v>2.41</v>
      </c>
      <c r="R17" s="10" t="n">
        <v>0.704</v>
      </c>
      <c r="S17" s="8" t="n">
        <v>4</v>
      </c>
      <c r="T17" s="6" t="n">
        <v>58.41</v>
      </c>
      <c r="U17" s="10" t="n">
        <v>0.5063</v>
      </c>
      <c r="V17" s="10" t="n">
        <v>0.4937</v>
      </c>
      <c r="W17" s="10" t="n">
        <v>-0.0441</v>
      </c>
      <c r="X17" s="6" t="n">
        <v>39</v>
      </c>
      <c r="Y17" s="7" t="n">
        <v>3.47</v>
      </c>
      <c r="Z17" s="6" t="n">
        <v>23</v>
      </c>
      <c r="AA17" s="9" t="n">
        <v>-0.0102</v>
      </c>
      <c r="AB17" s="9" t="n">
        <v>0.229</v>
      </c>
      <c r="AC17" s="8" t="n">
        <v>155</v>
      </c>
      <c r="AD17" s="10" t="n">
        <v>0.337</v>
      </c>
      <c r="AE17" s="8" t="n">
        <v>148</v>
      </c>
      <c r="AF17" s="10" t="n">
        <v>0.301</v>
      </c>
      <c r="AG17" s="8" t="n">
        <v>52</v>
      </c>
    </row>
    <row r="18" customFormat="false" ht="15" hidden="false" customHeight="false" outlineLevel="0" collapsed="false">
      <c r="A18" s="4" t="s">
        <v>164</v>
      </c>
      <c r="B18" s="6" t="n">
        <v>50.1</v>
      </c>
      <c r="C18" s="6" t="n">
        <v>66.2</v>
      </c>
      <c r="D18" s="6" t="n">
        <v>34</v>
      </c>
      <c r="E18" s="7" t="n">
        <v>3.062</v>
      </c>
      <c r="F18" s="7" t="n">
        <v>3.01964285714286</v>
      </c>
      <c r="G18" s="7" t="n">
        <v>2.90619800347793</v>
      </c>
      <c r="H18" s="10" t="n">
        <v>0.133928571428571</v>
      </c>
      <c r="I18" s="10" t="n">
        <v>0.1258</v>
      </c>
      <c r="J18" s="10" t="n">
        <v>0.8125</v>
      </c>
      <c r="K18" s="7" t="n">
        <v>0.958333333333333</v>
      </c>
      <c r="L18" s="7" t="n">
        <v>0.196428571428571</v>
      </c>
      <c r="M18" s="7" t="n">
        <v>2.623</v>
      </c>
      <c r="N18" s="10" t="n">
        <v>0.2877</v>
      </c>
      <c r="O18" s="10" t="n">
        <v>0.0685131195335277</v>
      </c>
      <c r="P18" s="10" t="n">
        <v>0.0659</v>
      </c>
      <c r="Q18" s="7" t="n">
        <v>2.212</v>
      </c>
      <c r="R18" s="10" t="n">
        <v>0.864</v>
      </c>
      <c r="S18" s="8" t="n">
        <v>5</v>
      </c>
      <c r="T18" s="6" t="n">
        <v>61.65</v>
      </c>
      <c r="U18" s="10" t="n">
        <v>0.5721</v>
      </c>
      <c r="V18" s="10" t="n">
        <v>0.4279</v>
      </c>
      <c r="W18" s="10" t="n">
        <v>0.0395</v>
      </c>
      <c r="X18" s="6" t="n">
        <v>38</v>
      </c>
      <c r="Y18" s="7" t="n">
        <v>3.71</v>
      </c>
      <c r="Z18" s="6" t="n">
        <v>21.3</v>
      </c>
      <c r="AA18" s="9" t="n">
        <v>0.0273</v>
      </c>
      <c r="AB18" s="9" t="n">
        <v>0.0399</v>
      </c>
      <c r="AC18" s="8" t="n">
        <v>147</v>
      </c>
      <c r="AD18" s="10" t="n">
        <v>0.268</v>
      </c>
      <c r="AE18" s="8" t="n">
        <v>129</v>
      </c>
      <c r="AF18" s="10" t="n">
        <v>0.3</v>
      </c>
      <c r="AG18" s="8" t="n">
        <v>43</v>
      </c>
    </row>
    <row r="19" customFormat="false" ht="15" hidden="false" customHeight="false" outlineLevel="0" collapsed="false">
      <c r="A19" s="4" t="s">
        <v>115</v>
      </c>
      <c r="B19" s="6" t="n">
        <v>49.9</v>
      </c>
      <c r="C19" s="6" t="n">
        <v>39.3</v>
      </c>
      <c r="D19" s="6" t="n">
        <v>60.5</v>
      </c>
      <c r="E19" s="7" t="n">
        <v>2.758</v>
      </c>
      <c r="F19" s="7" t="n">
        <v>2.8048275862069</v>
      </c>
      <c r="G19" s="7" t="n">
        <v>2.99550865366612</v>
      </c>
      <c r="H19" s="10" t="n">
        <v>0.204597701149425</v>
      </c>
      <c r="I19" s="10" t="n">
        <v>0.2121</v>
      </c>
      <c r="J19" s="10" t="n">
        <v>0.612903225806452</v>
      </c>
      <c r="K19" s="7" t="n">
        <v>1.20689655172414</v>
      </c>
      <c r="L19" s="7" t="n">
        <v>0.809195402298851</v>
      </c>
      <c r="M19" s="7" t="n">
        <v>2.477</v>
      </c>
      <c r="N19" s="10" t="n">
        <v>0.2266</v>
      </c>
      <c r="O19" s="10" t="n">
        <v>0.0521235521235521</v>
      </c>
      <c r="P19" s="10" t="n">
        <v>0.0535</v>
      </c>
      <c r="Q19" s="7" t="n">
        <v>2.4</v>
      </c>
      <c r="R19" s="10" t="n">
        <v>0.942</v>
      </c>
      <c r="S19" s="8" t="n">
        <v>5</v>
      </c>
      <c r="T19" s="6" t="n">
        <v>58.65</v>
      </c>
      <c r="U19" s="10" t="n">
        <v>0.5204</v>
      </c>
      <c r="V19" s="10" t="n">
        <v>0.4796</v>
      </c>
      <c r="W19" s="10" t="n">
        <v>-0.0677</v>
      </c>
      <c r="X19" s="6" t="n">
        <v>39</v>
      </c>
      <c r="Y19" s="7" t="n">
        <v>3.53</v>
      </c>
      <c r="Z19" s="6" t="n">
        <v>28.4</v>
      </c>
      <c r="AA19" s="9" t="n">
        <v>-0.0491</v>
      </c>
      <c r="AB19" s="9" t="n">
        <v>0.1122</v>
      </c>
      <c r="AC19" s="8" t="n">
        <v>39</v>
      </c>
      <c r="AD19" s="10" t="n">
        <v>0.086</v>
      </c>
      <c r="AE19" s="8" t="n">
        <v>221</v>
      </c>
      <c r="AF19" s="10" t="n">
        <v>0.436</v>
      </c>
      <c r="AG19" s="8" t="n">
        <v>37</v>
      </c>
    </row>
    <row r="20" customFormat="false" ht="15" hidden="false" customHeight="false" outlineLevel="0" collapsed="false">
      <c r="A20" s="4" t="s">
        <v>136</v>
      </c>
      <c r="B20" s="6" t="n">
        <v>48.2</v>
      </c>
      <c r="C20" s="6" t="n">
        <v>35.6</v>
      </c>
      <c r="D20" s="6" t="n">
        <v>61.6</v>
      </c>
      <c r="E20" s="7" t="n">
        <v>2.749</v>
      </c>
      <c r="F20" s="7" t="n">
        <v>2.7760989010989</v>
      </c>
      <c r="G20" s="7" t="n">
        <v>2.97533830221885</v>
      </c>
      <c r="H20" s="10" t="n">
        <v>0.222527472527473</v>
      </c>
      <c r="I20" s="10" t="n">
        <v>0.2192</v>
      </c>
      <c r="J20" s="10" t="n">
        <v>0.466666666666667</v>
      </c>
      <c r="K20" s="7" t="n">
        <v>1.3489010989011</v>
      </c>
      <c r="L20" s="7" t="n">
        <v>0.862637362637363</v>
      </c>
      <c r="M20" s="7" t="n">
        <v>2.6</v>
      </c>
      <c r="N20" s="10" t="n">
        <v>0.2334</v>
      </c>
      <c r="O20" s="10" t="n">
        <v>0.0610820244328098</v>
      </c>
      <c r="P20" s="10" t="n">
        <v>0.0577</v>
      </c>
      <c r="Q20" s="7" t="n">
        <v>2.491</v>
      </c>
      <c r="R20" s="10" t="n">
        <v>0.909</v>
      </c>
      <c r="S20" s="8" t="n">
        <v>5</v>
      </c>
      <c r="T20" s="6" t="n">
        <v>58.53</v>
      </c>
      <c r="U20" s="10" t="n">
        <v>0.5347</v>
      </c>
      <c r="V20" s="10" t="n">
        <v>0.4653</v>
      </c>
      <c r="W20" s="10" t="n">
        <v>-0.0248</v>
      </c>
      <c r="X20" s="6" t="n">
        <v>39</v>
      </c>
      <c r="Y20" s="7" t="n">
        <v>2.76</v>
      </c>
      <c r="Z20" s="6" t="n">
        <v>22.3</v>
      </c>
      <c r="AA20" s="9" t="n">
        <v>0.0054</v>
      </c>
      <c r="AB20" s="9" t="n">
        <v>0.0436</v>
      </c>
      <c r="AC20" s="8" t="n">
        <v>175</v>
      </c>
      <c r="AD20" s="10" t="n">
        <v>0.377</v>
      </c>
      <c r="AE20" s="8" t="n">
        <v>12</v>
      </c>
      <c r="AF20" s="10" t="n">
        <v>0.025</v>
      </c>
      <c r="AG20" s="8" t="n">
        <v>23</v>
      </c>
    </row>
    <row r="21" customFormat="false" ht="15" hidden="false" customHeight="false" outlineLevel="0" collapsed="false">
      <c r="A21" s="4" t="s">
        <v>106</v>
      </c>
      <c r="B21" s="6" t="n">
        <v>46.7</v>
      </c>
      <c r="C21" s="6" t="n">
        <v>50</v>
      </c>
      <c r="D21" s="6" t="n">
        <v>44.8</v>
      </c>
      <c r="E21" s="7" t="n">
        <v>2.796</v>
      </c>
      <c r="F21" s="7" t="n">
        <v>2.84496314496315</v>
      </c>
      <c r="G21" s="7" t="n">
        <v>2.99714515277148</v>
      </c>
      <c r="H21" s="10" t="n">
        <v>0.174447174447174</v>
      </c>
      <c r="I21" s="10" t="n">
        <v>0.1795</v>
      </c>
      <c r="J21" s="10" t="n">
        <v>0.645161290322581</v>
      </c>
      <c r="K21" s="7" t="n">
        <v>1.23095823095823</v>
      </c>
      <c r="L21" s="7" t="n">
        <v>1.3022113022113</v>
      </c>
      <c r="M21" s="7" t="n">
        <v>2.844</v>
      </c>
      <c r="N21" s="10" t="n">
        <v>0.2646</v>
      </c>
      <c r="O21" s="10" t="n">
        <v>0.0625</v>
      </c>
      <c r="P21" s="10" t="n">
        <v>0.0608</v>
      </c>
      <c r="Q21" s="7" t="n">
        <v>2.297</v>
      </c>
      <c r="R21" s="10" t="n">
        <v>0.521</v>
      </c>
      <c r="S21" s="8" t="n">
        <v>3</v>
      </c>
      <c r="T21" s="6" t="n">
        <v>61.82</v>
      </c>
      <c r="U21" s="10" t="n">
        <v>0.5469</v>
      </c>
      <c r="V21" s="10" t="n">
        <v>0.4531</v>
      </c>
      <c r="W21" s="10" t="n">
        <v>-0.0456</v>
      </c>
      <c r="X21" s="6" t="n">
        <v>38</v>
      </c>
      <c r="Y21" s="7" t="n">
        <v>3.82</v>
      </c>
      <c r="Z21" s="6" t="n">
        <v>28.3</v>
      </c>
      <c r="AA21" s="9" t="n">
        <v>-0.0408</v>
      </c>
      <c r="AB21" s="9" t="n">
        <v>0.1681</v>
      </c>
      <c r="AC21" s="8" t="n">
        <v>79</v>
      </c>
      <c r="AD21" s="10" t="n">
        <v>0.144</v>
      </c>
      <c r="AE21" s="8" t="n">
        <v>167</v>
      </c>
      <c r="AF21" s="10" t="n">
        <v>0.378</v>
      </c>
      <c r="AG21" s="8" t="n">
        <v>45</v>
      </c>
    </row>
    <row r="22" customFormat="false" ht="15" hidden="false" customHeight="false" outlineLevel="0" collapsed="false">
      <c r="A22" s="4" t="s">
        <v>178</v>
      </c>
      <c r="B22" s="6" t="n">
        <v>45.9</v>
      </c>
      <c r="C22" s="6" t="n">
        <v>56.8</v>
      </c>
      <c r="D22" s="6" t="n">
        <v>36.8</v>
      </c>
      <c r="E22" s="7" t="n">
        <v>2.974</v>
      </c>
      <c r="F22" s="7" t="n">
        <v>2.99646464646465</v>
      </c>
      <c r="G22" s="7" t="n">
        <v>2.97085160992848</v>
      </c>
      <c r="H22" s="10" t="n">
        <v>0.146464646464647</v>
      </c>
      <c r="I22" s="10" t="n">
        <v>0.1475</v>
      </c>
      <c r="J22" s="10" t="n">
        <v>0.625</v>
      </c>
      <c r="K22" s="7" t="n">
        <v>1.08080808080808</v>
      </c>
      <c r="L22" s="7" t="n">
        <v>0.441919191919192</v>
      </c>
      <c r="M22" s="7" t="n">
        <v>2.714</v>
      </c>
      <c r="N22" s="10" t="n">
        <v>0.2947</v>
      </c>
      <c r="O22" s="10" t="n">
        <v>0.0769230769230769</v>
      </c>
      <c r="P22" s="10" t="n">
        <v>0.076</v>
      </c>
      <c r="Q22" s="7" t="n">
        <v>2.388</v>
      </c>
      <c r="R22" s="10" t="n">
        <v>0.723</v>
      </c>
      <c r="S22" s="8" t="n">
        <v>4</v>
      </c>
      <c r="T22" s="6" t="n">
        <v>63.47</v>
      </c>
      <c r="U22" s="10" t="n">
        <v>0.494</v>
      </c>
      <c r="V22" s="10" t="n">
        <v>0.506</v>
      </c>
      <c r="W22" s="10" t="n">
        <v>-0.0466</v>
      </c>
      <c r="X22" s="6" t="n">
        <v>36</v>
      </c>
      <c r="Y22" s="7" t="n">
        <v>3.59</v>
      </c>
      <c r="Z22" s="6" t="n">
        <v>22.4</v>
      </c>
      <c r="AA22" s="9" t="n">
        <v>0.0356</v>
      </c>
      <c r="AB22" s="9" t="n">
        <v>-0.008</v>
      </c>
      <c r="AC22" s="8" t="n">
        <v>177</v>
      </c>
      <c r="AD22" s="10" t="n">
        <v>0.352</v>
      </c>
      <c r="AE22" s="8" t="n">
        <v>3</v>
      </c>
      <c r="AF22" s="10" t="n">
        <v>0.006</v>
      </c>
      <c r="AG22" s="8" t="n">
        <v>21</v>
      </c>
    </row>
    <row r="23" customFormat="false" ht="15" hidden="false" customHeight="false" outlineLevel="0" collapsed="false">
      <c r="A23" s="4" t="s">
        <v>139</v>
      </c>
      <c r="B23" s="6" t="n">
        <v>45.8</v>
      </c>
      <c r="C23" s="6" t="n">
        <v>34.1</v>
      </c>
      <c r="D23" s="6" t="n">
        <v>59.3</v>
      </c>
      <c r="E23" s="7" t="n">
        <v>2.812</v>
      </c>
      <c r="F23" s="7" t="n">
        <v>2.7453634085213</v>
      </c>
      <c r="G23" s="7" t="n">
        <v>2.88168562194261</v>
      </c>
      <c r="H23" s="10" t="n">
        <v>0.203007518796993</v>
      </c>
      <c r="I23" s="10" t="n">
        <v>0.1937</v>
      </c>
      <c r="J23" s="10" t="n">
        <v>0.485714285714286</v>
      </c>
      <c r="K23" s="7" t="n">
        <v>1.1077694235589</v>
      </c>
      <c r="L23" s="7" t="n">
        <v>0.496240601503759</v>
      </c>
      <c r="M23" s="7" t="n">
        <v>2.099</v>
      </c>
      <c r="N23" s="10" t="n">
        <v>0.2216</v>
      </c>
      <c r="O23" s="10" t="n">
        <v>0.0482115085536547</v>
      </c>
      <c r="P23" s="10" t="n">
        <v>0.0526</v>
      </c>
      <c r="Q23" s="7" t="n">
        <v>2.345</v>
      </c>
      <c r="R23" s="10" t="n">
        <v>0.713</v>
      </c>
      <c r="S23" s="8" t="n">
        <v>2</v>
      </c>
      <c r="T23" s="6" t="n">
        <v>63.41</v>
      </c>
      <c r="U23" s="10" t="n">
        <v>0.5638</v>
      </c>
      <c r="V23" s="10" t="n">
        <v>0.4362</v>
      </c>
      <c r="W23" s="10" t="n">
        <v>-0.0098</v>
      </c>
      <c r="X23" s="6" t="n">
        <v>38</v>
      </c>
      <c r="Y23" s="7" t="n">
        <v>3.41</v>
      </c>
      <c r="Z23" s="6" t="n">
        <v>23.8</v>
      </c>
      <c r="AA23" s="9" t="n">
        <v>-0.0779</v>
      </c>
      <c r="AB23" s="9" t="n">
        <v>0.036</v>
      </c>
      <c r="AC23" s="8" t="n">
        <v>82</v>
      </c>
      <c r="AD23" s="10" t="n">
        <v>0.148</v>
      </c>
      <c r="AE23" s="8" t="n">
        <v>21</v>
      </c>
      <c r="AF23" s="10" t="n">
        <v>0.044</v>
      </c>
      <c r="AG23" s="8" t="n">
        <v>18</v>
      </c>
    </row>
    <row r="24" customFormat="false" ht="15" hidden="false" customHeight="false" outlineLevel="0" collapsed="false">
      <c r="A24" s="4" t="s">
        <v>235</v>
      </c>
      <c r="B24" s="6" t="n">
        <v>44.3</v>
      </c>
      <c r="C24" s="6" t="n">
        <v>40.2</v>
      </c>
      <c r="D24" s="6" t="n">
        <v>50.8</v>
      </c>
      <c r="E24" s="7" t="n">
        <v>2.885</v>
      </c>
      <c r="F24" s="7" t="n">
        <v>2.85254691689008</v>
      </c>
      <c r="G24" s="7" t="n">
        <v>2.91568836248392</v>
      </c>
      <c r="H24" s="10" t="n">
        <v>0.184986595174263</v>
      </c>
      <c r="I24" s="10" t="n">
        <v>0.1784</v>
      </c>
      <c r="J24" s="10" t="n">
        <v>0.5</v>
      </c>
      <c r="K24" s="7" t="n">
        <v>1.10991957104558</v>
      </c>
      <c r="L24" s="7" t="n">
        <v>0.683646112600536</v>
      </c>
      <c r="M24" s="7" t="n">
        <v>2.219</v>
      </c>
      <c r="N24" s="10" t="n">
        <v>0.2504</v>
      </c>
      <c r="O24" s="10" t="n">
        <v>0.0636645962732919</v>
      </c>
      <c r="P24" s="10" t="n">
        <v>0.0647</v>
      </c>
      <c r="Q24" s="7" t="n">
        <v>2.395</v>
      </c>
      <c r="R24" s="10" t="n">
        <v>1</v>
      </c>
      <c r="S24" s="8" t="n">
        <v>5</v>
      </c>
      <c r="T24" s="6" t="n">
        <v>63.18</v>
      </c>
      <c r="U24" s="10" t="n">
        <v>0.5756</v>
      </c>
      <c r="V24" s="10" t="n">
        <v>0.4244</v>
      </c>
      <c r="W24" s="10" t="n">
        <v>0.0164</v>
      </c>
      <c r="X24" s="6" t="n">
        <v>40</v>
      </c>
      <c r="Y24" s="7" t="n">
        <v>4.24</v>
      </c>
      <c r="Z24" s="6" t="n">
        <v>27.9</v>
      </c>
      <c r="AA24" s="9" t="n">
        <v>-0.0041</v>
      </c>
      <c r="AB24" s="9" t="n">
        <v>0.0592</v>
      </c>
      <c r="AC24" s="8" t="n">
        <v>132</v>
      </c>
      <c r="AD24" s="10" t="n">
        <v>0.241</v>
      </c>
      <c r="AE24" s="8" t="n">
        <v>271</v>
      </c>
      <c r="AF24" s="10" t="n">
        <v>0.554</v>
      </c>
      <c r="AG24" s="8" t="n">
        <v>85</v>
      </c>
    </row>
    <row r="25" customFormat="false" ht="15" hidden="false" customHeight="false" outlineLevel="0" collapsed="false">
      <c r="A25" s="4" t="s">
        <v>158</v>
      </c>
      <c r="B25" s="6" t="n">
        <v>41.9</v>
      </c>
      <c r="C25" s="6" t="n">
        <v>42.4</v>
      </c>
      <c r="D25" s="6" t="n">
        <v>44.9</v>
      </c>
      <c r="E25" s="7" t="n">
        <v>2.883</v>
      </c>
      <c r="F25" s="7" t="n">
        <v>2.89633333333333</v>
      </c>
      <c r="G25" s="7" t="n">
        <v>2.96200332598839</v>
      </c>
      <c r="H25" s="10" t="n">
        <v>0.15</v>
      </c>
      <c r="I25" s="10" t="n">
        <v>0.1505</v>
      </c>
      <c r="J25" s="10" t="n">
        <v>0.55</v>
      </c>
      <c r="K25" s="7" t="n">
        <v>0.956666666666667</v>
      </c>
      <c r="L25" s="7" t="n">
        <v>0.316666666666667</v>
      </c>
      <c r="M25" s="7" t="n">
        <v>2.057</v>
      </c>
      <c r="N25" s="10" t="n">
        <v>0.2132</v>
      </c>
      <c r="O25" s="10" t="n">
        <v>0.073134328358209</v>
      </c>
      <c r="P25" s="10" t="n">
        <v>0.0763</v>
      </c>
      <c r="Q25" s="7" t="n">
        <v>2.2</v>
      </c>
      <c r="R25" s="10" t="n">
        <v>0.784</v>
      </c>
      <c r="S25" s="8" t="n">
        <v>4</v>
      </c>
      <c r="T25" s="6" t="n">
        <v>62.59</v>
      </c>
      <c r="U25" s="10" t="n">
        <v>0.5383</v>
      </c>
      <c r="V25" s="10" t="n">
        <v>0.4617</v>
      </c>
      <c r="W25" s="10" t="n">
        <v>-0.0301</v>
      </c>
      <c r="X25" s="6" t="n">
        <v>35</v>
      </c>
      <c r="Y25" s="7" t="n">
        <v>2.82</v>
      </c>
      <c r="Z25" s="6" t="n">
        <v>18</v>
      </c>
      <c r="AA25" s="9" t="n">
        <v>-0.1008</v>
      </c>
      <c r="AB25" s="9" t="n">
        <v>-0.0795</v>
      </c>
      <c r="AC25" s="8" t="n">
        <v>127</v>
      </c>
      <c r="AD25" s="10" t="n">
        <v>0.225</v>
      </c>
      <c r="AE25" s="8" t="n">
        <v>21</v>
      </c>
      <c r="AF25" s="10" t="n">
        <v>0.048</v>
      </c>
      <c r="AG25" s="8" t="n">
        <v>15</v>
      </c>
    </row>
    <row r="26" customFormat="false" ht="15" hidden="false" customHeight="false" outlineLevel="0" collapsed="false">
      <c r="A26" s="4" t="s">
        <v>135</v>
      </c>
      <c r="B26" s="6" t="n">
        <v>41.6</v>
      </c>
      <c r="C26" s="6" t="n">
        <v>43.3</v>
      </c>
      <c r="D26" s="6" t="n">
        <v>43.5</v>
      </c>
      <c r="E26" s="7" t="n">
        <v>2.802</v>
      </c>
      <c r="F26" s="7" t="n">
        <v>2.77951482479784</v>
      </c>
      <c r="G26" s="7" t="n">
        <v>2.9254952414656</v>
      </c>
      <c r="H26" s="10" t="n">
        <v>0.194070080862534</v>
      </c>
      <c r="I26" s="10" t="n">
        <v>0.1883</v>
      </c>
      <c r="J26" s="10" t="n">
        <v>0.575757575757576</v>
      </c>
      <c r="K26" s="7" t="n">
        <v>1.19676549865229</v>
      </c>
      <c r="L26" s="7" t="n">
        <v>1.20485175202156</v>
      </c>
      <c r="M26" s="7" t="n">
        <v>2.561</v>
      </c>
      <c r="N26" s="10" t="n">
        <v>0.261</v>
      </c>
      <c r="O26" s="10" t="n">
        <v>0.0783034257748776</v>
      </c>
      <c r="P26" s="10" t="n">
        <v>0.0789</v>
      </c>
      <c r="Q26" s="7" t="n">
        <v>2.406</v>
      </c>
      <c r="R26" s="10" t="n">
        <v>0.533</v>
      </c>
      <c r="S26" s="8" t="n">
        <v>3</v>
      </c>
      <c r="T26" s="6" t="n">
        <v>59.82</v>
      </c>
      <c r="U26" s="10" t="n">
        <v>0.5691</v>
      </c>
      <c r="V26" s="10" t="n">
        <v>0.4309</v>
      </c>
      <c r="W26" s="10" t="n">
        <v>0.0242</v>
      </c>
      <c r="X26" s="6" t="n">
        <v>38</v>
      </c>
      <c r="Y26" s="7" t="n">
        <v>3.76</v>
      </c>
      <c r="Z26" s="6" t="n">
        <v>28.8</v>
      </c>
      <c r="AA26" s="9" t="n">
        <v>0.0077</v>
      </c>
      <c r="AB26" s="9" t="n">
        <v>0.2873</v>
      </c>
      <c r="AC26" s="8" t="n">
        <v>128</v>
      </c>
      <c r="AD26" s="10" t="n">
        <v>0.266</v>
      </c>
      <c r="AE26" s="8" t="n">
        <v>10</v>
      </c>
      <c r="AF26" s="10" t="n">
        <v>0.02</v>
      </c>
      <c r="AG26" s="8" t="n">
        <v>17</v>
      </c>
    </row>
    <row r="27" customFormat="false" ht="15" hidden="false" customHeight="false" outlineLevel="0" collapsed="false">
      <c r="A27" s="4" t="s">
        <v>265</v>
      </c>
      <c r="B27" s="6" t="n">
        <v>41.1</v>
      </c>
      <c r="C27" s="6" t="n">
        <v>58.4</v>
      </c>
      <c r="D27" s="6" t="n">
        <v>27.6</v>
      </c>
      <c r="E27" s="7" t="n">
        <v>3.085</v>
      </c>
      <c r="F27" s="7" t="n">
        <v>3.01463414634146</v>
      </c>
      <c r="G27" s="7" t="n">
        <v>2.87769409187475</v>
      </c>
      <c r="H27" s="10" t="n">
        <v>0.161585365853659</v>
      </c>
      <c r="I27" s="10" t="n">
        <v>0.1549</v>
      </c>
      <c r="J27" s="10" t="n">
        <v>0.666666666666667</v>
      </c>
      <c r="K27" s="7" t="n">
        <v>1.14634146341463</v>
      </c>
      <c r="L27" s="7" t="n">
        <v>0.692073170731707</v>
      </c>
      <c r="M27" s="7" t="n">
        <v>2.54</v>
      </c>
      <c r="N27" s="10" t="n">
        <v>0.3175</v>
      </c>
      <c r="O27" s="10" t="n">
        <v>0.086687306501548</v>
      </c>
      <c r="P27" s="10" t="n">
        <v>0.0872</v>
      </c>
      <c r="Q27" s="7" t="n">
        <v>2.389</v>
      </c>
      <c r="R27" s="10" t="n">
        <v>0.527</v>
      </c>
      <c r="S27" s="8" t="n">
        <v>3</v>
      </c>
      <c r="T27" s="6" t="n">
        <v>58.53</v>
      </c>
      <c r="U27" s="10" t="n">
        <v>0.5401</v>
      </c>
      <c r="V27" s="10" t="n">
        <v>0.4599</v>
      </c>
      <c r="W27" s="10" t="n">
        <v>-0.0385</v>
      </c>
      <c r="X27" s="6" t="n">
        <v>40</v>
      </c>
      <c r="Y27" s="7" t="n">
        <v>2.06</v>
      </c>
      <c r="Z27" s="6" t="n">
        <v>16.7</v>
      </c>
      <c r="AA27" s="9" t="n">
        <v>-0.0573</v>
      </c>
      <c r="AB27" s="9" t="n">
        <v>-0.2208</v>
      </c>
      <c r="AC27" s="8" t="n">
        <v>152</v>
      </c>
      <c r="AD27" s="10" t="n">
        <v>0.287</v>
      </c>
      <c r="AE27" s="8" t="n">
        <v>0</v>
      </c>
      <c r="AF27" s="10" t="n">
        <v>0</v>
      </c>
      <c r="AG27" s="8" t="n">
        <v>8</v>
      </c>
    </row>
    <row r="28" customFormat="false" ht="15" hidden="false" customHeight="false" outlineLevel="0" collapsed="false">
      <c r="A28" s="4" t="s">
        <v>161</v>
      </c>
      <c r="B28" s="6" t="n">
        <v>38.6</v>
      </c>
      <c r="C28" s="6" t="n">
        <v>37.5</v>
      </c>
      <c r="D28" s="6" t="n">
        <v>44.5</v>
      </c>
      <c r="E28" s="7" t="n">
        <v>2.839</v>
      </c>
      <c r="F28" s="7" t="n">
        <v>2.83552631578947</v>
      </c>
      <c r="G28" s="7" t="n">
        <v>2.94501561107985</v>
      </c>
      <c r="H28" s="10" t="n">
        <v>0.213157894736842</v>
      </c>
      <c r="I28" s="10" t="n">
        <v>0.2101</v>
      </c>
      <c r="J28" s="10" t="n">
        <v>0.586206896551724</v>
      </c>
      <c r="K28" s="7" t="n">
        <v>1.46578947368421</v>
      </c>
      <c r="L28" s="7" t="n">
        <v>1.22631578947368</v>
      </c>
      <c r="M28" s="7" t="n">
        <v>2.199</v>
      </c>
      <c r="N28" s="10" t="n">
        <v>0.2422</v>
      </c>
      <c r="O28" s="10" t="n">
        <v>0.0716981132075472</v>
      </c>
      <c r="P28" s="10" t="n">
        <v>0.0727</v>
      </c>
      <c r="Q28" s="7" t="n">
        <v>2.29</v>
      </c>
      <c r="R28" s="10" t="n">
        <v>0.672</v>
      </c>
      <c r="S28" s="8" t="n">
        <v>4</v>
      </c>
      <c r="T28" s="6" t="n">
        <v>55.41</v>
      </c>
      <c r="U28" s="10" t="n">
        <v>0.5279</v>
      </c>
      <c r="V28" s="10" t="n">
        <v>0.4721</v>
      </c>
      <c r="W28" s="10" t="n">
        <v>-0.0584</v>
      </c>
      <c r="X28" s="6" t="n">
        <v>41</v>
      </c>
      <c r="Y28" s="7" t="n">
        <v>2.82</v>
      </c>
      <c r="Z28" s="6" t="n">
        <v>20.4</v>
      </c>
      <c r="AA28" s="9" t="n">
        <v>-0.026</v>
      </c>
      <c r="AB28" s="9" t="n">
        <v>-0.0093</v>
      </c>
      <c r="AC28" s="8" t="n">
        <v>209</v>
      </c>
      <c r="AD28" s="10" t="n">
        <v>0.452</v>
      </c>
      <c r="AE28" s="8" t="n">
        <v>28</v>
      </c>
      <c r="AF28" s="10" t="n">
        <v>0.065</v>
      </c>
      <c r="AG28" s="8" t="n">
        <v>32</v>
      </c>
    </row>
    <row r="29" customFormat="false" ht="15" hidden="false" customHeight="false" outlineLevel="0" collapsed="false">
      <c r="A29" s="4" t="s">
        <v>186</v>
      </c>
      <c r="B29" s="6" t="n">
        <v>38.6</v>
      </c>
      <c r="C29" s="6" t="n">
        <v>56.3</v>
      </c>
      <c r="D29" s="6" t="n">
        <v>25.8</v>
      </c>
      <c r="E29" s="7" t="n">
        <v>2.892</v>
      </c>
      <c r="F29" s="7" t="n">
        <v>2.84431137724551</v>
      </c>
      <c r="G29" s="7" t="n">
        <v>2.90111469172123</v>
      </c>
      <c r="H29" s="10" t="n">
        <v>0.182634730538922</v>
      </c>
      <c r="I29" s="10" t="n">
        <v>0.1813</v>
      </c>
      <c r="J29" s="10" t="n">
        <v>0.739130434782609</v>
      </c>
      <c r="K29" s="7" t="n">
        <v>1.19161676646707</v>
      </c>
      <c r="L29" s="7" t="n">
        <v>0.940119760479042</v>
      </c>
      <c r="M29" s="7" t="n">
        <v>2.899</v>
      </c>
      <c r="N29" s="10" t="n">
        <v>0.3117</v>
      </c>
      <c r="O29" s="10" t="n">
        <v>0.0986842105263158</v>
      </c>
      <c r="P29" s="10" t="n">
        <v>0.0989</v>
      </c>
      <c r="Q29" s="7" t="n">
        <v>2.423</v>
      </c>
      <c r="R29" s="10" t="n">
        <v>0.808</v>
      </c>
      <c r="S29" s="8" t="n">
        <v>3</v>
      </c>
      <c r="T29" s="6" t="n">
        <v>59.35</v>
      </c>
      <c r="U29" s="10" t="n">
        <v>0.4319</v>
      </c>
      <c r="V29" s="10" t="n">
        <v>0.5681</v>
      </c>
      <c r="W29" s="10" t="n">
        <v>-0.0877</v>
      </c>
      <c r="X29" s="6" t="n">
        <v>38</v>
      </c>
      <c r="Y29" s="7" t="n">
        <v>2.47</v>
      </c>
      <c r="Z29" s="6" t="n">
        <v>17.6</v>
      </c>
      <c r="AA29" s="9" t="n">
        <v>-0.061</v>
      </c>
      <c r="AB29" s="9" t="n">
        <v>-0.1799</v>
      </c>
      <c r="AC29" s="8" t="n">
        <v>76</v>
      </c>
      <c r="AD29" s="10" t="n">
        <v>0.161</v>
      </c>
      <c r="AE29" s="8" t="n">
        <v>117</v>
      </c>
      <c r="AF29" s="10" t="n">
        <v>0.257</v>
      </c>
      <c r="AG29" s="8" t="n">
        <v>27</v>
      </c>
    </row>
    <row r="30" customFormat="false" ht="15" hidden="false" customHeight="false" outlineLevel="0" collapsed="false">
      <c r="A30" s="4" t="s">
        <v>151</v>
      </c>
      <c r="B30" s="6" t="n">
        <v>36.9</v>
      </c>
      <c r="C30" s="6" t="n">
        <v>43.8</v>
      </c>
      <c r="D30" s="6" t="n">
        <v>35.6</v>
      </c>
      <c r="E30" s="7" t="n">
        <v>2.771</v>
      </c>
      <c r="F30" s="7" t="n">
        <v>2.76198630136986</v>
      </c>
      <c r="G30" s="7" t="n">
        <v>2.93895253186521</v>
      </c>
      <c r="H30" s="10" t="n">
        <v>0.198630136986301</v>
      </c>
      <c r="I30" s="10" t="n">
        <v>0.2005</v>
      </c>
      <c r="J30" s="10" t="n">
        <v>0.65625</v>
      </c>
      <c r="K30" s="7" t="n">
        <v>1.1472602739726</v>
      </c>
      <c r="L30" s="7" t="n">
        <v>0.828767123287671</v>
      </c>
      <c r="M30" s="7" t="n">
        <v>2.593</v>
      </c>
      <c r="N30" s="10" t="n">
        <v>0.282</v>
      </c>
      <c r="O30" s="10" t="n">
        <v>0.0791946308724832</v>
      </c>
      <c r="P30" s="10" t="n">
        <v>0.0839</v>
      </c>
      <c r="Q30" s="7" t="n">
        <v>2.373</v>
      </c>
      <c r="R30" s="10" t="n">
        <v>0.686</v>
      </c>
      <c r="S30" s="8" t="n">
        <v>3</v>
      </c>
      <c r="T30" s="6" t="n">
        <v>63.18</v>
      </c>
      <c r="U30" s="10" t="n">
        <v>0.6204</v>
      </c>
      <c r="V30" s="10" t="n">
        <v>0.3796</v>
      </c>
      <c r="W30" s="10" t="n">
        <v>0.0399</v>
      </c>
      <c r="X30" s="6" t="n">
        <v>39</v>
      </c>
      <c r="Y30" s="7" t="n">
        <v>3.59</v>
      </c>
      <c r="Z30" s="6" t="n">
        <v>20.9</v>
      </c>
      <c r="AA30" s="9" t="n">
        <v>-0.0591</v>
      </c>
      <c r="AB30" s="9" t="n">
        <v>0.0023</v>
      </c>
      <c r="AC30" s="8" t="n">
        <v>106</v>
      </c>
      <c r="AD30" s="10" t="n">
        <v>0.172</v>
      </c>
      <c r="AE30" s="8" t="n">
        <v>173</v>
      </c>
      <c r="AF30" s="10" t="n">
        <v>0.473</v>
      </c>
      <c r="AG30" s="8" t="n">
        <v>41</v>
      </c>
    </row>
    <row r="31" customFormat="false" ht="15" hidden="false" customHeight="false" outlineLevel="0" collapsed="false">
      <c r="A31" s="4" t="s">
        <v>127</v>
      </c>
      <c r="B31" s="6" t="n">
        <v>36</v>
      </c>
      <c r="C31" s="6" t="n">
        <v>51.8</v>
      </c>
      <c r="D31" s="6" t="n">
        <v>26.2</v>
      </c>
      <c r="E31" s="7" t="n">
        <v>2.961</v>
      </c>
      <c r="F31" s="7" t="n">
        <v>3.06781609195402</v>
      </c>
      <c r="G31" s="7" t="n">
        <v>3.05559506502035</v>
      </c>
      <c r="H31" s="10" t="n">
        <v>0.160919540229885</v>
      </c>
      <c r="I31" s="10" t="n">
        <v>0.1751</v>
      </c>
      <c r="J31" s="10" t="n">
        <v>0.7</v>
      </c>
      <c r="K31" s="7" t="n">
        <v>1.27011494252874</v>
      </c>
      <c r="L31" s="7" t="n">
        <v>0.548850574712644</v>
      </c>
      <c r="M31" s="7" t="n">
        <v>2.441</v>
      </c>
      <c r="N31" s="10" t="n">
        <v>0.3037</v>
      </c>
      <c r="O31" s="10" t="n">
        <v>0.10507880910683</v>
      </c>
      <c r="P31" s="10" t="n">
        <v>0.1028</v>
      </c>
      <c r="Q31" s="7" t="n">
        <v>2.429</v>
      </c>
      <c r="R31" s="10" t="n">
        <v>0.819</v>
      </c>
      <c r="S31" s="8" t="n">
        <v>5</v>
      </c>
      <c r="T31" s="6" t="n">
        <v>55.47</v>
      </c>
      <c r="U31" s="10" t="n">
        <v>0.5369</v>
      </c>
      <c r="V31" s="10" t="n">
        <v>0.4631</v>
      </c>
      <c r="W31" s="10" t="n">
        <v>-0.012</v>
      </c>
      <c r="X31" s="6" t="n">
        <v>39</v>
      </c>
      <c r="Y31" s="7" t="n">
        <v>3.12</v>
      </c>
      <c r="Z31" s="6" t="n">
        <v>20.2</v>
      </c>
      <c r="AA31" s="9" t="n">
        <v>-0.0149</v>
      </c>
      <c r="AB31" s="9" t="n">
        <v>-0.1883</v>
      </c>
      <c r="AC31" s="8" t="n">
        <v>82</v>
      </c>
      <c r="AD31" s="10" t="n">
        <v>0.175</v>
      </c>
      <c r="AE31" s="8" t="n">
        <v>24</v>
      </c>
      <c r="AF31" s="10" t="n">
        <v>0.059</v>
      </c>
      <c r="AG31" s="8" t="n">
        <v>17</v>
      </c>
    </row>
    <row r="32" customFormat="false" ht="15" hidden="false" customHeight="false" outlineLevel="0" collapsed="false">
      <c r="A32" s="4" t="s">
        <v>170</v>
      </c>
      <c r="B32" s="6" t="n">
        <v>26.9</v>
      </c>
      <c r="C32" s="6" t="n">
        <v>40.7</v>
      </c>
      <c r="D32" s="6" t="n">
        <v>23</v>
      </c>
      <c r="E32" s="7" t="n">
        <v>2.77</v>
      </c>
      <c r="F32" s="7" t="n">
        <v>2.71309192200557</v>
      </c>
      <c r="G32" s="7" t="n">
        <v>2.89104964249176</v>
      </c>
      <c r="H32" s="10" t="n">
        <v>0.22841225626741</v>
      </c>
      <c r="I32" s="10" t="n">
        <v>0.2195</v>
      </c>
      <c r="J32" s="10" t="n">
        <v>0.611111111111111</v>
      </c>
      <c r="K32" s="7" t="n">
        <v>1.12534818941504</v>
      </c>
      <c r="L32" s="7" t="n">
        <v>0.746518105849582</v>
      </c>
      <c r="M32" s="7" t="n">
        <v>2.614</v>
      </c>
      <c r="N32" s="10" t="n">
        <v>0.3427</v>
      </c>
      <c r="O32" s="10" t="n">
        <v>0.0881057268722467</v>
      </c>
      <c r="P32" s="10" t="n">
        <v>0.0832</v>
      </c>
      <c r="Q32" s="7" t="n">
        <v>2.37</v>
      </c>
      <c r="R32" s="10" t="n">
        <v>0.205</v>
      </c>
      <c r="S32" s="8" t="n">
        <v>1</v>
      </c>
      <c r="T32" s="6" t="n">
        <v>63.53</v>
      </c>
      <c r="U32" s="10" t="n">
        <v>0.579</v>
      </c>
      <c r="V32" s="10" t="n">
        <v>0.421</v>
      </c>
      <c r="W32" s="10" t="n">
        <v>0.0064</v>
      </c>
      <c r="X32" s="6" t="n">
        <v>39</v>
      </c>
      <c r="Y32" s="7" t="n">
        <v>3.47</v>
      </c>
      <c r="Z32" s="6" t="n">
        <v>21.6</v>
      </c>
      <c r="AA32" s="9" t="n">
        <v>0.0187</v>
      </c>
      <c r="AB32" s="9" t="n">
        <v>-0.0542</v>
      </c>
      <c r="AC32" s="8" t="n">
        <v>15</v>
      </c>
      <c r="AD32" s="10" t="n">
        <v>0.028</v>
      </c>
      <c r="AE32" s="8" t="n">
        <v>23</v>
      </c>
      <c r="AF32" s="10" t="n">
        <v>0.049</v>
      </c>
      <c r="AG32" s="8" t="n">
        <v>2</v>
      </c>
    </row>
    <row r="33" customFormat="false" ht="15" hidden="false" customHeight="false" outlineLevel="0" collapsed="false">
      <c r="A33" s="4" t="s">
        <v>142</v>
      </c>
      <c r="B33" s="6" t="n">
        <v>15.2</v>
      </c>
      <c r="C33" s="6" t="n">
        <v>7.8</v>
      </c>
      <c r="D33" s="6" t="n">
        <v>37.5</v>
      </c>
      <c r="E33" s="7" t="n">
        <v>2.49</v>
      </c>
      <c r="F33" s="7" t="n">
        <v>2.4599348534202</v>
      </c>
      <c r="G33" s="7" t="n">
        <v>2.91882875417365</v>
      </c>
      <c r="H33" s="10" t="n">
        <v>0.257328990228013</v>
      </c>
      <c r="I33" s="10" t="n">
        <v>0.2502</v>
      </c>
      <c r="J33" s="10" t="n">
        <v>0.366666666666667</v>
      </c>
      <c r="K33" s="7" t="n">
        <v>1.04234527687296</v>
      </c>
      <c r="L33" s="7" t="n">
        <v>0.605863192182411</v>
      </c>
      <c r="M33" s="7" t="n">
        <v>1.629</v>
      </c>
      <c r="N33" s="10" t="n">
        <v>0.2641</v>
      </c>
      <c r="O33" s="10" t="n">
        <v>0.107023411371238</v>
      </c>
      <c r="P33" s="10" t="n">
        <v>0.1019</v>
      </c>
      <c r="Q33" s="7" t="n">
        <v>2.487</v>
      </c>
      <c r="R33" s="10" t="n">
        <v>0.384</v>
      </c>
      <c r="S33" s="8" t="n">
        <v>2</v>
      </c>
      <c r="T33" s="6" t="n">
        <v>55.41</v>
      </c>
      <c r="U33" s="10" t="n">
        <v>0.5679</v>
      </c>
      <c r="V33" s="10" t="n">
        <v>0.4321</v>
      </c>
      <c r="W33" s="10" t="n">
        <v>-0.0175</v>
      </c>
      <c r="X33" s="6" t="n">
        <v>38</v>
      </c>
      <c r="Y33" s="7" t="n">
        <v>2.24</v>
      </c>
      <c r="Z33" s="6" t="n">
        <v>14.2</v>
      </c>
      <c r="AA33" s="9" t="n">
        <v>-0.2605</v>
      </c>
      <c r="AB33" s="9" t="n">
        <v>-0.187</v>
      </c>
      <c r="AC33" s="8" t="n">
        <v>55</v>
      </c>
      <c r="AD33" s="10" t="n">
        <v>0.111</v>
      </c>
      <c r="AE33" s="8" t="n">
        <v>58</v>
      </c>
      <c r="AF33" s="10" t="n">
        <v>0.157</v>
      </c>
      <c r="AG33" s="8" t="n">
        <v>13</v>
      </c>
    </row>
    <row r="34" customFormat="false" ht="15" hidden="false" customHeight="false" outlineLevel="0" collapsed="false">
      <c r="A34" s="4" t="s">
        <v>258</v>
      </c>
      <c r="B34" s="6" t="n">
        <v>15.1</v>
      </c>
      <c r="C34" s="6" t="n">
        <v>18.5</v>
      </c>
      <c r="D34" s="6" t="n">
        <v>26.5</v>
      </c>
      <c r="E34" s="7" t="n">
        <v>2.392</v>
      </c>
      <c r="F34" s="7" t="n">
        <v>2.40311614730878</v>
      </c>
      <c r="G34" s="7" t="n">
        <v>2.95974106155856</v>
      </c>
      <c r="H34" s="10" t="n">
        <v>0.223796033994334</v>
      </c>
      <c r="I34" s="10" t="n">
        <v>0.225</v>
      </c>
      <c r="J34" s="10" t="n">
        <v>0.666666666666667</v>
      </c>
      <c r="K34" s="7" t="n">
        <v>0.875354107648725</v>
      </c>
      <c r="L34" s="7" t="n">
        <v>0.521246458923513</v>
      </c>
      <c r="M34" s="7" t="n">
        <v>1.808</v>
      </c>
      <c r="N34" s="10" t="n">
        <v>0.3405</v>
      </c>
      <c r="O34" s="10" t="n">
        <v>0.07981220657277</v>
      </c>
      <c r="P34" s="10" t="n">
        <v>0.0842</v>
      </c>
      <c r="Q34" s="7" t="n">
        <v>2.444</v>
      </c>
      <c r="R34" s="10" t="n">
        <v>0.261</v>
      </c>
      <c r="S34" s="8" t="n">
        <v>1</v>
      </c>
      <c r="T34" s="6" t="n">
        <v>60.47</v>
      </c>
      <c r="U34" s="10" t="n">
        <v>0.5161</v>
      </c>
      <c r="V34" s="10" t="n">
        <v>0.4839</v>
      </c>
      <c r="W34" s="10" t="n">
        <v>-0.0372</v>
      </c>
      <c r="X34" s="6" t="n">
        <v>39</v>
      </c>
      <c r="Y34" s="7" t="n">
        <v>2.47</v>
      </c>
      <c r="Z34" s="6" t="n">
        <v>16.4</v>
      </c>
      <c r="AA34" s="9" t="n">
        <v>-0.0478</v>
      </c>
      <c r="AB34" s="9" t="n">
        <v>-0.2882</v>
      </c>
      <c r="AC34" s="8" t="n">
        <v>88</v>
      </c>
      <c r="AD34" s="10" t="n">
        <v>0.169</v>
      </c>
      <c r="AE34" s="8" t="n">
        <v>37</v>
      </c>
      <c r="AF34" s="10" t="n">
        <v>0.088</v>
      </c>
      <c r="AG34" s="8" t="n">
        <v>23</v>
      </c>
    </row>
  </sheetData>
  <autoFilter ref="A2:AG34"/>
  <conditionalFormatting sqref="H3:H34">
    <cfRule type="colorScale" priority="2">
      <colorScale>
        <cfvo type="percentile" val="5"/>
        <cfvo type="percentile" val="50"/>
        <cfvo type="percentile" val="95"/>
        <color rgb="FF63BE7B"/>
        <color rgb="FFFFEB84"/>
        <color rgb="FFF8696B"/>
      </colorScale>
    </cfRule>
  </conditionalFormatting>
  <conditionalFormatting sqref="I3:I34">
    <cfRule type="colorScale" priority="3">
      <colorScale>
        <cfvo type="percentile" val="5"/>
        <cfvo type="percentile" val="50"/>
        <cfvo type="percentile" val="95"/>
        <color rgb="FF63BE7B"/>
        <color rgb="FFFFEB84"/>
        <color rgb="FFF8696B"/>
      </colorScale>
    </cfRule>
  </conditionalFormatting>
  <conditionalFormatting sqref="N3:N34">
    <cfRule type="colorScale" priority="4">
      <colorScale>
        <cfvo type="percentile" val="5"/>
        <cfvo type="percentile" val="50"/>
        <cfvo type="percentile" val="95"/>
        <color rgb="FF63BE7B"/>
        <color rgb="FFFFEB84"/>
        <color rgb="FFF8696B"/>
      </colorScale>
    </cfRule>
  </conditionalFormatting>
  <conditionalFormatting sqref="O3:O34">
    <cfRule type="colorScale" priority="5">
      <colorScale>
        <cfvo type="percentile" val="5"/>
        <cfvo type="percentile" val="50"/>
        <cfvo type="percentile" val="95"/>
        <color rgb="FF63BE7B"/>
        <color rgb="FFFFEB84"/>
        <color rgb="FFF8696B"/>
      </colorScale>
    </cfRule>
  </conditionalFormatting>
  <conditionalFormatting sqref="P3:P34">
    <cfRule type="colorScale" priority="6">
      <colorScale>
        <cfvo type="percentile" val="5"/>
        <cfvo type="percentile" val="50"/>
        <cfvo type="percentile" val="95"/>
        <color rgb="FF63BE7B"/>
        <color rgb="FFFFEB84"/>
        <color rgb="FFF8696B"/>
      </colorScale>
    </cfRule>
  </conditionalFormatting>
  <conditionalFormatting sqref="X3:X34">
    <cfRule type="colorScale" priority="7">
      <colorScale>
        <cfvo type="percentile" val="5"/>
        <cfvo type="percentile" val="50"/>
        <cfvo type="percentile" val="95"/>
        <color rgb="FF63BE7B"/>
        <color rgb="FFFFEB84"/>
        <color rgb="FFF8696B"/>
      </colorScale>
    </cfRule>
  </conditionalFormatting>
  <conditionalFormatting sqref="C3:C34">
    <cfRule type="colorScale" priority="8">
      <colorScale>
        <cfvo type="percentile" val="5"/>
        <cfvo type="percentile" val="50"/>
        <cfvo type="percentile" val="95"/>
        <color rgb="FFF8696B"/>
        <color rgb="FFFFEB84"/>
        <color rgb="FF63BE7B"/>
      </colorScale>
    </cfRule>
  </conditionalFormatting>
  <conditionalFormatting sqref="J3:J34">
    <cfRule type="colorScale" priority="9">
      <colorScale>
        <cfvo type="percentile" val="5"/>
        <cfvo type="percentile" val="50"/>
        <cfvo type="percentile" val="95"/>
        <color rgb="FFF8696B"/>
        <color rgb="FFFFEB84"/>
        <color rgb="FF63BE7B"/>
      </colorScale>
    </cfRule>
  </conditionalFormatting>
  <conditionalFormatting sqref="K3:K34">
    <cfRule type="colorScale" priority="10">
      <colorScale>
        <cfvo type="percentile" val="5"/>
        <cfvo type="percentile" val="50"/>
        <cfvo type="percentile" val="95"/>
        <color rgb="FFF8696B"/>
        <color rgb="FFFFEB84"/>
        <color rgb="FF63BE7B"/>
      </colorScale>
    </cfRule>
  </conditionalFormatting>
  <conditionalFormatting sqref="L3:L34">
    <cfRule type="colorScale" priority="11">
      <colorScale>
        <cfvo type="percentile" val="5"/>
        <cfvo type="percentile" val="50"/>
        <cfvo type="percentile" val="95"/>
        <color rgb="FFF8696B"/>
        <color rgb="FFFFEB84"/>
        <color rgb="FF63BE7B"/>
      </colorScale>
    </cfRule>
  </conditionalFormatting>
  <conditionalFormatting sqref="M3:M34">
    <cfRule type="colorScale" priority="12">
      <colorScale>
        <cfvo type="percentile" val="5"/>
        <cfvo type="percentile" val="50"/>
        <cfvo type="percentile" val="95"/>
        <color rgb="FFF8696B"/>
        <color rgb="FFFFEB84"/>
        <color rgb="FF63BE7B"/>
      </colorScale>
    </cfRule>
  </conditionalFormatting>
  <conditionalFormatting sqref="D3:D34">
    <cfRule type="colorScale" priority="13">
      <colorScale>
        <cfvo type="percentile" val="5"/>
        <cfvo type="percentile" val="50"/>
        <cfvo type="percentile" val="95"/>
        <color rgb="FFF8696B"/>
        <color rgb="FFFFEB84"/>
        <color rgb="FF63BE7B"/>
      </colorScale>
    </cfRule>
  </conditionalFormatting>
  <conditionalFormatting sqref="E3:E34">
    <cfRule type="colorScale" priority="14">
      <colorScale>
        <cfvo type="percentile" val="5"/>
        <cfvo type="percentile" val="50"/>
        <cfvo type="percentile" val="95"/>
        <color rgb="FFF8696B"/>
        <color rgb="FFFFEB84"/>
        <color rgb="FF63BE7B"/>
      </colorScale>
    </cfRule>
  </conditionalFormatting>
  <conditionalFormatting sqref="F3:F34">
    <cfRule type="colorScale" priority="15">
      <colorScale>
        <cfvo type="percentile" val="5"/>
        <cfvo type="percentile" val="50"/>
        <cfvo type="percentile" val="95"/>
        <color rgb="FFF8696B"/>
        <color rgb="FFFFEB84"/>
        <color rgb="FF63BE7B"/>
      </colorScale>
    </cfRule>
  </conditionalFormatting>
  <conditionalFormatting sqref="Q3:Q34">
    <cfRule type="colorScale" priority="16">
      <colorScale>
        <cfvo type="percentile" val="5"/>
        <cfvo type="percentile" val="50"/>
        <cfvo type="percentile" val="95"/>
        <color rgb="FFF8696B"/>
        <color rgb="FFFFEB84"/>
        <color rgb="FF63BE7B"/>
      </colorScale>
    </cfRule>
  </conditionalFormatting>
  <conditionalFormatting sqref="R3:R34">
    <cfRule type="colorScale" priority="17">
      <colorScale>
        <cfvo type="percentile" val="5"/>
        <cfvo type="percentile" val="50"/>
        <cfvo type="percentile" val="95"/>
        <color rgb="FFF8696B"/>
        <color rgb="FFFFEB84"/>
        <color rgb="FF63BE7B"/>
      </colorScale>
    </cfRule>
  </conditionalFormatting>
  <conditionalFormatting sqref="S3:S34">
    <cfRule type="colorScale" priority="18">
      <colorScale>
        <cfvo type="percentile" val="5"/>
        <cfvo type="percentile" val="50"/>
        <cfvo type="percentile" val="95"/>
        <color rgb="FFF8696B"/>
        <color rgb="FFFFEB84"/>
        <color rgb="FF63BE7B"/>
      </colorScale>
    </cfRule>
  </conditionalFormatting>
  <conditionalFormatting sqref="T3:T34">
    <cfRule type="colorScale" priority="19">
      <colorScale>
        <cfvo type="percentile" val="5"/>
        <cfvo type="percentile" val="50"/>
        <cfvo type="percentile" val="95"/>
        <color rgb="FFF8696B"/>
        <color rgb="FFFFEB84"/>
        <color rgb="FF63BE7B"/>
      </colorScale>
    </cfRule>
  </conditionalFormatting>
  <conditionalFormatting sqref="B3:B34">
    <cfRule type="colorScale" priority="20">
      <colorScale>
        <cfvo type="percentile" val="5"/>
        <cfvo type="percentile" val="50"/>
        <cfvo type="percentile" val="95"/>
        <color rgb="FFF8696B"/>
        <color rgb="FFFFEB84"/>
        <color rgb="FF63BE7B"/>
      </colorScale>
    </cfRule>
  </conditionalFormatting>
  <conditionalFormatting sqref="Y3:Y34">
    <cfRule type="colorScale" priority="21">
      <colorScale>
        <cfvo type="percentile" val="5"/>
        <cfvo type="percentile" val="50"/>
        <cfvo type="percentile" val="95"/>
        <color rgb="FFF8696B"/>
        <color rgb="FFFFEB84"/>
        <color rgb="FF63BE7B"/>
      </colorScale>
    </cfRule>
  </conditionalFormatting>
  <conditionalFormatting sqref="Z3:Z34">
    <cfRule type="colorScale" priority="22">
      <colorScale>
        <cfvo type="percentile" val="5"/>
        <cfvo type="percentile" val="50"/>
        <cfvo type="percentile" val="95"/>
        <color rgb="FFF8696B"/>
        <color rgb="FFFFEB84"/>
        <color rgb="FF63BE7B"/>
      </colorScale>
    </cfRule>
  </conditionalFormatting>
  <conditionalFormatting sqref="AA3:AA34">
    <cfRule type="colorScale" priority="23">
      <colorScale>
        <cfvo type="percentile" val="5"/>
        <cfvo type="percentile" val="50"/>
        <cfvo type="percentile" val="95"/>
        <color rgb="FFF8696B"/>
        <color rgb="FFFFEB84"/>
        <color rgb="FF63BE7B"/>
      </colorScale>
    </cfRule>
  </conditionalFormatting>
  <conditionalFormatting sqref="AB3:AB34">
    <cfRule type="colorScale" priority="24">
      <colorScale>
        <cfvo type="percentile" val="5"/>
        <cfvo type="percentile" val="50"/>
        <cfvo type="percentile" val="95"/>
        <color rgb="FFF8696B"/>
        <color rgb="FFFFEB84"/>
        <color rgb="FF63BE7B"/>
      </colorScale>
    </cfRule>
  </conditionalFormatting>
  <conditionalFormatting sqref="AC3:AC34">
    <cfRule type="colorScale" priority="25">
      <colorScale>
        <cfvo type="percentile" val="5"/>
        <cfvo type="percentile" val="50"/>
        <cfvo type="percentile" val="95"/>
        <color rgb="FFF8696B"/>
        <color rgb="FFFFEB84"/>
        <color rgb="FF63BE7B"/>
      </colorScale>
    </cfRule>
  </conditionalFormatting>
  <conditionalFormatting sqref="AD3:AD34">
    <cfRule type="colorScale" priority="26">
      <colorScale>
        <cfvo type="percentile" val="5"/>
        <cfvo type="percentile" val="50"/>
        <cfvo type="percentile" val="95"/>
        <color rgb="FFF8696B"/>
        <color rgb="FFFFEB84"/>
        <color rgb="FF63BE7B"/>
      </colorScale>
    </cfRule>
  </conditionalFormatting>
  <conditionalFormatting sqref="AE3:AE34">
    <cfRule type="colorScale" priority="27">
      <colorScale>
        <cfvo type="percentile" val="5"/>
        <cfvo type="percentile" val="50"/>
        <cfvo type="percentile" val="95"/>
        <color rgb="FFF8696B"/>
        <color rgb="FFFFEB84"/>
        <color rgb="FF63BE7B"/>
      </colorScale>
    </cfRule>
  </conditionalFormatting>
  <conditionalFormatting sqref="AF3:AF34">
    <cfRule type="colorScale" priority="28">
      <colorScale>
        <cfvo type="percentile" val="5"/>
        <cfvo type="percentile" val="50"/>
        <cfvo type="percentile" val="95"/>
        <color rgb="FFF8696B"/>
        <color rgb="FFFFEB84"/>
        <color rgb="FF63BE7B"/>
      </colorScale>
    </cfRule>
  </conditionalFormatting>
  <conditionalFormatting sqref="AG3:AG34">
    <cfRule type="colorScale" priority="29">
      <colorScale>
        <cfvo type="percentile" val="5"/>
        <cfvo type="percentile" val="50"/>
        <cfvo type="percentile" val="95"/>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R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14" t="s">
        <v>670</v>
      </c>
      <c r="B1" s="14" t="s">
        <v>671</v>
      </c>
      <c r="C1" s="14" t="s">
        <v>672</v>
      </c>
      <c r="D1" s="14" t="s">
        <v>673</v>
      </c>
      <c r="E1" s="14" t="s">
        <v>674</v>
      </c>
      <c r="F1" s="14" t="s">
        <v>675</v>
      </c>
      <c r="G1" s="14" t="s">
        <v>676</v>
      </c>
      <c r="H1" s="14" t="s">
        <v>677</v>
      </c>
      <c r="I1" s="14" t="s">
        <v>678</v>
      </c>
      <c r="J1" s="14" t="s">
        <v>679</v>
      </c>
      <c r="K1" s="14" t="s">
        <v>680</v>
      </c>
      <c r="L1" s="14" t="s">
        <v>681</v>
      </c>
      <c r="M1" s="14" t="s">
        <v>682</v>
      </c>
      <c r="N1" s="14" t="s">
        <v>683</v>
      </c>
      <c r="O1" s="14" t="s">
        <v>684</v>
      </c>
      <c r="P1" s="14" t="s">
        <v>685</v>
      </c>
      <c r="Q1" s="14" t="s">
        <v>686</v>
      </c>
      <c r="R1" s="14" t="s">
        <v>687</v>
      </c>
      <c r="S1" s="14" t="s">
        <v>688</v>
      </c>
      <c r="T1" s="14" t="s">
        <v>689</v>
      </c>
      <c r="U1" s="14" t="s">
        <v>690</v>
      </c>
      <c r="V1" s="14" t="s">
        <v>691</v>
      </c>
      <c r="W1" s="14" t="s">
        <v>692</v>
      </c>
      <c r="X1" s="14" t="s">
        <v>693</v>
      </c>
      <c r="Y1" s="14" t="s">
        <v>694</v>
      </c>
      <c r="Z1" s="14" t="s">
        <v>695</v>
      </c>
      <c r="AA1" s="14" t="s">
        <v>696</v>
      </c>
      <c r="AB1" s="14" t="s">
        <v>697</v>
      </c>
      <c r="AC1" s="14" t="s">
        <v>698</v>
      </c>
      <c r="AD1" s="14" t="s">
        <v>699</v>
      </c>
      <c r="AE1" s="14" t="s">
        <v>700</v>
      </c>
      <c r="AF1" s="14" t="s">
        <v>701</v>
      </c>
      <c r="AG1" s="14" t="s">
        <v>702</v>
      </c>
      <c r="AH1" s="14" t="s">
        <v>703</v>
      </c>
      <c r="AI1" s="14" t="s">
        <v>704</v>
      </c>
      <c r="AJ1" s="14" t="s">
        <v>705</v>
      </c>
      <c r="AK1" s="14" t="s">
        <v>706</v>
      </c>
      <c r="AL1" s="14" t="s">
        <v>707</v>
      </c>
      <c r="AM1" s="14" t="s">
        <v>708</v>
      </c>
      <c r="AN1" s="14" t="s">
        <v>709</v>
      </c>
      <c r="AO1" s="14" t="s">
        <v>710</v>
      </c>
      <c r="AP1" s="14" t="s">
        <v>711</v>
      </c>
      <c r="AQ1" s="14" t="s">
        <v>712</v>
      </c>
      <c r="AR1" s="14" t="s">
        <v>713</v>
      </c>
      <c r="AS1" s="14" t="s">
        <v>714</v>
      </c>
      <c r="AT1" s="14" t="s">
        <v>715</v>
      </c>
      <c r="AU1" s="14" t="s">
        <v>716</v>
      </c>
      <c r="AV1" s="14" t="s">
        <v>717</v>
      </c>
      <c r="AW1" s="14" t="s">
        <v>718</v>
      </c>
      <c r="AX1" s="14" t="s">
        <v>719</v>
      </c>
      <c r="AY1" s="14" t="s">
        <v>720</v>
      </c>
      <c r="AZ1" s="14" t="s">
        <v>721</v>
      </c>
      <c r="BA1" s="14" t="s">
        <v>722</v>
      </c>
      <c r="BB1" s="14" t="s">
        <v>723</v>
      </c>
      <c r="BC1" s="14" t="s">
        <v>724</v>
      </c>
      <c r="BD1" s="14" t="s">
        <v>725</v>
      </c>
      <c r="BE1" s="14" t="s">
        <v>726</v>
      </c>
      <c r="BF1" s="14" t="s">
        <v>727</v>
      </c>
      <c r="BG1" s="14" t="s">
        <v>728</v>
      </c>
      <c r="BH1" s="14" t="s">
        <v>729</v>
      </c>
      <c r="BI1" s="14" t="s">
        <v>730</v>
      </c>
      <c r="BJ1" s="14" t="s">
        <v>731</v>
      </c>
      <c r="BK1" s="14" t="s">
        <v>732</v>
      </c>
      <c r="BL1" s="14" t="s">
        <v>733</v>
      </c>
      <c r="BM1" s="14" t="s">
        <v>734</v>
      </c>
      <c r="BN1" s="14" t="s">
        <v>735</v>
      </c>
      <c r="BO1" s="14" t="s">
        <v>736</v>
      </c>
      <c r="BP1" s="14" t="s">
        <v>737</v>
      </c>
      <c r="BQ1" s="14" t="s">
        <v>738</v>
      </c>
      <c r="BR1" s="14" t="s">
        <v>739</v>
      </c>
      <c r="BS1" s="14" t="s">
        <v>740</v>
      </c>
      <c r="BT1" s="14" t="s">
        <v>741</v>
      </c>
      <c r="BU1" s="14" t="s">
        <v>742</v>
      </c>
      <c r="BV1" s="14" t="s">
        <v>743</v>
      </c>
      <c r="BW1" s="14" t="s">
        <v>744</v>
      </c>
      <c r="BX1" s="14" t="s">
        <v>745</v>
      </c>
      <c r="BY1" s="14" t="s">
        <v>746</v>
      </c>
      <c r="BZ1" s="14" t="s">
        <v>747</v>
      </c>
      <c r="CA1" s="14" t="s">
        <v>748</v>
      </c>
      <c r="CB1" s="14" t="s">
        <v>749</v>
      </c>
      <c r="CC1" s="14" t="s">
        <v>750</v>
      </c>
      <c r="CD1" s="14" t="s">
        <v>751</v>
      </c>
      <c r="CE1" s="14" t="s">
        <v>752</v>
      </c>
      <c r="CF1" s="14" t="s">
        <v>753</v>
      </c>
      <c r="CG1" s="14" t="s">
        <v>754</v>
      </c>
      <c r="CH1" s="14" t="s">
        <v>755</v>
      </c>
      <c r="CI1" s="14" t="s">
        <v>756</v>
      </c>
      <c r="CJ1" s="14" t="s">
        <v>757</v>
      </c>
      <c r="CK1" s="14" t="s">
        <v>758</v>
      </c>
      <c r="CL1" s="14" t="s">
        <v>759</v>
      </c>
      <c r="CM1" s="14" t="s">
        <v>760</v>
      </c>
      <c r="CN1" s="14" t="s">
        <v>761</v>
      </c>
      <c r="CO1" s="14" t="s">
        <v>762</v>
      </c>
      <c r="CP1" s="14" t="s">
        <v>763</v>
      </c>
      <c r="CQ1" s="14" t="s">
        <v>764</v>
      </c>
      <c r="CR1" s="14" t="s">
        <v>765</v>
      </c>
      <c r="CS1" s="14" t="s">
        <v>766</v>
      </c>
      <c r="CT1" s="14" t="s">
        <v>767</v>
      </c>
      <c r="CU1" s="14" t="s">
        <v>768</v>
      </c>
      <c r="CV1" s="14" t="s">
        <v>769</v>
      </c>
      <c r="CW1" s="14" t="s">
        <v>770</v>
      </c>
      <c r="CX1" s="14" t="s">
        <v>771</v>
      </c>
      <c r="CY1" s="14" t="s">
        <v>772</v>
      </c>
      <c r="CZ1" s="14" t="s">
        <v>773</v>
      </c>
      <c r="DA1" s="14" t="s">
        <v>774</v>
      </c>
      <c r="DB1" s="14" t="s">
        <v>775</v>
      </c>
      <c r="DC1" s="14" t="s">
        <v>776</v>
      </c>
      <c r="DD1" s="14" t="s">
        <v>777</v>
      </c>
      <c r="DE1" s="14" t="s">
        <v>778</v>
      </c>
      <c r="DF1" s="14" t="s">
        <v>779</v>
      </c>
      <c r="DG1" s="14" t="s">
        <v>780</v>
      </c>
      <c r="DH1" s="14" t="s">
        <v>781</v>
      </c>
      <c r="DI1" s="14" t="s">
        <v>782</v>
      </c>
      <c r="DJ1" s="14" t="s">
        <v>783</v>
      </c>
      <c r="DK1" s="14" t="s">
        <v>784</v>
      </c>
      <c r="DL1" s="14" t="s">
        <v>785</v>
      </c>
      <c r="DM1" s="14" t="s">
        <v>786</v>
      </c>
      <c r="DN1" s="14" t="s">
        <v>787</v>
      </c>
      <c r="DO1" s="14" t="s">
        <v>788</v>
      </c>
      <c r="DP1" s="14" t="s">
        <v>789</v>
      </c>
      <c r="DQ1" s="14" t="s">
        <v>790</v>
      </c>
      <c r="DR1" s="14" t="s">
        <v>791</v>
      </c>
      <c r="DS1" s="14" t="s">
        <v>792</v>
      </c>
      <c r="DT1" s="14" t="s">
        <v>793</v>
      </c>
      <c r="DU1" s="14" t="s">
        <v>794</v>
      </c>
      <c r="DV1" s="14" t="s">
        <v>795</v>
      </c>
      <c r="DW1" s="14" t="s">
        <v>796</v>
      </c>
      <c r="DX1" s="14" t="s">
        <v>797</v>
      </c>
      <c r="DY1" s="14" t="s">
        <v>798</v>
      </c>
      <c r="DZ1" s="14" t="s">
        <v>799</v>
      </c>
      <c r="EA1" s="14" t="s">
        <v>800</v>
      </c>
      <c r="EB1" s="14" t="s">
        <v>801</v>
      </c>
      <c r="EC1" s="14" t="s">
        <v>802</v>
      </c>
      <c r="ED1" s="14" t="s">
        <v>803</v>
      </c>
      <c r="EE1" s="14" t="s">
        <v>804</v>
      </c>
      <c r="EF1" s="14" t="s">
        <v>805</v>
      </c>
      <c r="EG1" s="14" t="s">
        <v>806</v>
      </c>
      <c r="EH1" s="14" t="s">
        <v>807</v>
      </c>
      <c r="EI1" s="14" t="s">
        <v>808</v>
      </c>
      <c r="EJ1" s="14" t="s">
        <v>809</v>
      </c>
      <c r="EK1" s="14" t="s">
        <v>810</v>
      </c>
      <c r="EL1" s="14" t="s">
        <v>811</v>
      </c>
      <c r="EM1" s="14" t="s">
        <v>812</v>
      </c>
      <c r="EN1" s="14" t="s">
        <v>813</v>
      </c>
      <c r="EO1" s="14" t="s">
        <v>814</v>
      </c>
      <c r="EP1" s="14" t="s">
        <v>815</v>
      </c>
      <c r="EQ1" s="14" t="s">
        <v>816</v>
      </c>
      <c r="ER1" s="14" t="s">
        <v>817</v>
      </c>
      <c r="ES1" s="14" t="s">
        <v>818</v>
      </c>
      <c r="ET1" s="14" t="s">
        <v>819</v>
      </c>
      <c r="EU1" s="14" t="s">
        <v>820</v>
      </c>
      <c r="EV1" s="14" t="s">
        <v>821</v>
      </c>
      <c r="EW1" s="14" t="s">
        <v>822</v>
      </c>
      <c r="EX1" s="14" t="s">
        <v>823</v>
      </c>
      <c r="EY1" s="14" t="s">
        <v>824</v>
      </c>
      <c r="EZ1" s="14" t="s">
        <v>825</v>
      </c>
      <c r="FA1" s="14" t="s">
        <v>826</v>
      </c>
      <c r="FB1" s="14" t="s">
        <v>827</v>
      </c>
      <c r="FC1" s="14" t="s">
        <v>828</v>
      </c>
      <c r="FD1" s="14" t="s">
        <v>829</v>
      </c>
      <c r="FE1" s="14" t="s">
        <v>830</v>
      </c>
      <c r="FF1" s="14" t="s">
        <v>831</v>
      </c>
      <c r="FG1" s="14" t="s">
        <v>832</v>
      </c>
      <c r="FH1" s="14" t="s">
        <v>833</v>
      </c>
      <c r="FI1" s="14" t="s">
        <v>834</v>
      </c>
      <c r="FJ1" s="14" t="s">
        <v>835</v>
      </c>
      <c r="FK1" s="14" t="s">
        <v>836</v>
      </c>
      <c r="FL1" s="14" t="s">
        <v>837</v>
      </c>
      <c r="FM1" s="14" t="s">
        <v>838</v>
      </c>
      <c r="FN1" s="14" t="s">
        <v>839</v>
      </c>
      <c r="FO1" s="14" t="s">
        <v>840</v>
      </c>
      <c r="FP1" s="14" t="s">
        <v>841</v>
      </c>
      <c r="FQ1" s="14" t="s">
        <v>842</v>
      </c>
      <c r="FR1" s="14" t="s">
        <v>843</v>
      </c>
      <c r="FS1" s="14" t="s">
        <v>844</v>
      </c>
      <c r="FT1" s="14" t="s">
        <v>845</v>
      </c>
      <c r="FU1" s="14" t="s">
        <v>846</v>
      </c>
      <c r="FV1" s="14" t="s">
        <v>847</v>
      </c>
      <c r="FW1" s="14" t="s">
        <v>848</v>
      </c>
      <c r="FX1" s="14" t="s">
        <v>849</v>
      </c>
      <c r="FY1" s="14" t="s">
        <v>850</v>
      </c>
      <c r="FZ1" s="14" t="s">
        <v>851</v>
      </c>
      <c r="GA1" s="14" t="s">
        <v>852</v>
      </c>
      <c r="GB1" s="14" t="s">
        <v>853</v>
      </c>
      <c r="GC1" s="14" t="s">
        <v>854</v>
      </c>
      <c r="GD1" s="14" t="s">
        <v>855</v>
      </c>
      <c r="GE1" s="14" t="s">
        <v>856</v>
      </c>
      <c r="GF1" s="14" t="s">
        <v>857</v>
      </c>
      <c r="GG1" s="14" t="s">
        <v>858</v>
      </c>
      <c r="GH1" s="14" t="s">
        <v>859</v>
      </c>
      <c r="GI1" s="14" t="s">
        <v>860</v>
      </c>
      <c r="GJ1" s="14" t="s">
        <v>861</v>
      </c>
      <c r="GK1" s="14" t="s">
        <v>862</v>
      </c>
      <c r="GL1" s="14" t="s">
        <v>863</v>
      </c>
      <c r="GM1" s="14" t="s">
        <v>864</v>
      </c>
      <c r="GN1" s="14" t="s">
        <v>865</v>
      </c>
      <c r="GO1" s="14" t="s">
        <v>866</v>
      </c>
      <c r="GP1" s="14" t="s">
        <v>867</v>
      </c>
      <c r="GQ1" s="14" t="s">
        <v>868</v>
      </c>
      <c r="GR1" s="14" t="s">
        <v>869</v>
      </c>
      <c r="GS1" s="14" t="s">
        <v>870</v>
      </c>
      <c r="GT1" s="14" t="s">
        <v>871</v>
      </c>
      <c r="GU1" s="14" t="s">
        <v>872</v>
      </c>
      <c r="GV1" s="14" t="s">
        <v>873</v>
      </c>
      <c r="GW1" s="14" t="s">
        <v>874</v>
      </c>
      <c r="GX1" s="14" t="s">
        <v>875</v>
      </c>
      <c r="GY1" s="14" t="s">
        <v>876</v>
      </c>
      <c r="GZ1" s="14" t="s">
        <v>877</v>
      </c>
      <c r="HA1" s="14" t="s">
        <v>878</v>
      </c>
      <c r="HB1" s="14" t="s">
        <v>879</v>
      </c>
      <c r="HC1" s="14" t="s">
        <v>880</v>
      </c>
      <c r="HD1" s="14" t="s">
        <v>881</v>
      </c>
      <c r="HE1" s="14" t="s">
        <v>882</v>
      </c>
      <c r="HF1" s="14" t="s">
        <v>883</v>
      </c>
      <c r="HG1" s="14" t="s">
        <v>884</v>
      </c>
      <c r="HH1" s="14" t="s">
        <v>885</v>
      </c>
      <c r="HI1" s="14" t="s">
        <v>886</v>
      </c>
      <c r="HJ1" s="14" t="s">
        <v>887</v>
      </c>
      <c r="HK1" s="14" t="s">
        <v>888</v>
      </c>
      <c r="HL1" s="14" t="s">
        <v>889</v>
      </c>
      <c r="HM1" s="14" t="s">
        <v>890</v>
      </c>
      <c r="HN1" s="14" t="s">
        <v>891</v>
      </c>
      <c r="HO1" s="14" t="s">
        <v>892</v>
      </c>
      <c r="HP1" s="14" t="s">
        <v>893</v>
      </c>
      <c r="HQ1" s="14" t="s">
        <v>894</v>
      </c>
      <c r="HR1" s="14" t="s">
        <v>895</v>
      </c>
    </row>
    <row r="2" customFormat="false" ht="15" hidden="false" customHeight="false" outlineLevel="0" collapsed="false">
      <c r="A2" s="0" t="s">
        <v>896</v>
      </c>
      <c r="B2" s="0" t="s">
        <v>897</v>
      </c>
      <c r="C2" s="0" t="s">
        <v>898</v>
      </c>
      <c r="D2" s="0" t="s">
        <v>98</v>
      </c>
      <c r="E2" s="0" t="n">
        <v>19788</v>
      </c>
      <c r="F2" s="0" t="s">
        <v>99</v>
      </c>
      <c r="G2" s="0" t="n">
        <v>1.67</v>
      </c>
      <c r="H2" s="0" t="n">
        <v>0.96</v>
      </c>
      <c r="I2" s="0" t="n">
        <v>1</v>
      </c>
      <c r="J2" s="0" t="n">
        <v>4</v>
      </c>
      <c r="L2" s="0" t="s">
        <v>899</v>
      </c>
      <c r="O2" s="0" t="n">
        <v>99.5</v>
      </c>
      <c r="U2" s="0" t="n">
        <v>6</v>
      </c>
      <c r="V2" s="0" t="s">
        <v>900</v>
      </c>
      <c r="W2" s="0" t="s">
        <v>901</v>
      </c>
      <c r="X2" s="0" t="s">
        <v>101</v>
      </c>
      <c r="Y2" s="0" t="s">
        <v>902</v>
      </c>
      <c r="Z2" s="0" t="n">
        <v>19788</v>
      </c>
      <c r="AA2" s="0" t="s">
        <v>903</v>
      </c>
      <c r="AB2" s="0" t="s">
        <v>904</v>
      </c>
      <c r="AC2" s="0" t="s">
        <v>101</v>
      </c>
      <c r="AD2" s="0" t="s">
        <v>101</v>
      </c>
      <c r="AE2" s="0" t="s">
        <v>101</v>
      </c>
      <c r="AF2" s="0" t="s">
        <v>101</v>
      </c>
      <c r="AG2" s="0" t="s">
        <v>101</v>
      </c>
      <c r="AH2" s="0" t="s">
        <v>905</v>
      </c>
      <c r="AI2" s="0" t="n">
        <v>1</v>
      </c>
      <c r="AJ2" s="0" t="s">
        <v>99</v>
      </c>
      <c r="AK2" s="0" t="n">
        <v>1</v>
      </c>
      <c r="AL2" s="0" t="n">
        <v>1</v>
      </c>
      <c r="AM2" s="0" t="s">
        <v>100</v>
      </c>
      <c r="AN2" s="0" t="n">
        <v>0</v>
      </c>
      <c r="AO2" s="0" t="n">
        <v>0</v>
      </c>
      <c r="AP2" s="0" t="n">
        <v>0</v>
      </c>
      <c r="AQ2" s="0" t="n">
        <v>0</v>
      </c>
      <c r="AR2" s="0" t="n">
        <v>0</v>
      </c>
      <c r="AS2" s="0" t="n">
        <v>0</v>
      </c>
      <c r="AT2" s="0" t="n">
        <v>0</v>
      </c>
      <c r="AU2" s="0" t="n">
        <v>0</v>
      </c>
      <c r="AV2" s="0" t="n">
        <v>0</v>
      </c>
      <c r="AW2" s="0" t="n">
        <v>3</v>
      </c>
      <c r="AX2" s="0" t="n">
        <v>14</v>
      </c>
      <c r="AY2" s="0" t="n">
        <v>0</v>
      </c>
      <c r="AZ2" s="0" t="n">
        <v>0</v>
      </c>
      <c r="BA2" s="0" t="n">
        <v>0.122863875236362</v>
      </c>
      <c r="BB2" s="0" t="n">
        <v>0</v>
      </c>
      <c r="BC2" s="0" t="n">
        <v>125</v>
      </c>
      <c r="BD2" s="0" t="n">
        <v>185</v>
      </c>
      <c r="BE2" s="0" t="n">
        <v>1412</v>
      </c>
      <c r="BF2" s="0" t="n">
        <v>8</v>
      </c>
      <c r="BG2" s="0" t="n">
        <v>1570</v>
      </c>
      <c r="BH2" s="0" t="n">
        <v>640</v>
      </c>
      <c r="BI2" s="0" t="n">
        <v>73</v>
      </c>
      <c r="BJ2" s="0" t="n">
        <v>41.3794737437568</v>
      </c>
      <c r="BK2" s="0" t="n">
        <v>1</v>
      </c>
      <c r="BL2" s="0" t="n">
        <v>0</v>
      </c>
      <c r="BM2" s="0" t="n">
        <v>188.6</v>
      </c>
      <c r="BN2" s="0" t="n">
        <v>313.6</v>
      </c>
      <c r="BO2" s="0" t="n">
        <v>16</v>
      </c>
      <c r="BP2" s="0" t="s">
        <v>101</v>
      </c>
      <c r="BQ2" s="0" t="n">
        <v>1</v>
      </c>
      <c r="BR2" s="0" t="n">
        <v>251.1</v>
      </c>
      <c r="BS2" s="0" t="n">
        <v>0.3043</v>
      </c>
      <c r="BT2" s="0" t="n">
        <v>0.0079</v>
      </c>
      <c r="BU2" s="0" t="n">
        <v>0.3439</v>
      </c>
      <c r="BV2" s="0" t="n">
        <v>0.3223</v>
      </c>
      <c r="BW2" s="0" t="n">
        <v>0.0084</v>
      </c>
      <c r="BX2" s="0" t="n">
        <v>0.3712</v>
      </c>
      <c r="BY2" s="0" t="n">
        <v>0.7433</v>
      </c>
      <c r="BZ2" s="0" t="n">
        <v>16</v>
      </c>
      <c r="CA2" s="0" t="n">
        <v>9.88</v>
      </c>
      <c r="CB2" s="0" t="n">
        <v>28.02</v>
      </c>
      <c r="CC2" s="0" t="n">
        <v>20.5</v>
      </c>
      <c r="CD2" s="0" t="n">
        <v>10.26</v>
      </c>
      <c r="CE2" s="0" t="n">
        <v>9</v>
      </c>
      <c r="CF2" s="0" t="n">
        <v>0</v>
      </c>
      <c r="CG2" s="0" t="n">
        <v>16</v>
      </c>
      <c r="CH2" s="0" t="n">
        <v>0.562</v>
      </c>
      <c r="CI2" s="0" t="n">
        <v>0</v>
      </c>
      <c r="CJ2" s="0" t="n">
        <v>0.501</v>
      </c>
      <c r="CK2" s="0" t="n">
        <v>22</v>
      </c>
      <c r="CL2" s="0" t="n">
        <v>8</v>
      </c>
      <c r="CM2" s="0" t="n">
        <v>2</v>
      </c>
      <c r="CN2" s="0" t="n">
        <v>8</v>
      </c>
      <c r="CO2" s="0" t="n">
        <v>7.50261611837635</v>
      </c>
      <c r="CP2" s="0" t="n">
        <v>0</v>
      </c>
      <c r="CQ2" s="0" t="n">
        <v>0</v>
      </c>
      <c r="CR2" s="0" t="n">
        <v>0</v>
      </c>
      <c r="CS2" s="0" t="n">
        <v>0</v>
      </c>
      <c r="CT2" s="0" t="n">
        <v>0.0231147313625367</v>
      </c>
      <c r="CU2" s="0" t="n">
        <v>22</v>
      </c>
      <c r="CV2" s="0" t="n">
        <v>8</v>
      </c>
      <c r="CW2" s="0" t="n">
        <v>2</v>
      </c>
      <c r="CX2" s="0" t="n">
        <v>8</v>
      </c>
      <c r="CY2" s="0" t="n">
        <v>7.53</v>
      </c>
      <c r="CZ2" s="0" t="n">
        <v>0.47</v>
      </c>
      <c r="DA2" s="0" t="n">
        <v>3.17336315809628</v>
      </c>
      <c r="DB2" s="0" t="n">
        <v>5.72634285714286</v>
      </c>
      <c r="DC2" s="0" t="n">
        <v>8.42351351351351</v>
      </c>
      <c r="DD2" s="0" t="n">
        <v>34.1003831602074</v>
      </c>
      <c r="DE2" s="0" t="n">
        <v>1.30842801771353</v>
      </c>
      <c r="DF2" s="0" t="n">
        <v>67.5675675675676</v>
      </c>
      <c r="DM2" s="0" t="s">
        <v>906</v>
      </c>
      <c r="DN2" s="0" t="n">
        <v>3</v>
      </c>
      <c r="DO2" s="0" t="n">
        <v>0</v>
      </c>
      <c r="DS2" s="0" t="n">
        <v>185</v>
      </c>
      <c r="DT2" s="0" t="n">
        <v>6</v>
      </c>
      <c r="DU2" s="0" t="n">
        <v>4</v>
      </c>
      <c r="DV2" s="0" t="n">
        <v>6.176</v>
      </c>
      <c r="DW2" s="0" t="n">
        <v>5.12</v>
      </c>
      <c r="DX2" s="0" t="n">
        <v>8.5</v>
      </c>
      <c r="DY2" s="0" t="n">
        <v>0.0216</v>
      </c>
      <c r="DZ2" s="0" t="n">
        <v>987</v>
      </c>
      <c r="EA2" s="0" t="n">
        <v>0.944</v>
      </c>
      <c r="EB2" s="0" t="n">
        <v>16</v>
      </c>
      <c r="EC2" s="0" t="s">
        <v>907</v>
      </c>
      <c r="ED2" s="0" t="n">
        <v>2021</v>
      </c>
      <c r="EE2" s="0" t="n">
        <v>1</v>
      </c>
      <c r="EF2" s="0" t="n">
        <v>5</v>
      </c>
      <c r="EG2" s="0" t="n">
        <v>2021</v>
      </c>
      <c r="EH2" s="0" t="n">
        <v>2026</v>
      </c>
      <c r="EI2" s="0" t="n">
        <v>6</v>
      </c>
      <c r="EJ2" s="0" t="n">
        <v>72</v>
      </c>
      <c r="EK2" s="0" t="n">
        <v>205</v>
      </c>
      <c r="EL2" s="0" t="s">
        <v>908</v>
      </c>
      <c r="EM2" s="0" t="n">
        <v>26.5</v>
      </c>
      <c r="EN2" s="15" t="b">
        <f aca="false">FALSE()</f>
        <v>0</v>
      </c>
      <c r="EO2" s="0" t="n">
        <v>334</v>
      </c>
      <c r="EP2" s="0" t="n">
        <v>3.15059880239521</v>
      </c>
      <c r="EQ2" s="0" t="n">
        <v>0.110778443113773</v>
      </c>
      <c r="ER2" s="0" t="n">
        <v>1.15269461077844</v>
      </c>
      <c r="ES2" s="0" t="n">
        <v>0.583832335329341</v>
      </c>
      <c r="ET2" s="0" t="n">
        <v>35</v>
      </c>
      <c r="EU2" s="0" t="n">
        <v>23</v>
      </c>
      <c r="EV2" s="0" t="n">
        <v>4.33532934131737</v>
      </c>
      <c r="EW2" s="0" t="n">
        <v>0.657142857142857</v>
      </c>
      <c r="EX2" s="0" t="n">
        <v>2.88704171718939</v>
      </c>
      <c r="EY2" s="0" t="n">
        <v>3.212</v>
      </c>
      <c r="EZ2" s="0" t="n">
        <v>0.1072</v>
      </c>
      <c r="FA2" s="0" t="n">
        <v>2.249</v>
      </c>
      <c r="FB2" s="0" t="n">
        <v>1.927</v>
      </c>
      <c r="FC2" s="0" t="n">
        <v>22</v>
      </c>
      <c r="FD2" s="0" t="n">
        <v>687</v>
      </c>
      <c r="FE2" s="0" t="n">
        <v>0.0524017467248908</v>
      </c>
      <c r="FF2" s="0" t="n">
        <v>0.0527</v>
      </c>
      <c r="FG2" s="0" t="n">
        <v>0.2234</v>
      </c>
      <c r="FH2" s="0" t="n">
        <v>2.22</v>
      </c>
      <c r="FI2" s="0" t="n">
        <v>1049</v>
      </c>
      <c r="FJ2" s="0" t="n">
        <v>0.645376549094376</v>
      </c>
      <c r="FK2" s="0" t="n">
        <v>17</v>
      </c>
      <c r="FL2" s="0" t="n">
        <v>61.71</v>
      </c>
      <c r="FM2" s="0" t="n">
        <v>0.6322</v>
      </c>
      <c r="FN2" s="0" t="n">
        <v>0.3678</v>
      </c>
      <c r="FO2" s="0" t="n">
        <v>0.0172</v>
      </c>
      <c r="FP2" s="0" t="n">
        <v>0.0246</v>
      </c>
      <c r="FQ2" s="0" t="n">
        <v>-0.0266</v>
      </c>
      <c r="FR2" s="0" t="n">
        <v>38</v>
      </c>
      <c r="FS2" s="0" t="n">
        <v>56</v>
      </c>
      <c r="FT2" s="0" t="n">
        <v>3.29</v>
      </c>
      <c r="FU2" s="0" t="n">
        <v>24.4</v>
      </c>
      <c r="FV2" s="0" t="n">
        <v>5575</v>
      </c>
      <c r="FW2" s="0" t="n">
        <v>5552</v>
      </c>
      <c r="FX2" s="0" t="n">
        <v>0.996</v>
      </c>
      <c r="FY2" s="0" t="n">
        <v>5</v>
      </c>
      <c r="FZ2" s="0" t="n">
        <v>5</v>
      </c>
      <c r="GA2" s="0" t="n">
        <v>0.739940369212519</v>
      </c>
      <c r="GB2" s="0" t="n">
        <v>63.4</v>
      </c>
      <c r="GC2" s="0" t="n">
        <v>53</v>
      </c>
      <c r="GD2" s="0" t="n">
        <v>60.4</v>
      </c>
      <c r="GE2" s="0" t="n">
        <v>608</v>
      </c>
      <c r="GF2" s="0" t="n">
        <v>381</v>
      </c>
      <c r="GG2" s="0" t="n">
        <v>41</v>
      </c>
      <c r="GH2" s="0" t="n">
        <v>9</v>
      </c>
      <c r="GI2" s="0" t="n">
        <v>137</v>
      </c>
      <c r="GJ2" s="0" t="n">
        <v>6</v>
      </c>
      <c r="GK2" s="0" t="n">
        <v>0.067</v>
      </c>
      <c r="GL2" s="0" t="n">
        <v>0.024</v>
      </c>
      <c r="GM2" s="0" t="n">
        <v>0.044</v>
      </c>
      <c r="GN2" s="0" t="n">
        <v>19.6</v>
      </c>
      <c r="GO2" s="0" t="n">
        <v>15.694</v>
      </c>
      <c r="GP2" s="0" t="n">
        <v>11.788</v>
      </c>
      <c r="GQ2" s="0" t="n">
        <v>11.562</v>
      </c>
      <c r="GR2" s="0" t="n">
        <v>0.188</v>
      </c>
      <c r="GS2" s="0" t="n">
        <v>188</v>
      </c>
      <c r="GT2" s="0" t="n">
        <v>1.668</v>
      </c>
      <c r="GU2" s="0" t="n">
        <v>0.318</v>
      </c>
      <c r="GV2" s="0" t="n">
        <v>7.632</v>
      </c>
      <c r="GW2" s="0" t="n">
        <v>11.296</v>
      </c>
      <c r="GX2" s="0" t="n">
        <v>0.676</v>
      </c>
      <c r="GZ2" s="0" t="n">
        <v>8.486</v>
      </c>
      <c r="HA2" s="0" t="n">
        <v>5.12</v>
      </c>
      <c r="HB2" s="0" t="n">
        <v>0.899</v>
      </c>
      <c r="HC2" s="0" t="n">
        <v>0.043</v>
      </c>
      <c r="HE2" s="0" t="n">
        <v>0.224</v>
      </c>
      <c r="HG2" s="0" t="n">
        <v>1.67</v>
      </c>
      <c r="HH2" s="0" t="n">
        <v>0.96</v>
      </c>
      <c r="HI2" s="0" t="n">
        <v>1</v>
      </c>
      <c r="HJ2" s="0" t="n">
        <v>4</v>
      </c>
      <c r="HK2" s="0" t="s">
        <v>909</v>
      </c>
      <c r="HL2" s="0" t="n">
        <v>0</v>
      </c>
      <c r="HM2" s="0" t="n">
        <v>4</v>
      </c>
      <c r="HN2" s="0" t="n">
        <v>1</v>
      </c>
      <c r="HO2" s="0" t="n">
        <v>-0.105</v>
      </c>
      <c r="HP2" s="0" t="n">
        <v>3</v>
      </c>
      <c r="HQ2" s="0" t="n">
        <v>-0.061</v>
      </c>
      <c r="HR2" s="0" t="s">
        <v>102</v>
      </c>
    </row>
    <row r="3" customFormat="false" ht="15" hidden="false" customHeight="false" outlineLevel="0" collapsed="false">
      <c r="A3" s="0" t="s">
        <v>896</v>
      </c>
      <c r="B3" s="0" t="s">
        <v>897</v>
      </c>
      <c r="C3" s="0" t="s">
        <v>898</v>
      </c>
      <c r="D3" s="0" t="s">
        <v>103</v>
      </c>
      <c r="E3" s="0" t="n">
        <v>22968</v>
      </c>
      <c r="F3" s="0" t="s">
        <v>104</v>
      </c>
      <c r="G3" s="0" t="n">
        <v>3.01</v>
      </c>
      <c r="H3" s="0" t="n">
        <v>1.65</v>
      </c>
      <c r="I3" s="0" t="n">
        <v>1</v>
      </c>
      <c r="J3" s="0" t="n">
        <v>7</v>
      </c>
      <c r="L3" s="0" t="s">
        <v>910</v>
      </c>
      <c r="O3" s="0" t="n">
        <v>99.5</v>
      </c>
      <c r="U3" s="0" t="n">
        <v>6</v>
      </c>
      <c r="V3" s="0" t="s">
        <v>103</v>
      </c>
      <c r="W3" s="0" t="s">
        <v>901</v>
      </c>
      <c r="X3" s="0" t="s">
        <v>106</v>
      </c>
      <c r="Y3" s="0" t="s">
        <v>911</v>
      </c>
      <c r="Z3" s="0" t="n">
        <v>22968</v>
      </c>
      <c r="AA3" s="0" t="s">
        <v>912</v>
      </c>
      <c r="AB3" s="0" t="s">
        <v>904</v>
      </c>
      <c r="AC3" s="0" t="s">
        <v>106</v>
      </c>
      <c r="AD3" s="0" t="s">
        <v>106</v>
      </c>
      <c r="AE3" s="0" t="s">
        <v>106</v>
      </c>
      <c r="AF3" s="0" t="s">
        <v>106</v>
      </c>
      <c r="AG3" s="0" t="s">
        <v>106</v>
      </c>
      <c r="AH3" s="0" t="s">
        <v>905</v>
      </c>
      <c r="AI3" s="0" t="n">
        <v>1</v>
      </c>
      <c r="AJ3" s="0" t="s">
        <v>104</v>
      </c>
      <c r="AK3" s="0" t="n">
        <v>2</v>
      </c>
      <c r="AL3" s="0" t="n">
        <v>1</v>
      </c>
      <c r="AM3" s="0" t="s">
        <v>105</v>
      </c>
      <c r="AN3" s="0" t="n">
        <v>0</v>
      </c>
      <c r="AO3" s="0" t="n">
        <v>0</v>
      </c>
      <c r="AP3" s="0" t="n">
        <v>0</v>
      </c>
      <c r="AQ3" s="0" t="n">
        <v>0</v>
      </c>
      <c r="AR3" s="0" t="n">
        <v>0</v>
      </c>
      <c r="AS3" s="0" t="n">
        <v>0</v>
      </c>
      <c r="AT3" s="0" t="n">
        <v>0</v>
      </c>
      <c r="AU3" s="0" t="n">
        <v>0</v>
      </c>
      <c r="AV3" s="0" t="n">
        <v>0</v>
      </c>
      <c r="AW3" s="0" t="n">
        <v>243</v>
      </c>
      <c r="AX3" s="0" t="n">
        <v>1223</v>
      </c>
      <c r="AY3" s="0" t="n">
        <v>13</v>
      </c>
      <c r="AZ3" s="0" t="n">
        <v>56</v>
      </c>
      <c r="BA3" s="0" t="n">
        <v>-2.66703939107586</v>
      </c>
      <c r="BB3" s="0" t="n">
        <v>1</v>
      </c>
      <c r="BC3" s="0" t="n">
        <v>77</v>
      </c>
      <c r="BD3" s="0" t="n">
        <v>94</v>
      </c>
      <c r="BE3" s="0" t="n">
        <v>616</v>
      </c>
      <c r="BF3" s="0" t="n">
        <v>5</v>
      </c>
      <c r="BG3" s="0" t="n">
        <v>54</v>
      </c>
      <c r="BH3" s="0" t="n">
        <v>615</v>
      </c>
      <c r="BI3" s="0" t="n">
        <v>28</v>
      </c>
      <c r="BJ3" s="0" t="n">
        <v>17.7504912822516</v>
      </c>
      <c r="BK3" s="0" t="n">
        <v>0</v>
      </c>
      <c r="BL3" s="0" t="n">
        <v>0</v>
      </c>
      <c r="BM3" s="0" t="n">
        <v>289.9</v>
      </c>
      <c r="BN3" s="0" t="n">
        <v>366.9</v>
      </c>
      <c r="BO3" s="0" t="n">
        <v>17</v>
      </c>
      <c r="BP3" s="0" t="s">
        <v>106</v>
      </c>
      <c r="BQ3" s="0" t="n">
        <v>1</v>
      </c>
      <c r="BR3" s="0" t="n">
        <v>328.4</v>
      </c>
      <c r="BS3" s="0" t="n">
        <v>0.1709</v>
      </c>
      <c r="BT3" s="0" t="n">
        <v>0.5498</v>
      </c>
      <c r="BU3" s="0" t="n">
        <v>0.0147</v>
      </c>
      <c r="BV3" s="0" t="n">
        <v>0.1709</v>
      </c>
      <c r="BW3" s="0" t="n">
        <v>0.5498</v>
      </c>
      <c r="BX3" s="0" t="n">
        <v>0.0147</v>
      </c>
      <c r="BY3" s="0" t="n">
        <v>0.2666</v>
      </c>
      <c r="BZ3" s="0" t="n">
        <v>17</v>
      </c>
      <c r="CA3" s="0" t="n">
        <v>11.6</v>
      </c>
      <c r="CB3" s="0" t="n">
        <v>36.92</v>
      </c>
      <c r="CC3" s="0" t="n">
        <v>19.4</v>
      </c>
      <c r="CD3" s="0" t="n">
        <v>13.53</v>
      </c>
      <c r="CE3" s="0" t="n">
        <v>9</v>
      </c>
      <c r="CF3" s="0" t="n">
        <v>0</v>
      </c>
      <c r="CG3" s="0" t="n">
        <v>17</v>
      </c>
      <c r="CH3" s="0" t="n">
        <v>0.529</v>
      </c>
      <c r="CI3" s="0" t="n">
        <v>0</v>
      </c>
      <c r="CJ3" s="0" t="n">
        <v>0.697</v>
      </c>
      <c r="CK3" s="0" t="n">
        <v>15</v>
      </c>
      <c r="CL3" s="0" t="n">
        <v>4</v>
      </c>
      <c r="CM3" s="0" t="n">
        <v>2</v>
      </c>
      <c r="CN3" s="0" t="n">
        <v>5</v>
      </c>
      <c r="CO3" s="0" t="n">
        <v>4.36995647315369</v>
      </c>
      <c r="CP3" s="0" t="n">
        <v>52</v>
      </c>
      <c r="CQ3" s="0" t="n">
        <v>22</v>
      </c>
      <c r="CR3" s="0" t="n">
        <v>10</v>
      </c>
      <c r="CS3" s="0" t="n">
        <v>13</v>
      </c>
      <c r="CT3" s="0" t="n">
        <v>7.64450325194113</v>
      </c>
      <c r="CU3" s="0" t="n">
        <v>67</v>
      </c>
      <c r="CV3" s="0" t="n">
        <v>26</v>
      </c>
      <c r="CW3" s="0" t="n">
        <v>12</v>
      </c>
      <c r="CX3" s="0" t="n">
        <v>18</v>
      </c>
      <c r="CY3" s="0" t="n">
        <v>12.01</v>
      </c>
      <c r="CZ3" s="0" t="n">
        <v>5.99</v>
      </c>
      <c r="DG3" s="0" t="n">
        <v>3.84242845461979</v>
      </c>
      <c r="DH3" s="0" t="n">
        <v>21.8106995884774</v>
      </c>
      <c r="DI3" s="0" t="n">
        <v>2.86728703703704</v>
      </c>
      <c r="DJ3" s="0" t="n">
        <v>166.909010502201</v>
      </c>
      <c r="DK3" s="0" t="n">
        <v>0.695454210425838</v>
      </c>
      <c r="DL3" s="0" t="n">
        <v>0.3625</v>
      </c>
      <c r="DM3" s="0" t="s">
        <v>913</v>
      </c>
      <c r="DN3" s="0" t="n">
        <v>243</v>
      </c>
      <c r="DO3" s="0" t="n">
        <v>18</v>
      </c>
      <c r="DP3" s="0" t="n">
        <v>3.37</v>
      </c>
      <c r="DQ3" s="0" t="n">
        <v>1.663</v>
      </c>
      <c r="DR3" s="0" t="n">
        <v>13.5</v>
      </c>
      <c r="DS3" s="0" t="n">
        <v>94</v>
      </c>
      <c r="DT3" s="0" t="n">
        <v>7</v>
      </c>
      <c r="DU3" s="0" t="n">
        <v>4</v>
      </c>
      <c r="DV3" s="0" t="n">
        <v>0.013</v>
      </c>
      <c r="DW3" s="0" t="n">
        <v>7.987</v>
      </c>
      <c r="DX3" s="0" t="n">
        <v>0.6</v>
      </c>
      <c r="DY3" s="0" t="n">
        <v>0.0426</v>
      </c>
      <c r="DZ3" s="0" t="n">
        <v>737</v>
      </c>
      <c r="EA3" s="0" t="n">
        <v>0.67</v>
      </c>
      <c r="EB3" s="0" t="n">
        <v>17</v>
      </c>
      <c r="EC3" s="0" t="s">
        <v>914</v>
      </c>
      <c r="ED3" s="0" t="n">
        <v>2023</v>
      </c>
      <c r="EE3" s="0" t="n">
        <v>1</v>
      </c>
      <c r="EF3" s="0" t="n">
        <v>12</v>
      </c>
      <c r="EG3" s="0" t="n">
        <v>2023</v>
      </c>
      <c r="EH3" s="0" t="n">
        <v>2026</v>
      </c>
      <c r="EI3" s="0" t="n">
        <v>4</v>
      </c>
      <c r="EJ3" s="0" t="n">
        <v>69</v>
      </c>
      <c r="EK3" s="0" t="n">
        <v>202</v>
      </c>
      <c r="EL3" s="0" t="s">
        <v>915</v>
      </c>
      <c r="EM3" s="0" t="n">
        <v>24.4</v>
      </c>
      <c r="EN3" s="15" t="b">
        <f aca="false">FALSE()</f>
        <v>0</v>
      </c>
      <c r="EO3" s="0" t="n">
        <v>407</v>
      </c>
      <c r="EP3" s="0" t="n">
        <v>2.84496314496315</v>
      </c>
      <c r="EQ3" s="0" t="n">
        <v>0.174447174447174</v>
      </c>
      <c r="ER3" s="0" t="n">
        <v>1.23095823095823</v>
      </c>
      <c r="ES3" s="0" t="n">
        <v>1.3022113022113</v>
      </c>
      <c r="ET3" s="0" t="n">
        <v>31</v>
      </c>
      <c r="EU3" s="0" t="n">
        <v>20</v>
      </c>
      <c r="EV3" s="0" t="n">
        <v>4.81081081081081</v>
      </c>
      <c r="EW3" s="0" t="n">
        <v>0.645161290322581</v>
      </c>
      <c r="EX3" s="0" t="n">
        <v>2.99714515277148</v>
      </c>
      <c r="EY3" s="0" t="n">
        <v>2.796</v>
      </c>
      <c r="EZ3" s="0" t="n">
        <v>0.1795</v>
      </c>
      <c r="FA3" s="0" t="n">
        <v>2.844</v>
      </c>
      <c r="FB3" s="0" t="n">
        <v>1.774</v>
      </c>
      <c r="FC3" s="0" t="n">
        <v>23</v>
      </c>
      <c r="FD3" s="0" t="n">
        <v>624</v>
      </c>
      <c r="FE3" s="0" t="n">
        <v>0.0625</v>
      </c>
      <c r="FF3" s="0" t="n">
        <v>0.0608</v>
      </c>
      <c r="FG3" s="0" t="n">
        <v>0.2646</v>
      </c>
      <c r="FH3" s="0" t="n">
        <v>2.297</v>
      </c>
      <c r="FI3" s="0" t="n">
        <v>1051</v>
      </c>
      <c r="FJ3" s="0" t="n">
        <v>0.588962892483349</v>
      </c>
      <c r="FK3" s="0" t="n">
        <v>17</v>
      </c>
      <c r="FL3" s="0" t="n">
        <v>61.82</v>
      </c>
      <c r="FM3" s="0" t="n">
        <v>0.5469</v>
      </c>
      <c r="FN3" s="0" t="n">
        <v>0.4531</v>
      </c>
      <c r="FO3" s="0" t="n">
        <v>-0.0456</v>
      </c>
      <c r="FP3" s="0" t="n">
        <v>-0.0408</v>
      </c>
      <c r="FQ3" s="0" t="n">
        <v>0.1681</v>
      </c>
      <c r="FR3" s="0" t="n">
        <v>38</v>
      </c>
      <c r="FS3" s="0" t="n">
        <v>65</v>
      </c>
      <c r="FT3" s="0" t="n">
        <v>3.82</v>
      </c>
      <c r="FU3" s="0" t="n">
        <v>28.3</v>
      </c>
      <c r="FV3" s="0" t="n">
        <v>5583</v>
      </c>
      <c r="FW3" s="0" t="n">
        <v>2910</v>
      </c>
      <c r="FX3" s="0" t="n">
        <v>0.521</v>
      </c>
      <c r="FY3" s="0" t="n">
        <v>5</v>
      </c>
      <c r="FZ3" s="0" t="n">
        <v>3</v>
      </c>
      <c r="GA3" s="0" t="n">
        <v>-0.00159357402837607</v>
      </c>
      <c r="GB3" s="0" t="n">
        <v>50</v>
      </c>
      <c r="GC3" s="0" t="n">
        <v>44.8</v>
      </c>
      <c r="GD3" s="0" t="n">
        <v>46.7</v>
      </c>
      <c r="GE3" s="0" t="n">
        <v>550</v>
      </c>
      <c r="GF3" s="0" t="n">
        <v>442</v>
      </c>
      <c r="GG3" s="0" t="n">
        <v>79</v>
      </c>
      <c r="GH3" s="0" t="n">
        <v>167</v>
      </c>
      <c r="GI3" s="0" t="n">
        <v>179</v>
      </c>
      <c r="GJ3" s="0" t="n">
        <v>45</v>
      </c>
      <c r="GK3" s="0" t="n">
        <v>0.144</v>
      </c>
      <c r="GL3" s="0" t="n">
        <v>0.378</v>
      </c>
      <c r="GM3" s="0" t="n">
        <v>0.251</v>
      </c>
      <c r="GN3" s="0" t="n">
        <v>21.582</v>
      </c>
      <c r="GO3" s="0" t="n">
        <v>19.318</v>
      </c>
      <c r="GP3" s="0" t="n">
        <v>17.053</v>
      </c>
      <c r="GQ3" s="0" t="n">
        <v>5.529</v>
      </c>
      <c r="GR3" s="0" t="n">
        <v>14.294</v>
      </c>
      <c r="GS3" s="0" t="n">
        <v>337</v>
      </c>
      <c r="GT3" s="0" t="n">
        <v>1.089</v>
      </c>
      <c r="GU3" s="0" t="n">
        <v>0.498</v>
      </c>
      <c r="GV3" s="0" t="n">
        <v>6.553</v>
      </c>
      <c r="GW3" s="0" t="n">
        <v>8</v>
      </c>
      <c r="GX3" s="0" t="n">
        <v>0.819</v>
      </c>
      <c r="GY3" s="0" t="n">
        <v>5.033</v>
      </c>
      <c r="GZ3" s="0" t="n">
        <v>0.574</v>
      </c>
      <c r="HA3" s="0" t="n">
        <v>7.987</v>
      </c>
      <c r="HB3" s="0" t="n">
        <v>11.407</v>
      </c>
      <c r="HC3" s="0" t="n">
        <v>0.053</v>
      </c>
      <c r="HD3" s="0" t="n">
        <v>-0.011</v>
      </c>
      <c r="HE3" s="0" t="n">
        <v>0.189</v>
      </c>
      <c r="HG3" s="0" t="n">
        <v>3.01</v>
      </c>
      <c r="HH3" s="0" t="n">
        <v>1.65</v>
      </c>
      <c r="HI3" s="0" t="n">
        <v>1</v>
      </c>
      <c r="HJ3" s="0" t="n">
        <v>7</v>
      </c>
      <c r="HK3" s="0" t="s">
        <v>909</v>
      </c>
      <c r="HL3" s="0" t="n">
        <v>0</v>
      </c>
      <c r="HM3" s="0" t="n">
        <v>3</v>
      </c>
      <c r="HN3" s="0" t="n">
        <v>1</v>
      </c>
      <c r="HO3" s="0" t="n">
        <v>-0.061</v>
      </c>
      <c r="HP3" s="0" t="n">
        <v>3</v>
      </c>
      <c r="HQ3" s="0" t="n">
        <v>-0.061</v>
      </c>
      <c r="HR3" s="0" t="s">
        <v>102</v>
      </c>
    </row>
    <row r="4" customFormat="false" ht="15" hidden="false" customHeight="false" outlineLevel="0" collapsed="false">
      <c r="A4" s="0" t="s">
        <v>896</v>
      </c>
      <c r="B4" s="0" t="s">
        <v>897</v>
      </c>
      <c r="C4" s="0" t="s">
        <v>898</v>
      </c>
      <c r="D4" s="0" t="s">
        <v>107</v>
      </c>
      <c r="E4" s="0" t="n">
        <v>23180</v>
      </c>
      <c r="F4" s="0" t="s">
        <v>99</v>
      </c>
      <c r="G4" s="0" t="n">
        <v>3.21</v>
      </c>
      <c r="H4" s="0" t="n">
        <v>1.4</v>
      </c>
      <c r="I4" s="0" t="n">
        <v>1</v>
      </c>
      <c r="J4" s="0" t="n">
        <v>9</v>
      </c>
      <c r="L4" s="0" t="s">
        <v>916</v>
      </c>
      <c r="O4" s="0" t="n">
        <v>99.7</v>
      </c>
      <c r="U4" s="0" t="n">
        <v>11</v>
      </c>
      <c r="V4" s="0" t="s">
        <v>107</v>
      </c>
      <c r="W4" s="0" t="s">
        <v>901</v>
      </c>
      <c r="X4" s="0" t="s">
        <v>109</v>
      </c>
      <c r="Y4" s="0" t="s">
        <v>917</v>
      </c>
      <c r="Z4" s="0" t="n">
        <v>23180</v>
      </c>
      <c r="AA4" s="0" t="s">
        <v>918</v>
      </c>
      <c r="AB4" s="0" t="s">
        <v>904</v>
      </c>
      <c r="AC4" s="0" t="s">
        <v>109</v>
      </c>
      <c r="AD4" s="0" t="s">
        <v>109</v>
      </c>
      <c r="AE4" s="0" t="s">
        <v>109</v>
      </c>
      <c r="AF4" s="0" t="s">
        <v>109</v>
      </c>
      <c r="AG4" s="0" t="s">
        <v>109</v>
      </c>
      <c r="AH4" s="0" t="s">
        <v>905</v>
      </c>
      <c r="AI4" s="0" t="n">
        <v>1</v>
      </c>
      <c r="AJ4" s="0" t="s">
        <v>99</v>
      </c>
      <c r="AK4" s="0" t="n">
        <v>3</v>
      </c>
      <c r="AL4" s="0" t="n">
        <v>2</v>
      </c>
      <c r="AM4" s="0" t="s">
        <v>108</v>
      </c>
      <c r="AN4" s="0" t="n">
        <v>0</v>
      </c>
      <c r="AO4" s="0" t="n">
        <v>0</v>
      </c>
      <c r="AP4" s="0" t="n">
        <v>0</v>
      </c>
      <c r="AQ4" s="0" t="n">
        <v>0</v>
      </c>
      <c r="AR4" s="0" t="n">
        <v>0</v>
      </c>
      <c r="AS4" s="0" t="n">
        <v>0</v>
      </c>
      <c r="AT4" s="0" t="n">
        <v>0</v>
      </c>
      <c r="AU4" s="0" t="n">
        <v>0</v>
      </c>
      <c r="AV4" s="0" t="n">
        <v>0</v>
      </c>
      <c r="AW4" s="0" t="n">
        <v>10</v>
      </c>
      <c r="AX4" s="0" t="n">
        <v>105</v>
      </c>
      <c r="AY4" s="0" t="n">
        <v>1</v>
      </c>
      <c r="AZ4" s="0" t="n">
        <v>5</v>
      </c>
      <c r="BA4" s="0" t="n">
        <v>9.33105270966189</v>
      </c>
      <c r="BB4" s="0" t="n">
        <v>0</v>
      </c>
      <c r="BC4" s="0" t="n">
        <v>129</v>
      </c>
      <c r="BD4" s="0" t="n">
        <v>166</v>
      </c>
      <c r="BE4" s="0" t="n">
        <v>1715</v>
      </c>
      <c r="BF4" s="0" t="n">
        <v>10</v>
      </c>
      <c r="BG4" s="0" t="n">
        <v>1566</v>
      </c>
      <c r="BH4" s="0" t="n">
        <v>666</v>
      </c>
      <c r="BI4" s="0" t="n">
        <v>80</v>
      </c>
      <c r="BJ4" s="0" t="n">
        <v>115.700408653012</v>
      </c>
      <c r="BK4" s="0" t="n">
        <v>1</v>
      </c>
      <c r="BL4" s="0" t="n">
        <v>0</v>
      </c>
      <c r="BM4" s="0" t="n">
        <v>246</v>
      </c>
      <c r="BN4" s="0" t="n">
        <v>375</v>
      </c>
      <c r="BO4" s="0" t="n">
        <v>16</v>
      </c>
      <c r="BP4" s="0" t="s">
        <v>109</v>
      </c>
      <c r="BQ4" s="0" t="n">
        <v>1</v>
      </c>
      <c r="BR4" s="0" t="n">
        <v>310.5</v>
      </c>
      <c r="BS4" s="0" t="n">
        <v>0.2857</v>
      </c>
      <c r="BT4" s="0" t="n">
        <v>0.0215</v>
      </c>
      <c r="BU4" s="0" t="n">
        <v>0.2902</v>
      </c>
      <c r="BV4" s="0" t="n">
        <v>0.3029</v>
      </c>
      <c r="BW4" s="0" t="n">
        <v>0.0229</v>
      </c>
      <c r="BX4" s="0" t="n">
        <v>0.3111</v>
      </c>
      <c r="BY4" s="0" t="n">
        <v>0.6721</v>
      </c>
      <c r="BZ4" s="0" t="n">
        <v>16</v>
      </c>
      <c r="CA4" s="0" t="n">
        <v>16.45</v>
      </c>
      <c r="CB4" s="0" t="n">
        <v>33.75</v>
      </c>
      <c r="CC4" s="0" t="n">
        <v>22.95</v>
      </c>
      <c r="CD4" s="0" t="n">
        <v>10.21</v>
      </c>
      <c r="CE4" s="0" t="n">
        <v>10</v>
      </c>
      <c r="CF4" s="0" t="n">
        <v>0</v>
      </c>
      <c r="CG4" s="0" t="n">
        <v>16</v>
      </c>
      <c r="CH4" s="0" t="n">
        <v>0.625</v>
      </c>
      <c r="CI4" s="0" t="n">
        <v>0</v>
      </c>
      <c r="CJ4" s="0" t="n">
        <v>0.445</v>
      </c>
      <c r="CK4" s="0" t="n">
        <v>17</v>
      </c>
      <c r="CL4" s="0" t="n">
        <v>10</v>
      </c>
      <c r="CM4" s="0" t="n">
        <v>4</v>
      </c>
      <c r="CN4" s="0" t="n">
        <v>10</v>
      </c>
      <c r="CO4" s="0" t="n">
        <v>7.4804437334025</v>
      </c>
      <c r="CP4" s="0" t="n">
        <v>1</v>
      </c>
      <c r="CQ4" s="0" t="n">
        <v>1</v>
      </c>
      <c r="CR4" s="0" t="n">
        <v>0</v>
      </c>
      <c r="CS4" s="0" t="n">
        <v>1</v>
      </c>
      <c r="CT4" s="0" t="n">
        <v>0.200884660073864</v>
      </c>
      <c r="CU4" s="0" t="n">
        <v>18</v>
      </c>
      <c r="CV4" s="0" t="n">
        <v>11</v>
      </c>
      <c r="CW4" s="0" t="n">
        <v>4</v>
      </c>
      <c r="CX4" s="0" t="n">
        <v>11</v>
      </c>
      <c r="CY4" s="0" t="n">
        <v>7.68</v>
      </c>
      <c r="CZ4" s="0" t="n">
        <v>3.32</v>
      </c>
      <c r="DA4" s="0" t="n">
        <v>2.87987607102695</v>
      </c>
      <c r="DB4" s="0" t="n">
        <v>6.02031446540881</v>
      </c>
      <c r="DC4" s="0" t="n">
        <v>8.89361445783133</v>
      </c>
      <c r="DD4" s="0" t="n">
        <v>27.9246510695364</v>
      </c>
      <c r="DE4" s="0" t="n">
        <v>1.34145983545684</v>
      </c>
      <c r="DF4" s="0" t="n">
        <v>77.710843373494</v>
      </c>
      <c r="DM4" s="0" t="s">
        <v>919</v>
      </c>
      <c r="DN4" s="0" t="n">
        <v>10</v>
      </c>
      <c r="DO4" s="0" t="n">
        <v>1</v>
      </c>
      <c r="DS4" s="0" t="n">
        <v>166</v>
      </c>
      <c r="DT4" s="0" t="n">
        <v>11</v>
      </c>
      <c r="DU4" s="0" t="n">
        <v>4</v>
      </c>
      <c r="DV4" s="0" t="n">
        <v>8.132</v>
      </c>
      <c r="DW4" s="0" t="n">
        <v>5.163</v>
      </c>
      <c r="DX4" s="0" t="n">
        <v>9.3</v>
      </c>
      <c r="DY4" s="0" t="n">
        <v>0.0241</v>
      </c>
      <c r="DZ4" s="0" t="n">
        <v>727</v>
      </c>
      <c r="EA4" s="0" t="n">
        <v>0.682</v>
      </c>
      <c r="EB4" s="0" t="n">
        <v>16</v>
      </c>
      <c r="EC4" s="0" t="s">
        <v>920</v>
      </c>
      <c r="ED4" s="0" t="n">
        <v>2023</v>
      </c>
      <c r="EE4" s="0" t="n">
        <v>5</v>
      </c>
      <c r="EF4" s="0" t="n">
        <v>177</v>
      </c>
      <c r="EG4" s="0" t="n">
        <v>2023</v>
      </c>
      <c r="EH4" s="0" t="n">
        <v>2026</v>
      </c>
      <c r="EI4" s="0" t="n">
        <v>4</v>
      </c>
      <c r="EJ4" s="0" t="n">
        <v>74</v>
      </c>
      <c r="EK4" s="0" t="n">
        <v>216</v>
      </c>
      <c r="EL4" s="0" t="s">
        <v>921</v>
      </c>
      <c r="EM4" s="0" t="n">
        <v>25.2</v>
      </c>
      <c r="EN4" s="15" t="b">
        <f aca="false">FALSE()</f>
        <v>0</v>
      </c>
      <c r="EO4" s="0" t="n">
        <v>413</v>
      </c>
      <c r="EP4" s="0" t="n">
        <v>3.45544794188862</v>
      </c>
      <c r="EQ4" s="0" t="n">
        <v>0.123486682808717</v>
      </c>
      <c r="ER4" s="0" t="n">
        <v>1.50847457627119</v>
      </c>
      <c r="ES4" s="0" t="n">
        <v>0.711864406779661</v>
      </c>
      <c r="ET4" s="0" t="n">
        <v>47</v>
      </c>
      <c r="EU4" s="0" t="n">
        <v>30</v>
      </c>
      <c r="EV4" s="0" t="n">
        <v>4.94915254237288</v>
      </c>
      <c r="EW4" s="0" t="n">
        <v>0.638297872340426</v>
      </c>
      <c r="EX4" s="0" t="n">
        <v>2.94176720069723</v>
      </c>
      <c r="EY4" s="0" t="n">
        <v>3.462</v>
      </c>
      <c r="EZ4" s="0" t="n">
        <v>0.1266</v>
      </c>
      <c r="FA4" s="0" t="n">
        <v>2.811</v>
      </c>
      <c r="FB4" s="0" t="n">
        <v>1.817</v>
      </c>
      <c r="FC4" s="0" t="n">
        <v>35</v>
      </c>
      <c r="FD4" s="0" t="n">
        <v>624</v>
      </c>
      <c r="FE4" s="0" t="n">
        <v>0.0368589743589744</v>
      </c>
      <c r="FF4" s="0" t="n">
        <v>0.0424</v>
      </c>
      <c r="FG4" s="0" t="n">
        <v>0.194</v>
      </c>
      <c r="FH4" s="0" t="n">
        <v>2.396</v>
      </c>
      <c r="FI4" s="0" t="n">
        <v>1056</v>
      </c>
      <c r="FJ4" s="0" t="n">
        <v>0.584280303030303</v>
      </c>
      <c r="FK4" s="0" t="n">
        <v>17</v>
      </c>
      <c r="FL4" s="0" t="n">
        <v>62.12</v>
      </c>
      <c r="FM4" s="0" t="n">
        <v>0.6185</v>
      </c>
      <c r="FN4" s="0" t="n">
        <v>0.3815</v>
      </c>
      <c r="FO4" s="0" t="n">
        <v>0.0296</v>
      </c>
      <c r="FP4" s="0" t="n">
        <v>0.0262</v>
      </c>
      <c r="FQ4" s="0" t="n">
        <v>0.2292</v>
      </c>
      <c r="FR4" s="0" t="n">
        <v>37</v>
      </c>
      <c r="FS4" s="0" t="n">
        <v>76</v>
      </c>
      <c r="FT4" s="0" t="n">
        <v>4.47</v>
      </c>
      <c r="FU4" s="0" t="n">
        <v>30.5</v>
      </c>
      <c r="FV4" s="0" t="n">
        <v>5675</v>
      </c>
      <c r="FW4" s="0" t="n">
        <v>5129</v>
      </c>
      <c r="FX4" s="0" t="n">
        <v>0.904</v>
      </c>
      <c r="FY4" s="0" t="n">
        <v>5</v>
      </c>
      <c r="FZ4" s="0" t="n">
        <v>5</v>
      </c>
      <c r="GA4" s="0" t="n">
        <v>1.46228832359079</v>
      </c>
      <c r="GB4" s="0" t="n">
        <v>76.4</v>
      </c>
      <c r="GC4" s="0" t="n">
        <v>71.5</v>
      </c>
      <c r="GD4" s="0" t="n">
        <v>80.4</v>
      </c>
      <c r="GE4" s="0" t="n">
        <v>581</v>
      </c>
      <c r="GF4" s="0" t="n">
        <v>465</v>
      </c>
      <c r="GG4" s="0" t="n">
        <v>15</v>
      </c>
      <c r="GH4" s="0" t="n">
        <v>0</v>
      </c>
      <c r="GI4" s="0" t="n">
        <v>195</v>
      </c>
      <c r="GJ4" s="0" t="n">
        <v>1</v>
      </c>
      <c r="GK4" s="0" t="n">
        <v>0.026</v>
      </c>
      <c r="GL4" s="0" t="n">
        <v>0</v>
      </c>
      <c r="GM4" s="0" t="n">
        <v>0.005</v>
      </c>
      <c r="GN4" s="0" t="n">
        <v>23.438</v>
      </c>
      <c r="GO4" s="0" t="n">
        <v>19.406</v>
      </c>
      <c r="GP4" s="0" t="n">
        <v>15.375</v>
      </c>
      <c r="GQ4" s="0" t="n">
        <v>10.375</v>
      </c>
      <c r="GR4" s="0" t="n">
        <v>0.625</v>
      </c>
      <c r="GS4" s="0" t="n">
        <v>176</v>
      </c>
      <c r="GT4" s="0" t="n">
        <v>2.131</v>
      </c>
      <c r="GU4" s="0" t="n">
        <v>0.516</v>
      </c>
      <c r="GV4" s="0" t="n">
        <v>10.331</v>
      </c>
      <c r="GW4" s="0" t="n">
        <v>13.295</v>
      </c>
      <c r="GX4" s="0" t="n">
        <v>0.777</v>
      </c>
      <c r="GZ4" s="0" t="n">
        <v>9.434</v>
      </c>
      <c r="HA4" s="0" t="n">
        <v>5.163</v>
      </c>
      <c r="HB4" s="0" t="n">
        <v>1.095</v>
      </c>
      <c r="HC4" s="0" t="n">
        <v>0.062</v>
      </c>
      <c r="HE4" s="0" t="n">
        <v>0.697</v>
      </c>
      <c r="HG4" s="0" t="n">
        <v>3.21</v>
      </c>
      <c r="HH4" s="0" t="n">
        <v>1.4</v>
      </c>
      <c r="HI4" s="0" t="n">
        <v>1</v>
      </c>
      <c r="HJ4" s="0" t="n">
        <v>9</v>
      </c>
      <c r="HK4" s="0" t="s">
        <v>909</v>
      </c>
      <c r="HL4" s="0" t="n">
        <v>0</v>
      </c>
      <c r="HM4" s="0" t="n">
        <v>1</v>
      </c>
      <c r="HN4" s="0" t="n">
        <v>2</v>
      </c>
      <c r="HO4" s="0" t="n">
        <v>0.062</v>
      </c>
      <c r="HP4" s="0" t="n">
        <v>1</v>
      </c>
      <c r="HQ4" s="0" t="n">
        <v>0.062</v>
      </c>
      <c r="HR4" s="0" t="s">
        <v>102</v>
      </c>
    </row>
    <row r="5" customFormat="false" ht="15" hidden="false" customHeight="false" outlineLevel="0" collapsed="false">
      <c r="A5" s="0" t="s">
        <v>896</v>
      </c>
      <c r="B5" s="0" t="s">
        <v>897</v>
      </c>
      <c r="C5" s="0" t="s">
        <v>898</v>
      </c>
      <c r="D5" s="0" t="s">
        <v>110</v>
      </c>
      <c r="E5" s="0" t="n">
        <v>23133</v>
      </c>
      <c r="F5" s="0" t="s">
        <v>104</v>
      </c>
      <c r="G5" s="0" t="n">
        <v>3.5</v>
      </c>
      <c r="H5" s="0" t="n">
        <v>1.6</v>
      </c>
      <c r="I5" s="0" t="n">
        <v>1</v>
      </c>
      <c r="J5" s="0" t="n">
        <v>7</v>
      </c>
      <c r="L5" s="0" t="s">
        <v>922</v>
      </c>
      <c r="O5" s="0" t="n">
        <v>99.4</v>
      </c>
      <c r="U5" s="0" t="n">
        <v>11</v>
      </c>
      <c r="V5" s="0" t="s">
        <v>110</v>
      </c>
      <c r="W5" s="0" t="s">
        <v>901</v>
      </c>
      <c r="X5" s="0" t="s">
        <v>112</v>
      </c>
      <c r="Y5" s="0" t="s">
        <v>923</v>
      </c>
      <c r="Z5" s="0" t="n">
        <v>23133</v>
      </c>
      <c r="AA5" s="0" t="s">
        <v>924</v>
      </c>
      <c r="AB5" s="0" t="s">
        <v>904</v>
      </c>
      <c r="AC5" s="0" t="s">
        <v>112</v>
      </c>
      <c r="AD5" s="0" t="s">
        <v>112</v>
      </c>
      <c r="AE5" s="0" t="s">
        <v>112</v>
      </c>
      <c r="AF5" s="0" t="s">
        <v>112</v>
      </c>
      <c r="AG5" s="0" t="s">
        <v>112</v>
      </c>
      <c r="AH5" s="0" t="s">
        <v>905</v>
      </c>
      <c r="AI5" s="0" t="n">
        <v>1</v>
      </c>
      <c r="AJ5" s="0" t="s">
        <v>104</v>
      </c>
      <c r="AK5" s="0" t="n">
        <v>4</v>
      </c>
      <c r="AL5" s="0" t="n">
        <v>2</v>
      </c>
      <c r="AM5" s="0" t="s">
        <v>111</v>
      </c>
      <c r="AN5" s="0" t="n">
        <v>0</v>
      </c>
      <c r="AO5" s="0" t="n">
        <v>0</v>
      </c>
      <c r="AP5" s="0" t="n">
        <v>0</v>
      </c>
      <c r="AQ5" s="0" t="n">
        <v>0</v>
      </c>
      <c r="AR5" s="0" t="n">
        <v>0</v>
      </c>
      <c r="AS5" s="0" t="n">
        <v>0</v>
      </c>
      <c r="AT5" s="0" t="n">
        <v>0</v>
      </c>
      <c r="AU5" s="0" t="n">
        <v>0</v>
      </c>
      <c r="AV5" s="0" t="n">
        <v>0</v>
      </c>
      <c r="AW5" s="0" t="n">
        <v>287</v>
      </c>
      <c r="AX5" s="0" t="n">
        <v>1478</v>
      </c>
      <c r="AY5" s="0" t="n">
        <v>7</v>
      </c>
      <c r="AZ5" s="0" t="n">
        <v>63</v>
      </c>
      <c r="BA5" s="0" t="n">
        <v>-12.254629210467</v>
      </c>
      <c r="BB5" s="0" t="n">
        <v>2</v>
      </c>
      <c r="BC5" s="0" t="n">
        <v>79</v>
      </c>
      <c r="BD5" s="0" t="n">
        <v>103</v>
      </c>
      <c r="BE5" s="0" t="n">
        <v>820</v>
      </c>
      <c r="BF5" s="0" t="n">
        <v>4</v>
      </c>
      <c r="BG5" s="0" t="n">
        <v>101</v>
      </c>
      <c r="BH5" s="0" t="n">
        <v>857</v>
      </c>
      <c r="BI5" s="0" t="n">
        <v>34</v>
      </c>
      <c r="BJ5" s="0" t="n">
        <v>26.5898357239615</v>
      </c>
      <c r="BK5" s="0" t="n">
        <v>1</v>
      </c>
      <c r="BL5" s="0" t="n">
        <v>0</v>
      </c>
      <c r="BM5" s="0" t="n">
        <v>291.8</v>
      </c>
      <c r="BN5" s="0" t="n">
        <v>370.8</v>
      </c>
      <c r="BO5" s="0" t="n">
        <v>17</v>
      </c>
      <c r="BP5" s="0" t="s">
        <v>112</v>
      </c>
      <c r="BQ5" s="0" t="n">
        <v>1</v>
      </c>
      <c r="BR5" s="0" t="n">
        <v>331.3</v>
      </c>
      <c r="BS5" s="0" t="n">
        <v>0.1985</v>
      </c>
      <c r="BT5" s="0" t="n">
        <v>0.6017</v>
      </c>
      <c r="BU5" s="0" t="n">
        <v>0.0241</v>
      </c>
      <c r="BV5" s="0" t="n">
        <v>0.1985</v>
      </c>
      <c r="BW5" s="0" t="n">
        <v>0.6017</v>
      </c>
      <c r="BX5" s="0" t="n">
        <v>0.0241</v>
      </c>
      <c r="BY5" s="0" t="n">
        <v>0.3146</v>
      </c>
      <c r="BZ5" s="0" t="n">
        <v>17</v>
      </c>
      <c r="CA5" s="0" t="n">
        <v>14.7</v>
      </c>
      <c r="CB5" s="0" t="n">
        <v>30.3</v>
      </c>
      <c r="CC5" s="0" t="n">
        <v>21.2</v>
      </c>
      <c r="CD5" s="0" t="n">
        <v>10.26</v>
      </c>
      <c r="CE5" s="0" t="n">
        <v>12</v>
      </c>
      <c r="CF5" s="0" t="n">
        <v>0</v>
      </c>
      <c r="CG5" s="0" t="n">
        <v>17</v>
      </c>
      <c r="CH5" s="0" t="n">
        <v>0.706</v>
      </c>
      <c r="CI5" s="0" t="n">
        <v>0</v>
      </c>
      <c r="CJ5" s="0" t="n">
        <v>0.484</v>
      </c>
      <c r="CK5" s="0" t="n">
        <v>13</v>
      </c>
      <c r="CL5" s="0" t="n">
        <v>4</v>
      </c>
      <c r="CM5" s="0" t="n">
        <v>1</v>
      </c>
      <c r="CN5" s="0" t="n">
        <v>4</v>
      </c>
      <c r="CO5" s="0" t="n">
        <v>4.02349247855398</v>
      </c>
      <c r="CP5" s="0" t="n">
        <v>35</v>
      </c>
      <c r="CQ5" s="0" t="n">
        <v>17</v>
      </c>
      <c r="CR5" s="0" t="n">
        <v>10</v>
      </c>
      <c r="CS5" s="0" t="n">
        <v>7</v>
      </c>
      <c r="CT5" s="0" t="n">
        <v>7.28173519807535</v>
      </c>
      <c r="CU5" s="0" t="n">
        <v>48</v>
      </c>
      <c r="CV5" s="0" t="n">
        <v>21</v>
      </c>
      <c r="CW5" s="0" t="n">
        <v>11</v>
      </c>
      <c r="CX5" s="0" t="n">
        <v>11</v>
      </c>
      <c r="CY5" s="0" t="n">
        <v>11.31</v>
      </c>
      <c r="CZ5" s="0" t="n">
        <v>-0.31</v>
      </c>
      <c r="DG5" s="0" t="n">
        <v>3.90630581867388</v>
      </c>
      <c r="DH5" s="0" t="n">
        <v>14.6341463414634</v>
      </c>
      <c r="DI5" s="0" t="n">
        <v>3.04864367816092</v>
      </c>
      <c r="DJ5" s="0" t="n">
        <v>257.106865033492</v>
      </c>
      <c r="DK5" s="0" t="n">
        <v>0.908504823439901</v>
      </c>
      <c r="DL5" s="0" t="n">
        <v>0.441696113074205</v>
      </c>
      <c r="DM5" s="0" t="s">
        <v>925</v>
      </c>
      <c r="DN5" s="0" t="n">
        <v>287</v>
      </c>
      <c r="DO5" s="0" t="n">
        <v>22</v>
      </c>
      <c r="DP5" s="0" t="n">
        <v>2.829</v>
      </c>
      <c r="DQ5" s="0" t="n">
        <v>2.321</v>
      </c>
      <c r="DR5" s="0" t="n">
        <v>13.05</v>
      </c>
      <c r="DS5" s="0" t="n">
        <v>103</v>
      </c>
      <c r="DT5" s="0" t="n">
        <v>10</v>
      </c>
      <c r="DU5" s="0" t="n">
        <v>4</v>
      </c>
      <c r="DV5" s="0" t="n">
        <v>-0.468</v>
      </c>
      <c r="DW5" s="0" t="n">
        <v>10.848</v>
      </c>
      <c r="DX5" s="0" t="n">
        <v>0.9</v>
      </c>
      <c r="DY5" s="0" t="n">
        <v>0.0388</v>
      </c>
      <c r="DZ5" s="0" t="n">
        <v>860</v>
      </c>
      <c r="EA5" s="0" t="n">
        <v>0.782</v>
      </c>
      <c r="EB5" s="0" t="n">
        <v>17</v>
      </c>
      <c r="EC5" s="0" t="s">
        <v>926</v>
      </c>
      <c r="ED5" s="0" t="n">
        <v>2023</v>
      </c>
      <c r="EE5" s="0" t="n">
        <v>1</v>
      </c>
      <c r="EF5" s="0" t="n">
        <v>8</v>
      </c>
      <c r="EG5" s="0" t="n">
        <v>2023</v>
      </c>
      <c r="EH5" s="0" t="n">
        <v>2026</v>
      </c>
      <c r="EI5" s="0" t="n">
        <v>4</v>
      </c>
      <c r="EJ5" s="0" t="n">
        <v>71</v>
      </c>
      <c r="EK5" s="0" t="n">
        <v>215</v>
      </c>
      <c r="EL5" s="0" t="s">
        <v>927</v>
      </c>
      <c r="EM5" s="0" t="n">
        <v>24.5</v>
      </c>
      <c r="EN5" s="15" t="b">
        <f aca="false">FALSE()</f>
        <v>0</v>
      </c>
      <c r="EO5" s="0" t="n">
        <v>439</v>
      </c>
      <c r="EP5" s="0" t="n">
        <v>3.05466970387244</v>
      </c>
      <c r="EQ5" s="0" t="n">
        <v>0.16628701594533</v>
      </c>
      <c r="ER5" s="0" t="n">
        <v>1.35307517084283</v>
      </c>
      <c r="ES5" s="0" t="n">
        <v>0.89749430523918</v>
      </c>
      <c r="ET5" s="0" t="n">
        <v>42</v>
      </c>
      <c r="EU5" s="0" t="n">
        <v>22</v>
      </c>
      <c r="EV5" s="0" t="n">
        <v>4.67425968109339</v>
      </c>
      <c r="EW5" s="0" t="n">
        <v>0.523809523809524</v>
      </c>
      <c r="EX5" s="0" t="n">
        <v>2.93179766542752</v>
      </c>
      <c r="EY5" s="0" t="n">
        <v>3.071</v>
      </c>
      <c r="EZ5" s="0" t="n">
        <v>0.1627</v>
      </c>
      <c r="FA5" s="0" t="n">
        <v>2.522</v>
      </c>
      <c r="FB5" s="0" t="n">
        <v>1.96</v>
      </c>
      <c r="FC5" s="0" t="n">
        <v>31</v>
      </c>
      <c r="FD5" s="0" t="n">
        <v>583</v>
      </c>
      <c r="FE5" s="0" t="n">
        <v>0.0445969125214408</v>
      </c>
      <c r="FF5" s="0" t="n">
        <v>0.0494</v>
      </c>
      <c r="FG5" s="0" t="n">
        <v>0.2037</v>
      </c>
      <c r="FH5" s="0" t="n">
        <v>2.4</v>
      </c>
      <c r="FI5" s="0" t="n">
        <v>1036</v>
      </c>
      <c r="FJ5" s="0" t="n">
        <v>0.551158301158301</v>
      </c>
      <c r="FK5" s="0" t="n">
        <v>17</v>
      </c>
      <c r="FL5" s="0" t="n">
        <v>60.94</v>
      </c>
      <c r="FM5" s="0" t="n">
        <v>0.549</v>
      </c>
      <c r="FN5" s="0" t="n">
        <v>0.451</v>
      </c>
      <c r="FO5" s="0" t="n">
        <v>-0.0621</v>
      </c>
      <c r="FP5" s="0" t="n">
        <v>-0.0314</v>
      </c>
      <c r="FQ5" s="0" t="n">
        <v>-0.0132</v>
      </c>
      <c r="FR5" s="0" t="n">
        <v>38</v>
      </c>
      <c r="FS5" s="0" t="n">
        <v>53</v>
      </c>
      <c r="FT5" s="0" t="n">
        <v>3.12</v>
      </c>
      <c r="FU5" s="0" t="n">
        <v>20.8</v>
      </c>
      <c r="FV5" s="0" t="n">
        <v>5484</v>
      </c>
      <c r="FW5" s="0" t="n">
        <v>4377</v>
      </c>
      <c r="FX5" s="0" t="n">
        <v>0.798</v>
      </c>
      <c r="FY5" s="0" t="n">
        <v>5</v>
      </c>
      <c r="FZ5" s="0" t="n">
        <v>4</v>
      </c>
      <c r="GA5" s="0" t="n">
        <v>0.149012046753805</v>
      </c>
      <c r="GB5" s="0" t="n">
        <v>52.7</v>
      </c>
      <c r="GC5" s="0" t="n">
        <v>66.9</v>
      </c>
      <c r="GD5" s="0" t="n">
        <v>62.4</v>
      </c>
      <c r="GE5" s="0" t="n">
        <v>519</v>
      </c>
      <c r="GF5" s="0" t="n">
        <v>477</v>
      </c>
      <c r="GG5" s="0" t="n">
        <v>151</v>
      </c>
      <c r="GH5" s="0" t="n">
        <v>160</v>
      </c>
      <c r="GI5" s="0" t="n">
        <v>132</v>
      </c>
      <c r="GJ5" s="0" t="n">
        <v>49</v>
      </c>
      <c r="GK5" s="0" t="n">
        <v>0.291</v>
      </c>
      <c r="GL5" s="0" t="n">
        <v>0.335</v>
      </c>
      <c r="GM5" s="0" t="n">
        <v>0.371</v>
      </c>
      <c r="GN5" s="0" t="n">
        <v>21.812</v>
      </c>
      <c r="GO5" s="0" t="n">
        <v>19.488</v>
      </c>
      <c r="GP5" s="0" t="n">
        <v>17.165</v>
      </c>
      <c r="GQ5" s="0" t="n">
        <v>6.059</v>
      </c>
      <c r="GR5" s="0" t="n">
        <v>16.882</v>
      </c>
      <c r="GS5" s="0" t="n">
        <v>390</v>
      </c>
      <c r="GT5" s="0" t="n">
        <v>0.951</v>
      </c>
      <c r="GU5" s="0" t="n">
        <v>0.431</v>
      </c>
      <c r="GV5" s="0" t="n">
        <v>7.961</v>
      </c>
      <c r="GW5" s="0" t="n">
        <v>10.38</v>
      </c>
      <c r="GX5" s="0" t="n">
        <v>0.767</v>
      </c>
      <c r="GY5" s="0" t="n">
        <v>5.15</v>
      </c>
      <c r="GZ5" s="0" t="n">
        <v>0.981</v>
      </c>
      <c r="HA5" s="0" t="n">
        <v>10.848</v>
      </c>
      <c r="HB5" s="0" t="n">
        <v>8.119</v>
      </c>
      <c r="HC5" s="0" t="n">
        <v>0.028</v>
      </c>
      <c r="HD5" s="0" t="n">
        <v>-0.043</v>
      </c>
      <c r="HE5" s="0" t="n">
        <v>0.258</v>
      </c>
      <c r="HG5" s="0" t="n">
        <v>3.5</v>
      </c>
      <c r="HH5" s="0" t="n">
        <v>1.6</v>
      </c>
      <c r="HI5" s="0" t="n">
        <v>1</v>
      </c>
      <c r="HJ5" s="0" t="n">
        <v>7</v>
      </c>
      <c r="HK5" s="0" t="s">
        <v>909</v>
      </c>
      <c r="HL5" s="0" t="n">
        <v>0</v>
      </c>
      <c r="HM5" s="0" t="n">
        <v>2</v>
      </c>
      <c r="HN5" s="0" t="n">
        <v>2</v>
      </c>
      <c r="HO5" s="0" t="n">
        <v>0.018</v>
      </c>
      <c r="HP5" s="0" t="n">
        <v>2</v>
      </c>
      <c r="HQ5" s="0" t="n">
        <v>0.018</v>
      </c>
      <c r="HR5" s="0" t="s">
        <v>102</v>
      </c>
    </row>
    <row r="6" customFormat="false" ht="15" hidden="false" customHeight="false" outlineLevel="0" collapsed="false">
      <c r="A6" s="0" t="s">
        <v>896</v>
      </c>
      <c r="B6" s="0" t="s">
        <v>897</v>
      </c>
      <c r="C6" s="0" t="s">
        <v>898</v>
      </c>
      <c r="D6" s="0" t="s">
        <v>113</v>
      </c>
      <c r="E6" s="0" t="n">
        <v>23070</v>
      </c>
      <c r="F6" s="0" t="s">
        <v>99</v>
      </c>
      <c r="G6" s="0" t="n">
        <v>4.69</v>
      </c>
      <c r="H6" s="0" t="n">
        <v>1.37</v>
      </c>
      <c r="I6" s="0" t="n">
        <v>1</v>
      </c>
      <c r="J6" s="0" t="n">
        <v>9</v>
      </c>
      <c r="L6" s="0" t="s">
        <v>928</v>
      </c>
      <c r="O6" s="0" t="n">
        <v>99.7</v>
      </c>
      <c r="U6" s="0" t="n">
        <v>11</v>
      </c>
      <c r="V6" s="0" t="s">
        <v>113</v>
      </c>
      <c r="W6" s="0" t="s">
        <v>901</v>
      </c>
      <c r="X6" s="0" t="s">
        <v>115</v>
      </c>
      <c r="Y6" s="0" t="s">
        <v>929</v>
      </c>
      <c r="Z6" s="0" t="n">
        <v>23070</v>
      </c>
      <c r="AA6" s="0" t="s">
        <v>930</v>
      </c>
      <c r="AB6" s="0" t="s">
        <v>904</v>
      </c>
      <c r="AC6" s="0" t="s">
        <v>115</v>
      </c>
      <c r="AD6" s="0" t="s">
        <v>115</v>
      </c>
      <c r="AE6" s="0" t="s">
        <v>115</v>
      </c>
      <c r="AF6" s="0" t="s">
        <v>115</v>
      </c>
      <c r="AG6" s="0" t="s">
        <v>115</v>
      </c>
      <c r="AH6" s="0" t="s">
        <v>905</v>
      </c>
      <c r="AI6" s="0" t="n">
        <v>1</v>
      </c>
      <c r="AJ6" s="0" t="s">
        <v>99</v>
      </c>
      <c r="AK6" s="0" t="n">
        <v>5</v>
      </c>
      <c r="AL6" s="0" t="n">
        <v>3</v>
      </c>
      <c r="AM6" s="0" t="s">
        <v>114</v>
      </c>
      <c r="AN6" s="0" t="n">
        <v>0</v>
      </c>
      <c r="AO6" s="0" t="n">
        <v>0</v>
      </c>
      <c r="AP6" s="0" t="n">
        <v>0</v>
      </c>
      <c r="AQ6" s="0" t="n">
        <v>0</v>
      </c>
      <c r="AR6" s="0" t="n">
        <v>0</v>
      </c>
      <c r="AS6" s="0" t="n">
        <v>0</v>
      </c>
      <c r="AT6" s="0" t="n">
        <v>0</v>
      </c>
      <c r="AU6" s="0" t="n">
        <v>0</v>
      </c>
      <c r="AV6" s="0" t="n">
        <v>0</v>
      </c>
      <c r="AW6" s="0" t="n">
        <v>7</v>
      </c>
      <c r="AX6" s="0" t="n">
        <v>36</v>
      </c>
      <c r="AY6" s="0" t="n">
        <v>0</v>
      </c>
      <c r="AZ6" s="0" t="n">
        <v>2</v>
      </c>
      <c r="BA6" s="0" t="n">
        <v>0.0466578644700348</v>
      </c>
      <c r="BB6" s="0" t="n">
        <v>0</v>
      </c>
      <c r="BC6" s="0" t="n">
        <v>119</v>
      </c>
      <c r="BD6" s="0" t="n">
        <v>163</v>
      </c>
      <c r="BE6" s="0" t="n">
        <v>1793</v>
      </c>
      <c r="BF6" s="0" t="n">
        <v>10</v>
      </c>
      <c r="BG6" s="0" t="n">
        <v>1833</v>
      </c>
      <c r="BH6" s="0" t="n">
        <v>528</v>
      </c>
      <c r="BI6" s="0" t="n">
        <v>79</v>
      </c>
      <c r="BJ6" s="0" t="n">
        <v>90.6723460448338</v>
      </c>
      <c r="BK6" s="0" t="n">
        <v>1</v>
      </c>
      <c r="BL6" s="0" t="n">
        <v>0</v>
      </c>
      <c r="BM6" s="0" t="n">
        <v>240.9</v>
      </c>
      <c r="BN6" s="0" t="n">
        <v>359.9</v>
      </c>
      <c r="BO6" s="0" t="n">
        <v>17</v>
      </c>
      <c r="BP6" s="0" t="s">
        <v>115</v>
      </c>
      <c r="BQ6" s="0" t="n">
        <v>1</v>
      </c>
      <c r="BR6" s="0" t="n">
        <v>300.4</v>
      </c>
      <c r="BS6" s="0" t="n">
        <v>0.3582</v>
      </c>
      <c r="BT6" s="0" t="n">
        <v>0.0138</v>
      </c>
      <c r="BU6" s="0" t="n">
        <v>0.4997</v>
      </c>
      <c r="BV6" s="0" t="n">
        <v>0.3582</v>
      </c>
      <c r="BW6" s="0" t="n">
        <v>0.0138</v>
      </c>
      <c r="BX6" s="0" t="n">
        <v>0.4997</v>
      </c>
      <c r="BY6" s="0" t="n">
        <v>0.8871</v>
      </c>
      <c r="BZ6" s="0" t="n">
        <v>17</v>
      </c>
      <c r="CA6" s="0" t="n">
        <v>18.3</v>
      </c>
      <c r="CB6" s="0" t="n">
        <v>27.74</v>
      </c>
      <c r="CC6" s="0" t="n">
        <v>20.6</v>
      </c>
      <c r="CD6" s="0" t="n">
        <v>7.48</v>
      </c>
      <c r="CE6" s="0" t="n">
        <v>12</v>
      </c>
      <c r="CF6" s="0" t="n">
        <v>0</v>
      </c>
      <c r="CG6" s="0" t="n">
        <v>17</v>
      </c>
      <c r="CH6" s="0" t="n">
        <v>0.706</v>
      </c>
      <c r="CI6" s="0" t="n">
        <v>0</v>
      </c>
      <c r="CJ6" s="0" t="n">
        <v>0.363</v>
      </c>
      <c r="CK6" s="0" t="n">
        <v>17</v>
      </c>
      <c r="CL6" s="0" t="n">
        <v>7</v>
      </c>
      <c r="CM6" s="0" t="n">
        <v>3</v>
      </c>
      <c r="CN6" s="0" t="n">
        <v>10</v>
      </c>
      <c r="CO6" s="0" t="n">
        <v>5.98750566263799</v>
      </c>
      <c r="CP6" s="0" t="n">
        <v>0</v>
      </c>
      <c r="CQ6" s="0" t="n">
        <v>0</v>
      </c>
      <c r="CR6" s="0" t="n">
        <v>0</v>
      </c>
      <c r="CS6" s="0" t="n">
        <v>0</v>
      </c>
      <c r="CT6" s="0" t="n">
        <v>0.0249964290815598</v>
      </c>
      <c r="CU6" s="0" t="n">
        <v>17</v>
      </c>
      <c r="CV6" s="0" t="n">
        <v>7</v>
      </c>
      <c r="CW6" s="0" t="n">
        <v>3</v>
      </c>
      <c r="CX6" s="0" t="n">
        <v>10</v>
      </c>
      <c r="CY6" s="0" t="n">
        <v>6.01</v>
      </c>
      <c r="CZ6" s="0" t="n">
        <v>3.99</v>
      </c>
      <c r="DA6" s="0" t="n">
        <v>3.01756823312639</v>
      </c>
      <c r="DB6" s="0" t="n">
        <v>6.29564935064935</v>
      </c>
      <c r="DC6" s="0" t="n">
        <v>11.2637423312883</v>
      </c>
      <c r="DD6" s="0" t="n">
        <v>48.6382023900667</v>
      </c>
      <c r="DE6" s="0" t="n">
        <v>0.794440211804091</v>
      </c>
      <c r="DF6" s="0" t="n">
        <v>73.0061349693252</v>
      </c>
      <c r="DM6" s="0" t="s">
        <v>931</v>
      </c>
      <c r="DN6" s="0" t="n">
        <v>7</v>
      </c>
      <c r="DO6" s="0" t="n">
        <v>1</v>
      </c>
      <c r="DS6" s="0" t="n">
        <v>163</v>
      </c>
      <c r="DT6" s="0" t="n">
        <v>3</v>
      </c>
      <c r="DU6" s="0" t="n">
        <v>5</v>
      </c>
      <c r="DV6" s="0" t="n">
        <v>10.63</v>
      </c>
      <c r="DW6" s="0" t="n">
        <v>4.437</v>
      </c>
      <c r="DX6" s="0" t="n">
        <v>11.2</v>
      </c>
      <c r="DY6" s="0" t="n">
        <v>0.0307</v>
      </c>
      <c r="DZ6" s="0" t="n">
        <v>829</v>
      </c>
      <c r="EA6" s="0" t="n">
        <v>0.774</v>
      </c>
      <c r="EB6" s="0" t="n">
        <v>17</v>
      </c>
      <c r="EC6" s="0" t="s">
        <v>932</v>
      </c>
      <c r="ED6" s="0" t="n">
        <v>2023</v>
      </c>
      <c r="EE6" s="0" t="n">
        <v>1</v>
      </c>
      <c r="EF6" s="0" t="n">
        <v>20</v>
      </c>
      <c r="EG6" s="0" t="n">
        <v>2023</v>
      </c>
      <c r="EH6" s="0" t="n">
        <v>2026</v>
      </c>
      <c r="EI6" s="0" t="n">
        <v>4</v>
      </c>
      <c r="EJ6" s="0" t="n">
        <v>72</v>
      </c>
      <c r="EK6" s="0" t="n">
        <v>202</v>
      </c>
      <c r="EL6" s="0" t="s">
        <v>933</v>
      </c>
      <c r="EM6" s="0" t="n">
        <v>24.5</v>
      </c>
      <c r="EN6" s="15" t="b">
        <f aca="false">FALSE()</f>
        <v>0</v>
      </c>
      <c r="EO6" s="0" t="n">
        <v>435</v>
      </c>
      <c r="EP6" s="0" t="n">
        <v>2.8048275862069</v>
      </c>
      <c r="EQ6" s="0" t="n">
        <v>0.204597701149425</v>
      </c>
      <c r="ER6" s="0" t="n">
        <v>1.20689655172414</v>
      </c>
      <c r="ES6" s="0" t="n">
        <v>0.809195402298851</v>
      </c>
      <c r="ET6" s="0" t="n">
        <v>31</v>
      </c>
      <c r="EU6" s="0" t="n">
        <v>19</v>
      </c>
      <c r="EV6" s="0" t="n">
        <v>4.26666666666667</v>
      </c>
      <c r="EW6" s="0" t="n">
        <v>0.612903225806452</v>
      </c>
      <c r="EX6" s="0" t="n">
        <v>2.99550865366612</v>
      </c>
      <c r="EY6" s="0" t="n">
        <v>2.758</v>
      </c>
      <c r="EZ6" s="0" t="n">
        <v>0.2121</v>
      </c>
      <c r="FA6" s="0" t="n">
        <v>2.477</v>
      </c>
      <c r="FB6" s="0" t="n">
        <v>1.657</v>
      </c>
      <c r="FC6" s="0" t="n">
        <v>42</v>
      </c>
      <c r="FD6" s="0" t="n">
        <v>518</v>
      </c>
      <c r="FE6" s="0" t="n">
        <v>0.0521235521235521</v>
      </c>
      <c r="FF6" s="0" t="n">
        <v>0.0535</v>
      </c>
      <c r="FG6" s="0" t="n">
        <v>0.2266</v>
      </c>
      <c r="FH6" s="0" t="n">
        <v>2.4</v>
      </c>
      <c r="FI6" s="0" t="n">
        <v>997</v>
      </c>
      <c r="FJ6" s="0" t="n">
        <v>0.507522567703109</v>
      </c>
      <c r="FK6" s="0" t="n">
        <v>17</v>
      </c>
      <c r="FL6" s="0" t="n">
        <v>58.65</v>
      </c>
      <c r="FM6" s="0" t="n">
        <v>0.5204</v>
      </c>
      <c r="FN6" s="0" t="n">
        <v>0.4796</v>
      </c>
      <c r="FO6" s="0" t="n">
        <v>-0.0677</v>
      </c>
      <c r="FP6" s="0" t="n">
        <v>-0.0491</v>
      </c>
      <c r="FQ6" s="0" t="n">
        <v>0.1122</v>
      </c>
      <c r="FR6" s="0" t="n">
        <v>39</v>
      </c>
      <c r="FS6" s="0" t="n">
        <v>60</v>
      </c>
      <c r="FT6" s="0" t="n">
        <v>3.53</v>
      </c>
      <c r="FU6" s="0" t="n">
        <v>28.4</v>
      </c>
      <c r="FV6" s="0" t="n">
        <v>5338</v>
      </c>
      <c r="FW6" s="0" t="n">
        <v>5026</v>
      </c>
      <c r="FX6" s="0" t="n">
        <v>0.942</v>
      </c>
      <c r="FY6" s="0" t="n">
        <v>5</v>
      </c>
      <c r="FZ6" s="0" t="n">
        <v>5</v>
      </c>
      <c r="GA6" s="0" t="n">
        <v>-0.594571744764181</v>
      </c>
      <c r="GB6" s="0" t="n">
        <v>39.3</v>
      </c>
      <c r="GC6" s="0" t="n">
        <v>60.5</v>
      </c>
      <c r="GD6" s="0" t="n">
        <v>49.9</v>
      </c>
      <c r="GE6" s="0" t="n">
        <v>455</v>
      </c>
      <c r="GF6" s="0" t="n">
        <v>507</v>
      </c>
      <c r="GG6" s="0" t="n">
        <v>39</v>
      </c>
      <c r="GH6" s="0" t="n">
        <v>221</v>
      </c>
      <c r="GI6" s="0" t="n">
        <v>158</v>
      </c>
      <c r="GJ6" s="0" t="n">
        <v>37</v>
      </c>
      <c r="GK6" s="0" t="n">
        <v>0.086</v>
      </c>
      <c r="GL6" s="0" t="n">
        <v>0.436</v>
      </c>
      <c r="GM6" s="0" t="n">
        <v>0.234</v>
      </c>
      <c r="GN6" s="0" t="n">
        <v>21.171</v>
      </c>
      <c r="GO6" s="0" t="n">
        <v>17.671</v>
      </c>
      <c r="GP6" s="0" t="n">
        <v>14.171</v>
      </c>
      <c r="GQ6" s="0" t="n">
        <v>9.588</v>
      </c>
      <c r="GR6" s="0" t="n">
        <v>0.412</v>
      </c>
      <c r="GS6" s="0" t="n">
        <v>170</v>
      </c>
      <c r="GT6" s="0" t="n">
        <v>2.117</v>
      </c>
      <c r="GU6" s="0" t="n">
        <v>0.434</v>
      </c>
      <c r="GV6" s="0" t="n">
        <v>11</v>
      </c>
      <c r="GW6" s="0" t="n">
        <v>15.067</v>
      </c>
      <c r="GX6" s="0" t="n">
        <v>0.73</v>
      </c>
      <c r="GZ6" s="0" t="n">
        <v>11.245</v>
      </c>
      <c r="HA6" s="0" t="n">
        <v>4.437</v>
      </c>
      <c r="HB6" s="0" t="n">
        <v>0.978</v>
      </c>
      <c r="HC6" s="0" t="n">
        <v>0.059</v>
      </c>
      <c r="HE6" s="0" t="n">
        <v>0.556</v>
      </c>
      <c r="HG6" s="0" t="n">
        <v>4.69</v>
      </c>
      <c r="HH6" s="0" t="n">
        <v>1.37</v>
      </c>
      <c r="HI6" s="0" t="n">
        <v>1</v>
      </c>
      <c r="HJ6" s="0" t="n">
        <v>9</v>
      </c>
      <c r="HK6" s="0" t="s">
        <v>909</v>
      </c>
      <c r="HL6" s="0" t="n">
        <v>0</v>
      </c>
      <c r="HM6" s="0" t="n">
        <v>2</v>
      </c>
      <c r="HN6" s="0" t="n">
        <v>3</v>
      </c>
      <c r="HO6" s="0" t="n">
        <v>0.054</v>
      </c>
      <c r="HP6" s="0" t="n">
        <v>2</v>
      </c>
      <c r="HQ6" s="0" t="n">
        <v>0.053</v>
      </c>
      <c r="HR6" s="0" t="s">
        <v>102</v>
      </c>
    </row>
    <row r="7" customFormat="false" ht="15" hidden="false" customHeight="false" outlineLevel="0" collapsed="false">
      <c r="A7" s="0" t="s">
        <v>896</v>
      </c>
      <c r="B7" s="0" t="s">
        <v>897</v>
      </c>
      <c r="C7" s="0" t="s">
        <v>898</v>
      </c>
      <c r="D7" s="0" t="s">
        <v>116</v>
      </c>
      <c r="E7" s="0" t="n">
        <v>19799</v>
      </c>
      <c r="F7" s="0" t="s">
        <v>99</v>
      </c>
      <c r="G7" s="0" t="n">
        <v>5.64</v>
      </c>
      <c r="H7" s="0" t="n">
        <v>1.23</v>
      </c>
      <c r="I7" s="0" t="n">
        <v>4</v>
      </c>
      <c r="J7" s="0" t="n">
        <v>9</v>
      </c>
      <c r="L7" s="0" t="s">
        <v>934</v>
      </c>
      <c r="O7" s="0" t="n">
        <v>99.5</v>
      </c>
      <c r="U7" s="0" t="n">
        <v>6</v>
      </c>
      <c r="V7" s="0" t="s">
        <v>935</v>
      </c>
      <c r="W7" s="0" t="s">
        <v>901</v>
      </c>
      <c r="X7" s="0" t="s">
        <v>106</v>
      </c>
      <c r="Y7" s="0" t="s">
        <v>936</v>
      </c>
      <c r="Z7" s="0" t="n">
        <v>19799</v>
      </c>
      <c r="AA7" s="0" t="s">
        <v>937</v>
      </c>
      <c r="AB7" s="0" t="s">
        <v>904</v>
      </c>
      <c r="AC7" s="0" t="s">
        <v>106</v>
      </c>
      <c r="AD7" s="0" t="s">
        <v>106</v>
      </c>
      <c r="AE7" s="0" t="s">
        <v>106</v>
      </c>
      <c r="AF7" s="0" t="s">
        <v>106</v>
      </c>
      <c r="AG7" s="0" t="s">
        <v>106</v>
      </c>
      <c r="AH7" s="0" t="s">
        <v>905</v>
      </c>
      <c r="AI7" s="0" t="n">
        <v>1</v>
      </c>
      <c r="AJ7" s="0" t="s">
        <v>99</v>
      </c>
      <c r="AK7" s="0" t="n">
        <v>6</v>
      </c>
      <c r="AL7" s="0" t="n">
        <v>4</v>
      </c>
      <c r="AM7" s="0" t="s">
        <v>117</v>
      </c>
      <c r="AN7" s="0" t="n">
        <v>0</v>
      </c>
      <c r="AO7" s="0" t="n">
        <v>0</v>
      </c>
      <c r="AP7" s="0" t="n">
        <v>0</v>
      </c>
      <c r="AQ7" s="0" t="n">
        <v>0</v>
      </c>
      <c r="AR7" s="0" t="n">
        <v>0</v>
      </c>
      <c r="AS7" s="0" t="n">
        <v>0</v>
      </c>
      <c r="AT7" s="0" t="n">
        <v>0</v>
      </c>
      <c r="AU7" s="0" t="n">
        <v>0</v>
      </c>
      <c r="AV7" s="0" t="n">
        <v>0</v>
      </c>
      <c r="AW7" s="0" t="n">
        <v>3</v>
      </c>
      <c r="AX7" s="0" t="n">
        <v>9</v>
      </c>
      <c r="AY7" s="0" t="n">
        <v>0</v>
      </c>
      <c r="AZ7" s="0" t="n">
        <v>1</v>
      </c>
      <c r="BA7" s="0" t="n">
        <v>0.556990244775079</v>
      </c>
      <c r="BB7" s="0" t="n">
        <v>0</v>
      </c>
      <c r="BC7" s="0" t="n">
        <v>117</v>
      </c>
      <c r="BD7" s="0" t="n">
        <v>172</v>
      </c>
      <c r="BE7" s="0" t="n">
        <v>1401</v>
      </c>
      <c r="BF7" s="0" t="n">
        <v>11</v>
      </c>
      <c r="BG7" s="0" t="n">
        <v>1390</v>
      </c>
      <c r="BH7" s="0" t="n">
        <v>570</v>
      </c>
      <c r="BI7" s="0" t="n">
        <v>71</v>
      </c>
      <c r="BJ7" s="0" t="n">
        <v>55.6147162411548</v>
      </c>
      <c r="BK7" s="0" t="n">
        <v>0</v>
      </c>
      <c r="BL7" s="0" t="n">
        <v>0</v>
      </c>
      <c r="BM7" s="0" t="n">
        <v>207</v>
      </c>
      <c r="BN7" s="0" t="n">
        <v>324</v>
      </c>
      <c r="BO7" s="0" t="n">
        <v>17</v>
      </c>
      <c r="BP7" s="0" t="s">
        <v>106</v>
      </c>
      <c r="BQ7" s="0" t="n">
        <v>1</v>
      </c>
      <c r="BR7" s="0" t="n">
        <v>265.5</v>
      </c>
      <c r="BS7" s="0" t="n">
        <v>0.3127</v>
      </c>
      <c r="BT7" s="0" t="n">
        <v>0.0068</v>
      </c>
      <c r="BU7" s="0" t="n">
        <v>0.3784</v>
      </c>
      <c r="BV7" s="0" t="n">
        <v>0.3127</v>
      </c>
      <c r="BW7" s="0" t="n">
        <v>0.0068</v>
      </c>
      <c r="BX7" s="0" t="n">
        <v>0.3784</v>
      </c>
      <c r="BY7" s="0" t="n">
        <v>0.7339</v>
      </c>
      <c r="BZ7" s="0" t="n">
        <v>17</v>
      </c>
      <c r="CA7" s="0" t="n">
        <v>13.7</v>
      </c>
      <c r="CB7" s="0" t="n">
        <v>28.34</v>
      </c>
      <c r="CC7" s="0" t="n">
        <v>18</v>
      </c>
      <c r="CD7" s="0" t="n">
        <v>10.93</v>
      </c>
      <c r="CE7" s="0" t="n">
        <v>7</v>
      </c>
      <c r="CF7" s="0" t="n">
        <v>1</v>
      </c>
      <c r="CG7" s="0" t="n">
        <v>17</v>
      </c>
      <c r="CH7" s="0" t="n">
        <v>0.412</v>
      </c>
      <c r="CI7" s="0" t="n">
        <v>0.059</v>
      </c>
      <c r="CJ7" s="0" t="n">
        <v>0.607</v>
      </c>
      <c r="CK7" s="0" t="n">
        <v>35</v>
      </c>
      <c r="CL7" s="0" t="n">
        <v>21</v>
      </c>
      <c r="CM7" s="0" t="n">
        <v>9</v>
      </c>
      <c r="CN7" s="0" t="n">
        <v>11</v>
      </c>
      <c r="CO7" s="0" t="n">
        <v>12.2566578407558</v>
      </c>
      <c r="CP7" s="0" t="n">
        <v>1</v>
      </c>
      <c r="CQ7" s="0" t="n">
        <v>0</v>
      </c>
      <c r="CR7" s="0" t="n">
        <v>0</v>
      </c>
      <c r="CS7" s="0" t="n">
        <v>0</v>
      </c>
      <c r="CT7" s="0" t="n">
        <v>0.0642229355868142</v>
      </c>
      <c r="CU7" s="0" t="n">
        <v>36</v>
      </c>
      <c r="CV7" s="0" t="n">
        <v>21</v>
      </c>
      <c r="CW7" s="0" t="n">
        <v>9</v>
      </c>
      <c r="CX7" s="0" t="n">
        <v>11</v>
      </c>
      <c r="CY7" s="0" t="n">
        <v>12.32</v>
      </c>
      <c r="CZ7" s="0" t="n">
        <v>-1.32</v>
      </c>
      <c r="DA7" s="0" t="n">
        <v>2.95000460509691</v>
      </c>
      <c r="DB7" s="0" t="n">
        <v>6.09633540372671</v>
      </c>
      <c r="DC7" s="0" t="n">
        <v>8.34668604651163</v>
      </c>
      <c r="DD7" s="0" t="n">
        <v>38.4251787258075</v>
      </c>
      <c r="DE7" s="0" t="n">
        <v>0.344467344587386</v>
      </c>
      <c r="DF7" s="0" t="n">
        <v>68.0232558139535</v>
      </c>
      <c r="DM7" s="0" t="s">
        <v>938</v>
      </c>
      <c r="DN7" s="0" t="n">
        <v>3</v>
      </c>
      <c r="DO7" s="0" t="n">
        <v>0</v>
      </c>
      <c r="DS7" s="0" t="n">
        <v>172</v>
      </c>
      <c r="DT7" s="0" t="n">
        <v>4</v>
      </c>
      <c r="DU7" s="0" t="n">
        <v>10</v>
      </c>
      <c r="DV7" s="0" t="n">
        <v>7.103</v>
      </c>
      <c r="DW7" s="0" t="n">
        <v>4.872</v>
      </c>
      <c r="DX7" s="0" t="n">
        <v>7.9</v>
      </c>
      <c r="DY7" s="0" t="n">
        <v>0.0581</v>
      </c>
      <c r="DZ7" s="0" t="n">
        <v>939</v>
      </c>
      <c r="EA7" s="0" t="n">
        <v>0.852</v>
      </c>
      <c r="EB7" s="0" t="n">
        <v>17</v>
      </c>
      <c r="EC7" s="0" t="s">
        <v>939</v>
      </c>
      <c r="ED7" s="0" t="n">
        <v>2021</v>
      </c>
      <c r="EE7" s="0" t="n">
        <v>4</v>
      </c>
      <c r="EF7" s="0" t="n">
        <v>112</v>
      </c>
      <c r="EG7" s="0" t="n">
        <v>2021</v>
      </c>
      <c r="EH7" s="0" t="n">
        <v>2026</v>
      </c>
      <c r="EI7" s="0" t="n">
        <v>6</v>
      </c>
      <c r="EJ7" s="0" t="n">
        <v>72</v>
      </c>
      <c r="EK7" s="0" t="n">
        <v>202</v>
      </c>
      <c r="EL7" s="0" t="s">
        <v>940</v>
      </c>
      <c r="EM7" s="0" t="n">
        <v>26.8</v>
      </c>
      <c r="EN7" s="15" t="b">
        <f aca="false">FALSE()</f>
        <v>0</v>
      </c>
      <c r="EO7" s="0" t="n">
        <v>407</v>
      </c>
      <c r="EP7" s="0" t="n">
        <v>2.84496314496315</v>
      </c>
      <c r="EQ7" s="0" t="n">
        <v>0.174447174447174</v>
      </c>
      <c r="ER7" s="0" t="n">
        <v>1.23095823095823</v>
      </c>
      <c r="ES7" s="0" t="n">
        <v>1.3022113022113</v>
      </c>
      <c r="ET7" s="0" t="n">
        <v>31</v>
      </c>
      <c r="EU7" s="0" t="n">
        <v>20</v>
      </c>
      <c r="EV7" s="0" t="n">
        <v>4.81081081081081</v>
      </c>
      <c r="EW7" s="0" t="n">
        <v>0.645161290322581</v>
      </c>
      <c r="EX7" s="0" t="n">
        <v>2.99714515277148</v>
      </c>
      <c r="EY7" s="0" t="n">
        <v>2.796</v>
      </c>
      <c r="EZ7" s="0" t="n">
        <v>0.1795</v>
      </c>
      <c r="FA7" s="0" t="n">
        <v>2.844</v>
      </c>
      <c r="FB7" s="0" t="n">
        <v>1.774</v>
      </c>
      <c r="FC7" s="0" t="n">
        <v>23</v>
      </c>
      <c r="FD7" s="0" t="n">
        <v>624</v>
      </c>
      <c r="FE7" s="0" t="n">
        <v>0.0625</v>
      </c>
      <c r="FF7" s="0" t="n">
        <v>0.0608</v>
      </c>
      <c r="FG7" s="0" t="n">
        <v>0.2646</v>
      </c>
      <c r="FH7" s="0" t="n">
        <v>2.297</v>
      </c>
      <c r="FI7" s="0" t="n">
        <v>1051</v>
      </c>
      <c r="FJ7" s="0" t="n">
        <v>0.588962892483349</v>
      </c>
      <c r="FK7" s="0" t="n">
        <v>17</v>
      </c>
      <c r="FL7" s="0" t="n">
        <v>61.82</v>
      </c>
      <c r="FM7" s="0" t="n">
        <v>0.5469</v>
      </c>
      <c r="FN7" s="0" t="n">
        <v>0.4531</v>
      </c>
      <c r="FO7" s="0" t="n">
        <v>-0.0456</v>
      </c>
      <c r="FP7" s="0" t="n">
        <v>-0.0408</v>
      </c>
      <c r="FQ7" s="0" t="n">
        <v>0.1681</v>
      </c>
      <c r="FR7" s="0" t="n">
        <v>38</v>
      </c>
      <c r="FS7" s="0" t="n">
        <v>65</v>
      </c>
      <c r="FT7" s="0" t="n">
        <v>3.82</v>
      </c>
      <c r="FU7" s="0" t="n">
        <v>28.3</v>
      </c>
      <c r="FV7" s="0" t="n">
        <v>5583</v>
      </c>
      <c r="FW7" s="0" t="n">
        <v>2910</v>
      </c>
      <c r="FX7" s="0" t="n">
        <v>0.521</v>
      </c>
      <c r="FY7" s="0" t="n">
        <v>5</v>
      </c>
      <c r="FZ7" s="0" t="n">
        <v>3</v>
      </c>
      <c r="GA7" s="0" t="n">
        <v>-0.00159357402837607</v>
      </c>
      <c r="GB7" s="0" t="n">
        <v>50</v>
      </c>
      <c r="GC7" s="0" t="n">
        <v>44.8</v>
      </c>
      <c r="GD7" s="0" t="n">
        <v>46.7</v>
      </c>
      <c r="GE7" s="0" t="n">
        <v>550</v>
      </c>
      <c r="GF7" s="0" t="n">
        <v>442</v>
      </c>
      <c r="GG7" s="0" t="n">
        <v>79</v>
      </c>
      <c r="GH7" s="0" t="n">
        <v>167</v>
      </c>
      <c r="GI7" s="0" t="n">
        <v>179</v>
      </c>
      <c r="GJ7" s="0" t="n">
        <v>45</v>
      </c>
      <c r="GK7" s="0" t="n">
        <v>0.144</v>
      </c>
      <c r="GL7" s="0" t="n">
        <v>0.378</v>
      </c>
      <c r="GM7" s="0" t="n">
        <v>0.251</v>
      </c>
      <c r="GN7" s="0" t="n">
        <v>19.059</v>
      </c>
      <c r="GO7" s="0" t="n">
        <v>15.618</v>
      </c>
      <c r="GP7" s="0" t="n">
        <v>12.176</v>
      </c>
      <c r="GQ7" s="0" t="n">
        <v>10.118</v>
      </c>
      <c r="GR7" s="0" t="n">
        <v>0.176</v>
      </c>
      <c r="GS7" s="0" t="n">
        <v>175</v>
      </c>
      <c r="GT7" s="0" t="n">
        <v>1.851</v>
      </c>
      <c r="GU7" s="0" t="n">
        <v>0.345</v>
      </c>
      <c r="GV7" s="0" t="n">
        <v>8.145</v>
      </c>
      <c r="GW7" s="0" t="n">
        <v>11.974</v>
      </c>
      <c r="GX7" s="0" t="n">
        <v>0.68</v>
      </c>
      <c r="GZ7" s="0" t="n">
        <v>8.081</v>
      </c>
      <c r="HA7" s="0" t="n">
        <v>4.872</v>
      </c>
      <c r="HB7" s="0" t="n">
        <v>1.008</v>
      </c>
      <c r="HC7" s="0" t="n">
        <v>0.063</v>
      </c>
      <c r="HE7" s="0" t="n">
        <v>0.323</v>
      </c>
      <c r="HG7" s="0" t="n">
        <v>5.64</v>
      </c>
      <c r="HH7" s="0" t="n">
        <v>1.23</v>
      </c>
      <c r="HI7" s="0" t="n">
        <v>4</v>
      </c>
      <c r="HJ7" s="0" t="n">
        <v>9</v>
      </c>
      <c r="HK7" s="0" t="s">
        <v>909</v>
      </c>
      <c r="HL7" s="0" t="n">
        <v>0</v>
      </c>
      <c r="HM7" s="0" t="n">
        <v>3</v>
      </c>
      <c r="HN7" s="0" t="n">
        <v>4</v>
      </c>
      <c r="HO7" s="0" t="n">
        <v>0.045</v>
      </c>
      <c r="HP7" s="0" t="n">
        <v>4</v>
      </c>
      <c r="HQ7" s="0" t="n">
        <v>0.001</v>
      </c>
      <c r="HR7" s="0" t="s">
        <v>102</v>
      </c>
    </row>
    <row r="8" customFormat="false" ht="15" hidden="false" customHeight="false" outlineLevel="0" collapsed="false">
      <c r="A8" s="0" t="s">
        <v>896</v>
      </c>
      <c r="B8" s="0" t="s">
        <v>897</v>
      </c>
      <c r="C8" s="0" t="s">
        <v>898</v>
      </c>
      <c r="D8" s="0" t="s">
        <v>118</v>
      </c>
      <c r="E8" s="0" t="n">
        <v>19202</v>
      </c>
      <c r="F8" s="0" t="s">
        <v>99</v>
      </c>
      <c r="G8" s="0" t="n">
        <v>8.7</v>
      </c>
      <c r="H8" s="0" t="n">
        <v>1.63</v>
      </c>
      <c r="I8" s="0" t="n">
        <v>6</v>
      </c>
      <c r="J8" s="0" t="n">
        <v>16</v>
      </c>
      <c r="L8" s="0" t="s">
        <v>941</v>
      </c>
      <c r="O8" s="0" t="n">
        <v>99.4</v>
      </c>
      <c r="U8" s="0" t="n">
        <v>14</v>
      </c>
      <c r="V8" s="0" t="s">
        <v>118</v>
      </c>
      <c r="W8" s="0" t="s">
        <v>901</v>
      </c>
      <c r="X8" s="0" t="s">
        <v>120</v>
      </c>
      <c r="Y8" s="0" t="s">
        <v>942</v>
      </c>
      <c r="Z8" s="0" t="n">
        <v>19202</v>
      </c>
      <c r="AA8" s="0" t="s">
        <v>943</v>
      </c>
      <c r="AB8" s="0" t="s">
        <v>904</v>
      </c>
      <c r="AC8" s="0" t="s">
        <v>120</v>
      </c>
      <c r="AD8" s="0" t="s">
        <v>120</v>
      </c>
      <c r="AE8" s="0" t="s">
        <v>120</v>
      </c>
      <c r="AF8" s="0" t="s">
        <v>120</v>
      </c>
      <c r="AG8" s="0" t="s">
        <v>120</v>
      </c>
      <c r="AH8" s="0" t="s">
        <v>905</v>
      </c>
      <c r="AI8" s="0" t="n">
        <v>1</v>
      </c>
      <c r="AJ8" s="0" t="s">
        <v>99</v>
      </c>
      <c r="AK8" s="0" t="n">
        <v>7</v>
      </c>
      <c r="AL8" s="0" t="n">
        <v>5</v>
      </c>
      <c r="AM8" s="0" t="s">
        <v>119</v>
      </c>
      <c r="AN8" s="0" t="n">
        <v>0</v>
      </c>
      <c r="AO8" s="0" t="n">
        <v>0</v>
      </c>
      <c r="AP8" s="0" t="n">
        <v>0</v>
      </c>
      <c r="AQ8" s="0" t="n">
        <v>0</v>
      </c>
      <c r="AR8" s="0" t="n">
        <v>0</v>
      </c>
      <c r="AS8" s="0" t="n">
        <v>0</v>
      </c>
      <c r="AT8" s="0" t="n">
        <v>0</v>
      </c>
      <c r="AU8" s="0" t="n">
        <v>0</v>
      </c>
      <c r="AV8" s="0" t="n">
        <v>0</v>
      </c>
      <c r="AW8" s="0" t="n">
        <v>1</v>
      </c>
      <c r="AX8" s="0" t="n">
        <v>2</v>
      </c>
      <c r="AY8" s="0" t="n">
        <v>0</v>
      </c>
      <c r="AZ8" s="0" t="n">
        <v>0</v>
      </c>
      <c r="BA8" s="0" t="n">
        <v>-0.247850599349476</v>
      </c>
      <c r="BB8" s="0" t="n">
        <v>0</v>
      </c>
      <c r="BC8" s="0" t="n">
        <v>75</v>
      </c>
      <c r="BD8" s="0" t="n">
        <v>117</v>
      </c>
      <c r="BE8" s="0" t="n">
        <v>1077</v>
      </c>
      <c r="BF8" s="0" t="n">
        <v>3</v>
      </c>
      <c r="BG8" s="0" t="n">
        <v>1403</v>
      </c>
      <c r="BH8" s="0" t="n">
        <v>323</v>
      </c>
      <c r="BI8" s="0" t="n">
        <v>43</v>
      </c>
      <c r="BJ8" s="0" t="n">
        <v>28.9908193846128</v>
      </c>
      <c r="BK8" s="0" t="n">
        <v>0</v>
      </c>
      <c r="BL8" s="0" t="n">
        <v>0</v>
      </c>
      <c r="BM8" s="0" t="n">
        <v>125.9</v>
      </c>
      <c r="BN8" s="0" t="n">
        <v>200.9</v>
      </c>
      <c r="BO8" s="0" t="n">
        <v>13</v>
      </c>
      <c r="BP8" s="0" t="s">
        <v>120</v>
      </c>
      <c r="BQ8" s="0" t="n">
        <v>1</v>
      </c>
      <c r="BR8" s="0" t="n">
        <v>163.4</v>
      </c>
      <c r="BS8" s="0" t="n">
        <v>0.1928</v>
      </c>
      <c r="BT8" s="0" t="n">
        <v>0.0022</v>
      </c>
      <c r="BU8" s="0" t="n">
        <v>0.2849</v>
      </c>
      <c r="BV8" s="0" t="n">
        <v>0.2527</v>
      </c>
      <c r="BW8" s="0" t="n">
        <v>0.0027</v>
      </c>
      <c r="BX8" s="0" t="n">
        <v>0.3567</v>
      </c>
      <c r="BY8" s="0" t="n">
        <v>0.6287</v>
      </c>
      <c r="BZ8" s="0" t="n">
        <v>13</v>
      </c>
      <c r="CA8" s="0" t="n">
        <v>11.5</v>
      </c>
      <c r="CB8" s="0" t="n">
        <v>20.56</v>
      </c>
      <c r="CC8" s="0" t="n">
        <v>17.1</v>
      </c>
      <c r="CD8" s="0" t="n">
        <v>5.98</v>
      </c>
      <c r="CE8" s="0" t="n">
        <v>4</v>
      </c>
      <c r="CF8" s="0" t="n">
        <v>1</v>
      </c>
      <c r="CG8" s="0" t="n">
        <v>13</v>
      </c>
      <c r="CH8" s="0" t="n">
        <v>0.308</v>
      </c>
      <c r="CI8" s="0" t="n">
        <v>0.077</v>
      </c>
      <c r="CJ8" s="0" t="n">
        <v>0.35</v>
      </c>
      <c r="CK8" s="0" t="n">
        <v>17</v>
      </c>
      <c r="CL8" s="0" t="n">
        <v>7</v>
      </c>
      <c r="CM8" s="0" t="n">
        <v>4</v>
      </c>
      <c r="CN8" s="0" t="n">
        <v>3</v>
      </c>
      <c r="CO8" s="0" t="n">
        <v>6.1103135932512</v>
      </c>
      <c r="CP8" s="0" t="n">
        <v>0</v>
      </c>
      <c r="CQ8" s="0" t="n">
        <v>0</v>
      </c>
      <c r="CR8" s="0" t="n">
        <v>0</v>
      </c>
      <c r="CS8" s="0" t="n">
        <v>0</v>
      </c>
      <c r="CT8" s="0" t="n">
        <v>0.015972894482091</v>
      </c>
      <c r="CU8" s="0" t="n">
        <v>17</v>
      </c>
      <c r="CV8" s="0" t="n">
        <v>7</v>
      </c>
      <c r="CW8" s="0" t="n">
        <v>4</v>
      </c>
      <c r="CX8" s="0" t="n">
        <v>3</v>
      </c>
      <c r="CY8" s="0" t="n">
        <v>6.13</v>
      </c>
      <c r="CZ8" s="0" t="n">
        <v>-3.13</v>
      </c>
      <c r="DA8" s="0" t="n">
        <v>2.77854083016514</v>
      </c>
      <c r="DB8" s="0" t="n">
        <v>6.13982608695652</v>
      </c>
      <c r="DC8" s="0" t="n">
        <v>12.2719658119658</v>
      </c>
      <c r="DD8" s="0" t="n">
        <v>28.3354581012863</v>
      </c>
      <c r="DE8" s="0" t="n">
        <v>0.497293742491963</v>
      </c>
      <c r="DF8" s="0" t="n">
        <v>64.1025641025641</v>
      </c>
      <c r="DM8" s="0" t="s">
        <v>944</v>
      </c>
      <c r="DN8" s="0" t="n">
        <v>1</v>
      </c>
      <c r="DO8" s="0" t="n">
        <v>0</v>
      </c>
      <c r="DS8" s="0" t="n">
        <v>117</v>
      </c>
      <c r="DT8" s="0" t="n">
        <v>6</v>
      </c>
      <c r="DU8" s="0" t="n">
        <v>8</v>
      </c>
      <c r="DV8" s="0" t="n">
        <v>10.053</v>
      </c>
      <c r="DW8" s="0" t="n">
        <v>4.307</v>
      </c>
      <c r="DX8" s="0" t="n">
        <v>11.7</v>
      </c>
      <c r="DY8" s="0" t="n">
        <v>0.0684</v>
      </c>
      <c r="DZ8" s="0" t="n">
        <v>732</v>
      </c>
      <c r="EA8" s="0" t="n">
        <v>0.729</v>
      </c>
      <c r="EB8" s="0" t="n">
        <v>14</v>
      </c>
      <c r="EC8" s="0" t="s">
        <v>945</v>
      </c>
      <c r="ED8" s="0" t="n">
        <v>2020</v>
      </c>
      <c r="EE8" s="0" t="n">
        <v>1</v>
      </c>
      <c r="EF8" s="0" t="n">
        <v>17</v>
      </c>
      <c r="EG8" s="0" t="n">
        <v>2020</v>
      </c>
      <c r="EH8" s="0" t="n">
        <v>2026</v>
      </c>
      <c r="EI8" s="0" t="n">
        <v>7</v>
      </c>
      <c r="EJ8" s="0" t="n">
        <v>74</v>
      </c>
      <c r="EK8" s="0" t="n">
        <v>198</v>
      </c>
      <c r="EL8" s="0" t="s">
        <v>946</v>
      </c>
      <c r="EM8" s="0" t="n">
        <v>27.4</v>
      </c>
      <c r="EN8" s="15" t="b">
        <f aca="false">FALSE()</f>
        <v>0</v>
      </c>
      <c r="EO8" s="0" t="n">
        <v>383</v>
      </c>
      <c r="EP8" s="0" t="n">
        <v>3.16527415143603</v>
      </c>
      <c r="EQ8" s="0" t="n">
        <v>0.130548302872063</v>
      </c>
      <c r="ER8" s="0" t="n">
        <v>1.25587467362924</v>
      </c>
      <c r="ES8" s="0" t="n">
        <v>0.845953002610966</v>
      </c>
      <c r="ET8" s="0" t="n">
        <v>34</v>
      </c>
      <c r="EU8" s="0" t="n">
        <v>24</v>
      </c>
      <c r="EV8" s="0" t="n">
        <v>4.66318537859008</v>
      </c>
      <c r="EW8" s="0" t="n">
        <v>0.705882352941177</v>
      </c>
      <c r="EX8" s="0" t="n">
        <v>3.04016625444487</v>
      </c>
      <c r="EY8" s="0" t="n">
        <v>3.074</v>
      </c>
      <c r="EZ8" s="0" t="n">
        <v>0.1352</v>
      </c>
      <c r="FA8" s="0" t="n">
        <v>2.563</v>
      </c>
      <c r="FB8" s="0" t="n">
        <v>2.03</v>
      </c>
      <c r="FC8" s="0" t="n">
        <v>33</v>
      </c>
      <c r="FD8" s="0" t="n">
        <v>681</v>
      </c>
      <c r="FE8" s="0" t="n">
        <v>0.0455212922173275</v>
      </c>
      <c r="FF8" s="0" t="n">
        <v>0.044</v>
      </c>
      <c r="FG8" s="0" t="n">
        <v>0.2356</v>
      </c>
      <c r="FH8" s="0" t="n">
        <v>2.396</v>
      </c>
      <c r="FI8" s="0" t="n">
        <v>1104</v>
      </c>
      <c r="FJ8" s="0" t="n">
        <v>0.593297101449275</v>
      </c>
      <c r="FK8" s="0" t="n">
        <v>17</v>
      </c>
      <c r="FL8" s="0" t="n">
        <v>64.94</v>
      </c>
      <c r="FM8" s="0" t="n">
        <v>0.5628</v>
      </c>
      <c r="FN8" s="0" t="n">
        <v>0.4372</v>
      </c>
      <c r="FO8" s="0" t="n">
        <v>-0.0098</v>
      </c>
      <c r="FP8" s="0" t="n">
        <v>0.005</v>
      </c>
      <c r="FQ8" s="0" t="n">
        <v>0.1615</v>
      </c>
      <c r="FR8" s="0" t="n">
        <v>36</v>
      </c>
      <c r="FS8" s="0" t="n">
        <v>65</v>
      </c>
      <c r="FT8" s="0" t="n">
        <v>3.82</v>
      </c>
      <c r="FU8" s="0" t="n">
        <v>27.7</v>
      </c>
      <c r="FV8" s="0" t="n">
        <v>5938</v>
      </c>
      <c r="FW8" s="0" t="n">
        <v>5037</v>
      </c>
      <c r="FX8" s="0" t="n">
        <v>0.848</v>
      </c>
      <c r="FY8" s="0" t="n">
        <v>5</v>
      </c>
      <c r="FZ8" s="0" t="n">
        <v>5</v>
      </c>
      <c r="GA8" s="0" t="n">
        <v>0.642644133012613</v>
      </c>
      <c r="GB8" s="0" t="n">
        <v>61.6</v>
      </c>
      <c r="GC8" s="0" t="n">
        <v>62.2</v>
      </c>
      <c r="GD8" s="0" t="n">
        <v>65.1</v>
      </c>
      <c r="GE8" s="0" t="n">
        <v>607</v>
      </c>
      <c r="GF8" s="0" t="n">
        <v>465</v>
      </c>
      <c r="GG8" s="0" t="n">
        <v>34</v>
      </c>
      <c r="GH8" s="0" t="n">
        <v>0</v>
      </c>
      <c r="GI8" s="0" t="n">
        <v>187</v>
      </c>
      <c r="GJ8" s="0" t="n">
        <v>4</v>
      </c>
      <c r="GK8" s="0" t="n">
        <v>0.056</v>
      </c>
      <c r="GL8" s="0" t="n">
        <v>0</v>
      </c>
      <c r="GM8" s="0" t="n">
        <v>0.021</v>
      </c>
      <c r="GN8" s="0" t="n">
        <v>15.454</v>
      </c>
      <c r="GO8" s="0" t="n">
        <v>12.569</v>
      </c>
      <c r="GP8" s="0" t="n">
        <v>9.685</v>
      </c>
      <c r="GQ8" s="0" t="n">
        <v>9</v>
      </c>
      <c r="GR8" s="0" t="n">
        <v>0.077</v>
      </c>
      <c r="GS8" s="0" t="n">
        <v>118</v>
      </c>
      <c r="GT8" s="0" t="n">
        <v>1.703</v>
      </c>
      <c r="GU8" s="0" t="n">
        <v>0.274</v>
      </c>
      <c r="GV8" s="0" t="n">
        <v>9.205</v>
      </c>
      <c r="GW8" s="0" t="n">
        <v>14.36</v>
      </c>
      <c r="GX8" s="0" t="n">
        <v>0.641</v>
      </c>
      <c r="GZ8" s="0" t="n">
        <v>11.991</v>
      </c>
      <c r="HA8" s="0" t="n">
        <v>4.307</v>
      </c>
      <c r="HB8" s="0" t="n">
        <v>0.768</v>
      </c>
      <c r="HC8" s="0" t="n">
        <v>0.025</v>
      </c>
      <c r="HE8" s="0" t="n">
        <v>0.248</v>
      </c>
      <c r="HG8" s="0" t="n">
        <v>8.7</v>
      </c>
      <c r="HH8" s="0" t="n">
        <v>1.63</v>
      </c>
      <c r="HI8" s="0" t="n">
        <v>6</v>
      </c>
      <c r="HJ8" s="0" t="n">
        <v>16</v>
      </c>
      <c r="HK8" s="0" t="s">
        <v>909</v>
      </c>
      <c r="HL8" s="0" t="n">
        <v>0</v>
      </c>
      <c r="HM8" s="0" t="n">
        <v>22</v>
      </c>
      <c r="HN8" s="0" t="n">
        <v>5</v>
      </c>
      <c r="HO8" s="0" t="n">
        <v>-0.752</v>
      </c>
      <c r="HP8" s="0" t="n">
        <v>10</v>
      </c>
      <c r="HQ8" s="0" t="n">
        <v>-0.226</v>
      </c>
      <c r="HR8" s="0" t="s">
        <v>121</v>
      </c>
    </row>
    <row r="9" customFormat="false" ht="15" hidden="false" customHeight="false" outlineLevel="0" collapsed="false">
      <c r="A9" s="0" t="s">
        <v>896</v>
      </c>
      <c r="B9" s="0" t="s">
        <v>897</v>
      </c>
      <c r="C9" s="0" t="s">
        <v>898</v>
      </c>
      <c r="D9" s="0" t="s">
        <v>122</v>
      </c>
      <c r="E9" s="0" t="n">
        <v>16393</v>
      </c>
      <c r="F9" s="0" t="s">
        <v>104</v>
      </c>
      <c r="G9" s="0" t="n">
        <v>9.29</v>
      </c>
      <c r="H9" s="0" t="n">
        <v>5.12</v>
      </c>
      <c r="I9" s="0" t="n">
        <v>2</v>
      </c>
      <c r="J9" s="0" t="n">
        <v>31</v>
      </c>
      <c r="L9" s="0" t="s">
        <v>947</v>
      </c>
      <c r="O9" s="0" t="n">
        <v>99.5</v>
      </c>
      <c r="U9" s="0" t="n">
        <v>8</v>
      </c>
      <c r="V9" s="0" t="s">
        <v>122</v>
      </c>
      <c r="W9" s="0" t="s">
        <v>901</v>
      </c>
      <c r="X9" s="0" t="s">
        <v>948</v>
      </c>
      <c r="Y9" s="0" t="s">
        <v>949</v>
      </c>
      <c r="Z9" s="0" t="n">
        <v>16393</v>
      </c>
      <c r="AA9" s="0" t="s">
        <v>950</v>
      </c>
      <c r="AB9" s="0" t="s">
        <v>904</v>
      </c>
      <c r="AC9" s="0" t="s">
        <v>124</v>
      </c>
      <c r="AD9" s="0" t="s">
        <v>124</v>
      </c>
      <c r="AE9" s="0" t="s">
        <v>124</v>
      </c>
      <c r="AF9" s="0" t="s">
        <v>124</v>
      </c>
      <c r="AG9" s="0" t="s">
        <v>124</v>
      </c>
      <c r="AH9" s="0" t="s">
        <v>905</v>
      </c>
      <c r="AI9" s="0" t="n">
        <v>1</v>
      </c>
      <c r="AJ9" s="0" t="s">
        <v>104</v>
      </c>
      <c r="AK9" s="0" t="n">
        <v>8</v>
      </c>
      <c r="AL9" s="0" t="n">
        <v>3</v>
      </c>
      <c r="AM9" s="0" t="s">
        <v>123</v>
      </c>
      <c r="AN9" s="0" t="n">
        <v>0</v>
      </c>
      <c r="AO9" s="0" t="n">
        <v>1</v>
      </c>
      <c r="AP9" s="0" t="n">
        <v>0</v>
      </c>
      <c r="AQ9" s="0" t="n">
        <v>0</v>
      </c>
      <c r="AR9" s="0" t="n">
        <v>0</v>
      </c>
      <c r="AS9" s="0" t="n">
        <v>0</v>
      </c>
      <c r="AT9" s="0" t="n">
        <v>14</v>
      </c>
      <c r="AU9" s="0" t="n">
        <v>0</v>
      </c>
      <c r="AV9" s="0" t="n">
        <v>-0.770897071401123</v>
      </c>
      <c r="AW9" s="0" t="n">
        <v>311</v>
      </c>
      <c r="AX9" s="0" t="n">
        <v>1202</v>
      </c>
      <c r="AY9" s="0" t="n">
        <v>10</v>
      </c>
      <c r="AZ9" s="0" t="n">
        <v>71</v>
      </c>
      <c r="BA9" s="0" t="n">
        <v>-21.050851137873</v>
      </c>
      <c r="BB9" s="0" t="n">
        <v>0</v>
      </c>
      <c r="BC9" s="0" t="n">
        <v>102</v>
      </c>
      <c r="BD9" s="0" t="n">
        <v>129</v>
      </c>
      <c r="BE9" s="0" t="n">
        <v>924</v>
      </c>
      <c r="BF9" s="0" t="n">
        <v>7</v>
      </c>
      <c r="BG9" s="0" t="n">
        <v>335</v>
      </c>
      <c r="BH9" s="0" t="n">
        <v>720</v>
      </c>
      <c r="BI9" s="0" t="n">
        <v>48</v>
      </c>
      <c r="BJ9" s="0" t="n">
        <v>39.0314516559859</v>
      </c>
      <c r="BK9" s="0" t="n">
        <v>0</v>
      </c>
      <c r="BL9" s="0" t="n">
        <v>0</v>
      </c>
      <c r="BM9" s="0" t="n">
        <v>314.6</v>
      </c>
      <c r="BN9" s="0" t="n">
        <v>416.6</v>
      </c>
      <c r="BO9" s="0" t="n">
        <v>17</v>
      </c>
      <c r="BP9" s="0" t="s">
        <v>124</v>
      </c>
      <c r="BQ9" s="0" t="n">
        <v>1</v>
      </c>
      <c r="BR9" s="0" t="n">
        <v>365.6</v>
      </c>
      <c r="BS9" s="0" t="n">
        <v>0.2345</v>
      </c>
      <c r="BT9" s="0" t="n">
        <v>0.6466</v>
      </c>
      <c r="BU9" s="0" t="n">
        <v>0.0811</v>
      </c>
      <c r="BV9" s="0" t="n">
        <v>0.2345</v>
      </c>
      <c r="BW9" s="0" t="n">
        <v>0.6466</v>
      </c>
      <c r="BX9" s="0" t="n">
        <v>0.0811</v>
      </c>
      <c r="BY9" s="0" t="n">
        <v>0.4085</v>
      </c>
      <c r="BZ9" s="0" t="n">
        <v>17</v>
      </c>
      <c r="CA9" s="0" t="n">
        <v>17.6</v>
      </c>
      <c r="CB9" s="0" t="n">
        <v>33.62</v>
      </c>
      <c r="CC9" s="0" t="n">
        <v>24.1</v>
      </c>
      <c r="CD9" s="0" t="n">
        <v>8.22</v>
      </c>
      <c r="CE9" s="0" t="n">
        <v>14</v>
      </c>
      <c r="CF9" s="0" t="n">
        <v>0</v>
      </c>
      <c r="CG9" s="0" t="n">
        <v>17</v>
      </c>
      <c r="CH9" s="0" t="n">
        <v>0.824</v>
      </c>
      <c r="CI9" s="0" t="n">
        <v>0</v>
      </c>
      <c r="CJ9" s="0" t="n">
        <v>0.341</v>
      </c>
      <c r="CK9" s="0" t="n">
        <v>25</v>
      </c>
      <c r="CL9" s="0" t="n">
        <v>13</v>
      </c>
      <c r="CM9" s="0" t="n">
        <v>4</v>
      </c>
      <c r="CN9" s="0" t="n">
        <v>7</v>
      </c>
      <c r="CO9" s="0" t="n">
        <v>7.96125453210212</v>
      </c>
      <c r="CP9" s="0" t="n">
        <v>75</v>
      </c>
      <c r="CQ9" s="0" t="n">
        <v>37</v>
      </c>
      <c r="CR9" s="0" t="n">
        <v>20</v>
      </c>
      <c r="CS9" s="0" t="n">
        <v>10</v>
      </c>
      <c r="CT9" s="0" t="n">
        <v>13.0201294657286</v>
      </c>
      <c r="CU9" s="0" t="n">
        <v>100</v>
      </c>
      <c r="CV9" s="0" t="n">
        <v>50</v>
      </c>
      <c r="CW9" s="0" t="n">
        <v>24</v>
      </c>
      <c r="CX9" s="0" t="n">
        <v>17</v>
      </c>
      <c r="CY9" s="0" t="n">
        <v>20.98</v>
      </c>
      <c r="CZ9" s="0" t="n">
        <v>-3.98</v>
      </c>
      <c r="DG9" s="0" t="n">
        <v>4.40319467554077</v>
      </c>
      <c r="DH9" s="0" t="n">
        <v>29.2604501607717</v>
      </c>
      <c r="DI9" s="0" t="n">
        <v>2.73194306049822</v>
      </c>
      <c r="DJ9" s="0" t="n">
        <v>-166.032117779079</v>
      </c>
      <c r="DK9" s="0" t="n">
        <v>-0.544367599275668</v>
      </c>
      <c r="DL9" s="0" t="n">
        <v>0.344262295081967</v>
      </c>
      <c r="DM9" s="0" t="s">
        <v>951</v>
      </c>
      <c r="DN9" s="0" t="n">
        <v>311</v>
      </c>
      <c r="DO9" s="0" t="n">
        <v>10</v>
      </c>
      <c r="DP9" s="0" t="n">
        <v>2.341</v>
      </c>
      <c r="DQ9" s="0" t="n">
        <v>1.524</v>
      </c>
      <c r="DR9" s="0" t="n">
        <v>31.1</v>
      </c>
      <c r="DS9" s="0" t="n">
        <v>129</v>
      </c>
      <c r="DT9" s="0" t="n">
        <v>11</v>
      </c>
      <c r="DU9" s="0" t="n">
        <v>7</v>
      </c>
      <c r="DV9" s="0" t="n">
        <v>2</v>
      </c>
      <c r="DW9" s="0" t="n">
        <v>7.059</v>
      </c>
      <c r="DX9" s="0" t="n">
        <v>2.3</v>
      </c>
      <c r="DY9" s="0" t="n">
        <v>0.0543</v>
      </c>
      <c r="DZ9" s="0" t="n">
        <v>932</v>
      </c>
      <c r="EA9" s="0" t="n">
        <v>0.831</v>
      </c>
      <c r="EB9" s="0" t="n">
        <v>17</v>
      </c>
      <c r="EC9" s="0" t="s">
        <v>952</v>
      </c>
      <c r="ED9" s="0" t="n">
        <v>2017</v>
      </c>
      <c r="EE9" s="0" t="n">
        <v>1</v>
      </c>
      <c r="EF9" s="0" t="n">
        <v>8</v>
      </c>
      <c r="EG9" s="0" t="n">
        <v>2017</v>
      </c>
      <c r="EH9" s="0" t="n">
        <v>2026</v>
      </c>
      <c r="EI9" s="0" t="n">
        <v>10</v>
      </c>
      <c r="EJ9" s="0" t="n">
        <v>71</v>
      </c>
      <c r="EK9" s="0" t="n">
        <v>210</v>
      </c>
      <c r="EL9" s="0" t="s">
        <v>953</v>
      </c>
      <c r="EM9" s="0" t="n">
        <v>30.2</v>
      </c>
      <c r="EN9" s="15" t="b">
        <f aca="false">FALSE()</f>
        <v>0</v>
      </c>
      <c r="EO9" s="0" t="n">
        <v>405</v>
      </c>
      <c r="EP9" s="0" t="n">
        <v>2.91456790123457</v>
      </c>
      <c r="EQ9" s="0" t="n">
        <v>0.180246913580247</v>
      </c>
      <c r="ER9" s="0" t="n">
        <v>1.17530864197531</v>
      </c>
      <c r="ES9" s="0" t="n">
        <v>0.402469135802469</v>
      </c>
      <c r="ET9" s="0" t="n">
        <v>29</v>
      </c>
      <c r="EU9" s="0" t="n">
        <v>19</v>
      </c>
      <c r="EV9" s="0" t="n">
        <v>3.94814814814815</v>
      </c>
      <c r="EW9" s="0" t="n">
        <v>0.655172413793103</v>
      </c>
      <c r="EX9" s="0" t="n">
        <v>2.9571088201075</v>
      </c>
      <c r="EY9" s="0" t="n">
        <v>2.906</v>
      </c>
      <c r="EZ9" s="0" t="n">
        <v>0.1848</v>
      </c>
      <c r="FA9" s="0" t="n">
        <v>2.349</v>
      </c>
      <c r="FB9" s="0" t="n">
        <v>1.428</v>
      </c>
      <c r="FC9" s="0" t="n">
        <v>23</v>
      </c>
      <c r="FD9" s="0" t="n">
        <v>624</v>
      </c>
      <c r="FE9" s="0" t="n">
        <v>0.0432692307692308</v>
      </c>
      <c r="FF9" s="0" t="n">
        <v>0.0428</v>
      </c>
      <c r="FG9" s="0" t="n">
        <v>0.2125</v>
      </c>
      <c r="FH9" s="0" t="n">
        <v>2.547</v>
      </c>
      <c r="FI9" s="0" t="n">
        <v>1065</v>
      </c>
      <c r="FJ9" s="0" t="n">
        <v>0.566197183098592</v>
      </c>
      <c r="FK9" s="0" t="n">
        <v>17</v>
      </c>
      <c r="FL9" s="0" t="n">
        <v>62.65</v>
      </c>
      <c r="FM9" s="0" t="n">
        <v>0.5521</v>
      </c>
      <c r="FN9" s="0" t="n">
        <v>0.4479</v>
      </c>
      <c r="FO9" s="0" t="n">
        <v>-0.0088</v>
      </c>
      <c r="FP9" s="0" t="n">
        <v>-0.0044</v>
      </c>
      <c r="FQ9" s="0" t="n">
        <v>0.1587</v>
      </c>
      <c r="FR9" s="0" t="n">
        <v>38</v>
      </c>
      <c r="FS9" s="0" t="n">
        <v>66</v>
      </c>
      <c r="FT9" s="0" t="n">
        <v>3.88</v>
      </c>
      <c r="FU9" s="0" t="n">
        <v>25.7</v>
      </c>
      <c r="FV9" s="0" t="n">
        <v>5615</v>
      </c>
      <c r="FW9" s="0" t="n">
        <v>4784</v>
      </c>
      <c r="FX9" s="0" t="n">
        <v>0.852</v>
      </c>
      <c r="FY9" s="0" t="n">
        <v>5</v>
      </c>
      <c r="FZ9" s="0" t="n">
        <v>4</v>
      </c>
      <c r="GA9" s="0" t="n">
        <v>-0.196965652614142</v>
      </c>
      <c r="GB9" s="0" t="n">
        <v>46.4</v>
      </c>
      <c r="GC9" s="0" t="n">
        <v>74.5</v>
      </c>
      <c r="GD9" s="0" t="n">
        <v>63.3</v>
      </c>
      <c r="GE9" s="0" t="n">
        <v>550</v>
      </c>
      <c r="GF9" s="0" t="n">
        <v>481</v>
      </c>
      <c r="GG9" s="0" t="n">
        <v>170</v>
      </c>
      <c r="GH9" s="0" t="n">
        <v>94</v>
      </c>
      <c r="GI9" s="0" t="n">
        <v>185</v>
      </c>
      <c r="GJ9" s="0" t="n">
        <v>38</v>
      </c>
      <c r="GK9" s="0" t="n">
        <v>0.309</v>
      </c>
      <c r="GL9" s="0" t="n">
        <v>0.195</v>
      </c>
      <c r="GM9" s="0" t="n">
        <v>0.205</v>
      </c>
      <c r="GN9" s="0" t="n">
        <v>24.506</v>
      </c>
      <c r="GO9" s="0" t="n">
        <v>21.506</v>
      </c>
      <c r="GP9" s="0" t="n">
        <v>18.506</v>
      </c>
      <c r="GQ9" s="0" t="n">
        <v>7.588</v>
      </c>
      <c r="GR9" s="0" t="n">
        <v>18.294</v>
      </c>
      <c r="GS9" s="0" t="n">
        <v>440</v>
      </c>
      <c r="GT9" s="0" t="n">
        <v>0.947</v>
      </c>
      <c r="GU9" s="0" t="n">
        <v>0.447</v>
      </c>
      <c r="GV9" s="0" t="n">
        <v>7.163</v>
      </c>
      <c r="GW9" s="0" t="n">
        <v>9.059</v>
      </c>
      <c r="GX9" s="0" t="n">
        <v>0.791</v>
      </c>
      <c r="GY9" s="0" t="n">
        <v>3.865</v>
      </c>
      <c r="GZ9" s="0" t="n">
        <v>2.597</v>
      </c>
      <c r="HA9" s="0" t="n">
        <v>7.059</v>
      </c>
      <c r="HB9" s="0" t="n">
        <v>2.758</v>
      </c>
      <c r="HC9" s="0" t="n">
        <v>0.039</v>
      </c>
      <c r="HD9" s="0" t="n">
        <v>-0.068</v>
      </c>
      <c r="HE9" s="0" t="n">
        <v>0.303</v>
      </c>
      <c r="HG9" s="0" t="n">
        <v>9.29</v>
      </c>
      <c r="HH9" s="0" t="n">
        <v>5.12</v>
      </c>
      <c r="HI9" s="0" t="n">
        <v>2</v>
      </c>
      <c r="HJ9" s="0" t="n">
        <v>31</v>
      </c>
      <c r="HK9" s="0" t="s">
        <v>909</v>
      </c>
      <c r="HL9" s="0" t="n">
        <v>0</v>
      </c>
      <c r="HM9" s="0" t="n">
        <v>1</v>
      </c>
      <c r="HN9" s="0" t="n">
        <v>3</v>
      </c>
      <c r="HO9" s="0" t="n">
        <v>0.098</v>
      </c>
      <c r="HP9" s="0" t="n">
        <v>1</v>
      </c>
      <c r="HQ9" s="0" t="n">
        <v>0.097</v>
      </c>
      <c r="HR9" s="0" t="s">
        <v>102</v>
      </c>
    </row>
    <row r="10" customFormat="false" ht="15" hidden="false" customHeight="false" outlineLevel="0" collapsed="false">
      <c r="A10" s="0" t="s">
        <v>896</v>
      </c>
      <c r="B10" s="0" t="s">
        <v>897</v>
      </c>
      <c r="C10" s="0" t="s">
        <v>898</v>
      </c>
      <c r="D10" s="0" t="s">
        <v>125</v>
      </c>
      <c r="E10" s="0" t="n">
        <v>19236</v>
      </c>
      <c r="F10" s="0" t="s">
        <v>99</v>
      </c>
      <c r="G10" s="0" t="n">
        <v>9.58</v>
      </c>
      <c r="H10" s="0" t="n">
        <v>2.63</v>
      </c>
      <c r="I10" s="0" t="n">
        <v>5</v>
      </c>
      <c r="J10" s="0" t="n">
        <v>20</v>
      </c>
      <c r="L10" s="0" t="s">
        <v>954</v>
      </c>
      <c r="O10" s="0" t="n">
        <v>99.4</v>
      </c>
      <c r="U10" s="0" t="n">
        <v>6</v>
      </c>
      <c r="V10" s="0" t="s">
        <v>125</v>
      </c>
      <c r="W10" s="0" t="s">
        <v>901</v>
      </c>
      <c r="X10" s="0" t="s">
        <v>127</v>
      </c>
      <c r="Y10" s="0" t="s">
        <v>955</v>
      </c>
      <c r="Z10" s="0" t="n">
        <v>19236</v>
      </c>
      <c r="AA10" s="0" t="s">
        <v>956</v>
      </c>
      <c r="AB10" s="0" t="s">
        <v>904</v>
      </c>
      <c r="AC10" s="0" t="s">
        <v>127</v>
      </c>
      <c r="AD10" s="0" t="s">
        <v>127</v>
      </c>
      <c r="AE10" s="0" t="s">
        <v>127</v>
      </c>
      <c r="AF10" s="0" t="s">
        <v>127</v>
      </c>
      <c r="AG10" s="0" t="s">
        <v>127</v>
      </c>
      <c r="AH10" s="0" t="s">
        <v>905</v>
      </c>
      <c r="AI10" s="0" t="n">
        <v>1</v>
      </c>
      <c r="AJ10" s="0" t="s">
        <v>99</v>
      </c>
      <c r="AK10" s="0" t="n">
        <v>9</v>
      </c>
      <c r="AL10" s="0" t="n">
        <v>6</v>
      </c>
      <c r="AM10" s="0" t="s">
        <v>126</v>
      </c>
      <c r="AN10" s="0" t="n">
        <v>0</v>
      </c>
      <c r="AO10" s="0" t="n">
        <v>0</v>
      </c>
      <c r="AP10" s="0" t="n">
        <v>0</v>
      </c>
      <c r="AQ10" s="0" t="n">
        <v>0</v>
      </c>
      <c r="AR10" s="0" t="n">
        <v>0</v>
      </c>
      <c r="AS10" s="0" t="n">
        <v>0</v>
      </c>
      <c r="AT10" s="0" t="n">
        <v>0</v>
      </c>
      <c r="AU10" s="0" t="n">
        <v>0</v>
      </c>
      <c r="AV10" s="0" t="n">
        <v>0</v>
      </c>
      <c r="AW10" s="0" t="n">
        <v>2</v>
      </c>
      <c r="AX10" s="0" t="n">
        <v>7</v>
      </c>
      <c r="AY10" s="0" t="n">
        <v>0</v>
      </c>
      <c r="AZ10" s="0" t="n">
        <v>0</v>
      </c>
      <c r="BA10" s="0" t="n">
        <v>-0.0567193317692727</v>
      </c>
      <c r="BB10" s="0" t="n">
        <v>0</v>
      </c>
      <c r="BC10" s="0" t="n">
        <v>84</v>
      </c>
      <c r="BD10" s="0" t="n">
        <v>141</v>
      </c>
      <c r="BE10" s="0" t="n">
        <v>1048</v>
      </c>
      <c r="BF10" s="0" t="n">
        <v>2</v>
      </c>
      <c r="BG10" s="0" t="n">
        <v>1438</v>
      </c>
      <c r="BH10" s="0" t="n">
        <v>451</v>
      </c>
      <c r="BI10" s="0" t="n">
        <v>47</v>
      </c>
      <c r="BJ10" s="0" t="n">
        <v>-13.8286822360037</v>
      </c>
      <c r="BK10" s="0" t="n">
        <v>0</v>
      </c>
      <c r="BL10" s="0" t="n">
        <v>0</v>
      </c>
      <c r="BM10" s="0" t="n">
        <v>117.5</v>
      </c>
      <c r="BN10" s="0" t="n">
        <v>201.5</v>
      </c>
      <c r="BO10" s="0" t="n">
        <v>17</v>
      </c>
      <c r="BP10" s="0" t="s">
        <v>127</v>
      </c>
      <c r="BQ10" s="0" t="n">
        <v>1</v>
      </c>
      <c r="BR10" s="0" t="n">
        <v>159.5</v>
      </c>
      <c r="BS10" s="0" t="n">
        <v>0.3013</v>
      </c>
      <c r="BT10" s="0" t="n">
        <v>0.0049</v>
      </c>
      <c r="BU10" s="0" t="n">
        <v>0.3859</v>
      </c>
      <c r="BV10" s="0" t="n">
        <v>0.3013</v>
      </c>
      <c r="BW10" s="0" t="n">
        <v>0.0049</v>
      </c>
      <c r="BX10" s="0" t="n">
        <v>0.3859</v>
      </c>
      <c r="BY10" s="0" t="n">
        <v>0.7221</v>
      </c>
      <c r="BZ10" s="0" t="n">
        <v>17</v>
      </c>
      <c r="CA10" s="0" t="n">
        <v>7.7</v>
      </c>
      <c r="CB10" s="0" t="n">
        <v>17.72</v>
      </c>
      <c r="CC10" s="0" t="n">
        <v>12.5</v>
      </c>
      <c r="CD10" s="0" t="n">
        <v>5.79</v>
      </c>
      <c r="CE10" s="0" t="n">
        <v>3</v>
      </c>
      <c r="CF10" s="0" t="n">
        <v>0</v>
      </c>
      <c r="CG10" s="0" t="n">
        <v>17</v>
      </c>
      <c r="CH10" s="0" t="n">
        <v>0.176</v>
      </c>
      <c r="CI10" s="0" t="n">
        <v>0</v>
      </c>
      <c r="CJ10" s="0" t="n">
        <v>0.463</v>
      </c>
      <c r="CK10" s="0" t="n">
        <v>18</v>
      </c>
      <c r="CL10" s="0" t="n">
        <v>10</v>
      </c>
      <c r="CM10" s="0" t="n">
        <v>5</v>
      </c>
      <c r="CN10" s="0" t="n">
        <v>2</v>
      </c>
      <c r="CO10" s="0" t="n">
        <v>7.02650399320341</v>
      </c>
      <c r="CP10" s="0" t="n">
        <v>0</v>
      </c>
      <c r="CQ10" s="0" t="n">
        <v>0</v>
      </c>
      <c r="CR10" s="0" t="n">
        <v>0</v>
      </c>
      <c r="CS10" s="0" t="n">
        <v>0</v>
      </c>
      <c r="CT10" s="0" t="n">
        <v>0.00714183688044565</v>
      </c>
      <c r="CU10" s="0" t="n">
        <v>18</v>
      </c>
      <c r="CV10" s="0" t="n">
        <v>10</v>
      </c>
      <c r="CW10" s="0" t="n">
        <v>5</v>
      </c>
      <c r="CX10" s="0" t="n">
        <v>2</v>
      </c>
      <c r="CY10" s="0" t="n">
        <v>7.03</v>
      </c>
      <c r="CZ10" s="0" t="n">
        <v>-5.03</v>
      </c>
      <c r="DA10" s="0" t="n">
        <v>3.23303550437762</v>
      </c>
      <c r="DB10" s="0" t="n">
        <v>5.84856060606061</v>
      </c>
      <c r="DC10" s="0" t="n">
        <v>10.3529787234043</v>
      </c>
      <c r="DD10" s="0" t="n">
        <v>38.3772287275156</v>
      </c>
      <c r="DE10" s="0" t="n">
        <v>0.778681667836201</v>
      </c>
      <c r="DF10" s="0" t="n">
        <v>59.5744680851064</v>
      </c>
      <c r="DM10" s="0" t="s">
        <v>957</v>
      </c>
      <c r="DN10" s="0" t="n">
        <v>2</v>
      </c>
      <c r="DO10" s="0" t="n">
        <v>0</v>
      </c>
      <c r="DS10" s="0" t="n">
        <v>141</v>
      </c>
      <c r="DT10" s="0" t="n">
        <v>5</v>
      </c>
      <c r="DU10" s="0" t="n">
        <v>3</v>
      </c>
      <c r="DV10" s="0" t="n">
        <v>7.107</v>
      </c>
      <c r="DW10" s="0" t="n">
        <v>5.369</v>
      </c>
      <c r="DX10" s="0" t="n">
        <v>10.2</v>
      </c>
      <c r="DY10" s="0" t="n">
        <v>0.0213</v>
      </c>
      <c r="DZ10" s="0" t="n">
        <v>941</v>
      </c>
      <c r="EA10" s="0" t="n">
        <v>0.942</v>
      </c>
      <c r="EB10" s="0" t="n">
        <v>17</v>
      </c>
      <c r="EC10" s="0" t="s">
        <v>958</v>
      </c>
      <c r="ED10" s="0" t="n">
        <v>2020</v>
      </c>
      <c r="EE10" s="0" t="n">
        <v>1</v>
      </c>
      <c r="EF10" s="0" t="n">
        <v>22</v>
      </c>
      <c r="EG10" s="0" t="n">
        <v>2020</v>
      </c>
      <c r="EH10" s="0" t="n">
        <v>2026</v>
      </c>
      <c r="EI10" s="0" t="n">
        <v>7</v>
      </c>
      <c r="EJ10" s="0" t="n">
        <v>73</v>
      </c>
      <c r="EK10" s="0" t="n">
        <v>195</v>
      </c>
      <c r="EL10" s="0" t="s">
        <v>908</v>
      </c>
      <c r="EM10" s="0" t="n">
        <v>27.2</v>
      </c>
      <c r="EN10" s="15" t="b">
        <f aca="false">FALSE()</f>
        <v>0</v>
      </c>
      <c r="EO10" s="0" t="n">
        <v>348</v>
      </c>
      <c r="EP10" s="0" t="n">
        <v>3.06781609195402</v>
      </c>
      <c r="EQ10" s="0" t="n">
        <v>0.160919540229885</v>
      </c>
      <c r="ER10" s="0" t="n">
        <v>1.27011494252874</v>
      </c>
      <c r="ES10" s="0" t="n">
        <v>0.548850574712644</v>
      </c>
      <c r="ET10" s="0" t="n">
        <v>30</v>
      </c>
      <c r="EU10" s="0" t="n">
        <v>21</v>
      </c>
      <c r="EV10" s="0" t="n">
        <v>4.28448275862069</v>
      </c>
      <c r="EW10" s="0" t="n">
        <v>0.7</v>
      </c>
      <c r="EX10" s="0" t="n">
        <v>3.05559506502035</v>
      </c>
      <c r="EY10" s="0" t="n">
        <v>2.961</v>
      </c>
      <c r="EZ10" s="0" t="n">
        <v>0.1751</v>
      </c>
      <c r="FA10" s="0" t="n">
        <v>2.441</v>
      </c>
      <c r="FB10" s="0" t="n">
        <v>2.049</v>
      </c>
      <c r="FC10" s="0" t="n">
        <v>27</v>
      </c>
      <c r="FD10" s="0" t="n">
        <v>571</v>
      </c>
      <c r="FE10" s="0" t="n">
        <v>0.10507880910683</v>
      </c>
      <c r="FF10" s="0" t="n">
        <v>0.1028</v>
      </c>
      <c r="FG10" s="0" t="n">
        <v>0.3037</v>
      </c>
      <c r="FH10" s="0" t="n">
        <v>2.429</v>
      </c>
      <c r="FI10" s="0" t="n">
        <v>943</v>
      </c>
      <c r="FJ10" s="0" t="n">
        <v>0.580063626723224</v>
      </c>
      <c r="FK10" s="0" t="n">
        <v>17</v>
      </c>
      <c r="FL10" s="0" t="n">
        <v>55.47</v>
      </c>
      <c r="FM10" s="0" t="n">
        <v>0.5369</v>
      </c>
      <c r="FN10" s="0" t="n">
        <v>0.4631</v>
      </c>
      <c r="FO10" s="0" t="n">
        <v>-0.012</v>
      </c>
      <c r="FP10" s="0" t="n">
        <v>-0.0149</v>
      </c>
      <c r="FQ10" s="0" t="n">
        <v>-0.1883</v>
      </c>
      <c r="FR10" s="0" t="n">
        <v>39</v>
      </c>
      <c r="FS10" s="0" t="n">
        <v>53</v>
      </c>
      <c r="FT10" s="0" t="n">
        <v>3.12</v>
      </c>
      <c r="FU10" s="0" t="n">
        <v>20.2</v>
      </c>
      <c r="FV10" s="0" t="n">
        <v>5009</v>
      </c>
      <c r="FW10" s="0" t="n">
        <v>4102</v>
      </c>
      <c r="FX10" s="0" t="n">
        <v>0.819</v>
      </c>
      <c r="FY10" s="0" t="n">
        <v>5</v>
      </c>
      <c r="FZ10" s="0" t="n">
        <v>5</v>
      </c>
      <c r="GA10" s="0" t="n">
        <v>0.100485160629548</v>
      </c>
      <c r="GB10" s="0" t="n">
        <v>51.8</v>
      </c>
      <c r="GC10" s="0" t="n">
        <v>26.2</v>
      </c>
      <c r="GD10" s="0" t="n">
        <v>36</v>
      </c>
      <c r="GE10" s="0" t="n">
        <v>468</v>
      </c>
      <c r="GF10" s="0" t="n">
        <v>410</v>
      </c>
      <c r="GG10" s="0" t="n">
        <v>82</v>
      </c>
      <c r="GH10" s="0" t="n">
        <v>24</v>
      </c>
      <c r="GI10" s="0" t="n">
        <v>131</v>
      </c>
      <c r="GJ10" s="0" t="n">
        <v>17</v>
      </c>
      <c r="GK10" s="0" t="n">
        <v>0.175</v>
      </c>
      <c r="GL10" s="0" t="n">
        <v>0.059</v>
      </c>
      <c r="GM10" s="0" t="n">
        <v>0.13</v>
      </c>
      <c r="GN10" s="0" t="n">
        <v>11.853</v>
      </c>
      <c r="GO10" s="0" t="n">
        <v>9.382</v>
      </c>
      <c r="GP10" s="0" t="n">
        <v>6.912</v>
      </c>
      <c r="GQ10" s="0" t="n">
        <v>8.294</v>
      </c>
      <c r="GR10" s="0" t="n">
        <v>0.118</v>
      </c>
      <c r="GS10" s="0" t="n">
        <v>143</v>
      </c>
      <c r="GT10" s="0" t="n">
        <v>1.409</v>
      </c>
      <c r="GU10" s="0" t="n">
        <v>0.214</v>
      </c>
      <c r="GV10" s="0" t="n">
        <v>7.433</v>
      </c>
      <c r="GW10" s="0" t="n">
        <v>12.476</v>
      </c>
      <c r="GX10" s="0" t="n">
        <v>0.596</v>
      </c>
      <c r="GZ10" s="0" t="n">
        <v>10.199</v>
      </c>
      <c r="HA10" s="0" t="n">
        <v>5.369</v>
      </c>
      <c r="HB10" s="0" t="n">
        <v>0.729</v>
      </c>
      <c r="HC10" s="0" t="n">
        <v>0.014</v>
      </c>
      <c r="HE10" s="0" t="n">
        <v>-0.098</v>
      </c>
      <c r="HG10" s="0" t="n">
        <v>9.58</v>
      </c>
      <c r="HH10" s="0" t="n">
        <v>2.63</v>
      </c>
      <c r="HI10" s="0" t="n">
        <v>5</v>
      </c>
      <c r="HJ10" s="0" t="n">
        <v>20</v>
      </c>
      <c r="HK10" s="0" t="s">
        <v>909</v>
      </c>
      <c r="HL10" s="0" t="n">
        <v>0</v>
      </c>
      <c r="HM10" s="0" t="n">
        <v>21</v>
      </c>
      <c r="HN10" s="0" t="n">
        <v>6</v>
      </c>
      <c r="HO10" s="0" t="n">
        <v>-0.673</v>
      </c>
      <c r="HP10" s="0" t="n">
        <v>32</v>
      </c>
      <c r="HQ10" s="0" t="n">
        <v>-1.155</v>
      </c>
      <c r="HR10" s="0" t="s">
        <v>121</v>
      </c>
    </row>
    <row r="11" customFormat="false" ht="15" hidden="false" customHeight="false" outlineLevel="0" collapsed="false">
      <c r="A11" s="0" t="s">
        <v>896</v>
      </c>
      <c r="B11" s="0" t="s">
        <v>897</v>
      </c>
      <c r="C11" s="0" t="s">
        <v>898</v>
      </c>
      <c r="D11" s="0" t="s">
        <v>128</v>
      </c>
      <c r="E11" s="0" t="n">
        <v>19217</v>
      </c>
      <c r="F11" s="0" t="s">
        <v>104</v>
      </c>
      <c r="G11" s="0" t="n">
        <v>11.77</v>
      </c>
      <c r="H11" s="0" t="n">
        <v>5.03</v>
      </c>
      <c r="I11" s="0" t="n">
        <v>6</v>
      </c>
      <c r="J11" s="0" t="n">
        <v>33</v>
      </c>
      <c r="L11" s="0" t="s">
        <v>959</v>
      </c>
      <c r="O11" s="0" t="n">
        <v>99.4</v>
      </c>
      <c r="U11" s="0" t="n">
        <v>13</v>
      </c>
      <c r="V11" s="0" t="s">
        <v>128</v>
      </c>
      <c r="W11" s="0" t="s">
        <v>901</v>
      </c>
      <c r="X11" s="0" t="s">
        <v>130</v>
      </c>
      <c r="Y11" s="0" t="s">
        <v>960</v>
      </c>
      <c r="Z11" s="0" t="n">
        <v>19217</v>
      </c>
      <c r="AA11" s="0" t="s">
        <v>961</v>
      </c>
      <c r="AB11" s="0" t="s">
        <v>904</v>
      </c>
      <c r="AC11" s="0" t="s">
        <v>130</v>
      </c>
      <c r="AD11" s="0" t="s">
        <v>130</v>
      </c>
      <c r="AE11" s="0" t="s">
        <v>130</v>
      </c>
      <c r="AF11" s="0" t="s">
        <v>130</v>
      </c>
      <c r="AG11" s="0" t="s">
        <v>130</v>
      </c>
      <c r="AH11" s="0" t="s">
        <v>905</v>
      </c>
      <c r="AI11" s="0" t="n">
        <v>1</v>
      </c>
      <c r="AJ11" s="0" t="s">
        <v>104</v>
      </c>
      <c r="AK11" s="0" t="n">
        <v>10</v>
      </c>
      <c r="AL11" s="0" t="n">
        <v>4</v>
      </c>
      <c r="AM11" s="0" t="s">
        <v>129</v>
      </c>
      <c r="AN11" s="0" t="n">
        <v>0</v>
      </c>
      <c r="AO11" s="0" t="n">
        <v>0</v>
      </c>
      <c r="AP11" s="0" t="n">
        <v>0</v>
      </c>
      <c r="AQ11" s="0" t="n">
        <v>0</v>
      </c>
      <c r="AR11" s="0" t="n">
        <v>0</v>
      </c>
      <c r="AS11" s="0" t="n">
        <v>0</v>
      </c>
      <c r="AT11" s="0" t="n">
        <v>0</v>
      </c>
      <c r="AU11" s="0" t="n">
        <v>0</v>
      </c>
      <c r="AV11" s="0" t="n">
        <v>0</v>
      </c>
      <c r="AW11" s="0" t="n">
        <v>323</v>
      </c>
      <c r="AX11" s="0" t="n">
        <v>1585</v>
      </c>
      <c r="AY11" s="0" t="n">
        <v>18</v>
      </c>
      <c r="AZ11" s="0" t="n">
        <v>84</v>
      </c>
      <c r="BA11" s="0" t="n">
        <v>18.7716348098468</v>
      </c>
      <c r="BB11" s="0" t="n">
        <v>1</v>
      </c>
      <c r="BC11" s="0" t="n">
        <v>46</v>
      </c>
      <c r="BD11" s="0" t="n">
        <v>55</v>
      </c>
      <c r="BE11" s="0" t="n">
        <v>378</v>
      </c>
      <c r="BF11" s="0" t="n">
        <v>2</v>
      </c>
      <c r="BG11" s="0" t="n">
        <v>-45</v>
      </c>
      <c r="BH11" s="0" t="n">
        <v>434</v>
      </c>
      <c r="BI11" s="0" t="n">
        <v>15</v>
      </c>
      <c r="BJ11" s="0" t="n">
        <v>9.23404607143323</v>
      </c>
      <c r="BK11" s="0" t="n">
        <v>0</v>
      </c>
      <c r="BL11" s="0" t="n">
        <v>0</v>
      </c>
      <c r="BM11" s="0" t="n">
        <v>316.3</v>
      </c>
      <c r="BN11" s="0" t="n">
        <v>362.3</v>
      </c>
      <c r="BO11" s="0" t="n">
        <v>17</v>
      </c>
      <c r="BP11" s="0" t="s">
        <v>130</v>
      </c>
      <c r="BQ11" s="0" t="n">
        <v>1</v>
      </c>
      <c r="BR11" s="0" t="n">
        <v>339.3</v>
      </c>
      <c r="BS11" s="0" t="n">
        <v>0.1038</v>
      </c>
      <c r="BT11" s="0" t="n">
        <v>0.7308</v>
      </c>
      <c r="BU11" s="0" t="n">
        <v>-0.0105</v>
      </c>
      <c r="BV11" s="0" t="n">
        <v>0.1038</v>
      </c>
      <c r="BW11" s="0" t="n">
        <v>0.7308</v>
      </c>
      <c r="BX11" s="0" t="n">
        <v>-0.0105</v>
      </c>
      <c r="BY11" s="0" t="n">
        <v>0.1484</v>
      </c>
      <c r="BZ11" s="0" t="n">
        <v>17</v>
      </c>
      <c r="CA11" s="0" t="n">
        <v>12.8</v>
      </c>
      <c r="CB11" s="0" t="n">
        <v>33.64</v>
      </c>
      <c r="CC11" s="0" t="n">
        <v>16.9</v>
      </c>
      <c r="CD11" s="0" t="n">
        <v>12.44</v>
      </c>
      <c r="CE11" s="0" t="n">
        <v>8</v>
      </c>
      <c r="CF11" s="0" t="n">
        <v>0</v>
      </c>
      <c r="CG11" s="0" t="n">
        <v>17</v>
      </c>
      <c r="CH11" s="0" t="n">
        <v>0.471</v>
      </c>
      <c r="CI11" s="0" t="n">
        <v>0</v>
      </c>
      <c r="CJ11" s="0" t="n">
        <v>0.736</v>
      </c>
      <c r="CK11" s="0" t="n">
        <v>4</v>
      </c>
      <c r="CL11" s="0" t="n">
        <v>1</v>
      </c>
      <c r="CM11" s="0" t="n">
        <v>0</v>
      </c>
      <c r="CN11" s="0" t="n">
        <v>2</v>
      </c>
      <c r="CO11" s="0" t="n">
        <v>1.40036627388336</v>
      </c>
      <c r="CP11" s="0" t="n">
        <v>70</v>
      </c>
      <c r="CQ11" s="0" t="n">
        <v>39</v>
      </c>
      <c r="CR11" s="0" t="n">
        <v>23</v>
      </c>
      <c r="CS11" s="0" t="n">
        <v>18</v>
      </c>
      <c r="CT11" s="0" t="n">
        <v>13.9264874434509</v>
      </c>
      <c r="CU11" s="0" t="n">
        <v>74</v>
      </c>
      <c r="CV11" s="0" t="n">
        <v>40</v>
      </c>
      <c r="CW11" s="0" t="n">
        <v>23</v>
      </c>
      <c r="CX11" s="0" t="n">
        <v>20</v>
      </c>
      <c r="CY11" s="0" t="n">
        <v>15.33</v>
      </c>
      <c r="CZ11" s="0" t="n">
        <v>4.67</v>
      </c>
      <c r="DG11" s="0" t="n">
        <v>3.46654258675079</v>
      </c>
      <c r="DH11" s="0" t="n">
        <v>17.9566563467492</v>
      </c>
      <c r="DI11" s="0" t="n">
        <v>2.75832203389831</v>
      </c>
      <c r="DJ11" s="0" t="n">
        <v>195.052763855205</v>
      </c>
      <c r="DK11" s="0" t="n">
        <v>0.613373471242784</v>
      </c>
      <c r="DL11" s="0" t="n">
        <v>0.374213836477987</v>
      </c>
      <c r="DM11" s="0" t="s">
        <v>962</v>
      </c>
      <c r="DN11" s="0" t="n">
        <v>323</v>
      </c>
      <c r="DO11" s="0" t="n">
        <v>27</v>
      </c>
      <c r="DP11" s="0" t="n">
        <v>2.471</v>
      </c>
      <c r="DQ11" s="0" t="n">
        <v>2.437</v>
      </c>
      <c r="DR11" s="0" t="n">
        <v>11.96</v>
      </c>
      <c r="DS11" s="0" t="n">
        <v>55</v>
      </c>
      <c r="DT11" s="0" t="n">
        <v>8</v>
      </c>
      <c r="DU11" s="0" t="n">
        <v>4</v>
      </c>
      <c r="DV11" s="0" t="n">
        <v>-1.217</v>
      </c>
      <c r="DW11" s="0" t="n">
        <v>9.435</v>
      </c>
      <c r="DX11" s="0" t="n">
        <v>-0.9</v>
      </c>
      <c r="DY11" s="0" t="n">
        <v>0.0727</v>
      </c>
      <c r="DZ11" s="0" t="n">
        <v>883</v>
      </c>
      <c r="EA11" s="0" t="n">
        <v>0.826</v>
      </c>
      <c r="EB11" s="0" t="n">
        <v>17</v>
      </c>
      <c r="EC11" s="0" t="s">
        <v>963</v>
      </c>
      <c r="ED11" s="0" t="n">
        <v>2020</v>
      </c>
      <c r="EE11" s="0" t="n">
        <v>2</v>
      </c>
      <c r="EF11" s="0" t="n">
        <v>41</v>
      </c>
      <c r="EG11" s="0" t="n">
        <v>2020</v>
      </c>
      <c r="EH11" s="0" t="n">
        <v>2026</v>
      </c>
      <c r="EI11" s="0" t="n">
        <v>7</v>
      </c>
      <c r="EJ11" s="0" t="n">
        <v>70</v>
      </c>
      <c r="EK11" s="0" t="n">
        <v>226</v>
      </c>
      <c r="EL11" s="0" t="s">
        <v>964</v>
      </c>
      <c r="EM11" s="0" t="n">
        <v>27.6</v>
      </c>
      <c r="EN11" s="15" t="b">
        <f aca="false">FALSE()</f>
        <v>0</v>
      </c>
      <c r="EO11" s="0" t="n">
        <v>373</v>
      </c>
      <c r="EP11" s="0" t="n">
        <v>3.01769436997319</v>
      </c>
      <c r="EQ11" s="0" t="n">
        <v>0.152815013404826</v>
      </c>
      <c r="ER11" s="0" t="n">
        <v>1.2171581769437</v>
      </c>
      <c r="ES11" s="0" t="n">
        <v>1.07506702412869</v>
      </c>
      <c r="ET11" s="0" t="n">
        <v>32</v>
      </c>
      <c r="EU11" s="0" t="n">
        <v>22</v>
      </c>
      <c r="EV11" s="0" t="n">
        <v>4.73190348525469</v>
      </c>
      <c r="EW11" s="0" t="n">
        <v>0.6875</v>
      </c>
      <c r="EX11" s="0" t="n">
        <v>2.89403637630104</v>
      </c>
      <c r="EY11" s="0" t="n">
        <v>3.072</v>
      </c>
      <c r="EZ11" s="0" t="n">
        <v>0.1487</v>
      </c>
      <c r="FA11" s="0" t="n">
        <v>2.428</v>
      </c>
      <c r="FB11" s="0" t="n">
        <v>2.113</v>
      </c>
      <c r="FC11" s="0" t="n">
        <v>29</v>
      </c>
      <c r="FD11" s="0" t="n">
        <v>599</v>
      </c>
      <c r="FE11" s="0" t="n">
        <v>0.0484140233722872</v>
      </c>
      <c r="FF11" s="0" t="n">
        <v>0.047</v>
      </c>
      <c r="FG11" s="0" t="n">
        <v>0.2121</v>
      </c>
      <c r="FH11" s="0" t="n">
        <v>2.237</v>
      </c>
      <c r="FI11" s="0" t="n">
        <v>1011</v>
      </c>
      <c r="FJ11" s="0" t="n">
        <v>0.573689416419387</v>
      </c>
      <c r="FK11" s="0" t="n">
        <v>17</v>
      </c>
      <c r="FL11" s="0" t="n">
        <v>59.47</v>
      </c>
      <c r="FM11" s="0" t="n">
        <v>0.5637</v>
      </c>
      <c r="FN11" s="0" t="n">
        <v>0.4363</v>
      </c>
      <c r="FO11" s="0" t="n">
        <v>-0.0091</v>
      </c>
      <c r="FP11" s="0" t="n">
        <v>0.094</v>
      </c>
      <c r="FQ11" s="0" t="n">
        <v>0.0558</v>
      </c>
      <c r="FR11" s="0" t="n">
        <v>39</v>
      </c>
      <c r="FS11" s="0" t="n">
        <v>70</v>
      </c>
      <c r="FT11" s="0" t="n">
        <v>4.12</v>
      </c>
      <c r="FU11" s="0" t="n">
        <v>27.4</v>
      </c>
      <c r="FV11" s="0" t="n">
        <v>5369</v>
      </c>
      <c r="FW11" s="0" t="n">
        <v>4465</v>
      </c>
      <c r="FX11" s="0" t="n">
        <v>0.832</v>
      </c>
      <c r="FY11" s="0" t="n">
        <v>5</v>
      </c>
      <c r="FZ11" s="0" t="n">
        <v>5</v>
      </c>
      <c r="GA11" s="0" t="n">
        <v>0.42626114302074</v>
      </c>
      <c r="GB11" s="0" t="n">
        <v>57.7</v>
      </c>
      <c r="GC11" s="0" t="n">
        <v>58.5</v>
      </c>
      <c r="GD11" s="0" t="n">
        <v>60.3</v>
      </c>
      <c r="GE11" s="0" t="n">
        <v>530</v>
      </c>
      <c r="GF11" s="0" t="n">
        <v>442</v>
      </c>
      <c r="GG11" s="0" t="n">
        <v>147</v>
      </c>
      <c r="GH11" s="0" t="n">
        <v>24</v>
      </c>
      <c r="GI11" s="0" t="n">
        <v>179</v>
      </c>
      <c r="GJ11" s="0" t="n">
        <v>20</v>
      </c>
      <c r="GK11" s="0" t="n">
        <v>0.277</v>
      </c>
      <c r="GL11" s="0" t="n">
        <v>0.054</v>
      </c>
      <c r="GM11" s="0" t="n">
        <v>0.112</v>
      </c>
      <c r="GN11" s="0" t="n">
        <v>21.312</v>
      </c>
      <c r="GO11" s="0" t="n">
        <v>19.959</v>
      </c>
      <c r="GP11" s="0" t="n">
        <v>18.606</v>
      </c>
      <c r="GQ11" s="0" t="n">
        <v>3.235</v>
      </c>
      <c r="GR11" s="0" t="n">
        <v>19</v>
      </c>
      <c r="GS11" s="0" t="n">
        <v>378</v>
      </c>
      <c r="GT11" s="0" t="n">
        <v>0.958</v>
      </c>
      <c r="GU11" s="0" t="n">
        <v>0.41</v>
      </c>
      <c r="GV11" s="0" t="n">
        <v>6.873</v>
      </c>
      <c r="GW11" s="0" t="n">
        <v>8.217</v>
      </c>
      <c r="GX11" s="0" t="n">
        <v>0.836</v>
      </c>
      <c r="GY11" s="0" t="n">
        <v>4.907</v>
      </c>
      <c r="GZ11" s="0" t="n">
        <v>-0.818</v>
      </c>
      <c r="HA11" s="0" t="n">
        <v>9.435</v>
      </c>
      <c r="HB11" s="0" t="n">
        <v>-8.4</v>
      </c>
      <c r="HC11" s="0" t="n">
        <v>0.053</v>
      </c>
      <c r="HD11" s="0" t="n">
        <v>0.058</v>
      </c>
      <c r="HE11" s="0" t="n">
        <v>0.168</v>
      </c>
      <c r="HG11" s="0" t="n">
        <v>11.77</v>
      </c>
      <c r="HH11" s="0" t="n">
        <v>5.03</v>
      </c>
      <c r="HI11" s="0" t="n">
        <v>6</v>
      </c>
      <c r="HJ11" s="0" t="n">
        <v>33</v>
      </c>
      <c r="HK11" s="0" t="s">
        <v>909</v>
      </c>
      <c r="HL11" s="0" t="n">
        <v>0</v>
      </c>
      <c r="HM11" s="0" t="n">
        <v>4</v>
      </c>
      <c r="HN11" s="0" t="n">
        <v>4</v>
      </c>
      <c r="HO11" s="0" t="n">
        <v>0.002</v>
      </c>
      <c r="HP11" s="0" t="n">
        <v>4</v>
      </c>
      <c r="HQ11" s="0" t="n">
        <v>0.001</v>
      </c>
      <c r="HR11" s="0" t="s">
        <v>102</v>
      </c>
    </row>
    <row r="12" customFormat="false" ht="15" hidden="false" customHeight="false" outlineLevel="0" collapsed="false">
      <c r="A12" s="0" t="s">
        <v>896</v>
      </c>
      <c r="B12" s="0" t="s">
        <v>897</v>
      </c>
      <c r="C12" s="0" t="s">
        <v>898</v>
      </c>
      <c r="D12" s="0" t="s">
        <v>131</v>
      </c>
      <c r="E12" s="0" t="n">
        <v>23163</v>
      </c>
      <c r="F12" s="0" t="s">
        <v>99</v>
      </c>
      <c r="G12" s="0" t="n">
        <v>12.35</v>
      </c>
      <c r="H12" s="0" t="n">
        <v>3.39</v>
      </c>
      <c r="I12" s="0" t="n">
        <v>8</v>
      </c>
      <c r="J12" s="0" t="n">
        <v>26</v>
      </c>
      <c r="L12" s="0" t="s">
        <v>965</v>
      </c>
      <c r="O12" s="0" t="n">
        <v>99.1</v>
      </c>
      <c r="U12" s="0" t="n">
        <v>11</v>
      </c>
      <c r="V12" s="0" t="s">
        <v>131</v>
      </c>
      <c r="W12" s="0" t="s">
        <v>901</v>
      </c>
      <c r="X12" s="0" t="s">
        <v>112</v>
      </c>
      <c r="Y12" s="0" t="s">
        <v>966</v>
      </c>
      <c r="Z12" s="0" t="n">
        <v>23163</v>
      </c>
      <c r="AA12" s="0" t="s">
        <v>967</v>
      </c>
      <c r="AB12" s="0" t="s">
        <v>904</v>
      </c>
      <c r="AC12" s="0" t="s">
        <v>112</v>
      </c>
      <c r="AD12" s="0" t="s">
        <v>112</v>
      </c>
      <c r="AE12" s="0" t="s">
        <v>112</v>
      </c>
      <c r="AF12" s="0" t="s">
        <v>112</v>
      </c>
      <c r="AG12" s="0" t="s">
        <v>112</v>
      </c>
      <c r="AH12" s="0" t="s">
        <v>905</v>
      </c>
      <c r="AI12" s="0" t="n">
        <v>1</v>
      </c>
      <c r="AJ12" s="0" t="s">
        <v>99</v>
      </c>
      <c r="AK12" s="0" t="n">
        <v>11</v>
      </c>
      <c r="AL12" s="0" t="n">
        <v>7</v>
      </c>
      <c r="AM12" s="0" t="s">
        <v>132</v>
      </c>
      <c r="AN12" s="0" t="n">
        <v>0</v>
      </c>
      <c r="AO12" s="0" t="n">
        <v>0</v>
      </c>
      <c r="AP12" s="0" t="n">
        <v>0</v>
      </c>
      <c r="AQ12" s="0" t="n">
        <v>0</v>
      </c>
      <c r="AR12" s="0" t="n">
        <v>0</v>
      </c>
      <c r="AS12" s="0" t="n">
        <v>0</v>
      </c>
      <c r="AT12" s="0" t="n">
        <v>0</v>
      </c>
      <c r="AU12" s="0" t="n">
        <v>0</v>
      </c>
      <c r="AV12" s="0" t="n">
        <v>0</v>
      </c>
      <c r="AW12" s="0" t="n">
        <v>0</v>
      </c>
      <c r="AX12" s="0" t="n">
        <v>0</v>
      </c>
      <c r="AY12" s="0" t="n">
        <v>0</v>
      </c>
      <c r="AZ12" s="0" t="n">
        <v>0</v>
      </c>
      <c r="BA12" s="0" t="n">
        <v>0</v>
      </c>
      <c r="BB12" s="0" t="n">
        <v>0</v>
      </c>
      <c r="BC12" s="0" t="n">
        <v>68</v>
      </c>
      <c r="BD12" s="0" t="n">
        <v>112</v>
      </c>
      <c r="BE12" s="0" t="n">
        <v>919</v>
      </c>
      <c r="BF12" s="0" t="n">
        <v>7</v>
      </c>
      <c r="BG12" s="0" t="n">
        <v>1221</v>
      </c>
      <c r="BH12" s="0" t="n">
        <v>229</v>
      </c>
      <c r="BI12" s="0" t="n">
        <v>46</v>
      </c>
      <c r="BJ12" s="0" t="n">
        <v>24.780595332661</v>
      </c>
      <c r="BK12" s="0" t="n">
        <v>1</v>
      </c>
      <c r="BL12" s="0" t="n">
        <v>0</v>
      </c>
      <c r="BM12" s="0" t="n">
        <v>133.9</v>
      </c>
      <c r="BN12" s="0" t="n">
        <v>201.9</v>
      </c>
      <c r="BO12" s="0" t="n">
        <v>12</v>
      </c>
      <c r="BP12" s="0" t="s">
        <v>112</v>
      </c>
      <c r="BQ12" s="0" t="n">
        <v>1</v>
      </c>
      <c r="BR12" s="0" t="n">
        <v>167.9</v>
      </c>
      <c r="BS12" s="0" t="n">
        <v>0.2158</v>
      </c>
      <c r="BT12" s="0" t="n">
        <v>0</v>
      </c>
      <c r="BU12" s="0" t="n">
        <v>0.2918</v>
      </c>
      <c r="BV12" s="0" t="n">
        <v>0.3035</v>
      </c>
      <c r="BW12" s="0" t="n">
        <v>0</v>
      </c>
      <c r="BX12" s="0" t="n">
        <v>0.4014</v>
      </c>
      <c r="BY12" s="0" t="n">
        <v>0.7362</v>
      </c>
      <c r="BZ12" s="0" t="n">
        <v>12</v>
      </c>
      <c r="CA12" s="0" t="n">
        <v>7.62</v>
      </c>
      <c r="CB12" s="0" t="n">
        <v>27.38</v>
      </c>
      <c r="CC12" s="0" t="n">
        <v>15.65</v>
      </c>
      <c r="CD12" s="0" t="n">
        <v>11.45</v>
      </c>
      <c r="CE12" s="0" t="n">
        <v>6</v>
      </c>
      <c r="CF12" s="0" t="n">
        <v>1</v>
      </c>
      <c r="CG12" s="0" t="n">
        <v>12</v>
      </c>
      <c r="CH12" s="0" t="n">
        <v>0.5</v>
      </c>
      <c r="CI12" s="0" t="n">
        <v>0.083</v>
      </c>
      <c r="CJ12" s="0" t="n">
        <v>0.732</v>
      </c>
      <c r="CK12" s="0" t="n">
        <v>15</v>
      </c>
      <c r="CL12" s="0" t="n">
        <v>8</v>
      </c>
      <c r="CM12" s="0" t="n">
        <v>5</v>
      </c>
      <c r="CN12" s="0" t="n">
        <v>7</v>
      </c>
      <c r="CO12" s="0" t="n">
        <v>6.14233664030629</v>
      </c>
      <c r="CP12" s="0" t="n">
        <v>0</v>
      </c>
      <c r="CQ12" s="0" t="n">
        <v>0</v>
      </c>
      <c r="CR12" s="0" t="n">
        <v>0</v>
      </c>
      <c r="CS12" s="0" t="n">
        <v>0</v>
      </c>
      <c r="CT12" s="0" t="n">
        <v>0</v>
      </c>
      <c r="CU12" s="0" t="n">
        <v>15</v>
      </c>
      <c r="CV12" s="0" t="n">
        <v>8</v>
      </c>
      <c r="CW12" s="0" t="n">
        <v>5</v>
      </c>
      <c r="CX12" s="0" t="n">
        <v>7</v>
      </c>
      <c r="CY12" s="0" t="n">
        <v>6.14</v>
      </c>
      <c r="CZ12" s="0" t="n">
        <v>0.86</v>
      </c>
      <c r="DA12" s="0" t="n">
        <v>2.65906762866908</v>
      </c>
      <c r="DB12" s="0" t="n">
        <v>5.78305555555556</v>
      </c>
      <c r="DC12" s="0" t="n">
        <v>10.7853571428571</v>
      </c>
      <c r="DD12" s="0" t="n">
        <v>29.5474781077247</v>
      </c>
      <c r="DE12" s="0" t="n">
        <v>0.644629873771899</v>
      </c>
      <c r="DF12" s="0" t="n">
        <v>60.7142857142857</v>
      </c>
      <c r="DM12" s="0" t="s">
        <v>968</v>
      </c>
      <c r="DS12" s="0" t="n">
        <v>112</v>
      </c>
      <c r="DT12" s="0" t="n">
        <v>0</v>
      </c>
      <c r="DU12" s="0" t="n">
        <v>1</v>
      </c>
      <c r="DV12" s="0" t="n">
        <v>10.147</v>
      </c>
      <c r="DW12" s="0" t="n">
        <v>3.368</v>
      </c>
      <c r="DX12" s="0" t="n">
        <v>10.9</v>
      </c>
      <c r="DY12" s="0" t="n">
        <v>0.0089</v>
      </c>
      <c r="DZ12" s="0" t="n">
        <v>709</v>
      </c>
      <c r="EA12" s="0" t="n">
        <v>0.907</v>
      </c>
      <c r="EB12" s="0" t="n">
        <v>12</v>
      </c>
      <c r="EC12" s="0" t="s">
        <v>969</v>
      </c>
      <c r="ED12" s="0" t="n">
        <v>2022</v>
      </c>
      <c r="EE12" s="0" t="n">
        <v>1</v>
      </c>
      <c r="EF12" s="0" t="n">
        <v>8</v>
      </c>
      <c r="EG12" s="0" t="n">
        <v>2022</v>
      </c>
      <c r="EH12" s="0" t="n">
        <v>2026</v>
      </c>
      <c r="EI12" s="0" t="n">
        <v>5</v>
      </c>
      <c r="EJ12" s="0" t="n">
        <v>76</v>
      </c>
      <c r="EK12" s="0" t="n">
        <v>215</v>
      </c>
      <c r="EL12" s="0" t="s">
        <v>940</v>
      </c>
      <c r="EM12" s="0" t="n">
        <v>25.1</v>
      </c>
      <c r="EN12" s="15" t="b">
        <f aca="false">FALSE()</f>
        <v>0</v>
      </c>
      <c r="EO12" s="0" t="n">
        <v>439</v>
      </c>
      <c r="EP12" s="0" t="n">
        <v>3.05466970387244</v>
      </c>
      <c r="EQ12" s="0" t="n">
        <v>0.16628701594533</v>
      </c>
      <c r="ER12" s="0" t="n">
        <v>1.35307517084283</v>
      </c>
      <c r="ES12" s="0" t="n">
        <v>0.89749430523918</v>
      </c>
      <c r="ET12" s="0" t="n">
        <v>42</v>
      </c>
      <c r="EU12" s="0" t="n">
        <v>22</v>
      </c>
      <c r="EV12" s="0" t="n">
        <v>4.67425968109339</v>
      </c>
      <c r="EW12" s="0" t="n">
        <v>0.523809523809524</v>
      </c>
      <c r="EX12" s="0" t="n">
        <v>2.93179766542752</v>
      </c>
      <c r="EY12" s="0" t="n">
        <v>3.071</v>
      </c>
      <c r="EZ12" s="0" t="n">
        <v>0.1627</v>
      </c>
      <c r="FA12" s="0" t="n">
        <v>2.522</v>
      </c>
      <c r="FB12" s="0" t="n">
        <v>1.96</v>
      </c>
      <c r="FC12" s="0" t="n">
        <v>31</v>
      </c>
      <c r="FD12" s="0" t="n">
        <v>583</v>
      </c>
      <c r="FE12" s="0" t="n">
        <v>0.0445969125214408</v>
      </c>
      <c r="FF12" s="0" t="n">
        <v>0.0494</v>
      </c>
      <c r="FG12" s="0" t="n">
        <v>0.2037</v>
      </c>
      <c r="FH12" s="0" t="n">
        <v>2.4</v>
      </c>
      <c r="FI12" s="0" t="n">
        <v>1036</v>
      </c>
      <c r="FJ12" s="0" t="n">
        <v>0.551158301158301</v>
      </c>
      <c r="FK12" s="0" t="n">
        <v>17</v>
      </c>
      <c r="FL12" s="0" t="n">
        <v>60.94</v>
      </c>
      <c r="FM12" s="0" t="n">
        <v>0.549</v>
      </c>
      <c r="FN12" s="0" t="n">
        <v>0.451</v>
      </c>
      <c r="FO12" s="0" t="n">
        <v>-0.0621</v>
      </c>
      <c r="FP12" s="0" t="n">
        <v>-0.0314</v>
      </c>
      <c r="FQ12" s="0" t="n">
        <v>-0.0132</v>
      </c>
      <c r="FR12" s="0" t="n">
        <v>38</v>
      </c>
      <c r="FS12" s="0" t="n">
        <v>53</v>
      </c>
      <c r="FT12" s="0" t="n">
        <v>3.12</v>
      </c>
      <c r="FU12" s="0" t="n">
        <v>20.8</v>
      </c>
      <c r="FV12" s="0" t="n">
        <v>5484</v>
      </c>
      <c r="FW12" s="0" t="n">
        <v>4377</v>
      </c>
      <c r="FX12" s="0" t="n">
        <v>0.798</v>
      </c>
      <c r="FY12" s="0" t="n">
        <v>5</v>
      </c>
      <c r="FZ12" s="0" t="n">
        <v>4</v>
      </c>
      <c r="GA12" s="0" t="n">
        <v>0.149012046753805</v>
      </c>
      <c r="GB12" s="0" t="n">
        <v>52.7</v>
      </c>
      <c r="GC12" s="0" t="n">
        <v>66.9</v>
      </c>
      <c r="GD12" s="0" t="n">
        <v>62.4</v>
      </c>
      <c r="GE12" s="0" t="n">
        <v>519</v>
      </c>
      <c r="GF12" s="0" t="n">
        <v>477</v>
      </c>
      <c r="GG12" s="0" t="n">
        <v>151</v>
      </c>
      <c r="GH12" s="0" t="n">
        <v>160</v>
      </c>
      <c r="GI12" s="0" t="n">
        <v>132</v>
      </c>
      <c r="GJ12" s="0" t="n">
        <v>49</v>
      </c>
      <c r="GK12" s="0" t="n">
        <v>0.291</v>
      </c>
      <c r="GL12" s="0" t="n">
        <v>0.335</v>
      </c>
      <c r="GM12" s="0" t="n">
        <v>0.371</v>
      </c>
      <c r="GN12" s="0" t="n">
        <v>16.825</v>
      </c>
      <c r="GO12" s="0" t="n">
        <v>13.992</v>
      </c>
      <c r="GP12" s="0" t="n">
        <v>11.158</v>
      </c>
      <c r="GQ12" s="0" t="n">
        <v>9.333</v>
      </c>
      <c r="GR12" s="0" t="n">
        <v>0</v>
      </c>
      <c r="GS12" s="0" t="n">
        <v>112</v>
      </c>
      <c r="GT12" s="0" t="n">
        <v>1.803</v>
      </c>
      <c r="GU12" s="0" t="n">
        <v>0.285</v>
      </c>
      <c r="GV12" s="0" t="n">
        <v>8.205</v>
      </c>
      <c r="GW12" s="0" t="n">
        <v>13.515</v>
      </c>
      <c r="GX12" s="0" t="n">
        <v>0.607</v>
      </c>
      <c r="GZ12" s="0" t="n">
        <v>10.902</v>
      </c>
      <c r="HA12" s="0" t="n">
        <v>3.368</v>
      </c>
      <c r="HB12" s="0" t="n">
        <v>0.753</v>
      </c>
      <c r="HC12" s="0" t="n">
        <v>0.062</v>
      </c>
      <c r="HE12" s="0" t="n">
        <v>0.221</v>
      </c>
      <c r="HG12" s="0" t="n">
        <v>12.35</v>
      </c>
      <c r="HH12" s="0" t="n">
        <v>3.39</v>
      </c>
      <c r="HI12" s="0" t="n">
        <v>8</v>
      </c>
      <c r="HJ12" s="0" t="n">
        <v>26</v>
      </c>
      <c r="HK12" s="0" t="s">
        <v>909</v>
      </c>
      <c r="HL12" s="0" t="n">
        <v>0</v>
      </c>
      <c r="HM12" s="0" t="n">
        <v>19</v>
      </c>
      <c r="HN12" s="0" t="n">
        <v>7</v>
      </c>
      <c r="HO12" s="0" t="n">
        <v>-0.55</v>
      </c>
      <c r="HP12" s="0" t="n">
        <v>7</v>
      </c>
      <c r="HQ12" s="0" t="n">
        <v>-0.024</v>
      </c>
      <c r="HR12" s="0" t="s">
        <v>121</v>
      </c>
    </row>
    <row r="13" customFormat="false" ht="15" hidden="false" customHeight="false" outlineLevel="0" collapsed="false">
      <c r="A13" s="0" t="s">
        <v>896</v>
      </c>
      <c r="B13" s="0" t="s">
        <v>897</v>
      </c>
      <c r="C13" s="0" t="s">
        <v>898</v>
      </c>
      <c r="D13" s="0" t="s">
        <v>133</v>
      </c>
      <c r="E13" s="0" t="n">
        <v>18218</v>
      </c>
      <c r="F13" s="0" t="s">
        <v>99</v>
      </c>
      <c r="G13" s="0" t="n">
        <v>14.71</v>
      </c>
      <c r="H13" s="0" t="n">
        <v>5.48</v>
      </c>
      <c r="I13" s="0" t="n">
        <v>6</v>
      </c>
      <c r="J13" s="0" t="n">
        <v>35</v>
      </c>
      <c r="L13" s="0" t="s">
        <v>970</v>
      </c>
      <c r="O13" s="0" t="n">
        <v>99.3</v>
      </c>
      <c r="U13" s="0" t="n">
        <v>11</v>
      </c>
      <c r="V13" s="0" t="s">
        <v>971</v>
      </c>
      <c r="W13" s="0" t="s">
        <v>901</v>
      </c>
      <c r="X13" s="0" t="s">
        <v>972</v>
      </c>
      <c r="Y13" s="0" t="s">
        <v>973</v>
      </c>
      <c r="Z13" s="0" t="n">
        <v>18218</v>
      </c>
      <c r="AA13" s="0" t="s">
        <v>974</v>
      </c>
      <c r="AB13" s="0" t="s">
        <v>904</v>
      </c>
      <c r="AC13" s="0" t="s">
        <v>135</v>
      </c>
      <c r="AD13" s="0" t="s">
        <v>135</v>
      </c>
      <c r="AE13" s="0" t="s">
        <v>135</v>
      </c>
      <c r="AF13" s="0" t="s">
        <v>135</v>
      </c>
      <c r="AG13" s="0" t="s">
        <v>135</v>
      </c>
      <c r="AH13" s="0" t="s">
        <v>905</v>
      </c>
      <c r="AI13" s="0" t="n">
        <v>1</v>
      </c>
      <c r="AJ13" s="0" t="s">
        <v>99</v>
      </c>
      <c r="AK13" s="0" t="n">
        <v>12</v>
      </c>
      <c r="AL13" s="0" t="n">
        <v>8</v>
      </c>
      <c r="AM13" s="0" t="s">
        <v>134</v>
      </c>
      <c r="AN13" s="0" t="n">
        <v>0</v>
      </c>
      <c r="AO13" s="0" t="n">
        <v>0</v>
      </c>
      <c r="AP13" s="0" t="n">
        <v>0</v>
      </c>
      <c r="AQ13" s="0" t="n">
        <v>0</v>
      </c>
      <c r="AR13" s="0" t="n">
        <v>0</v>
      </c>
      <c r="AS13" s="0" t="n">
        <v>0</v>
      </c>
      <c r="AT13" s="0" t="n">
        <v>0</v>
      </c>
      <c r="AU13" s="0" t="n">
        <v>0</v>
      </c>
      <c r="AV13" s="0" t="n">
        <v>0</v>
      </c>
      <c r="AW13" s="0" t="n">
        <v>0</v>
      </c>
      <c r="AX13" s="0" t="n">
        <v>0</v>
      </c>
      <c r="AY13" s="0" t="n">
        <v>0</v>
      </c>
      <c r="AZ13" s="0" t="n">
        <v>0</v>
      </c>
      <c r="BA13" s="0" t="n">
        <v>0</v>
      </c>
      <c r="BB13" s="0" t="n">
        <v>0</v>
      </c>
      <c r="BC13" s="0" t="n">
        <v>78</v>
      </c>
      <c r="BD13" s="0" t="n">
        <v>121</v>
      </c>
      <c r="BE13" s="0" t="n">
        <v>1003</v>
      </c>
      <c r="BF13" s="0" t="n">
        <v>7</v>
      </c>
      <c r="BG13" s="0" t="n">
        <v>1425</v>
      </c>
      <c r="BH13" s="0" t="n">
        <v>268</v>
      </c>
      <c r="BI13" s="0" t="n">
        <v>47</v>
      </c>
      <c r="BJ13" s="0" t="n">
        <v>33.6834727837697</v>
      </c>
      <c r="BK13" s="0" t="n">
        <v>0</v>
      </c>
      <c r="BL13" s="0" t="n">
        <v>0</v>
      </c>
      <c r="BM13" s="0" t="n">
        <v>142.3</v>
      </c>
      <c r="BN13" s="0" t="n">
        <v>220.3</v>
      </c>
      <c r="BO13" s="0" t="n">
        <v>15</v>
      </c>
      <c r="BP13" s="0" t="s">
        <v>136</v>
      </c>
      <c r="BQ13" s="0" t="n">
        <v>1</v>
      </c>
      <c r="BR13" s="0" t="n">
        <v>181.3</v>
      </c>
      <c r="BS13" s="0" t="n">
        <v>0.2608</v>
      </c>
      <c r="BT13" s="0" t="n">
        <v>0</v>
      </c>
      <c r="BU13" s="0" t="n">
        <v>0.3383</v>
      </c>
      <c r="BV13" s="0" t="n">
        <v>0.2951</v>
      </c>
      <c r="BW13" s="0" t="n">
        <v>0</v>
      </c>
      <c r="BX13" s="0" t="n">
        <v>0.3815</v>
      </c>
      <c r="BY13" s="0" t="n">
        <v>0.7097</v>
      </c>
      <c r="BZ13" s="0" t="n">
        <v>15</v>
      </c>
      <c r="CA13" s="0" t="n">
        <v>8.5</v>
      </c>
      <c r="CB13" s="0" t="n">
        <v>24.79</v>
      </c>
      <c r="CC13" s="0" t="n">
        <v>12.1</v>
      </c>
      <c r="CD13" s="0" t="n">
        <v>9.75</v>
      </c>
      <c r="CE13" s="0" t="n">
        <v>4</v>
      </c>
      <c r="CF13" s="0" t="n">
        <v>1</v>
      </c>
      <c r="CG13" s="0" t="n">
        <v>15</v>
      </c>
      <c r="CH13" s="0" t="n">
        <v>0.267</v>
      </c>
      <c r="CI13" s="0" t="n">
        <v>0.067</v>
      </c>
      <c r="CJ13" s="0" t="n">
        <v>0.806</v>
      </c>
      <c r="CK13" s="0" t="n">
        <v>13</v>
      </c>
      <c r="CL13" s="0" t="n">
        <v>5</v>
      </c>
      <c r="CM13" s="0" t="n">
        <v>2</v>
      </c>
      <c r="CN13" s="0" t="n">
        <v>7</v>
      </c>
      <c r="CO13" s="0" t="n">
        <v>4.61419713185098</v>
      </c>
      <c r="CP13" s="0" t="n">
        <v>0</v>
      </c>
      <c r="CQ13" s="0" t="n">
        <v>0</v>
      </c>
      <c r="CR13" s="0" t="n">
        <v>0</v>
      </c>
      <c r="CS13" s="0" t="n">
        <v>0</v>
      </c>
      <c r="CT13" s="0" t="n">
        <v>0</v>
      </c>
      <c r="CU13" s="0" t="n">
        <v>13</v>
      </c>
      <c r="CV13" s="0" t="n">
        <v>5</v>
      </c>
      <c r="CW13" s="0" t="n">
        <v>2</v>
      </c>
      <c r="CX13" s="0" t="n">
        <v>7</v>
      </c>
      <c r="CY13" s="0" t="n">
        <v>4.61</v>
      </c>
      <c r="CZ13" s="0" t="n">
        <v>2.39</v>
      </c>
      <c r="DA13" s="0" t="n">
        <v>2.24433043595344</v>
      </c>
      <c r="DB13" s="0" t="n">
        <v>5.74058823529412</v>
      </c>
      <c r="DC13" s="0" t="n">
        <v>11.5710743801653</v>
      </c>
      <c r="DD13" s="0" t="n">
        <v>33.3835640608682</v>
      </c>
      <c r="DE13" s="0" t="n">
        <v>1.06005524611829</v>
      </c>
      <c r="DF13" s="0" t="n">
        <v>64.4628099173554</v>
      </c>
      <c r="DM13" s="0" t="s">
        <v>975</v>
      </c>
      <c r="DS13" s="0" t="n">
        <v>121</v>
      </c>
      <c r="DT13" s="0" t="n">
        <v>7</v>
      </c>
      <c r="DU13" s="0" t="n">
        <v>1</v>
      </c>
      <c r="DV13" s="0" t="n">
        <v>9.423</v>
      </c>
      <c r="DW13" s="0" t="n">
        <v>3.436</v>
      </c>
      <c r="DX13" s="0" t="n">
        <v>11.8</v>
      </c>
      <c r="DY13" s="0" t="n">
        <v>0.0083</v>
      </c>
      <c r="DZ13" s="0" t="n">
        <v>843</v>
      </c>
      <c r="EA13" s="0" t="n">
        <v>0.907</v>
      </c>
      <c r="EB13" s="0" t="n">
        <v>15</v>
      </c>
      <c r="EC13" s="0" t="s">
        <v>976</v>
      </c>
      <c r="ED13" s="0" t="n">
        <v>2019</v>
      </c>
      <c r="EE13" s="0" t="n">
        <v>2</v>
      </c>
      <c r="EF13" s="0" t="n">
        <v>51</v>
      </c>
      <c r="EG13" s="0" t="n">
        <v>2019</v>
      </c>
      <c r="EH13" s="0" t="n">
        <v>2026</v>
      </c>
      <c r="EI13" s="0" t="n">
        <v>8</v>
      </c>
      <c r="EJ13" s="0" t="n">
        <v>73</v>
      </c>
      <c r="EK13" s="0" t="n">
        <v>226</v>
      </c>
      <c r="EL13" s="0" t="s">
        <v>977</v>
      </c>
      <c r="EM13" s="0" t="n">
        <v>29.1</v>
      </c>
      <c r="EN13" s="15" t="b">
        <f aca="false">FALSE()</f>
        <v>0</v>
      </c>
      <c r="EO13" s="0" t="n">
        <v>371</v>
      </c>
      <c r="EP13" s="0" t="n">
        <v>2.77951482479784</v>
      </c>
      <c r="EQ13" s="0" t="n">
        <v>0.194070080862534</v>
      </c>
      <c r="ER13" s="0" t="n">
        <v>1.19676549865229</v>
      </c>
      <c r="ES13" s="0" t="n">
        <v>1.20485175202156</v>
      </c>
      <c r="ET13" s="0" t="n">
        <v>33</v>
      </c>
      <c r="EU13" s="0" t="n">
        <v>19</v>
      </c>
      <c r="EV13" s="0" t="n">
        <v>4.63072776280323</v>
      </c>
      <c r="EW13" s="0" t="n">
        <v>0.575757575757576</v>
      </c>
      <c r="EX13" s="0" t="n">
        <v>2.9254952414656</v>
      </c>
      <c r="EY13" s="0" t="n">
        <v>2.802</v>
      </c>
      <c r="EZ13" s="0" t="n">
        <v>0.1883</v>
      </c>
      <c r="FA13" s="0" t="n">
        <v>2.561</v>
      </c>
      <c r="FB13" s="0" t="n">
        <v>1.874</v>
      </c>
      <c r="FC13" s="0" t="n">
        <v>33</v>
      </c>
      <c r="FD13" s="0" t="n">
        <v>613</v>
      </c>
      <c r="FE13" s="0" t="n">
        <v>0.0783034257748776</v>
      </c>
      <c r="FF13" s="0" t="n">
        <v>0.0789</v>
      </c>
      <c r="FG13" s="0" t="n">
        <v>0.261</v>
      </c>
      <c r="FH13" s="0" t="n">
        <v>2.406</v>
      </c>
      <c r="FI13" s="0" t="n">
        <v>1017</v>
      </c>
      <c r="FJ13" s="0" t="n">
        <v>0.541789577187807</v>
      </c>
      <c r="FK13" s="0" t="n">
        <v>17</v>
      </c>
      <c r="FL13" s="0" t="n">
        <v>59.82</v>
      </c>
      <c r="FM13" s="0" t="n">
        <v>0.5691</v>
      </c>
      <c r="FN13" s="0" t="n">
        <v>0.4309</v>
      </c>
      <c r="FO13" s="0" t="n">
        <v>0.0242</v>
      </c>
      <c r="FP13" s="0" t="n">
        <v>0.0077</v>
      </c>
      <c r="FQ13" s="0" t="n">
        <v>0.2873</v>
      </c>
      <c r="FR13" s="0" t="n">
        <v>38</v>
      </c>
      <c r="FS13" s="0" t="n">
        <v>64</v>
      </c>
      <c r="FT13" s="0" t="n">
        <v>3.76</v>
      </c>
      <c r="FU13" s="0" t="n">
        <v>28.8</v>
      </c>
      <c r="FV13" s="0" t="n">
        <v>5553</v>
      </c>
      <c r="FW13" s="0" t="n">
        <v>2959</v>
      </c>
      <c r="FX13" s="0" t="n">
        <v>0.533</v>
      </c>
      <c r="FY13" s="0" t="n">
        <v>5</v>
      </c>
      <c r="FZ13" s="0" t="n">
        <v>3</v>
      </c>
      <c r="GA13" s="0" t="n">
        <v>-0.369404903105602</v>
      </c>
      <c r="GB13" s="0" t="n">
        <v>43.3</v>
      </c>
      <c r="GC13" s="0" t="n">
        <v>43.5</v>
      </c>
      <c r="GD13" s="0" t="n">
        <v>41.6</v>
      </c>
      <c r="GE13" s="0" t="n">
        <v>482</v>
      </c>
      <c r="GF13" s="0" t="n">
        <v>494</v>
      </c>
      <c r="GG13" s="0" t="n">
        <v>128</v>
      </c>
      <c r="GH13" s="0" t="n">
        <v>10</v>
      </c>
      <c r="GI13" s="0" t="n">
        <v>154</v>
      </c>
      <c r="GJ13" s="0" t="n">
        <v>17</v>
      </c>
      <c r="GK13" s="0" t="n">
        <v>0.266</v>
      </c>
      <c r="GL13" s="0" t="n">
        <v>0.02</v>
      </c>
      <c r="GM13" s="0" t="n">
        <v>0.11</v>
      </c>
      <c r="GN13" s="0" t="n">
        <v>14.687</v>
      </c>
      <c r="GO13" s="0" t="n">
        <v>12.087</v>
      </c>
      <c r="GP13" s="0" t="n">
        <v>9.487</v>
      </c>
      <c r="GQ13" s="0" t="n">
        <v>8.067</v>
      </c>
      <c r="GR13" s="0" t="n">
        <v>0</v>
      </c>
      <c r="GS13" s="0" t="n">
        <v>121</v>
      </c>
      <c r="GT13" s="0" t="n">
        <v>1.821</v>
      </c>
      <c r="GU13" s="0" t="n">
        <v>0.261</v>
      </c>
      <c r="GV13" s="0" t="n">
        <v>8.289</v>
      </c>
      <c r="GW13" s="0" t="n">
        <v>12.859</v>
      </c>
      <c r="GX13" s="0" t="n">
        <v>0.645</v>
      </c>
      <c r="GZ13" s="0" t="n">
        <v>11.777</v>
      </c>
      <c r="HA13" s="0" t="n">
        <v>3.436</v>
      </c>
      <c r="HB13" s="0" t="n">
        <v>0.704</v>
      </c>
      <c r="HC13" s="0" t="n">
        <v>0.058</v>
      </c>
      <c r="HE13" s="0" t="n">
        <v>0.278</v>
      </c>
      <c r="HG13" s="0" t="n">
        <v>14.71</v>
      </c>
      <c r="HH13" s="0" t="n">
        <v>5.48</v>
      </c>
      <c r="HI13" s="0" t="n">
        <v>6</v>
      </c>
      <c r="HJ13" s="0" t="n">
        <v>35</v>
      </c>
      <c r="HK13" s="0" t="s">
        <v>909</v>
      </c>
      <c r="HL13" s="0" t="n">
        <v>0</v>
      </c>
      <c r="HM13" s="0" t="n">
        <v>11</v>
      </c>
      <c r="HN13" s="0" t="n">
        <v>8</v>
      </c>
      <c r="HO13" s="0" t="n">
        <v>-0.164</v>
      </c>
      <c r="HP13" s="0" t="n">
        <v>12</v>
      </c>
      <c r="HQ13" s="0" t="n">
        <v>-0.208</v>
      </c>
      <c r="HR13" s="0" t="s">
        <v>102</v>
      </c>
    </row>
    <row r="14" customFormat="false" ht="15" hidden="false" customHeight="false" outlineLevel="0" collapsed="false">
      <c r="A14" s="0" t="s">
        <v>896</v>
      </c>
      <c r="B14" s="0" t="s">
        <v>897</v>
      </c>
      <c r="C14" s="0" t="s">
        <v>898</v>
      </c>
      <c r="D14" s="0" t="s">
        <v>137</v>
      </c>
      <c r="E14" s="0" t="n">
        <v>20130</v>
      </c>
      <c r="F14" s="0" t="s">
        <v>99</v>
      </c>
      <c r="G14" s="0" t="n">
        <v>16.37</v>
      </c>
      <c r="H14" s="0" t="n">
        <v>4.14</v>
      </c>
      <c r="I14" s="0" t="n">
        <v>11</v>
      </c>
      <c r="J14" s="0" t="n">
        <v>36</v>
      </c>
      <c r="L14" s="0" t="s">
        <v>978</v>
      </c>
      <c r="O14" s="0" t="n">
        <v>99.4</v>
      </c>
      <c r="U14" s="0" t="n">
        <v>8</v>
      </c>
      <c r="V14" s="0" t="s">
        <v>137</v>
      </c>
      <c r="W14" s="0" t="s">
        <v>901</v>
      </c>
      <c r="X14" s="0" t="s">
        <v>139</v>
      </c>
      <c r="Y14" s="0" t="s">
        <v>979</v>
      </c>
      <c r="Z14" s="0" t="n">
        <v>20130</v>
      </c>
      <c r="AA14" s="0" t="s">
        <v>980</v>
      </c>
      <c r="AB14" s="0" t="s">
        <v>904</v>
      </c>
      <c r="AC14" s="0" t="s">
        <v>139</v>
      </c>
      <c r="AD14" s="0" t="s">
        <v>139</v>
      </c>
      <c r="AE14" s="0" t="s">
        <v>139</v>
      </c>
      <c r="AF14" s="0" t="s">
        <v>139</v>
      </c>
      <c r="AG14" s="0" t="s">
        <v>139</v>
      </c>
      <c r="AH14" s="0" t="s">
        <v>905</v>
      </c>
      <c r="AI14" s="0" t="n">
        <v>1</v>
      </c>
      <c r="AJ14" s="0" t="s">
        <v>99</v>
      </c>
      <c r="AK14" s="0" t="n">
        <v>13</v>
      </c>
      <c r="AL14" s="0" t="n">
        <v>9</v>
      </c>
      <c r="AM14" s="0" t="s">
        <v>138</v>
      </c>
      <c r="AN14" s="0" t="n">
        <v>0</v>
      </c>
      <c r="AO14" s="0" t="n">
        <v>0</v>
      </c>
      <c r="AP14" s="0" t="n">
        <v>0</v>
      </c>
      <c r="AQ14" s="0" t="n">
        <v>0</v>
      </c>
      <c r="AR14" s="0" t="n">
        <v>0</v>
      </c>
      <c r="AS14" s="0" t="n">
        <v>0</v>
      </c>
      <c r="AT14" s="0" t="n">
        <v>0</v>
      </c>
      <c r="AU14" s="0" t="n">
        <v>0</v>
      </c>
      <c r="AV14" s="0" t="n">
        <v>0</v>
      </c>
      <c r="AW14" s="0" t="n">
        <v>2</v>
      </c>
      <c r="AX14" s="0" t="n">
        <v>15</v>
      </c>
      <c r="AY14" s="0" t="n">
        <v>1</v>
      </c>
      <c r="AZ14" s="0" t="n">
        <v>1</v>
      </c>
      <c r="BA14" s="0" t="n">
        <v>1.9955103607499</v>
      </c>
      <c r="BB14" s="0" t="n">
        <v>0</v>
      </c>
      <c r="BC14" s="0" t="n">
        <v>71</v>
      </c>
      <c r="BD14" s="0" t="n">
        <v>120</v>
      </c>
      <c r="BE14" s="0" t="n">
        <v>1117</v>
      </c>
      <c r="BF14" s="0" t="n">
        <v>6</v>
      </c>
      <c r="BG14" s="0" t="n">
        <v>1529</v>
      </c>
      <c r="BH14" s="0" t="n">
        <v>324</v>
      </c>
      <c r="BI14" s="0" t="n">
        <v>48</v>
      </c>
      <c r="BJ14" s="0" t="n">
        <v>39.3101993226418</v>
      </c>
      <c r="BK14" s="0" t="n">
        <v>1</v>
      </c>
      <c r="BL14" s="0" t="n">
        <v>0</v>
      </c>
      <c r="BM14" s="0" t="n">
        <v>155.2</v>
      </c>
      <c r="BN14" s="0" t="n">
        <v>226.2</v>
      </c>
      <c r="BO14" s="0" t="n">
        <v>15</v>
      </c>
      <c r="BP14" s="0" t="s">
        <v>139</v>
      </c>
      <c r="BQ14" s="0" t="n">
        <v>1</v>
      </c>
      <c r="BR14" s="0" t="n">
        <v>190.7</v>
      </c>
      <c r="BS14" s="0" t="n">
        <v>0.217</v>
      </c>
      <c r="BT14" s="0" t="n">
        <v>0.0042</v>
      </c>
      <c r="BU14" s="0" t="n">
        <v>0.3328</v>
      </c>
      <c r="BV14" s="0" t="n">
        <v>0.2464</v>
      </c>
      <c r="BW14" s="0" t="n">
        <v>0.0049</v>
      </c>
      <c r="BX14" s="0" t="n">
        <v>0.3732</v>
      </c>
      <c r="BY14" s="0" t="n">
        <v>0.6308</v>
      </c>
      <c r="BZ14" s="0" t="n">
        <v>15</v>
      </c>
      <c r="CA14" s="0" t="n">
        <v>9.3</v>
      </c>
      <c r="CB14" s="0" t="n">
        <v>22.58</v>
      </c>
      <c r="CC14" s="0" t="n">
        <v>14.5</v>
      </c>
      <c r="CD14" s="0" t="n">
        <v>6.5</v>
      </c>
      <c r="CE14" s="0" t="n">
        <v>5</v>
      </c>
      <c r="CF14" s="0" t="n">
        <v>0</v>
      </c>
      <c r="CG14" s="0" t="n">
        <v>15</v>
      </c>
      <c r="CH14" s="0" t="n">
        <v>0.333</v>
      </c>
      <c r="CI14" s="0" t="n">
        <v>0</v>
      </c>
      <c r="CJ14" s="0" t="n">
        <v>0.448</v>
      </c>
      <c r="CK14" s="0" t="n">
        <v>18</v>
      </c>
      <c r="CL14" s="0" t="n">
        <v>9</v>
      </c>
      <c r="CM14" s="0" t="n">
        <v>7</v>
      </c>
      <c r="CN14" s="0" t="n">
        <v>6</v>
      </c>
      <c r="CO14" s="0" t="n">
        <v>6.73844073248342</v>
      </c>
      <c r="CP14" s="0" t="n">
        <v>1</v>
      </c>
      <c r="CQ14" s="0" t="n">
        <v>1</v>
      </c>
      <c r="CR14" s="0" t="n">
        <v>0</v>
      </c>
      <c r="CS14" s="0" t="n">
        <v>1</v>
      </c>
      <c r="CT14" s="0" t="n">
        <v>0.139850844775398</v>
      </c>
      <c r="CU14" s="0" t="n">
        <v>19</v>
      </c>
      <c r="CV14" s="0" t="n">
        <v>10</v>
      </c>
      <c r="CW14" s="0" t="n">
        <v>7</v>
      </c>
      <c r="CX14" s="0" t="n">
        <v>7</v>
      </c>
      <c r="CY14" s="0" t="n">
        <v>6.88</v>
      </c>
      <c r="CZ14" s="0" t="n">
        <v>0.12</v>
      </c>
      <c r="DA14" s="0" t="n">
        <v>2.31316660313172</v>
      </c>
      <c r="DB14" s="0" t="n">
        <v>4.87213675213675</v>
      </c>
      <c r="DC14" s="0" t="n">
        <v>12.90425</v>
      </c>
      <c r="DD14" s="0" t="n">
        <v>34.0941066124746</v>
      </c>
      <c r="DE14" s="0" t="n">
        <v>1.68816949176868</v>
      </c>
      <c r="DF14" s="0" t="n">
        <v>59.1666666666667</v>
      </c>
      <c r="DM14" s="0" t="s">
        <v>981</v>
      </c>
      <c r="DN14" s="0" t="n">
        <v>2</v>
      </c>
      <c r="DO14" s="0" t="n">
        <v>0</v>
      </c>
      <c r="DS14" s="0" t="n">
        <v>120</v>
      </c>
      <c r="DT14" s="0" t="n">
        <v>4</v>
      </c>
      <c r="DU14" s="0" t="n">
        <v>1</v>
      </c>
      <c r="DV14" s="0" t="n">
        <v>11.169</v>
      </c>
      <c r="DW14" s="0" t="n">
        <v>4.563</v>
      </c>
      <c r="DX14" s="0" t="n">
        <v>12.7</v>
      </c>
      <c r="DY14" s="0" t="n">
        <v>0.0083</v>
      </c>
      <c r="DZ14" s="0" t="n">
        <v>778</v>
      </c>
      <c r="EA14" s="0" t="n">
        <v>0.772</v>
      </c>
      <c r="EB14" s="0" t="n">
        <v>15</v>
      </c>
      <c r="EC14" s="0" t="s">
        <v>982</v>
      </c>
      <c r="ED14" s="0" t="n">
        <v>2021</v>
      </c>
      <c r="EE14" s="0" t="n">
        <v>3</v>
      </c>
      <c r="EF14" s="0" t="n">
        <v>89</v>
      </c>
      <c r="EG14" s="0" t="n">
        <v>2021</v>
      </c>
      <c r="EH14" s="0" t="n">
        <v>2026</v>
      </c>
      <c r="EI14" s="0" t="n">
        <v>6</v>
      </c>
      <c r="EJ14" s="0" t="n">
        <v>76</v>
      </c>
      <c r="EK14" s="0" t="n">
        <v>222</v>
      </c>
      <c r="EL14" s="0" t="s">
        <v>983</v>
      </c>
      <c r="EM14" s="0" t="n">
        <v>27.4</v>
      </c>
      <c r="EN14" s="15" t="b">
        <f aca="false">FALSE()</f>
        <v>0</v>
      </c>
      <c r="EO14" s="0" t="n">
        <v>399</v>
      </c>
      <c r="EP14" s="0" t="n">
        <v>2.7453634085213</v>
      </c>
      <c r="EQ14" s="0" t="n">
        <v>0.203007518796993</v>
      </c>
      <c r="ER14" s="0" t="n">
        <v>1.1077694235589</v>
      </c>
      <c r="ES14" s="0" t="n">
        <v>0.496240601503759</v>
      </c>
      <c r="ET14" s="0" t="n">
        <v>35</v>
      </c>
      <c r="EU14" s="0" t="n">
        <v>17</v>
      </c>
      <c r="EV14" s="0" t="n">
        <v>3.83709273182957</v>
      </c>
      <c r="EW14" s="0" t="n">
        <v>0.485714285714286</v>
      </c>
      <c r="EX14" s="0" t="n">
        <v>2.88168562194261</v>
      </c>
      <c r="EY14" s="0" t="n">
        <v>2.812</v>
      </c>
      <c r="EZ14" s="0" t="n">
        <v>0.1937</v>
      </c>
      <c r="FA14" s="0" t="n">
        <v>2.099</v>
      </c>
      <c r="FB14" s="0" t="n">
        <v>1.8</v>
      </c>
      <c r="FC14" s="0" t="n">
        <v>23</v>
      </c>
      <c r="FD14" s="0" t="n">
        <v>643</v>
      </c>
      <c r="FE14" s="0" t="n">
        <v>0.0482115085536547</v>
      </c>
      <c r="FF14" s="0" t="n">
        <v>0.0526</v>
      </c>
      <c r="FG14" s="0" t="n">
        <v>0.2216</v>
      </c>
      <c r="FH14" s="0" t="n">
        <v>2.345</v>
      </c>
      <c r="FI14" s="0" t="n">
        <v>1078</v>
      </c>
      <c r="FJ14" s="0" t="n">
        <v>0.570500927643785</v>
      </c>
      <c r="FK14" s="0" t="n">
        <v>17</v>
      </c>
      <c r="FL14" s="0" t="n">
        <v>63.41</v>
      </c>
      <c r="FM14" s="0" t="n">
        <v>0.5638</v>
      </c>
      <c r="FN14" s="0" t="n">
        <v>0.4362</v>
      </c>
      <c r="FO14" s="0" t="n">
        <v>-0.0098</v>
      </c>
      <c r="FP14" s="0" t="n">
        <v>-0.0779</v>
      </c>
      <c r="FQ14" s="0" t="n">
        <v>0.036</v>
      </c>
      <c r="FR14" s="0" t="n">
        <v>38</v>
      </c>
      <c r="FS14" s="0" t="n">
        <v>58</v>
      </c>
      <c r="FT14" s="0" t="n">
        <v>3.41</v>
      </c>
      <c r="FU14" s="0" t="n">
        <v>23.8</v>
      </c>
      <c r="FV14" s="0" t="n">
        <v>6010</v>
      </c>
      <c r="FW14" s="0" t="n">
        <v>4286</v>
      </c>
      <c r="FX14" s="0" t="n">
        <v>0.713</v>
      </c>
      <c r="FY14" s="0" t="n">
        <v>5</v>
      </c>
      <c r="FZ14" s="0" t="n">
        <v>2</v>
      </c>
      <c r="GA14" s="0" t="n">
        <v>-0.878307115745538</v>
      </c>
      <c r="GB14" s="0" t="n">
        <v>34.1</v>
      </c>
      <c r="GC14" s="0" t="n">
        <v>59.3</v>
      </c>
      <c r="GD14" s="0" t="n">
        <v>45.8</v>
      </c>
      <c r="GE14" s="0" t="n">
        <v>553</v>
      </c>
      <c r="GF14" s="0" t="n">
        <v>475</v>
      </c>
      <c r="GG14" s="0" t="n">
        <v>82</v>
      </c>
      <c r="GH14" s="0" t="n">
        <v>21</v>
      </c>
      <c r="GI14" s="0" t="n">
        <v>150</v>
      </c>
      <c r="GJ14" s="0" t="n">
        <v>18</v>
      </c>
      <c r="GK14" s="0" t="n">
        <v>0.148</v>
      </c>
      <c r="GL14" s="0" t="n">
        <v>0.044</v>
      </c>
      <c r="GM14" s="0" t="n">
        <v>0.12</v>
      </c>
      <c r="GN14" s="0" t="n">
        <v>15.08</v>
      </c>
      <c r="GO14" s="0" t="n">
        <v>12.713</v>
      </c>
      <c r="GP14" s="0" t="n">
        <v>10.347</v>
      </c>
      <c r="GQ14" s="0" t="n">
        <v>8</v>
      </c>
      <c r="GR14" s="0" t="n">
        <v>0.133</v>
      </c>
      <c r="GS14" s="0" t="n">
        <v>122</v>
      </c>
      <c r="GT14" s="0" t="n">
        <v>1.854</v>
      </c>
      <c r="GU14" s="0" t="n">
        <v>0.291</v>
      </c>
      <c r="GV14" s="0" t="n">
        <v>9.308</v>
      </c>
      <c r="GW14" s="0" t="n">
        <v>15.732</v>
      </c>
      <c r="GX14" s="0" t="n">
        <v>0.592</v>
      </c>
      <c r="GZ14" s="0" t="n">
        <v>12.742</v>
      </c>
      <c r="HA14" s="0" t="n">
        <v>4.563</v>
      </c>
      <c r="HB14" s="0" t="n">
        <v>0.731</v>
      </c>
      <c r="HC14" s="0" t="n">
        <v>0.057</v>
      </c>
      <c r="HE14" s="0" t="n">
        <v>0.328</v>
      </c>
      <c r="HG14" s="0" t="n">
        <v>16.37</v>
      </c>
      <c r="HH14" s="0" t="n">
        <v>4.14</v>
      </c>
      <c r="HI14" s="0" t="n">
        <v>11</v>
      </c>
      <c r="HJ14" s="0" t="n">
        <v>36</v>
      </c>
      <c r="HK14" s="0" t="s">
        <v>909</v>
      </c>
      <c r="HL14" s="0" t="n">
        <v>0</v>
      </c>
      <c r="HM14" s="0" t="n">
        <v>8</v>
      </c>
      <c r="HN14" s="0" t="n">
        <v>9</v>
      </c>
      <c r="HO14" s="0" t="n">
        <v>0.003</v>
      </c>
      <c r="HP14" s="0" t="n">
        <v>11</v>
      </c>
      <c r="HQ14" s="0" t="n">
        <v>-0.129</v>
      </c>
      <c r="HR14" s="0" t="s">
        <v>102</v>
      </c>
    </row>
    <row r="15" customFormat="false" ht="15" hidden="false" customHeight="false" outlineLevel="0" collapsed="false">
      <c r="A15" s="0" t="s">
        <v>896</v>
      </c>
      <c r="B15" s="0" t="s">
        <v>897</v>
      </c>
      <c r="C15" s="0" t="s">
        <v>898</v>
      </c>
      <c r="D15" s="0" t="s">
        <v>140</v>
      </c>
      <c r="E15" s="0" t="n">
        <v>25989</v>
      </c>
      <c r="F15" s="0" t="s">
        <v>104</v>
      </c>
      <c r="G15" s="0" t="n">
        <v>17.07</v>
      </c>
      <c r="H15" s="0" t="n">
        <v>5.84</v>
      </c>
      <c r="I15" s="0" t="n">
        <v>7</v>
      </c>
      <c r="J15" s="0" t="n">
        <v>39</v>
      </c>
      <c r="L15" s="0" t="s">
        <v>984</v>
      </c>
      <c r="O15" s="0" t="n">
        <v>99.3</v>
      </c>
      <c r="U15" s="0" t="n">
        <v>13</v>
      </c>
      <c r="V15" s="0" t="s">
        <v>140</v>
      </c>
      <c r="W15" s="0" t="s">
        <v>901</v>
      </c>
      <c r="X15" s="0" t="s">
        <v>985</v>
      </c>
      <c r="Y15" s="0" t="s">
        <v>986</v>
      </c>
      <c r="Z15" s="0" t="n">
        <v>25989</v>
      </c>
      <c r="AA15" s="0" t="s">
        <v>987</v>
      </c>
      <c r="AB15" s="0" t="s">
        <v>904</v>
      </c>
      <c r="AC15" s="0" t="s">
        <v>142</v>
      </c>
      <c r="AD15" s="0" t="s">
        <v>142</v>
      </c>
      <c r="AE15" s="0" t="s">
        <v>142</v>
      </c>
      <c r="AF15" s="0" t="s">
        <v>142</v>
      </c>
      <c r="AG15" s="0" t="s">
        <v>142</v>
      </c>
      <c r="AH15" s="0" t="s">
        <v>905</v>
      </c>
      <c r="AI15" s="0" t="n">
        <v>1</v>
      </c>
      <c r="AJ15" s="0" t="s">
        <v>104</v>
      </c>
      <c r="AK15" s="0" t="n">
        <v>14</v>
      </c>
      <c r="AL15" s="0" t="n">
        <v>5</v>
      </c>
      <c r="AM15" s="0" t="s">
        <v>141</v>
      </c>
      <c r="AN15" s="0" t="n">
        <v>0</v>
      </c>
      <c r="AO15" s="0" t="n">
        <v>0</v>
      </c>
      <c r="AP15" s="0" t="n">
        <v>0</v>
      </c>
      <c r="AQ15" s="0" t="n">
        <v>0</v>
      </c>
      <c r="AR15" s="0" t="n">
        <v>0</v>
      </c>
      <c r="AS15" s="0" t="n">
        <v>0</v>
      </c>
      <c r="AT15" s="0" t="n">
        <v>0</v>
      </c>
      <c r="AU15" s="0" t="n">
        <v>0</v>
      </c>
      <c r="AV15" s="0" t="n">
        <v>0</v>
      </c>
      <c r="AW15" s="0" t="n">
        <v>266</v>
      </c>
      <c r="AX15" s="0" t="n">
        <v>975</v>
      </c>
      <c r="AY15" s="0" t="n">
        <v>5</v>
      </c>
      <c r="AZ15" s="0" t="n">
        <v>44</v>
      </c>
      <c r="BA15" s="0" t="n">
        <v>-65.1810373724458</v>
      </c>
      <c r="BB15" s="0" t="n">
        <v>1</v>
      </c>
      <c r="BC15" s="0" t="n">
        <v>55</v>
      </c>
      <c r="BD15" s="0" t="n">
        <v>73</v>
      </c>
      <c r="BE15" s="0" t="n">
        <v>346</v>
      </c>
      <c r="BF15" s="0" t="n">
        <v>5</v>
      </c>
      <c r="BG15" s="0" t="n">
        <v>-104</v>
      </c>
      <c r="BH15" s="0" t="n">
        <v>452</v>
      </c>
      <c r="BI15" s="0" t="n">
        <v>13</v>
      </c>
      <c r="BJ15" s="0" t="n">
        <v>-11.8767157618217</v>
      </c>
      <c r="BK15" s="0" t="n">
        <v>0</v>
      </c>
      <c r="BL15" s="0" t="n">
        <v>0</v>
      </c>
      <c r="BM15" s="0" t="n">
        <v>190.1</v>
      </c>
      <c r="BN15" s="0" t="n">
        <v>245.1</v>
      </c>
      <c r="BO15" s="0" t="n">
        <v>17</v>
      </c>
      <c r="BP15" s="0" t="s">
        <v>142</v>
      </c>
      <c r="BQ15" s="0" t="n">
        <v>1</v>
      </c>
      <c r="BR15" s="0" t="n">
        <v>217.6</v>
      </c>
      <c r="BS15" s="0" t="n">
        <v>0.1478</v>
      </c>
      <c r="BT15" s="0" t="n">
        <v>0.7209</v>
      </c>
      <c r="BU15" s="0" t="n">
        <v>-0.0325</v>
      </c>
      <c r="BV15" s="0" t="n">
        <v>0.1478</v>
      </c>
      <c r="BW15" s="0" t="n">
        <v>0.7209</v>
      </c>
      <c r="BX15" s="0" t="n">
        <v>-0.0325</v>
      </c>
      <c r="BY15" s="0" t="n">
        <v>0.1989</v>
      </c>
      <c r="BZ15" s="0" t="n">
        <v>17</v>
      </c>
      <c r="CA15" s="0" t="n">
        <v>8.2</v>
      </c>
      <c r="CB15" s="0" t="n">
        <v>22.84</v>
      </c>
      <c r="CC15" s="0" t="n">
        <v>12.1</v>
      </c>
      <c r="CD15" s="0" t="n">
        <v>8.69</v>
      </c>
      <c r="CE15" s="0" t="n">
        <v>5</v>
      </c>
      <c r="CF15" s="0" t="n">
        <v>0</v>
      </c>
      <c r="CG15" s="0" t="n">
        <v>17</v>
      </c>
      <c r="CH15" s="0" t="n">
        <v>0.294</v>
      </c>
      <c r="CI15" s="0" t="n">
        <v>0</v>
      </c>
      <c r="CJ15" s="0" t="n">
        <v>0.718</v>
      </c>
      <c r="CK15" s="0" t="n">
        <v>10</v>
      </c>
      <c r="CL15" s="0" t="n">
        <v>3</v>
      </c>
      <c r="CM15" s="0" t="n">
        <v>1</v>
      </c>
      <c r="CN15" s="0" t="n">
        <v>5</v>
      </c>
      <c r="CO15" s="0" t="n">
        <v>2.75114763043651</v>
      </c>
      <c r="CP15" s="0" t="n">
        <v>34</v>
      </c>
      <c r="CQ15" s="0" t="n">
        <v>16</v>
      </c>
      <c r="CR15" s="0" t="n">
        <v>10</v>
      </c>
      <c r="CS15" s="0" t="n">
        <v>5</v>
      </c>
      <c r="CT15" s="0" t="n">
        <v>6.3576538988203</v>
      </c>
      <c r="CU15" s="0" t="n">
        <v>44</v>
      </c>
      <c r="CV15" s="0" t="n">
        <v>19</v>
      </c>
      <c r="CW15" s="0" t="n">
        <v>11</v>
      </c>
      <c r="CX15" s="0" t="n">
        <v>10</v>
      </c>
      <c r="CY15" s="0" t="n">
        <v>9.11</v>
      </c>
      <c r="CZ15" s="0" t="n">
        <v>0.89</v>
      </c>
      <c r="DG15" s="0" t="n">
        <v>4.11495384615385</v>
      </c>
      <c r="DH15" s="0" t="n">
        <v>16.1654135338346</v>
      </c>
      <c r="DI15" s="0" t="n">
        <v>2.85</v>
      </c>
      <c r="DJ15" s="0" t="n">
        <v>-50.8054280129295</v>
      </c>
      <c r="DK15" s="0" t="n">
        <v>-0.194656812310075</v>
      </c>
      <c r="DL15" s="0" t="n">
        <v>0.348659003831418</v>
      </c>
      <c r="DM15" s="0" t="s">
        <v>988</v>
      </c>
      <c r="DN15" s="0" t="n">
        <v>266</v>
      </c>
      <c r="DO15" s="0" t="n">
        <v>24</v>
      </c>
      <c r="DP15" s="0" t="n">
        <v>1.575</v>
      </c>
      <c r="DQ15" s="0" t="n">
        <v>2.09</v>
      </c>
      <c r="DR15" s="0" t="n">
        <v>11.08</v>
      </c>
      <c r="DS15" s="0" t="n">
        <v>73</v>
      </c>
      <c r="DT15" s="0" t="n">
        <v>8</v>
      </c>
      <c r="DU15" s="0" t="n">
        <v>4</v>
      </c>
      <c r="DV15" s="0" t="n">
        <v>-1.927</v>
      </c>
      <c r="DW15" s="0" t="n">
        <v>8.218</v>
      </c>
      <c r="DX15" s="0" t="n">
        <v>-1.5</v>
      </c>
      <c r="DY15" s="0" t="n">
        <v>0.0548</v>
      </c>
      <c r="DZ15" s="0" t="n">
        <v>771</v>
      </c>
      <c r="EA15" s="0" t="n">
        <v>0.779</v>
      </c>
      <c r="EB15" s="0" t="n">
        <v>17</v>
      </c>
      <c r="EC15" s="0" t="s">
        <v>989</v>
      </c>
      <c r="ED15" s="0" t="n">
        <v>2025</v>
      </c>
      <c r="EE15" s="0" t="n">
        <v>1</v>
      </c>
      <c r="EF15" s="0" t="n">
        <v>6</v>
      </c>
      <c r="EG15" s="0" t="n">
        <v>2025</v>
      </c>
      <c r="EH15" s="0" t="n">
        <v>2026</v>
      </c>
      <c r="EI15" s="0" t="n">
        <v>2</v>
      </c>
      <c r="EJ15" s="0" t="n">
        <v>68</v>
      </c>
      <c r="EK15" s="0" t="n">
        <v>208</v>
      </c>
      <c r="EL15" s="0" t="s">
        <v>990</v>
      </c>
      <c r="EM15" s="0" t="n">
        <v>22.7</v>
      </c>
      <c r="EN15" s="15" t="b">
        <f aca="false">FALSE()</f>
        <v>0</v>
      </c>
      <c r="EO15" s="0" t="n">
        <v>307</v>
      </c>
      <c r="EP15" s="0" t="n">
        <v>2.4599348534202</v>
      </c>
      <c r="EQ15" s="0" t="n">
        <v>0.257328990228013</v>
      </c>
      <c r="ER15" s="0" t="n">
        <v>1.04234527687296</v>
      </c>
      <c r="ES15" s="0" t="n">
        <v>0.605863192182411</v>
      </c>
      <c r="ET15" s="0" t="n">
        <v>30</v>
      </c>
      <c r="EU15" s="0" t="n">
        <v>11</v>
      </c>
      <c r="EV15" s="0" t="n">
        <v>3.64820846905537</v>
      </c>
      <c r="EW15" s="0" t="n">
        <v>0.366666666666667</v>
      </c>
      <c r="EX15" s="0" t="n">
        <v>2.91882875417365</v>
      </c>
      <c r="EY15" s="0" t="n">
        <v>2.49</v>
      </c>
      <c r="EZ15" s="0" t="n">
        <v>0.2502</v>
      </c>
      <c r="FA15" s="0" t="n">
        <v>1.629</v>
      </c>
      <c r="FB15" s="0" t="n">
        <v>1.94</v>
      </c>
      <c r="FC15" s="0" t="n">
        <v>30</v>
      </c>
      <c r="FD15" s="0" t="n">
        <v>598</v>
      </c>
      <c r="FE15" s="0" t="n">
        <v>0.107023411371238</v>
      </c>
      <c r="FF15" s="0" t="n">
        <v>0.1019</v>
      </c>
      <c r="FG15" s="0" t="n">
        <v>0.2641</v>
      </c>
      <c r="FH15" s="0" t="n">
        <v>2.487</v>
      </c>
      <c r="FI15" s="0" t="n">
        <v>942</v>
      </c>
      <c r="FJ15" s="0" t="n">
        <v>0.613588110403397</v>
      </c>
      <c r="FK15" s="0" t="n">
        <v>17</v>
      </c>
      <c r="FL15" s="0" t="n">
        <v>55.41</v>
      </c>
      <c r="FM15" s="0" t="n">
        <v>0.5679</v>
      </c>
      <c r="FN15" s="0" t="n">
        <v>0.4321</v>
      </c>
      <c r="FO15" s="0" t="n">
        <v>-0.0175</v>
      </c>
      <c r="FP15" s="0" t="n">
        <v>-0.2605</v>
      </c>
      <c r="FQ15" s="0" t="n">
        <v>-0.187</v>
      </c>
      <c r="FR15" s="0" t="n">
        <v>38</v>
      </c>
      <c r="FS15" s="0" t="n">
        <v>38</v>
      </c>
      <c r="FT15" s="0" t="n">
        <v>2.24</v>
      </c>
      <c r="FU15" s="0" t="n">
        <v>14.2</v>
      </c>
      <c r="FV15" s="0" t="n">
        <v>4992</v>
      </c>
      <c r="FW15" s="0" t="n">
        <v>1916</v>
      </c>
      <c r="FX15" s="0" t="n">
        <v>0.384</v>
      </c>
      <c r="FY15" s="0" t="n">
        <v>5</v>
      </c>
      <c r="FZ15" s="0" t="n">
        <v>2</v>
      </c>
      <c r="GA15" s="0" t="n">
        <v>-2.33610006354308</v>
      </c>
      <c r="GB15" s="0" t="n">
        <v>7.8</v>
      </c>
      <c r="GC15" s="0" t="n">
        <v>37.5</v>
      </c>
      <c r="GD15" s="0" t="n">
        <v>15.2</v>
      </c>
      <c r="GE15" s="0" t="n">
        <v>494</v>
      </c>
      <c r="GF15" s="0" t="n">
        <v>369</v>
      </c>
      <c r="GG15" s="0" t="n">
        <v>55</v>
      </c>
      <c r="GH15" s="0" t="n">
        <v>58</v>
      </c>
      <c r="GI15" s="0" t="n">
        <v>106</v>
      </c>
      <c r="GJ15" s="0" t="n">
        <v>13</v>
      </c>
      <c r="GK15" s="0" t="n">
        <v>0.111</v>
      </c>
      <c r="GL15" s="0" t="n">
        <v>0.157</v>
      </c>
      <c r="GM15" s="0" t="n">
        <v>0.123</v>
      </c>
      <c r="GN15" s="0" t="n">
        <v>14.418</v>
      </c>
      <c r="GO15" s="0" t="n">
        <v>12.8</v>
      </c>
      <c r="GP15" s="0" t="n">
        <v>11.182</v>
      </c>
      <c r="GQ15" s="0" t="n">
        <v>4.294</v>
      </c>
      <c r="GR15" s="0" t="n">
        <v>15.647</v>
      </c>
      <c r="GS15" s="0" t="n">
        <v>339</v>
      </c>
      <c r="GT15" s="0" t="n">
        <v>0.723</v>
      </c>
      <c r="GU15" s="0" t="n">
        <v>0.318</v>
      </c>
      <c r="GV15" s="0" t="n">
        <v>4.74</v>
      </c>
      <c r="GW15" s="0" t="n">
        <v>6.291</v>
      </c>
      <c r="GX15" s="0" t="n">
        <v>0.753</v>
      </c>
      <c r="GY15" s="0" t="n">
        <v>3.665</v>
      </c>
      <c r="GZ15" s="0" t="n">
        <v>-1.425</v>
      </c>
      <c r="HA15" s="0" t="n">
        <v>8.218</v>
      </c>
      <c r="HB15" s="0" t="n">
        <v>-3.327</v>
      </c>
      <c r="HC15" s="0" t="n">
        <v>0.029</v>
      </c>
      <c r="HD15" s="0" t="n">
        <v>-0.245</v>
      </c>
      <c r="HE15" s="0" t="n">
        <v>-0.163</v>
      </c>
      <c r="HG15" s="0" t="n">
        <v>17.07</v>
      </c>
      <c r="HH15" s="0" t="n">
        <v>5.84</v>
      </c>
      <c r="HI15" s="0" t="n">
        <v>7</v>
      </c>
      <c r="HJ15" s="0" t="n">
        <v>39</v>
      </c>
      <c r="HK15" s="0" t="s">
        <v>909</v>
      </c>
      <c r="HL15" s="0" t="n">
        <v>0</v>
      </c>
      <c r="HM15" s="0" t="n">
        <v>11</v>
      </c>
      <c r="HN15" s="0" t="n">
        <v>5</v>
      </c>
      <c r="HO15" s="0" t="n">
        <v>-0.27</v>
      </c>
      <c r="HP15" s="0" t="n">
        <v>16</v>
      </c>
      <c r="HQ15" s="0" t="n">
        <v>-0.489</v>
      </c>
      <c r="HR15" s="0" t="s">
        <v>102</v>
      </c>
    </row>
    <row r="16" customFormat="false" ht="15" hidden="false" customHeight="false" outlineLevel="0" collapsed="false">
      <c r="A16" s="0" t="s">
        <v>896</v>
      </c>
      <c r="B16" s="0" t="s">
        <v>897</v>
      </c>
      <c r="C16" s="0" t="s">
        <v>898</v>
      </c>
      <c r="D16" s="0" t="s">
        <v>143</v>
      </c>
      <c r="E16" s="0" t="n">
        <v>25324</v>
      </c>
      <c r="F16" s="0" t="s">
        <v>104</v>
      </c>
      <c r="G16" s="0" t="n">
        <v>17.85</v>
      </c>
      <c r="H16" s="0" t="n">
        <v>6.26</v>
      </c>
      <c r="I16" s="0" t="n">
        <v>7</v>
      </c>
      <c r="J16" s="0" t="n">
        <v>34</v>
      </c>
      <c r="L16" s="0" t="s">
        <v>991</v>
      </c>
      <c r="O16" s="0" t="n">
        <v>98.6</v>
      </c>
      <c r="U16" s="0" t="n">
        <v>6</v>
      </c>
      <c r="V16" s="0" t="s">
        <v>143</v>
      </c>
      <c r="W16" s="0" t="s">
        <v>901</v>
      </c>
      <c r="X16" s="0" t="s">
        <v>101</v>
      </c>
      <c r="Y16" s="0" t="s">
        <v>992</v>
      </c>
      <c r="Z16" s="0" t="n">
        <v>25324</v>
      </c>
      <c r="AA16" s="0" t="s">
        <v>993</v>
      </c>
      <c r="AB16" s="0" t="s">
        <v>904</v>
      </c>
      <c r="AC16" s="0" t="s">
        <v>101</v>
      </c>
      <c r="AD16" s="0" t="s">
        <v>101</v>
      </c>
      <c r="AE16" s="0" t="s">
        <v>101</v>
      </c>
      <c r="AF16" s="0" t="s">
        <v>101</v>
      </c>
      <c r="AG16" s="0" t="s">
        <v>101</v>
      </c>
      <c r="AH16" s="0" t="s">
        <v>905</v>
      </c>
      <c r="AI16" s="0" t="n">
        <v>1</v>
      </c>
      <c r="AJ16" s="0" t="s">
        <v>104</v>
      </c>
      <c r="AK16" s="0" t="n">
        <v>15</v>
      </c>
      <c r="AL16" s="0" t="n">
        <v>6</v>
      </c>
      <c r="AM16" s="0" t="s">
        <v>144</v>
      </c>
      <c r="AN16" s="0" t="n">
        <v>0</v>
      </c>
      <c r="AO16" s="0" t="n">
        <v>0</v>
      </c>
      <c r="AP16" s="0" t="n">
        <v>0</v>
      </c>
      <c r="AQ16" s="0" t="n">
        <v>0</v>
      </c>
      <c r="AR16" s="0" t="n">
        <v>0</v>
      </c>
      <c r="AS16" s="0" t="n">
        <v>0</v>
      </c>
      <c r="AT16" s="0" t="n">
        <v>0</v>
      </c>
      <c r="AU16" s="0" t="n">
        <v>0</v>
      </c>
      <c r="AV16" s="0" t="n">
        <v>0</v>
      </c>
      <c r="AW16" s="0" t="n">
        <v>232</v>
      </c>
      <c r="AX16" s="0" t="n">
        <v>1019</v>
      </c>
      <c r="AY16" s="0" t="n">
        <v>6</v>
      </c>
      <c r="AZ16" s="0" t="n">
        <v>52</v>
      </c>
      <c r="BA16" s="0" t="n">
        <v>-4.24136065800837</v>
      </c>
      <c r="BB16" s="0" t="n">
        <v>0</v>
      </c>
      <c r="BC16" s="0" t="n">
        <v>69</v>
      </c>
      <c r="BD16" s="0" t="n">
        <v>88</v>
      </c>
      <c r="BE16" s="0" t="n">
        <v>437</v>
      </c>
      <c r="BF16" s="0" t="n">
        <v>5</v>
      </c>
      <c r="BG16" s="0" t="n">
        <v>46</v>
      </c>
      <c r="BH16" s="0" t="n">
        <v>450</v>
      </c>
      <c r="BI16" s="0" t="n">
        <v>18</v>
      </c>
      <c r="BJ16" s="0" t="n">
        <v>-10.3290834767274</v>
      </c>
      <c r="BK16" s="0" t="n">
        <v>0</v>
      </c>
      <c r="BL16" s="0" t="n">
        <v>0</v>
      </c>
      <c r="BM16" s="0" t="n">
        <v>213.6</v>
      </c>
      <c r="BN16" s="0" t="n">
        <v>282.6</v>
      </c>
      <c r="BO16" s="0" t="n">
        <v>17</v>
      </c>
      <c r="BP16" s="0" t="s">
        <v>101</v>
      </c>
      <c r="BQ16" s="0" t="n">
        <v>1</v>
      </c>
      <c r="BR16" s="0" t="n">
        <v>248.1</v>
      </c>
      <c r="BS16" s="0" t="n">
        <v>0.1447</v>
      </c>
      <c r="BT16" s="0" t="n">
        <v>0.6089</v>
      </c>
      <c r="BU16" s="0" t="n">
        <v>0.0101</v>
      </c>
      <c r="BV16" s="0" t="n">
        <v>0.1447</v>
      </c>
      <c r="BW16" s="0" t="n">
        <v>0.6089</v>
      </c>
      <c r="BX16" s="0" t="n">
        <v>0.0101</v>
      </c>
      <c r="BY16" s="0" t="n">
        <v>0.2241</v>
      </c>
      <c r="BZ16" s="0" t="n">
        <v>17</v>
      </c>
      <c r="CA16" s="0" t="n">
        <v>11.8</v>
      </c>
      <c r="CB16" s="0" t="n">
        <v>22.98</v>
      </c>
      <c r="CC16" s="0" t="n">
        <v>16</v>
      </c>
      <c r="CD16" s="0" t="n">
        <v>7.35</v>
      </c>
      <c r="CE16" s="0" t="n">
        <v>8</v>
      </c>
      <c r="CF16" s="0" t="n">
        <v>0</v>
      </c>
      <c r="CG16" s="0" t="n">
        <v>17</v>
      </c>
      <c r="CH16" s="0" t="n">
        <v>0.471</v>
      </c>
      <c r="CI16" s="0" t="n">
        <v>0</v>
      </c>
      <c r="CJ16" s="0" t="n">
        <v>0.459</v>
      </c>
      <c r="CK16" s="0" t="n">
        <v>11</v>
      </c>
      <c r="CL16" s="0" t="n">
        <v>6</v>
      </c>
      <c r="CM16" s="0" t="n">
        <v>3</v>
      </c>
      <c r="CN16" s="0" t="n">
        <v>5</v>
      </c>
      <c r="CO16" s="0" t="n">
        <v>4.47882231720071</v>
      </c>
      <c r="CP16" s="0" t="n">
        <v>36</v>
      </c>
      <c r="CQ16" s="0" t="n">
        <v>18</v>
      </c>
      <c r="CR16" s="0" t="n">
        <v>12</v>
      </c>
      <c r="CS16" s="0" t="n">
        <v>6</v>
      </c>
      <c r="CT16" s="0" t="n">
        <v>7.29901390569218</v>
      </c>
      <c r="CU16" s="0" t="n">
        <v>47</v>
      </c>
      <c r="CV16" s="0" t="n">
        <v>24</v>
      </c>
      <c r="CW16" s="0" t="n">
        <v>15</v>
      </c>
      <c r="CX16" s="0" t="n">
        <v>11</v>
      </c>
      <c r="CY16" s="0" t="n">
        <v>11.78</v>
      </c>
      <c r="CZ16" s="0" t="n">
        <v>-0.78</v>
      </c>
      <c r="DG16" s="0" t="n">
        <v>3.55215897939156</v>
      </c>
      <c r="DH16" s="0" t="n">
        <v>15.948275862069</v>
      </c>
      <c r="DI16" s="0" t="n">
        <v>2.67358333333333</v>
      </c>
      <c r="DJ16" s="0" t="n">
        <v>78.2850471618776</v>
      </c>
      <c r="DK16" s="0" t="n">
        <v>0.337435548111542</v>
      </c>
      <c r="DL16" s="0" t="n">
        <v>0.452586206896552</v>
      </c>
      <c r="DM16" s="0" t="s">
        <v>994</v>
      </c>
      <c r="DN16" s="0" t="n">
        <v>232</v>
      </c>
      <c r="DO16" s="0" t="n">
        <v>16</v>
      </c>
      <c r="DP16" s="0" t="n">
        <v>2.263</v>
      </c>
      <c r="DQ16" s="0" t="n">
        <v>2.129</v>
      </c>
      <c r="DR16" s="0" t="n">
        <v>14.5</v>
      </c>
      <c r="DS16" s="0" t="n">
        <v>88</v>
      </c>
      <c r="DT16" s="0" t="n">
        <v>8</v>
      </c>
      <c r="DU16" s="0" t="n">
        <v>5</v>
      </c>
      <c r="DV16" s="0" t="n">
        <v>-0.188</v>
      </c>
      <c r="DW16" s="0" t="n">
        <v>6.522</v>
      </c>
      <c r="DX16" s="0" t="n">
        <v>0.5</v>
      </c>
      <c r="DY16" s="0" t="n">
        <v>0.0568</v>
      </c>
      <c r="DZ16" s="0" t="n">
        <v>738</v>
      </c>
      <c r="EA16" s="0" t="n">
        <v>0.666</v>
      </c>
      <c r="EB16" s="0" t="n">
        <v>17</v>
      </c>
      <c r="EC16" s="0" t="s">
        <v>995</v>
      </c>
      <c r="ED16" s="0" t="n">
        <v>2023</v>
      </c>
      <c r="EE16" s="0" t="n">
        <v>5</v>
      </c>
      <c r="EF16" s="0" t="n">
        <v>163</v>
      </c>
      <c r="EG16" s="0" t="n">
        <v>2023</v>
      </c>
      <c r="EH16" s="0" t="n">
        <v>2026</v>
      </c>
      <c r="EI16" s="0" t="n">
        <v>4</v>
      </c>
      <c r="EJ16" s="0" t="n">
        <v>70</v>
      </c>
      <c r="EK16" s="0" t="n">
        <v>211</v>
      </c>
      <c r="EL16" s="0" t="s">
        <v>996</v>
      </c>
      <c r="EM16" s="0" t="n">
        <v>26.4</v>
      </c>
      <c r="EN16" s="15" t="b">
        <f aca="false">FALSE()</f>
        <v>0</v>
      </c>
      <c r="EO16" s="0" t="n">
        <v>334</v>
      </c>
      <c r="EP16" s="0" t="n">
        <v>3.15059880239521</v>
      </c>
      <c r="EQ16" s="0" t="n">
        <v>0.110778443113773</v>
      </c>
      <c r="ER16" s="0" t="n">
        <v>1.15269461077844</v>
      </c>
      <c r="ES16" s="0" t="n">
        <v>0.583832335329341</v>
      </c>
      <c r="ET16" s="0" t="n">
        <v>35</v>
      </c>
      <c r="EU16" s="0" t="n">
        <v>23</v>
      </c>
      <c r="EV16" s="0" t="n">
        <v>4.33532934131737</v>
      </c>
      <c r="EW16" s="0" t="n">
        <v>0.657142857142857</v>
      </c>
      <c r="EX16" s="0" t="n">
        <v>2.88704171718939</v>
      </c>
      <c r="EY16" s="0" t="n">
        <v>3.212</v>
      </c>
      <c r="EZ16" s="0" t="n">
        <v>0.1072</v>
      </c>
      <c r="FA16" s="0" t="n">
        <v>2.249</v>
      </c>
      <c r="FB16" s="0" t="n">
        <v>1.927</v>
      </c>
      <c r="FC16" s="0" t="n">
        <v>22</v>
      </c>
      <c r="FD16" s="0" t="n">
        <v>687</v>
      </c>
      <c r="FE16" s="0" t="n">
        <v>0.0524017467248908</v>
      </c>
      <c r="FF16" s="0" t="n">
        <v>0.0527</v>
      </c>
      <c r="FG16" s="0" t="n">
        <v>0.2234</v>
      </c>
      <c r="FH16" s="0" t="n">
        <v>2.22</v>
      </c>
      <c r="FI16" s="0" t="n">
        <v>1049</v>
      </c>
      <c r="FJ16" s="0" t="n">
        <v>0.645376549094376</v>
      </c>
      <c r="FK16" s="0" t="n">
        <v>17</v>
      </c>
      <c r="FL16" s="0" t="n">
        <v>61.71</v>
      </c>
      <c r="FM16" s="0" t="n">
        <v>0.6322</v>
      </c>
      <c r="FN16" s="0" t="n">
        <v>0.3678</v>
      </c>
      <c r="FO16" s="0" t="n">
        <v>0.0172</v>
      </c>
      <c r="FP16" s="0" t="n">
        <v>0.0246</v>
      </c>
      <c r="FQ16" s="0" t="n">
        <v>-0.0266</v>
      </c>
      <c r="FR16" s="0" t="n">
        <v>38</v>
      </c>
      <c r="FS16" s="0" t="n">
        <v>56</v>
      </c>
      <c r="FT16" s="0" t="n">
        <v>3.29</v>
      </c>
      <c r="FU16" s="0" t="n">
        <v>24.4</v>
      </c>
      <c r="FV16" s="0" t="n">
        <v>5575</v>
      </c>
      <c r="FW16" s="0" t="n">
        <v>5552</v>
      </c>
      <c r="FX16" s="0" t="n">
        <v>0.996</v>
      </c>
      <c r="FY16" s="0" t="n">
        <v>5</v>
      </c>
      <c r="FZ16" s="0" t="n">
        <v>5</v>
      </c>
      <c r="GA16" s="0" t="n">
        <v>0.739940369212519</v>
      </c>
      <c r="GB16" s="0" t="n">
        <v>63.4</v>
      </c>
      <c r="GC16" s="0" t="n">
        <v>53</v>
      </c>
      <c r="GD16" s="0" t="n">
        <v>60.4</v>
      </c>
      <c r="GE16" s="0" t="n">
        <v>608</v>
      </c>
      <c r="GF16" s="0" t="n">
        <v>381</v>
      </c>
      <c r="GG16" s="0" t="n">
        <v>41</v>
      </c>
      <c r="GH16" s="0" t="n">
        <v>9</v>
      </c>
      <c r="GI16" s="0" t="n">
        <v>137</v>
      </c>
      <c r="GJ16" s="0" t="n">
        <v>6</v>
      </c>
      <c r="GK16" s="0" t="n">
        <v>0.067</v>
      </c>
      <c r="GL16" s="0" t="n">
        <v>0.024</v>
      </c>
      <c r="GM16" s="0" t="n">
        <v>0.044</v>
      </c>
      <c r="GN16" s="0" t="n">
        <v>16.624</v>
      </c>
      <c r="GO16" s="0" t="n">
        <v>14.594</v>
      </c>
      <c r="GP16" s="0" t="n">
        <v>12.565</v>
      </c>
      <c r="GQ16" s="0" t="n">
        <v>5.176</v>
      </c>
      <c r="GR16" s="0" t="n">
        <v>13.647</v>
      </c>
      <c r="GS16" s="0" t="n">
        <v>320</v>
      </c>
      <c r="GT16" s="0" t="n">
        <v>0.883</v>
      </c>
      <c r="GU16" s="0" t="n">
        <v>0.383</v>
      </c>
      <c r="GV16" s="0" t="n">
        <v>4.966</v>
      </c>
      <c r="GW16" s="0" t="n">
        <v>6.333</v>
      </c>
      <c r="GX16" s="0" t="n">
        <v>0.784</v>
      </c>
      <c r="GY16" s="0" t="n">
        <v>4.392</v>
      </c>
      <c r="GZ16" s="0" t="n">
        <v>0.523</v>
      </c>
      <c r="HA16" s="0" t="n">
        <v>6.522</v>
      </c>
      <c r="HB16" s="0" t="n">
        <v>9.5</v>
      </c>
      <c r="HC16" s="0" t="n">
        <v>0.034</v>
      </c>
      <c r="HD16" s="0" t="n">
        <v>-0.018</v>
      </c>
      <c r="HE16" s="0" t="n">
        <v>-0.117</v>
      </c>
      <c r="HG16" s="0" t="n">
        <v>17.85</v>
      </c>
      <c r="HH16" s="0" t="n">
        <v>6.26</v>
      </c>
      <c r="HI16" s="0" t="n">
        <v>7</v>
      </c>
      <c r="HJ16" s="0" t="n">
        <v>34</v>
      </c>
      <c r="HK16" s="0" t="s">
        <v>909</v>
      </c>
      <c r="HL16" s="0" t="n">
        <v>0</v>
      </c>
      <c r="HM16" s="0" t="n">
        <v>7</v>
      </c>
      <c r="HN16" s="0" t="n">
        <v>6</v>
      </c>
      <c r="HO16" s="0" t="n">
        <v>-0.059</v>
      </c>
      <c r="HP16" s="0" t="n">
        <v>7</v>
      </c>
      <c r="HQ16" s="0" t="n">
        <v>-0.059</v>
      </c>
      <c r="HR16" s="0" t="s">
        <v>102</v>
      </c>
    </row>
    <row r="17" customFormat="false" ht="15" hidden="false" customHeight="false" outlineLevel="0" collapsed="false">
      <c r="A17" s="0" t="s">
        <v>896</v>
      </c>
      <c r="B17" s="0" t="s">
        <v>897</v>
      </c>
      <c r="C17" s="0" t="s">
        <v>898</v>
      </c>
      <c r="D17" s="0" t="s">
        <v>145</v>
      </c>
      <c r="E17" s="0" t="n">
        <v>22958</v>
      </c>
      <c r="F17" s="0" t="s">
        <v>104</v>
      </c>
      <c r="G17" s="0" t="n">
        <v>18.3</v>
      </c>
      <c r="H17" s="0" t="n">
        <v>7.01</v>
      </c>
      <c r="I17" s="0" t="n">
        <v>7</v>
      </c>
      <c r="J17" s="0" t="n">
        <v>33</v>
      </c>
      <c r="L17" s="0" t="s">
        <v>997</v>
      </c>
      <c r="O17" s="0" t="n">
        <v>99.5</v>
      </c>
      <c r="U17" s="0" t="n">
        <v>7</v>
      </c>
      <c r="V17" s="0" t="s">
        <v>998</v>
      </c>
      <c r="W17" s="0" t="s">
        <v>901</v>
      </c>
      <c r="X17" s="0" t="s">
        <v>147</v>
      </c>
      <c r="Y17" s="0" t="s">
        <v>999</v>
      </c>
      <c r="Z17" s="0" t="n">
        <v>22958</v>
      </c>
      <c r="AA17" s="0" t="s">
        <v>1000</v>
      </c>
      <c r="AB17" s="0" t="s">
        <v>904</v>
      </c>
      <c r="AC17" s="0" t="s">
        <v>147</v>
      </c>
      <c r="AD17" s="0" t="s">
        <v>147</v>
      </c>
      <c r="AE17" s="0" t="s">
        <v>147</v>
      </c>
      <c r="AF17" s="0" t="s">
        <v>147</v>
      </c>
      <c r="AG17" s="0" t="s">
        <v>147</v>
      </c>
      <c r="AH17" s="0" t="s">
        <v>905</v>
      </c>
      <c r="AI17" s="0" t="n">
        <v>1</v>
      </c>
      <c r="AJ17" s="0" t="s">
        <v>104</v>
      </c>
      <c r="AK17" s="0" t="n">
        <v>16</v>
      </c>
      <c r="AL17" s="0" t="n">
        <v>7</v>
      </c>
      <c r="AM17" s="0" t="s">
        <v>146</v>
      </c>
      <c r="AN17" s="0" t="n">
        <v>0</v>
      </c>
      <c r="AO17" s="0" t="n">
        <v>0</v>
      </c>
      <c r="AP17" s="0" t="n">
        <v>0</v>
      </c>
      <c r="AQ17" s="0" t="n">
        <v>0</v>
      </c>
      <c r="AR17" s="0" t="n">
        <v>0</v>
      </c>
      <c r="AS17" s="0" t="n">
        <v>0</v>
      </c>
      <c r="AT17" s="0" t="n">
        <v>0</v>
      </c>
      <c r="AU17" s="0" t="n">
        <v>0</v>
      </c>
      <c r="AV17" s="0" t="n">
        <v>0</v>
      </c>
      <c r="AW17" s="0" t="n">
        <v>309</v>
      </c>
      <c r="AX17" s="0" t="n">
        <v>1621</v>
      </c>
      <c r="AY17" s="0" t="n">
        <v>12</v>
      </c>
      <c r="AZ17" s="0" t="n">
        <v>68</v>
      </c>
      <c r="BA17" s="0" t="n">
        <v>5.57597554101434</v>
      </c>
      <c r="BB17" s="0" t="n">
        <v>3</v>
      </c>
      <c r="BC17" s="0" t="n">
        <v>33</v>
      </c>
      <c r="BD17" s="0" t="n">
        <v>40</v>
      </c>
      <c r="BE17" s="0" t="n">
        <v>291</v>
      </c>
      <c r="BF17" s="0" t="n">
        <v>2</v>
      </c>
      <c r="BG17" s="0" t="n">
        <v>56</v>
      </c>
      <c r="BH17" s="0" t="n">
        <v>272</v>
      </c>
      <c r="BI17" s="0" t="n">
        <v>11</v>
      </c>
      <c r="BJ17" s="0" t="n">
        <v>8.67202215976431</v>
      </c>
      <c r="BK17" s="0" t="n">
        <v>0</v>
      </c>
      <c r="BL17" s="0" t="n">
        <v>0</v>
      </c>
      <c r="BM17" s="0" t="n">
        <v>269.2</v>
      </c>
      <c r="BN17" s="0" t="n">
        <v>302.2</v>
      </c>
      <c r="BO17" s="0" t="n">
        <v>17</v>
      </c>
      <c r="BP17" s="0" t="s">
        <v>147</v>
      </c>
      <c r="BQ17" s="0" t="n">
        <v>1</v>
      </c>
      <c r="BR17" s="0" t="n">
        <v>285.7</v>
      </c>
      <c r="BS17" s="0" t="n">
        <v>0.0835</v>
      </c>
      <c r="BT17" s="0" t="n">
        <v>0.5649</v>
      </c>
      <c r="BU17" s="0" t="n">
        <v>0.016</v>
      </c>
      <c r="BV17" s="0" t="n">
        <v>0.0835</v>
      </c>
      <c r="BW17" s="0" t="n">
        <v>0.5649</v>
      </c>
      <c r="BX17" s="0" t="n">
        <v>0.016</v>
      </c>
      <c r="BY17" s="0" t="n">
        <v>0.1364</v>
      </c>
      <c r="BZ17" s="0" t="n">
        <v>17</v>
      </c>
      <c r="CA17" s="0" t="n">
        <v>10.7</v>
      </c>
      <c r="CB17" s="0" t="n">
        <v>26.46</v>
      </c>
      <c r="CC17" s="0" t="n">
        <v>20.4</v>
      </c>
      <c r="CD17" s="0" t="n">
        <v>9.2</v>
      </c>
      <c r="CE17" s="0" t="n">
        <v>10</v>
      </c>
      <c r="CF17" s="0" t="n">
        <v>1</v>
      </c>
      <c r="CG17" s="0" t="n">
        <v>17</v>
      </c>
      <c r="CH17" s="0" t="n">
        <v>0.588</v>
      </c>
      <c r="CI17" s="0" t="n">
        <v>0.059</v>
      </c>
      <c r="CJ17" s="0" t="n">
        <v>0.451</v>
      </c>
      <c r="CK17" s="0" t="n">
        <v>3</v>
      </c>
      <c r="CL17" s="0" t="n">
        <v>1</v>
      </c>
      <c r="CM17" s="0" t="n">
        <v>1</v>
      </c>
      <c r="CN17" s="0" t="n">
        <v>2</v>
      </c>
      <c r="CO17" s="0" t="n">
        <v>1.20682203734776</v>
      </c>
      <c r="CP17" s="0" t="n">
        <v>56</v>
      </c>
      <c r="CQ17" s="0" t="n">
        <v>26</v>
      </c>
      <c r="CR17" s="0" t="n">
        <v>16</v>
      </c>
      <c r="CS17" s="0" t="n">
        <v>12</v>
      </c>
      <c r="CT17" s="0" t="n">
        <v>10.9355918185903</v>
      </c>
      <c r="CU17" s="0" t="n">
        <v>59</v>
      </c>
      <c r="CV17" s="0" t="n">
        <v>27</v>
      </c>
      <c r="CW17" s="0" t="n">
        <v>17</v>
      </c>
      <c r="CX17" s="0" t="n">
        <v>14</v>
      </c>
      <c r="CY17" s="0" t="n">
        <v>12.14</v>
      </c>
      <c r="CZ17" s="0" t="n">
        <v>1.86</v>
      </c>
      <c r="DG17" s="0" t="n">
        <v>3.24320172732881</v>
      </c>
      <c r="DH17" s="0" t="n">
        <v>30.42071197411</v>
      </c>
      <c r="DI17" s="0" t="n">
        <v>2.57515254237288</v>
      </c>
      <c r="DJ17" s="0" t="n">
        <v>358.162770513716</v>
      </c>
      <c r="DK17" s="0" t="n">
        <v>1.17430416561874</v>
      </c>
      <c r="DL17" s="0" t="n">
        <v>0.468852459016393</v>
      </c>
      <c r="DM17" s="0" t="s">
        <v>1001</v>
      </c>
      <c r="DN17" s="0" t="n">
        <v>309</v>
      </c>
      <c r="DO17" s="0" t="n">
        <v>21</v>
      </c>
      <c r="DP17" s="0" t="n">
        <v>3.026</v>
      </c>
      <c r="DQ17" s="0" t="n">
        <v>2.22</v>
      </c>
      <c r="DR17" s="0" t="n">
        <v>14.71</v>
      </c>
      <c r="DS17" s="0" t="n">
        <v>40</v>
      </c>
      <c r="DT17" s="0" t="n">
        <v>3</v>
      </c>
      <c r="DU17" s="0" t="n">
        <v>3</v>
      </c>
      <c r="DV17" s="0" t="n">
        <v>0.576</v>
      </c>
      <c r="DW17" s="0" t="n">
        <v>8.242</v>
      </c>
      <c r="DX17" s="0" t="n">
        <v>1.3</v>
      </c>
      <c r="DY17" s="0" t="n">
        <v>0.075</v>
      </c>
      <c r="DZ17" s="0" t="n">
        <v>639</v>
      </c>
      <c r="EA17" s="0" t="n">
        <v>0.572</v>
      </c>
      <c r="EB17" s="0" t="n">
        <v>17</v>
      </c>
      <c r="EC17" s="0" t="s">
        <v>1002</v>
      </c>
      <c r="ED17" s="0" t="n">
        <v>2022</v>
      </c>
      <c r="EE17" s="0" t="n">
        <v>2</v>
      </c>
      <c r="EF17" s="0" t="n">
        <v>63</v>
      </c>
      <c r="EG17" s="0" t="n">
        <v>2022</v>
      </c>
      <c r="EH17" s="0" t="n">
        <v>2026</v>
      </c>
      <c r="EI17" s="0" t="n">
        <v>5</v>
      </c>
      <c r="EJ17" s="0" t="n">
        <v>71</v>
      </c>
      <c r="EK17" s="0" t="n">
        <v>190</v>
      </c>
      <c r="EL17" s="0" t="s">
        <v>1003</v>
      </c>
      <c r="EM17" s="0" t="n">
        <v>26.9</v>
      </c>
      <c r="EN17" s="15" t="b">
        <f aca="false">FALSE()</f>
        <v>0</v>
      </c>
      <c r="EO17" s="0" t="n">
        <v>419</v>
      </c>
      <c r="EP17" s="0" t="n">
        <v>3.36658711217184</v>
      </c>
      <c r="EQ17" s="0" t="n">
        <v>0.126491646778043</v>
      </c>
      <c r="ER17" s="0" t="n">
        <v>1.44630071599045</v>
      </c>
      <c r="ES17" s="0" t="n">
        <v>0.897374701670644</v>
      </c>
      <c r="ET17" s="0" t="n">
        <v>37</v>
      </c>
      <c r="EU17" s="0" t="n">
        <v>20</v>
      </c>
      <c r="EV17" s="0" t="n">
        <v>5.01193317422434</v>
      </c>
      <c r="EW17" s="0" t="n">
        <v>0.540540540540541</v>
      </c>
      <c r="EX17" s="0" t="n">
        <v>2.91817960590113</v>
      </c>
      <c r="EY17" s="0" t="n">
        <v>3.397</v>
      </c>
      <c r="EZ17" s="0" t="n">
        <v>0.1265</v>
      </c>
      <c r="FA17" s="0" t="n">
        <v>2.905</v>
      </c>
      <c r="FB17" s="0" t="n">
        <v>2.057</v>
      </c>
      <c r="FC17" s="0" t="n">
        <v>35</v>
      </c>
      <c r="FD17" s="0" t="n">
        <v>584</v>
      </c>
      <c r="FE17" s="0" t="n">
        <v>0.0684931506849315</v>
      </c>
      <c r="FF17" s="0" t="n">
        <v>0.0702</v>
      </c>
      <c r="FG17" s="0" t="n">
        <v>0.2</v>
      </c>
      <c r="FH17" s="0" t="n">
        <v>2.507</v>
      </c>
      <c r="FI17" s="0" t="n">
        <v>1065</v>
      </c>
      <c r="FJ17" s="0" t="n">
        <v>0.509859154929578</v>
      </c>
      <c r="FK17" s="0" t="n">
        <v>17</v>
      </c>
      <c r="FL17" s="0" t="n">
        <v>62.65</v>
      </c>
      <c r="FM17" s="0" t="n">
        <v>0.5028</v>
      </c>
      <c r="FN17" s="0" t="n">
        <v>0.4972</v>
      </c>
      <c r="FO17" s="0" t="n">
        <v>-0.0352</v>
      </c>
      <c r="FP17" s="0" t="n">
        <v>0.1102</v>
      </c>
      <c r="FQ17" s="0" t="n">
        <v>0.1599</v>
      </c>
      <c r="FR17" s="0" t="n">
        <v>40</v>
      </c>
      <c r="FS17" s="0" t="n">
        <v>68</v>
      </c>
      <c r="FT17" s="0" t="n">
        <v>4</v>
      </c>
      <c r="FU17" s="0" t="n">
        <v>28.3</v>
      </c>
      <c r="FV17" s="0" t="n">
        <v>5677</v>
      </c>
      <c r="FW17" s="0" t="n">
        <v>4330</v>
      </c>
      <c r="FX17" s="0" t="n">
        <v>0.763</v>
      </c>
      <c r="FY17" s="0" t="n">
        <v>5</v>
      </c>
      <c r="FZ17" s="0" t="n">
        <v>4</v>
      </c>
      <c r="GA17" s="0" t="n">
        <v>1.26194193528219</v>
      </c>
      <c r="GB17" s="0" t="n">
        <v>72.8</v>
      </c>
      <c r="GC17" s="0" t="n">
        <v>64.4</v>
      </c>
      <c r="GD17" s="0" t="n">
        <v>73.6</v>
      </c>
      <c r="GE17" s="0" t="n">
        <v>479</v>
      </c>
      <c r="GF17" s="0" t="n">
        <v>547</v>
      </c>
      <c r="GG17" s="0" t="n">
        <v>19</v>
      </c>
      <c r="GH17" s="0" t="n">
        <v>17</v>
      </c>
      <c r="GI17" s="0" t="n">
        <v>180</v>
      </c>
      <c r="GJ17" s="0" t="n">
        <v>2</v>
      </c>
      <c r="GK17" s="0" t="n">
        <v>0.04</v>
      </c>
      <c r="GL17" s="0" t="n">
        <v>0.031</v>
      </c>
      <c r="GM17" s="0" t="n">
        <v>0.011</v>
      </c>
      <c r="GN17" s="0" t="n">
        <v>17.776</v>
      </c>
      <c r="GO17" s="0" t="n">
        <v>16.806</v>
      </c>
      <c r="GP17" s="0" t="n">
        <v>15.835</v>
      </c>
      <c r="GQ17" s="0" t="n">
        <v>2.353</v>
      </c>
      <c r="GR17" s="0" t="n">
        <v>18.176</v>
      </c>
      <c r="GS17" s="0" t="n">
        <v>349</v>
      </c>
      <c r="GT17" s="0" t="n">
        <v>0.866</v>
      </c>
      <c r="GU17" s="0" t="n">
        <v>0.473</v>
      </c>
      <c r="GV17" s="0" t="n">
        <v>7.275</v>
      </c>
      <c r="GW17" s="0" t="n">
        <v>8.818</v>
      </c>
      <c r="GX17" s="0" t="n">
        <v>0.825</v>
      </c>
      <c r="GY17" s="0" t="n">
        <v>5.246</v>
      </c>
      <c r="GZ17" s="0" t="n">
        <v>1.4</v>
      </c>
      <c r="HA17" s="0" t="n">
        <v>8.242</v>
      </c>
      <c r="HB17" s="0" t="n">
        <v>5.196</v>
      </c>
      <c r="HC17" s="0" t="n">
        <v>0.04</v>
      </c>
      <c r="HD17" s="0" t="n">
        <v>0.018</v>
      </c>
      <c r="HE17" s="0" t="n">
        <v>0.217</v>
      </c>
      <c r="HG17" s="0" t="n">
        <v>18.3</v>
      </c>
      <c r="HH17" s="0" t="n">
        <v>7.01</v>
      </c>
      <c r="HI17" s="0" t="n">
        <v>7</v>
      </c>
      <c r="HJ17" s="0" t="n">
        <v>33</v>
      </c>
      <c r="HK17" s="0" t="s">
        <v>909</v>
      </c>
      <c r="HL17" s="0" t="n">
        <v>0</v>
      </c>
      <c r="HM17" s="0" t="n">
        <v>6</v>
      </c>
      <c r="HN17" s="0" t="n">
        <v>7</v>
      </c>
      <c r="HO17" s="0" t="n">
        <v>0.02</v>
      </c>
      <c r="HP17" s="0" t="n">
        <v>6</v>
      </c>
      <c r="HQ17" s="0" t="n">
        <v>0.02</v>
      </c>
      <c r="HR17" s="0" t="s">
        <v>102</v>
      </c>
    </row>
    <row r="18" customFormat="false" ht="15" hidden="false" customHeight="false" outlineLevel="0" collapsed="false">
      <c r="A18" s="0" t="s">
        <v>896</v>
      </c>
      <c r="B18" s="0" t="s">
        <v>897</v>
      </c>
      <c r="C18" s="0" t="s">
        <v>898</v>
      </c>
      <c r="D18" s="0" t="s">
        <v>148</v>
      </c>
      <c r="E18" s="0" t="n">
        <v>22936</v>
      </c>
      <c r="F18" s="0" t="s">
        <v>149</v>
      </c>
      <c r="G18" s="0" t="n">
        <v>19.47</v>
      </c>
      <c r="H18" s="0" t="n">
        <v>5.73</v>
      </c>
      <c r="I18" s="0" t="n">
        <v>15</v>
      </c>
      <c r="J18" s="0" t="n">
        <v>33</v>
      </c>
      <c r="L18" s="0" t="s">
        <v>1004</v>
      </c>
      <c r="O18" s="0" t="n">
        <v>99.4</v>
      </c>
      <c r="U18" s="0" t="n">
        <v>14</v>
      </c>
      <c r="V18" s="0" t="s">
        <v>148</v>
      </c>
      <c r="W18" s="0" t="s">
        <v>901</v>
      </c>
      <c r="X18" s="0" t="s">
        <v>151</v>
      </c>
      <c r="Y18" s="0" t="s">
        <v>1005</v>
      </c>
      <c r="Z18" s="0" t="n">
        <v>22936</v>
      </c>
      <c r="AA18" s="0" t="s">
        <v>1006</v>
      </c>
      <c r="AB18" s="0" t="s">
        <v>904</v>
      </c>
      <c r="AC18" s="0" t="s">
        <v>151</v>
      </c>
      <c r="AD18" s="0" t="s">
        <v>151</v>
      </c>
      <c r="AE18" s="0" t="s">
        <v>151</v>
      </c>
      <c r="AF18" s="0" t="s">
        <v>151</v>
      </c>
      <c r="AG18" s="0" t="s">
        <v>151</v>
      </c>
      <c r="AH18" s="0" t="s">
        <v>905</v>
      </c>
      <c r="AI18" s="0" t="n">
        <v>1</v>
      </c>
      <c r="AJ18" s="0" t="s">
        <v>149</v>
      </c>
      <c r="AK18" s="0" t="n">
        <v>17</v>
      </c>
      <c r="AL18" s="0" t="n">
        <v>1</v>
      </c>
      <c r="AM18" s="0" t="s">
        <v>150</v>
      </c>
      <c r="AN18" s="0" t="n">
        <v>0</v>
      </c>
      <c r="AO18" s="0" t="n">
        <v>0</v>
      </c>
      <c r="AP18" s="0" t="n">
        <v>0</v>
      </c>
      <c r="AQ18" s="0" t="n">
        <v>0</v>
      </c>
      <c r="AR18" s="0" t="n">
        <v>0</v>
      </c>
      <c r="AS18" s="0" t="n">
        <v>0</v>
      </c>
      <c r="AT18" s="0" t="n">
        <v>0</v>
      </c>
      <c r="AU18" s="0" t="n">
        <v>0</v>
      </c>
      <c r="AV18" s="0" t="n">
        <v>0</v>
      </c>
      <c r="AW18" s="0" t="n">
        <v>0</v>
      </c>
      <c r="AX18" s="0" t="n">
        <v>0</v>
      </c>
      <c r="AY18" s="0" t="n">
        <v>0</v>
      </c>
      <c r="AZ18" s="0" t="n">
        <v>0</v>
      </c>
      <c r="BA18" s="0" t="n">
        <v>0</v>
      </c>
      <c r="BB18" s="0" t="n">
        <v>0</v>
      </c>
      <c r="BC18" s="0" t="n">
        <v>126</v>
      </c>
      <c r="BD18" s="0" t="n">
        <v>169</v>
      </c>
      <c r="BE18" s="0" t="n">
        <v>1239</v>
      </c>
      <c r="BF18" s="0" t="n">
        <v>11</v>
      </c>
      <c r="BG18" s="0" t="n">
        <v>1126</v>
      </c>
      <c r="BH18" s="0" t="n">
        <v>583</v>
      </c>
      <c r="BI18" s="0" t="n">
        <v>63</v>
      </c>
      <c r="BJ18" s="0" t="n">
        <v>72.7163668902731</v>
      </c>
      <c r="BK18" s="0" t="n">
        <v>0</v>
      </c>
      <c r="BL18" s="0" t="n">
        <v>0</v>
      </c>
      <c r="BM18" s="0" t="n">
        <v>189.9</v>
      </c>
      <c r="BN18" s="0" t="n">
        <v>315.9</v>
      </c>
      <c r="BO18" s="0" t="n">
        <v>17</v>
      </c>
      <c r="BP18" s="0" t="s">
        <v>151</v>
      </c>
      <c r="BQ18" s="0" t="n">
        <v>1</v>
      </c>
      <c r="BR18" s="0" t="n">
        <v>252.9</v>
      </c>
      <c r="BS18" s="0" t="n">
        <v>0.2739</v>
      </c>
      <c r="BT18" s="0" t="n">
        <v>0</v>
      </c>
      <c r="BU18" s="0" t="n">
        <v>0.253</v>
      </c>
      <c r="BV18" s="0" t="n">
        <v>0.2739</v>
      </c>
      <c r="BW18" s="0" t="n">
        <v>0</v>
      </c>
      <c r="BX18" s="0" t="n">
        <v>0.253</v>
      </c>
      <c r="BY18" s="0" t="n">
        <v>0.588</v>
      </c>
      <c r="BZ18" s="0" t="n">
        <v>17</v>
      </c>
      <c r="CA18" s="0" t="n">
        <v>12.2</v>
      </c>
      <c r="CB18" s="0" t="n">
        <v>27.62</v>
      </c>
      <c r="CC18" s="0" t="n">
        <v>16.5</v>
      </c>
      <c r="CD18" s="0" t="n">
        <v>8.37</v>
      </c>
      <c r="CE18" s="0" t="n">
        <v>12</v>
      </c>
      <c r="CF18" s="0" t="n">
        <v>0</v>
      </c>
      <c r="CG18" s="0" t="n">
        <v>17</v>
      </c>
      <c r="CH18" s="0" t="n">
        <v>0.706</v>
      </c>
      <c r="CI18" s="0" t="n">
        <v>0</v>
      </c>
      <c r="CJ18" s="0" t="n">
        <v>0.507</v>
      </c>
      <c r="CK18" s="0" t="n">
        <v>33</v>
      </c>
      <c r="CL18" s="0" t="n">
        <v>11</v>
      </c>
      <c r="CM18" s="0" t="n">
        <v>5</v>
      </c>
      <c r="CN18" s="0" t="n">
        <v>11</v>
      </c>
      <c r="CO18" s="0" t="n">
        <v>10.01777270196</v>
      </c>
      <c r="CP18" s="0" t="n">
        <v>0</v>
      </c>
      <c r="CQ18" s="0" t="n">
        <v>0</v>
      </c>
      <c r="CR18" s="0" t="n">
        <v>0</v>
      </c>
      <c r="CS18" s="0" t="n">
        <v>0</v>
      </c>
      <c r="CT18" s="0" t="n">
        <v>0</v>
      </c>
      <c r="CU18" s="0" t="n">
        <v>33</v>
      </c>
      <c r="CV18" s="0" t="n">
        <v>11</v>
      </c>
      <c r="CW18" s="0" t="n">
        <v>5</v>
      </c>
      <c r="CX18" s="0" t="n">
        <v>11</v>
      </c>
      <c r="CY18" s="0" t="n">
        <v>10.02</v>
      </c>
      <c r="CZ18" s="0" t="n">
        <v>0.98</v>
      </c>
      <c r="DA18" s="0" t="n">
        <v>3.0601982826134</v>
      </c>
      <c r="DB18" s="0" t="n">
        <v>5.46022900763359</v>
      </c>
      <c r="DC18" s="0" t="n">
        <v>6.87804733727811</v>
      </c>
      <c r="DD18" s="0" t="n">
        <v>25.8342186326238</v>
      </c>
      <c r="DE18" s="0" t="n">
        <v>0.714653157622706</v>
      </c>
      <c r="DF18" s="0" t="n">
        <v>74.5562130177515</v>
      </c>
      <c r="DM18" s="0" t="s">
        <v>1007</v>
      </c>
      <c r="DS18" s="0" t="n">
        <v>169</v>
      </c>
      <c r="DT18" s="0" t="n">
        <v>9</v>
      </c>
      <c r="DU18" s="0" t="n">
        <v>2</v>
      </c>
      <c r="DV18" s="0" t="n">
        <v>5.206</v>
      </c>
      <c r="DW18" s="0" t="n">
        <v>4.627</v>
      </c>
      <c r="DX18" s="0" t="n">
        <v>6.8</v>
      </c>
      <c r="DY18" s="0" t="n">
        <v>0.0118</v>
      </c>
      <c r="DZ18" s="0" t="n">
        <v>1033</v>
      </c>
      <c r="EA18" s="0" t="n">
        <v>0.914</v>
      </c>
      <c r="EB18" s="0" t="n">
        <v>17</v>
      </c>
      <c r="EC18" s="0" t="s">
        <v>1008</v>
      </c>
      <c r="ED18" s="0" t="n">
        <v>2022</v>
      </c>
      <c r="EE18" s="0" t="n">
        <v>2</v>
      </c>
      <c r="EF18" s="0" t="n">
        <v>55</v>
      </c>
      <c r="EG18" s="0" t="n">
        <v>2022</v>
      </c>
      <c r="EH18" s="0" t="n">
        <v>2026</v>
      </c>
      <c r="EI18" s="0" t="n">
        <v>5</v>
      </c>
      <c r="EJ18" s="0" t="n">
        <v>76</v>
      </c>
      <c r="EK18" s="0" t="n">
        <v>246</v>
      </c>
      <c r="EL18" s="0" t="s">
        <v>1009</v>
      </c>
      <c r="EM18" s="0" t="n">
        <v>26.7</v>
      </c>
      <c r="EN18" s="15" t="b">
        <f aca="false">FALSE()</f>
        <v>0</v>
      </c>
      <c r="EO18" s="0" t="n">
        <v>292</v>
      </c>
      <c r="EP18" s="0" t="n">
        <v>2.76198630136986</v>
      </c>
      <c r="EQ18" s="0" t="n">
        <v>0.198630136986301</v>
      </c>
      <c r="ER18" s="0" t="n">
        <v>1.1472602739726</v>
      </c>
      <c r="ES18" s="0" t="n">
        <v>0.828767123287671</v>
      </c>
      <c r="ET18" s="0" t="n">
        <v>32</v>
      </c>
      <c r="EU18" s="0" t="n">
        <v>21</v>
      </c>
      <c r="EV18" s="0" t="n">
        <v>4.20205479452055</v>
      </c>
      <c r="EW18" s="0" t="n">
        <v>0.65625</v>
      </c>
      <c r="EX18" s="0" t="n">
        <v>2.93895253186521</v>
      </c>
      <c r="EY18" s="0" t="n">
        <v>2.771</v>
      </c>
      <c r="EZ18" s="0" t="n">
        <v>0.2005</v>
      </c>
      <c r="FA18" s="0" t="n">
        <v>2.593</v>
      </c>
      <c r="FB18" s="0" t="n">
        <v>1.732</v>
      </c>
      <c r="FC18" s="0" t="n">
        <v>22</v>
      </c>
      <c r="FD18" s="0" t="n">
        <v>745</v>
      </c>
      <c r="FE18" s="0" t="n">
        <v>0.0791946308724832</v>
      </c>
      <c r="FF18" s="0" t="n">
        <v>0.0839</v>
      </c>
      <c r="FG18" s="0" t="n">
        <v>0.282</v>
      </c>
      <c r="FH18" s="0" t="n">
        <v>2.373</v>
      </c>
      <c r="FI18" s="0" t="n">
        <v>1074</v>
      </c>
      <c r="FJ18" s="0" t="n">
        <v>0.661080074487896</v>
      </c>
      <c r="FK18" s="0" t="n">
        <v>17</v>
      </c>
      <c r="FL18" s="0" t="n">
        <v>63.18</v>
      </c>
      <c r="FM18" s="0" t="n">
        <v>0.6204</v>
      </c>
      <c r="FN18" s="0" t="n">
        <v>0.3796</v>
      </c>
      <c r="FO18" s="0" t="n">
        <v>0.0399</v>
      </c>
      <c r="FP18" s="0" t="n">
        <v>-0.0591</v>
      </c>
      <c r="FQ18" s="0" t="n">
        <v>0.0023</v>
      </c>
      <c r="FR18" s="0" t="n">
        <v>39</v>
      </c>
      <c r="FS18" s="0" t="n">
        <v>61</v>
      </c>
      <c r="FT18" s="0" t="n">
        <v>3.59</v>
      </c>
      <c r="FU18" s="0" t="n">
        <v>20.9</v>
      </c>
      <c r="FV18" s="0" t="n">
        <v>5838</v>
      </c>
      <c r="FW18" s="0" t="n">
        <v>4005</v>
      </c>
      <c r="FX18" s="0" t="n">
        <v>0.686</v>
      </c>
      <c r="FY18" s="0" t="n">
        <v>5</v>
      </c>
      <c r="FZ18" s="0" t="n">
        <v>3</v>
      </c>
      <c r="GA18" s="0" t="n">
        <v>-0.344439654226007</v>
      </c>
      <c r="GB18" s="0" t="n">
        <v>43.8</v>
      </c>
      <c r="GC18" s="0" t="n">
        <v>35.6</v>
      </c>
      <c r="GD18" s="0" t="n">
        <v>36.9</v>
      </c>
      <c r="GE18" s="0" t="n">
        <v>617</v>
      </c>
      <c r="GF18" s="0" t="n">
        <v>366</v>
      </c>
      <c r="GG18" s="0" t="n">
        <v>106</v>
      </c>
      <c r="GH18" s="0" t="n">
        <v>173</v>
      </c>
      <c r="GI18" s="0" t="n">
        <v>153</v>
      </c>
      <c r="GJ18" s="0" t="n">
        <v>41</v>
      </c>
      <c r="GK18" s="0" t="n">
        <v>0.172</v>
      </c>
      <c r="GL18" s="0" t="n">
        <v>0.473</v>
      </c>
      <c r="GM18" s="0" t="n">
        <v>0.268</v>
      </c>
      <c r="GN18" s="0" t="n">
        <v>18.582</v>
      </c>
      <c r="GO18" s="0" t="n">
        <v>14.876</v>
      </c>
      <c r="GP18" s="0" t="n">
        <v>11.171</v>
      </c>
      <c r="GQ18" s="0" t="n">
        <v>9.941</v>
      </c>
      <c r="GR18" s="0" t="n">
        <v>0</v>
      </c>
      <c r="GS18" s="0" t="n">
        <v>169</v>
      </c>
      <c r="GT18" s="0" t="n">
        <v>1.869</v>
      </c>
      <c r="GU18" s="0" t="n">
        <v>0.306</v>
      </c>
      <c r="GV18" s="0" t="n">
        <v>7.331</v>
      </c>
      <c r="GW18" s="0" t="n">
        <v>9.833</v>
      </c>
      <c r="GX18" s="0" t="n">
        <v>0.746</v>
      </c>
      <c r="GZ18" s="0" t="n">
        <v>6.663</v>
      </c>
      <c r="HA18" s="0" t="n">
        <v>4.627</v>
      </c>
      <c r="HB18" s="0" t="n">
        <v>1.1</v>
      </c>
      <c r="HC18" s="0" t="n">
        <v>0.065</v>
      </c>
      <c r="HE18" s="0" t="n">
        <v>0.43</v>
      </c>
      <c r="HG18" s="0" t="n">
        <v>19.47</v>
      </c>
      <c r="HH18" s="0" t="n">
        <v>5.73</v>
      </c>
      <c r="HI18" s="0" t="n">
        <v>15</v>
      </c>
      <c r="HJ18" s="0" t="n">
        <v>33</v>
      </c>
      <c r="HK18" s="0" t="s">
        <v>909</v>
      </c>
      <c r="HL18" s="0" t="n">
        <v>0</v>
      </c>
      <c r="HM18" s="0" t="n">
        <v>1</v>
      </c>
      <c r="HN18" s="0" t="n">
        <v>1</v>
      </c>
      <c r="HO18" s="0" t="n">
        <v>0.027</v>
      </c>
      <c r="HP18" s="0" t="n">
        <v>1</v>
      </c>
      <c r="HQ18" s="0" t="n">
        <v>0.026</v>
      </c>
      <c r="HR18" s="0" t="s">
        <v>102</v>
      </c>
    </row>
    <row r="19" customFormat="false" ht="15" hidden="false" customHeight="false" outlineLevel="0" collapsed="false">
      <c r="A19" s="0" t="s">
        <v>896</v>
      </c>
      <c r="B19" s="0" t="s">
        <v>897</v>
      </c>
      <c r="C19" s="0" t="s">
        <v>898</v>
      </c>
      <c r="D19" s="0" t="s">
        <v>152</v>
      </c>
      <c r="E19" s="0" t="n">
        <v>22963</v>
      </c>
      <c r="F19" s="0" t="s">
        <v>99</v>
      </c>
      <c r="G19" s="0" t="n">
        <v>19.88</v>
      </c>
      <c r="H19" s="0" t="n">
        <v>6.22</v>
      </c>
      <c r="I19" s="0" t="n">
        <v>12</v>
      </c>
      <c r="J19" s="0" t="n">
        <v>51</v>
      </c>
      <c r="L19" s="0" t="s">
        <v>1010</v>
      </c>
      <c r="O19" s="0" t="n">
        <v>99.3</v>
      </c>
      <c r="U19" s="0" t="n">
        <v>14</v>
      </c>
      <c r="V19" s="0" t="s">
        <v>152</v>
      </c>
      <c r="W19" s="0" t="s">
        <v>901</v>
      </c>
      <c r="X19" s="0" t="s">
        <v>120</v>
      </c>
      <c r="Y19" s="0" t="s">
        <v>1011</v>
      </c>
      <c r="Z19" s="0" t="n">
        <v>22963</v>
      </c>
      <c r="AA19" s="0" t="s">
        <v>1012</v>
      </c>
      <c r="AB19" s="0" t="s">
        <v>904</v>
      </c>
      <c r="AC19" s="0" t="s">
        <v>120</v>
      </c>
      <c r="AD19" s="0" t="s">
        <v>120</v>
      </c>
      <c r="AE19" s="0" t="s">
        <v>120</v>
      </c>
      <c r="AF19" s="0" t="s">
        <v>120</v>
      </c>
      <c r="AG19" s="0" t="s">
        <v>120</v>
      </c>
      <c r="AH19" s="0" t="s">
        <v>905</v>
      </c>
      <c r="AI19" s="0" t="n">
        <v>2</v>
      </c>
      <c r="AJ19" s="0" t="s">
        <v>99</v>
      </c>
      <c r="AK19" s="0" t="n">
        <v>18</v>
      </c>
      <c r="AL19" s="0" t="n">
        <v>10</v>
      </c>
      <c r="AM19" s="0" t="s">
        <v>153</v>
      </c>
      <c r="AN19" s="0" t="n">
        <v>0</v>
      </c>
      <c r="AO19" s="0" t="n">
        <v>0</v>
      </c>
      <c r="AP19" s="0" t="n">
        <v>0</v>
      </c>
      <c r="AQ19" s="0" t="n">
        <v>0</v>
      </c>
      <c r="AR19" s="0" t="n">
        <v>0</v>
      </c>
      <c r="AS19" s="0" t="n">
        <v>0</v>
      </c>
      <c r="AT19" s="0" t="n">
        <v>0</v>
      </c>
      <c r="AU19" s="0" t="n">
        <v>0</v>
      </c>
      <c r="AV19" s="0" t="n">
        <v>0</v>
      </c>
      <c r="AW19" s="0" t="n">
        <v>0</v>
      </c>
      <c r="AX19" s="0" t="n">
        <v>0</v>
      </c>
      <c r="AY19" s="0" t="n">
        <v>0</v>
      </c>
      <c r="AZ19" s="0" t="n">
        <v>0</v>
      </c>
      <c r="BA19" s="0" t="n">
        <v>0</v>
      </c>
      <c r="BB19" s="0" t="n">
        <v>0</v>
      </c>
      <c r="BC19" s="0" t="n">
        <v>93</v>
      </c>
      <c r="BD19" s="0" t="n">
        <v>137</v>
      </c>
      <c r="BE19" s="0" t="n">
        <v>1429</v>
      </c>
      <c r="BF19" s="0" t="n">
        <v>9</v>
      </c>
      <c r="BG19" s="0" t="n">
        <v>1547</v>
      </c>
      <c r="BH19" s="0" t="n">
        <v>479</v>
      </c>
      <c r="BI19" s="0" t="n">
        <v>73</v>
      </c>
      <c r="BJ19" s="0" t="n">
        <v>88.7427112801041</v>
      </c>
      <c r="BK19" s="0" t="n">
        <v>0</v>
      </c>
      <c r="BL19" s="0" t="n">
        <v>0</v>
      </c>
      <c r="BM19" s="0" t="n">
        <v>198.9</v>
      </c>
      <c r="BN19" s="0" t="n">
        <v>291.9</v>
      </c>
      <c r="BO19" s="0" t="n">
        <v>17</v>
      </c>
      <c r="BP19" s="0" t="s">
        <v>120</v>
      </c>
      <c r="BQ19" s="0" t="n">
        <v>1</v>
      </c>
      <c r="BR19" s="0" t="n">
        <v>245.4</v>
      </c>
      <c r="BS19" s="0" t="n">
        <v>0.2257</v>
      </c>
      <c r="BT19" s="0" t="n">
        <v>0</v>
      </c>
      <c r="BU19" s="0" t="n">
        <v>0.3141</v>
      </c>
      <c r="BV19" s="0" t="n">
        <v>0.2257</v>
      </c>
      <c r="BW19" s="0" t="n">
        <v>0</v>
      </c>
      <c r="BX19" s="0" t="n">
        <v>0.3141</v>
      </c>
      <c r="BY19" s="0" t="n">
        <v>0.5584</v>
      </c>
      <c r="BZ19" s="0" t="n">
        <v>17</v>
      </c>
      <c r="CA19" s="0" t="n">
        <v>11.8</v>
      </c>
      <c r="CB19" s="0" t="n">
        <v>29.52</v>
      </c>
      <c r="CC19" s="0" t="n">
        <v>14.8</v>
      </c>
      <c r="CD19" s="0" t="n">
        <v>9.65</v>
      </c>
      <c r="CE19" s="0" t="n">
        <v>5</v>
      </c>
      <c r="CF19" s="0" t="n">
        <v>0</v>
      </c>
      <c r="CG19" s="0" t="n">
        <v>17</v>
      </c>
      <c r="CH19" s="0" t="n">
        <v>0.294</v>
      </c>
      <c r="CI19" s="0" t="n">
        <v>0</v>
      </c>
      <c r="CJ19" s="0" t="n">
        <v>0.652</v>
      </c>
      <c r="CK19" s="0" t="n">
        <v>23</v>
      </c>
      <c r="CL19" s="0" t="n">
        <v>10</v>
      </c>
      <c r="CM19" s="0" t="n">
        <v>6</v>
      </c>
      <c r="CN19" s="0" t="n">
        <v>9</v>
      </c>
      <c r="CO19" s="0" t="n">
        <v>8.13821564825136</v>
      </c>
      <c r="CP19" s="0" t="n">
        <v>0</v>
      </c>
      <c r="CQ19" s="0" t="n">
        <v>0</v>
      </c>
      <c r="CR19" s="0" t="n">
        <v>0</v>
      </c>
      <c r="CS19" s="0" t="n">
        <v>0</v>
      </c>
      <c r="CT19" s="0" t="n">
        <v>0</v>
      </c>
      <c r="CU19" s="0" t="n">
        <v>23</v>
      </c>
      <c r="CV19" s="0" t="n">
        <v>10</v>
      </c>
      <c r="CW19" s="0" t="n">
        <v>6</v>
      </c>
      <c r="CX19" s="0" t="n">
        <v>9</v>
      </c>
      <c r="CY19" s="0" t="n">
        <v>8.14</v>
      </c>
      <c r="CZ19" s="0" t="n">
        <v>0.86</v>
      </c>
      <c r="DA19" s="0" t="n">
        <v>2.31222774710587</v>
      </c>
      <c r="DB19" s="0" t="n">
        <v>5.17138686131387</v>
      </c>
      <c r="DC19" s="0" t="n">
        <v>11.722700729927</v>
      </c>
      <c r="DD19" s="0" t="n">
        <v>31.6941044596446</v>
      </c>
      <c r="DE19" s="0" t="n">
        <v>2.15865070219917</v>
      </c>
      <c r="DF19" s="0" t="n">
        <v>67.8832116788321</v>
      </c>
      <c r="DM19" s="0" t="s">
        <v>1013</v>
      </c>
      <c r="DS19" s="0" t="n">
        <v>137</v>
      </c>
      <c r="DT19" s="0" t="n">
        <v>6</v>
      </c>
      <c r="DU19" s="0" t="n">
        <v>4</v>
      </c>
      <c r="DV19" s="0" t="n">
        <v>10.215</v>
      </c>
      <c r="DW19" s="0" t="n">
        <v>5.151</v>
      </c>
      <c r="DX19" s="0" t="n">
        <v>11.3</v>
      </c>
      <c r="DY19" s="0" t="n">
        <v>0.0292</v>
      </c>
      <c r="DZ19" s="0" t="n">
        <v>968</v>
      </c>
      <c r="EA19" s="0" t="n">
        <v>0.811</v>
      </c>
      <c r="EB19" s="0" t="n">
        <v>17</v>
      </c>
      <c r="EC19" s="0" t="s">
        <v>1014</v>
      </c>
      <c r="ED19" s="0" t="n">
        <v>2022</v>
      </c>
      <c r="EE19" s="0" t="n">
        <v>2</v>
      </c>
      <c r="EF19" s="0" t="n">
        <v>52</v>
      </c>
      <c r="EG19" s="0" t="n">
        <v>2022</v>
      </c>
      <c r="EH19" s="0" t="n">
        <v>2026</v>
      </c>
      <c r="EI19" s="0" t="n">
        <v>5</v>
      </c>
      <c r="EJ19" s="0" t="n">
        <v>75</v>
      </c>
      <c r="EK19" s="0" t="n">
        <v>205</v>
      </c>
      <c r="EL19" s="0" t="s">
        <v>1003</v>
      </c>
      <c r="EM19" s="0" t="n">
        <v>25.5</v>
      </c>
      <c r="EN19" s="15" t="b">
        <f aca="false">FALSE()</f>
        <v>0</v>
      </c>
      <c r="EO19" s="0" t="n">
        <v>383</v>
      </c>
      <c r="EP19" s="0" t="n">
        <v>3.16527415143603</v>
      </c>
      <c r="EQ19" s="0" t="n">
        <v>0.130548302872063</v>
      </c>
      <c r="ER19" s="0" t="n">
        <v>1.25587467362924</v>
      </c>
      <c r="ES19" s="0" t="n">
        <v>0.845953002610966</v>
      </c>
      <c r="ET19" s="0" t="n">
        <v>34</v>
      </c>
      <c r="EU19" s="0" t="n">
        <v>24</v>
      </c>
      <c r="EV19" s="0" t="n">
        <v>4.66318537859008</v>
      </c>
      <c r="EW19" s="0" t="n">
        <v>0.705882352941177</v>
      </c>
      <c r="EX19" s="0" t="n">
        <v>3.04016625444487</v>
      </c>
      <c r="EY19" s="0" t="n">
        <v>3.074</v>
      </c>
      <c r="EZ19" s="0" t="n">
        <v>0.1352</v>
      </c>
      <c r="FA19" s="0" t="n">
        <v>2.563</v>
      </c>
      <c r="FB19" s="0" t="n">
        <v>2.03</v>
      </c>
      <c r="FC19" s="0" t="n">
        <v>33</v>
      </c>
      <c r="FD19" s="0" t="n">
        <v>681</v>
      </c>
      <c r="FE19" s="0" t="n">
        <v>0.0455212922173275</v>
      </c>
      <c r="FF19" s="0" t="n">
        <v>0.044</v>
      </c>
      <c r="FG19" s="0" t="n">
        <v>0.2356</v>
      </c>
      <c r="FH19" s="0" t="n">
        <v>2.396</v>
      </c>
      <c r="FI19" s="0" t="n">
        <v>1104</v>
      </c>
      <c r="FJ19" s="0" t="n">
        <v>0.593297101449275</v>
      </c>
      <c r="FK19" s="0" t="n">
        <v>17</v>
      </c>
      <c r="FL19" s="0" t="n">
        <v>64.94</v>
      </c>
      <c r="FM19" s="0" t="n">
        <v>0.5628</v>
      </c>
      <c r="FN19" s="0" t="n">
        <v>0.4372</v>
      </c>
      <c r="FO19" s="0" t="n">
        <v>-0.0098</v>
      </c>
      <c r="FP19" s="0" t="n">
        <v>0.005</v>
      </c>
      <c r="FQ19" s="0" t="n">
        <v>0.1615</v>
      </c>
      <c r="FR19" s="0" t="n">
        <v>36</v>
      </c>
      <c r="FS19" s="0" t="n">
        <v>65</v>
      </c>
      <c r="FT19" s="0" t="n">
        <v>3.82</v>
      </c>
      <c r="FU19" s="0" t="n">
        <v>27.7</v>
      </c>
      <c r="FV19" s="0" t="n">
        <v>5938</v>
      </c>
      <c r="FW19" s="0" t="n">
        <v>5037</v>
      </c>
      <c r="FX19" s="0" t="n">
        <v>0.848</v>
      </c>
      <c r="FY19" s="0" t="n">
        <v>5</v>
      </c>
      <c r="FZ19" s="0" t="n">
        <v>5</v>
      </c>
      <c r="GA19" s="0" t="n">
        <v>0.642644133012613</v>
      </c>
      <c r="GB19" s="0" t="n">
        <v>61.6</v>
      </c>
      <c r="GC19" s="0" t="n">
        <v>62.2</v>
      </c>
      <c r="GD19" s="0" t="n">
        <v>65.1</v>
      </c>
      <c r="GE19" s="0" t="n">
        <v>607</v>
      </c>
      <c r="GF19" s="0" t="n">
        <v>465</v>
      </c>
      <c r="GG19" s="0" t="n">
        <v>34</v>
      </c>
      <c r="GH19" s="0" t="n">
        <v>0</v>
      </c>
      <c r="GI19" s="0" t="n">
        <v>187</v>
      </c>
      <c r="GJ19" s="0" t="n">
        <v>4</v>
      </c>
      <c r="GK19" s="0" t="n">
        <v>0.056</v>
      </c>
      <c r="GL19" s="0" t="n">
        <v>0</v>
      </c>
      <c r="GM19" s="0" t="n">
        <v>0.021</v>
      </c>
      <c r="GN19" s="0" t="n">
        <v>17.171</v>
      </c>
      <c r="GO19" s="0" t="n">
        <v>14.435</v>
      </c>
      <c r="GP19" s="0" t="n">
        <v>11.7</v>
      </c>
      <c r="GQ19" s="0" t="n">
        <v>8.059</v>
      </c>
      <c r="GR19" s="0" t="n">
        <v>0</v>
      </c>
      <c r="GS19" s="0" t="n">
        <v>137</v>
      </c>
      <c r="GT19" s="0" t="n">
        <v>2.131</v>
      </c>
      <c r="GU19" s="0" t="n">
        <v>0.302</v>
      </c>
      <c r="GV19" s="0" t="n">
        <v>10.431</v>
      </c>
      <c r="GW19" s="0" t="n">
        <v>15.366</v>
      </c>
      <c r="GX19" s="0" t="n">
        <v>0.679</v>
      </c>
      <c r="GZ19" s="0" t="n">
        <v>11.292</v>
      </c>
      <c r="HA19" s="0" t="n">
        <v>5.151</v>
      </c>
      <c r="HB19" s="0" t="n">
        <v>0.924</v>
      </c>
      <c r="HC19" s="0" t="n">
        <v>0.066</v>
      </c>
      <c r="HE19" s="0" t="n">
        <v>0.648</v>
      </c>
      <c r="HG19" s="0" t="n">
        <v>19.88</v>
      </c>
      <c r="HH19" s="0" t="n">
        <v>6.22</v>
      </c>
      <c r="HI19" s="0" t="n">
        <v>12</v>
      </c>
      <c r="HJ19" s="0" t="n">
        <v>51</v>
      </c>
      <c r="HK19" s="0" t="s">
        <v>909</v>
      </c>
      <c r="HL19" s="0" t="n">
        <v>0</v>
      </c>
      <c r="HM19" s="0" t="n">
        <v>5</v>
      </c>
      <c r="HN19" s="0" t="n">
        <v>10</v>
      </c>
      <c r="HO19" s="0" t="n">
        <v>0.17</v>
      </c>
      <c r="HP19" s="0" t="n">
        <v>6</v>
      </c>
      <c r="HQ19" s="0" t="n">
        <v>0.126</v>
      </c>
      <c r="HR19" s="0" t="s">
        <v>102</v>
      </c>
    </row>
    <row r="20" customFormat="false" ht="15" hidden="false" customHeight="false" outlineLevel="0" collapsed="false">
      <c r="A20" s="0" t="s">
        <v>896</v>
      </c>
      <c r="B20" s="0" t="s">
        <v>897</v>
      </c>
      <c r="C20" s="0" t="s">
        <v>898</v>
      </c>
      <c r="D20" s="0" t="s">
        <v>154</v>
      </c>
      <c r="E20" s="0" t="n">
        <v>22955</v>
      </c>
      <c r="F20" s="0" t="s">
        <v>149</v>
      </c>
      <c r="G20" s="0" t="n">
        <v>20.44</v>
      </c>
      <c r="H20" s="0" t="n">
        <v>3.47</v>
      </c>
      <c r="I20" s="0" t="n">
        <v>11</v>
      </c>
      <c r="J20" s="0" t="n">
        <v>32</v>
      </c>
      <c r="L20" s="0" t="s">
        <v>1015</v>
      </c>
      <c r="O20" s="0" t="n">
        <v>99.5</v>
      </c>
      <c r="U20" s="0" t="n">
        <v>13</v>
      </c>
      <c r="V20" s="0" t="s">
        <v>154</v>
      </c>
      <c r="W20" s="0" t="s">
        <v>901</v>
      </c>
      <c r="X20" s="0" t="s">
        <v>985</v>
      </c>
      <c r="Y20" s="0" t="s">
        <v>1016</v>
      </c>
      <c r="Z20" s="0" t="n">
        <v>22955</v>
      </c>
      <c r="AA20" s="0" t="s">
        <v>1017</v>
      </c>
      <c r="AB20" s="0" t="s">
        <v>904</v>
      </c>
      <c r="AC20" s="0" t="s">
        <v>142</v>
      </c>
      <c r="AD20" s="0" t="s">
        <v>142</v>
      </c>
      <c r="AE20" s="0" t="s">
        <v>142</v>
      </c>
      <c r="AF20" s="0" t="s">
        <v>142</v>
      </c>
      <c r="AG20" s="0" t="s">
        <v>142</v>
      </c>
      <c r="AH20" s="0" t="s">
        <v>905</v>
      </c>
      <c r="AI20" s="0" t="n">
        <v>1</v>
      </c>
      <c r="AJ20" s="0" t="s">
        <v>149</v>
      </c>
      <c r="AK20" s="0" t="n">
        <v>19</v>
      </c>
      <c r="AL20" s="0" t="n">
        <v>2</v>
      </c>
      <c r="AM20" s="0" t="s">
        <v>155</v>
      </c>
      <c r="AN20" s="0" t="n">
        <v>0</v>
      </c>
      <c r="AO20" s="0" t="n">
        <v>0</v>
      </c>
      <c r="AP20" s="0" t="n">
        <v>0</v>
      </c>
      <c r="AQ20" s="0" t="n">
        <v>0</v>
      </c>
      <c r="AR20" s="0" t="n">
        <v>0</v>
      </c>
      <c r="AS20" s="0" t="n">
        <v>0</v>
      </c>
      <c r="AT20" s="0" t="n">
        <v>0</v>
      </c>
      <c r="AU20" s="0" t="n">
        <v>0</v>
      </c>
      <c r="AV20" s="0" t="n">
        <v>0</v>
      </c>
      <c r="AW20" s="0" t="n">
        <v>2</v>
      </c>
      <c r="AX20" s="0" t="n">
        <v>2</v>
      </c>
      <c r="AY20" s="0" t="n">
        <v>0</v>
      </c>
      <c r="AZ20" s="0" t="n">
        <v>0</v>
      </c>
      <c r="BA20" s="0" t="n">
        <v>-1.15436798543669</v>
      </c>
      <c r="BB20" s="0" t="n">
        <v>0</v>
      </c>
      <c r="BC20" s="0" t="n">
        <v>64</v>
      </c>
      <c r="BD20" s="0" t="n">
        <v>86</v>
      </c>
      <c r="BE20" s="0" t="n">
        <v>680</v>
      </c>
      <c r="BF20" s="0" t="n">
        <v>7</v>
      </c>
      <c r="BG20" s="0" t="n">
        <v>560</v>
      </c>
      <c r="BH20" s="0" t="n">
        <v>305</v>
      </c>
      <c r="BI20" s="0" t="n">
        <v>36</v>
      </c>
      <c r="BJ20" s="0" t="n">
        <v>23.3474906531907</v>
      </c>
      <c r="BK20" s="0" t="n">
        <v>0</v>
      </c>
      <c r="BL20" s="0" t="n">
        <v>0</v>
      </c>
      <c r="BM20" s="0" t="n">
        <v>112.2</v>
      </c>
      <c r="BN20" s="0" t="n">
        <v>176.2</v>
      </c>
      <c r="BO20" s="0" t="n">
        <v>12</v>
      </c>
      <c r="BP20" s="0" t="s">
        <v>142</v>
      </c>
      <c r="BQ20" s="0" t="n">
        <v>1</v>
      </c>
      <c r="BR20" s="0" t="n">
        <v>144.2</v>
      </c>
      <c r="BS20" s="0" t="n">
        <v>0.1741</v>
      </c>
      <c r="BT20" s="0" t="n">
        <v>0.0054</v>
      </c>
      <c r="BU20" s="0" t="n">
        <v>0.1751</v>
      </c>
      <c r="BV20" s="0" t="n">
        <v>0.2363</v>
      </c>
      <c r="BW20" s="0" t="n">
        <v>0.008</v>
      </c>
      <c r="BX20" s="0" t="n">
        <v>0.2297</v>
      </c>
      <c r="BY20" s="0" t="n">
        <v>0.5152</v>
      </c>
      <c r="BZ20" s="0" t="n">
        <v>12</v>
      </c>
      <c r="CA20" s="0" t="n">
        <v>9.4</v>
      </c>
      <c r="CB20" s="0" t="n">
        <v>17.75</v>
      </c>
      <c r="CC20" s="0" t="n">
        <v>12.85</v>
      </c>
      <c r="CD20" s="0" t="n">
        <v>10.12</v>
      </c>
      <c r="CE20" s="0" t="n">
        <v>4</v>
      </c>
      <c r="CF20" s="0" t="n">
        <v>0</v>
      </c>
      <c r="CG20" s="0" t="n">
        <v>12</v>
      </c>
      <c r="CH20" s="0" t="n">
        <v>0.333</v>
      </c>
      <c r="CI20" s="0" t="n">
        <v>0</v>
      </c>
      <c r="CJ20" s="0" t="n">
        <v>0.788</v>
      </c>
      <c r="CK20" s="0" t="n">
        <v>17</v>
      </c>
      <c r="CL20" s="0" t="n">
        <v>9</v>
      </c>
      <c r="CM20" s="0" t="n">
        <v>2</v>
      </c>
      <c r="CN20" s="0" t="n">
        <v>7</v>
      </c>
      <c r="CO20" s="0" t="n">
        <v>5.1102320203694</v>
      </c>
      <c r="CP20" s="0" t="n">
        <v>0</v>
      </c>
      <c r="CQ20" s="0" t="n">
        <v>0</v>
      </c>
      <c r="CR20" s="0" t="n">
        <v>0</v>
      </c>
      <c r="CS20" s="0" t="n">
        <v>0</v>
      </c>
      <c r="CT20" s="0" t="n">
        <v>0.0245599358560176</v>
      </c>
      <c r="CU20" s="0" t="n">
        <v>17</v>
      </c>
      <c r="CV20" s="0" t="n">
        <v>9</v>
      </c>
      <c r="CW20" s="0" t="n">
        <v>2</v>
      </c>
      <c r="CX20" s="0" t="n">
        <v>7</v>
      </c>
      <c r="CY20" s="0" t="n">
        <v>5.13</v>
      </c>
      <c r="CZ20" s="0" t="n">
        <v>1.87</v>
      </c>
      <c r="DA20" s="0" t="n">
        <v>3.05463787552995</v>
      </c>
      <c r="DB20" s="0" t="n">
        <v>6.14666666666667</v>
      </c>
      <c r="DC20" s="0" t="n">
        <v>7.01279069767442</v>
      </c>
      <c r="DD20" s="0" t="n">
        <v>18.4993757879335</v>
      </c>
      <c r="DE20" s="0" t="n">
        <v>0.948782688225947</v>
      </c>
      <c r="DF20" s="0" t="n">
        <v>74.4186046511628</v>
      </c>
      <c r="DM20" s="0" t="s">
        <v>1018</v>
      </c>
      <c r="DN20" s="0" t="n">
        <v>2</v>
      </c>
      <c r="DO20" s="0" t="n">
        <v>0</v>
      </c>
      <c r="DS20" s="0" t="n">
        <v>86</v>
      </c>
      <c r="DT20" s="0" t="n">
        <v>3</v>
      </c>
      <c r="DU20" s="0" t="n">
        <v>4</v>
      </c>
      <c r="DV20" s="0" t="n">
        <v>5.859</v>
      </c>
      <c r="DW20" s="0" t="n">
        <v>4.766</v>
      </c>
      <c r="DX20" s="0" t="n">
        <v>6.5</v>
      </c>
      <c r="DY20" s="0" t="n">
        <v>0.0465</v>
      </c>
      <c r="DZ20" s="0" t="n">
        <v>605</v>
      </c>
      <c r="EA20" s="0" t="n">
        <v>0.859</v>
      </c>
      <c r="EB20" s="0" t="n">
        <v>12</v>
      </c>
      <c r="EC20" s="0" t="s">
        <v>1019</v>
      </c>
      <c r="ED20" s="0" t="n">
        <v>2024</v>
      </c>
      <c r="EE20" s="0" t="n">
        <v>1</v>
      </c>
      <c r="EF20" s="0" t="n">
        <v>13</v>
      </c>
      <c r="EG20" s="0" t="n">
        <v>2024</v>
      </c>
      <c r="EH20" s="0" t="n">
        <v>2026</v>
      </c>
      <c r="EI20" s="0" t="n">
        <v>3</v>
      </c>
      <c r="EJ20" s="0" t="n">
        <v>75</v>
      </c>
      <c r="EK20" s="0" t="n">
        <v>235</v>
      </c>
      <c r="EL20" s="0" t="s">
        <v>1003</v>
      </c>
      <c r="EM20" s="0" t="n">
        <v>23.7</v>
      </c>
      <c r="EN20" s="15" t="b">
        <f aca="false">FALSE()</f>
        <v>0</v>
      </c>
      <c r="EO20" s="0" t="n">
        <v>307</v>
      </c>
      <c r="EP20" s="0" t="n">
        <v>2.4599348534202</v>
      </c>
      <c r="EQ20" s="0" t="n">
        <v>0.257328990228013</v>
      </c>
      <c r="ER20" s="0" t="n">
        <v>1.04234527687296</v>
      </c>
      <c r="ES20" s="0" t="n">
        <v>0.605863192182411</v>
      </c>
      <c r="ET20" s="0" t="n">
        <v>30</v>
      </c>
      <c r="EU20" s="0" t="n">
        <v>11</v>
      </c>
      <c r="EV20" s="0" t="n">
        <v>3.64820846905537</v>
      </c>
      <c r="EW20" s="0" t="n">
        <v>0.366666666666667</v>
      </c>
      <c r="EX20" s="0" t="n">
        <v>2.91882875417365</v>
      </c>
      <c r="EY20" s="0" t="n">
        <v>2.49</v>
      </c>
      <c r="EZ20" s="0" t="n">
        <v>0.2502</v>
      </c>
      <c r="FA20" s="0" t="n">
        <v>1.629</v>
      </c>
      <c r="FB20" s="0" t="n">
        <v>1.94</v>
      </c>
      <c r="FC20" s="0" t="n">
        <v>30</v>
      </c>
      <c r="FD20" s="0" t="n">
        <v>598</v>
      </c>
      <c r="FE20" s="0" t="n">
        <v>0.107023411371238</v>
      </c>
      <c r="FF20" s="0" t="n">
        <v>0.1019</v>
      </c>
      <c r="FG20" s="0" t="n">
        <v>0.2641</v>
      </c>
      <c r="FH20" s="0" t="n">
        <v>2.487</v>
      </c>
      <c r="FI20" s="0" t="n">
        <v>942</v>
      </c>
      <c r="FJ20" s="0" t="n">
        <v>0.613588110403397</v>
      </c>
      <c r="FK20" s="0" t="n">
        <v>17</v>
      </c>
      <c r="FL20" s="0" t="n">
        <v>55.41</v>
      </c>
      <c r="FM20" s="0" t="n">
        <v>0.5679</v>
      </c>
      <c r="FN20" s="0" t="n">
        <v>0.4321</v>
      </c>
      <c r="FO20" s="0" t="n">
        <v>-0.0175</v>
      </c>
      <c r="FP20" s="0" t="n">
        <v>-0.2605</v>
      </c>
      <c r="FQ20" s="0" t="n">
        <v>-0.187</v>
      </c>
      <c r="FR20" s="0" t="n">
        <v>38</v>
      </c>
      <c r="FS20" s="0" t="n">
        <v>38</v>
      </c>
      <c r="FT20" s="0" t="n">
        <v>2.24</v>
      </c>
      <c r="FU20" s="0" t="n">
        <v>14.2</v>
      </c>
      <c r="FV20" s="0" t="n">
        <v>4992</v>
      </c>
      <c r="FW20" s="0" t="n">
        <v>1916</v>
      </c>
      <c r="FX20" s="0" t="n">
        <v>0.384</v>
      </c>
      <c r="FY20" s="0" t="n">
        <v>5</v>
      </c>
      <c r="FZ20" s="0" t="n">
        <v>2</v>
      </c>
      <c r="GA20" s="0" t="n">
        <v>-2.33610006354308</v>
      </c>
      <c r="GB20" s="0" t="n">
        <v>7.8</v>
      </c>
      <c r="GC20" s="0" t="n">
        <v>37.5</v>
      </c>
      <c r="GD20" s="0" t="n">
        <v>15.2</v>
      </c>
      <c r="GE20" s="0" t="n">
        <v>494</v>
      </c>
      <c r="GF20" s="0" t="n">
        <v>369</v>
      </c>
      <c r="GG20" s="0" t="n">
        <v>55</v>
      </c>
      <c r="GH20" s="0" t="n">
        <v>58</v>
      </c>
      <c r="GI20" s="0" t="n">
        <v>106</v>
      </c>
      <c r="GJ20" s="0" t="n">
        <v>13</v>
      </c>
      <c r="GK20" s="0" t="n">
        <v>0.111</v>
      </c>
      <c r="GL20" s="0" t="n">
        <v>0.157</v>
      </c>
      <c r="GM20" s="0" t="n">
        <v>0.123</v>
      </c>
      <c r="GN20" s="0" t="n">
        <v>14.683</v>
      </c>
      <c r="GO20" s="0" t="n">
        <v>12.017</v>
      </c>
      <c r="GP20" s="0" t="n">
        <v>9.35</v>
      </c>
      <c r="GQ20" s="0" t="n">
        <v>7.167</v>
      </c>
      <c r="GR20" s="0" t="n">
        <v>0.167</v>
      </c>
      <c r="GS20" s="0" t="n">
        <v>88</v>
      </c>
      <c r="GT20" s="0" t="n">
        <v>2.002</v>
      </c>
      <c r="GU20" s="0" t="n">
        <v>0.291</v>
      </c>
      <c r="GV20" s="0" t="n">
        <v>7.907</v>
      </c>
      <c r="GW20" s="0" t="n">
        <v>10.625</v>
      </c>
      <c r="GX20" s="0" t="n">
        <v>0.744</v>
      </c>
      <c r="GZ20" s="0" t="n">
        <v>6.512</v>
      </c>
      <c r="HA20" s="0" t="n">
        <v>4.766</v>
      </c>
      <c r="HB20" s="0" t="n">
        <v>1.214</v>
      </c>
      <c r="HC20" s="0" t="n">
        <v>0.08</v>
      </c>
      <c r="HE20" s="0" t="n">
        <v>0.271</v>
      </c>
      <c r="HG20" s="0" t="n">
        <v>20.44</v>
      </c>
      <c r="HH20" s="0" t="n">
        <v>3.47</v>
      </c>
      <c r="HI20" s="0" t="n">
        <v>11</v>
      </c>
      <c r="HJ20" s="0" t="n">
        <v>32</v>
      </c>
      <c r="HK20" s="0" t="s">
        <v>909</v>
      </c>
      <c r="HL20" s="0" t="n">
        <v>0</v>
      </c>
      <c r="HM20" s="0" t="n">
        <v>11</v>
      </c>
      <c r="HN20" s="0" t="n">
        <v>2</v>
      </c>
      <c r="HO20" s="0" t="n">
        <v>-0.376</v>
      </c>
      <c r="HP20" s="0" t="n">
        <v>2</v>
      </c>
      <c r="HQ20" s="0" t="n">
        <v>0.018</v>
      </c>
      <c r="HR20" s="0" t="s">
        <v>121</v>
      </c>
    </row>
    <row r="21" customFormat="false" ht="15" hidden="false" customHeight="false" outlineLevel="0" collapsed="false">
      <c r="A21" s="0" t="s">
        <v>896</v>
      </c>
      <c r="B21" s="0" t="s">
        <v>897</v>
      </c>
      <c r="C21" s="0" t="s">
        <v>898</v>
      </c>
      <c r="D21" s="0" t="s">
        <v>156</v>
      </c>
      <c r="E21" s="0" t="n">
        <v>20111</v>
      </c>
      <c r="F21" s="0" t="s">
        <v>99</v>
      </c>
      <c r="G21" s="0" t="n">
        <v>20.57</v>
      </c>
      <c r="H21" s="0" t="n">
        <v>7.04</v>
      </c>
      <c r="I21" s="0" t="n">
        <v>11</v>
      </c>
      <c r="J21" s="0" t="n">
        <v>51</v>
      </c>
      <c r="L21" s="0" t="s">
        <v>1020</v>
      </c>
      <c r="O21" s="0" t="n">
        <v>98</v>
      </c>
      <c r="U21" s="0" t="n">
        <v>8</v>
      </c>
      <c r="V21" s="0" t="s">
        <v>156</v>
      </c>
      <c r="W21" s="0" t="s">
        <v>901</v>
      </c>
      <c r="X21" s="0" t="s">
        <v>1021</v>
      </c>
      <c r="Y21" s="0" t="s">
        <v>1022</v>
      </c>
      <c r="Z21" s="0" t="n">
        <v>20111</v>
      </c>
      <c r="AA21" s="0" t="s">
        <v>1023</v>
      </c>
      <c r="AB21" s="0" t="s">
        <v>904</v>
      </c>
      <c r="AC21" s="0" t="s">
        <v>158</v>
      </c>
      <c r="AD21" s="0" t="s">
        <v>158</v>
      </c>
      <c r="AE21" s="0" t="s">
        <v>158</v>
      </c>
      <c r="AF21" s="0" t="s">
        <v>158</v>
      </c>
      <c r="AG21" s="0" t="s">
        <v>158</v>
      </c>
      <c r="AH21" s="0" t="s">
        <v>905</v>
      </c>
      <c r="AI21" s="0" t="n">
        <v>1</v>
      </c>
      <c r="AJ21" s="0" t="s">
        <v>99</v>
      </c>
      <c r="AK21" s="0" t="n">
        <v>20</v>
      </c>
      <c r="AL21" s="0" t="n">
        <v>11</v>
      </c>
      <c r="AM21" s="0" t="s">
        <v>157</v>
      </c>
      <c r="AN21" s="0" t="n">
        <v>0</v>
      </c>
      <c r="AO21" s="0" t="n">
        <v>1</v>
      </c>
      <c r="AP21" s="0" t="n">
        <v>0</v>
      </c>
      <c r="AQ21" s="0" t="n">
        <v>0</v>
      </c>
      <c r="AR21" s="0" t="n">
        <v>1</v>
      </c>
      <c r="AS21" s="0" t="n">
        <v>0</v>
      </c>
      <c r="AT21" s="0" t="n">
        <v>4</v>
      </c>
      <c r="AU21" s="0" t="n">
        <v>0</v>
      </c>
      <c r="AV21" s="0" t="n">
        <v>-3.5951321736211</v>
      </c>
      <c r="AW21" s="0" t="n">
        <v>1</v>
      </c>
      <c r="AX21" s="0" t="n">
        <v>-3</v>
      </c>
      <c r="AY21" s="0" t="n">
        <v>0</v>
      </c>
      <c r="AZ21" s="0" t="n">
        <v>0</v>
      </c>
      <c r="BA21" s="0" t="n">
        <v>-1.25310192722827</v>
      </c>
      <c r="BB21" s="0" t="n">
        <v>0</v>
      </c>
      <c r="BC21" s="0" t="n">
        <v>100</v>
      </c>
      <c r="BD21" s="0" t="n">
        <v>156</v>
      </c>
      <c r="BE21" s="0" t="n">
        <v>1163</v>
      </c>
      <c r="BF21" s="0" t="n">
        <v>9</v>
      </c>
      <c r="BG21" s="0" t="n">
        <v>1841</v>
      </c>
      <c r="BH21" s="0" t="n">
        <v>289</v>
      </c>
      <c r="BI21" s="0" t="n">
        <v>53</v>
      </c>
      <c r="BJ21" s="0" t="n">
        <v>35.6293622627058</v>
      </c>
      <c r="BK21" s="0" t="n">
        <v>0</v>
      </c>
      <c r="BL21" s="0" t="n">
        <v>0</v>
      </c>
      <c r="BM21" s="0" t="n">
        <v>168</v>
      </c>
      <c r="BN21" s="0" t="n">
        <v>268</v>
      </c>
      <c r="BO21" s="0" t="n">
        <v>16</v>
      </c>
      <c r="BP21" s="0" t="s">
        <v>158</v>
      </c>
      <c r="BQ21" s="0" t="n">
        <v>1</v>
      </c>
      <c r="BR21" s="0" t="n">
        <v>218</v>
      </c>
      <c r="BS21" s="0" t="n">
        <v>0.2761</v>
      </c>
      <c r="BT21" s="0" t="n">
        <v>0.0023</v>
      </c>
      <c r="BU21" s="0" t="n">
        <v>0.3935</v>
      </c>
      <c r="BV21" s="0" t="n">
        <v>0.2938</v>
      </c>
      <c r="BW21" s="0" t="n">
        <v>0.0024</v>
      </c>
      <c r="BX21" s="0" t="n">
        <v>0.4183</v>
      </c>
      <c r="BY21" s="0" t="n">
        <v>0.7335</v>
      </c>
      <c r="BZ21" s="0" t="n">
        <v>16</v>
      </c>
      <c r="CA21" s="0" t="n">
        <v>12.15</v>
      </c>
      <c r="CB21" s="0" t="n">
        <v>24.78</v>
      </c>
      <c r="CC21" s="0" t="n">
        <v>15.2</v>
      </c>
      <c r="CD21" s="0" t="n">
        <v>7.91</v>
      </c>
      <c r="CE21" s="0" t="n">
        <v>5</v>
      </c>
      <c r="CF21" s="0" t="n">
        <v>0</v>
      </c>
      <c r="CG21" s="0" t="n">
        <v>16</v>
      </c>
      <c r="CH21" s="0" t="n">
        <v>0.312</v>
      </c>
      <c r="CI21" s="0" t="n">
        <v>0</v>
      </c>
      <c r="CJ21" s="0" t="n">
        <v>0.521</v>
      </c>
      <c r="CK21" s="0" t="n">
        <v>15</v>
      </c>
      <c r="CL21" s="0" t="n">
        <v>4</v>
      </c>
      <c r="CM21" s="0" t="n">
        <v>2</v>
      </c>
      <c r="CN21" s="0" t="n">
        <v>9</v>
      </c>
      <c r="CO21" s="0" t="n">
        <v>5.83792342446831</v>
      </c>
      <c r="CP21" s="0" t="n">
        <v>0</v>
      </c>
      <c r="CQ21" s="0" t="n">
        <v>0</v>
      </c>
      <c r="CR21" s="0" t="n">
        <v>0</v>
      </c>
      <c r="CS21" s="0" t="n">
        <v>0</v>
      </c>
      <c r="CT21" s="0" t="n">
        <v>0.00858704137392662</v>
      </c>
      <c r="CU21" s="0" t="n">
        <v>15</v>
      </c>
      <c r="CV21" s="0" t="n">
        <v>4</v>
      </c>
      <c r="CW21" s="0" t="n">
        <v>2</v>
      </c>
      <c r="CX21" s="0" t="n">
        <v>9</v>
      </c>
      <c r="CY21" s="0" t="n">
        <v>5.85</v>
      </c>
      <c r="CZ21" s="0" t="n">
        <v>3.15</v>
      </c>
      <c r="DA21" s="0" t="n">
        <v>2.94506151110989</v>
      </c>
      <c r="DB21" s="0" t="n">
        <v>6.80913333333333</v>
      </c>
      <c r="DC21" s="0" t="n">
        <v>11.6398717948718</v>
      </c>
      <c r="DD21" s="0" t="n">
        <v>39.2775332302268</v>
      </c>
      <c r="DE21" s="0" t="n">
        <v>-0.52113267908365</v>
      </c>
      <c r="DF21" s="0" t="n">
        <v>64.1025641025641</v>
      </c>
      <c r="DM21" s="0" t="s">
        <v>1024</v>
      </c>
      <c r="DN21" s="0" t="n">
        <v>1</v>
      </c>
      <c r="DO21" s="0" t="n">
        <v>0</v>
      </c>
      <c r="DS21" s="0" t="n">
        <v>156</v>
      </c>
      <c r="DT21" s="0" t="n">
        <v>2</v>
      </c>
      <c r="DU21" s="0" t="n">
        <v>5</v>
      </c>
      <c r="DV21" s="0" t="n">
        <v>8.74</v>
      </c>
      <c r="DW21" s="0" t="n">
        <v>2.89</v>
      </c>
      <c r="DX21" s="0" t="n">
        <v>11.8</v>
      </c>
      <c r="DY21" s="0" t="n">
        <v>0.0321</v>
      </c>
      <c r="DZ21" s="0" t="n">
        <v>887</v>
      </c>
      <c r="EA21" s="0" t="n">
        <v>0.843</v>
      </c>
      <c r="EB21" s="0" t="n">
        <v>16</v>
      </c>
      <c r="EC21" s="0" t="s">
        <v>1025</v>
      </c>
      <c r="ED21" s="0" t="n">
        <v>2022</v>
      </c>
      <c r="EE21" s="0" t="n">
        <v>1</v>
      </c>
      <c r="EF21" s="0" t="n">
        <v>11</v>
      </c>
      <c r="EG21" s="0" t="n">
        <v>2022</v>
      </c>
      <c r="EH21" s="0" t="n">
        <v>2026</v>
      </c>
      <c r="EI21" s="0" t="n">
        <v>5</v>
      </c>
      <c r="EJ21" s="0" t="n">
        <v>72</v>
      </c>
      <c r="EK21" s="0" t="n">
        <v>187</v>
      </c>
      <c r="EL21" s="0" t="s">
        <v>933</v>
      </c>
      <c r="EM21" s="0" t="n">
        <v>26.1</v>
      </c>
      <c r="EN21" s="15" t="b">
        <f aca="false">FALSE()</f>
        <v>0</v>
      </c>
      <c r="EO21" s="0" t="n">
        <v>300</v>
      </c>
      <c r="EP21" s="0" t="n">
        <v>2.89633333333333</v>
      </c>
      <c r="EQ21" s="0" t="n">
        <v>0.15</v>
      </c>
      <c r="ER21" s="0" t="n">
        <v>0.956666666666667</v>
      </c>
      <c r="ES21" s="0" t="n">
        <v>0.316666666666667</v>
      </c>
      <c r="ET21" s="0" t="n">
        <v>20</v>
      </c>
      <c r="EU21" s="0" t="n">
        <v>11</v>
      </c>
      <c r="EV21" s="0" t="n">
        <v>3.72</v>
      </c>
      <c r="EW21" s="0" t="n">
        <v>0.55</v>
      </c>
      <c r="EX21" s="0" t="n">
        <v>2.96200332598839</v>
      </c>
      <c r="EY21" s="0" t="n">
        <v>2.883</v>
      </c>
      <c r="EZ21" s="0" t="n">
        <v>0.1505</v>
      </c>
      <c r="FA21" s="0" t="n">
        <v>2.057</v>
      </c>
      <c r="FB21" s="0" t="n">
        <v>1.628</v>
      </c>
      <c r="FC21" s="0" t="n">
        <v>31</v>
      </c>
      <c r="FD21" s="0" t="n">
        <v>670</v>
      </c>
      <c r="FE21" s="0" t="n">
        <v>0.073134328358209</v>
      </c>
      <c r="FF21" s="0" t="n">
        <v>0.0763</v>
      </c>
      <c r="FG21" s="0" t="n">
        <v>0.2132</v>
      </c>
      <c r="FH21" s="0" t="n">
        <v>2.2</v>
      </c>
      <c r="FI21" s="0" t="n">
        <v>1064</v>
      </c>
      <c r="FJ21" s="0" t="n">
        <v>0.596804511278195</v>
      </c>
      <c r="FK21" s="0" t="n">
        <v>17</v>
      </c>
      <c r="FL21" s="0" t="n">
        <v>62.59</v>
      </c>
      <c r="FM21" s="0" t="n">
        <v>0.5383</v>
      </c>
      <c r="FN21" s="0" t="n">
        <v>0.4617</v>
      </c>
      <c r="FO21" s="0" t="n">
        <v>-0.0301</v>
      </c>
      <c r="FP21" s="0" t="n">
        <v>-0.1008</v>
      </c>
      <c r="FQ21" s="0" t="n">
        <v>-0.0795</v>
      </c>
      <c r="FR21" s="0" t="n">
        <v>35</v>
      </c>
      <c r="FS21" s="0" t="n">
        <v>48</v>
      </c>
      <c r="FT21" s="0" t="n">
        <v>2.82</v>
      </c>
      <c r="FU21" s="0" t="n">
        <v>18</v>
      </c>
      <c r="FV21" s="0" t="n">
        <v>5643</v>
      </c>
      <c r="FW21" s="0" t="n">
        <v>4426</v>
      </c>
      <c r="FX21" s="0" t="n">
        <v>0.784</v>
      </c>
      <c r="FY21" s="0" t="n">
        <v>5</v>
      </c>
      <c r="FZ21" s="0" t="n">
        <v>4</v>
      </c>
      <c r="GA21" s="0" t="n">
        <v>-0.421361894882305</v>
      </c>
      <c r="GB21" s="0" t="n">
        <v>42.4</v>
      </c>
      <c r="GC21" s="0" t="n">
        <v>44.9</v>
      </c>
      <c r="GD21" s="0" t="n">
        <v>41.9</v>
      </c>
      <c r="GE21" s="0" t="n">
        <v>565</v>
      </c>
      <c r="GF21" s="0" t="n">
        <v>435</v>
      </c>
      <c r="GG21" s="0" t="n">
        <v>127</v>
      </c>
      <c r="GH21" s="0" t="n">
        <v>21</v>
      </c>
      <c r="GI21" s="0" t="n">
        <v>113</v>
      </c>
      <c r="GJ21" s="0" t="n">
        <v>15</v>
      </c>
      <c r="GK21" s="0" t="n">
        <v>0.225</v>
      </c>
      <c r="GL21" s="0" t="n">
        <v>0.048</v>
      </c>
      <c r="GM21" s="0" t="n">
        <v>0.133</v>
      </c>
      <c r="GN21" s="0" t="n">
        <v>16.75</v>
      </c>
      <c r="GO21" s="0" t="n">
        <v>13.625</v>
      </c>
      <c r="GP21" s="0" t="n">
        <v>10.5</v>
      </c>
      <c r="GQ21" s="0" t="n">
        <v>9.75</v>
      </c>
      <c r="GR21" s="0" t="n">
        <v>0.062</v>
      </c>
      <c r="GS21" s="0" t="n">
        <v>157</v>
      </c>
      <c r="GT21" s="0" t="n">
        <v>1.707</v>
      </c>
      <c r="GU21" s="0" t="n">
        <v>0.302</v>
      </c>
      <c r="GV21" s="0" t="n">
        <v>7.455</v>
      </c>
      <c r="GW21" s="0" t="n">
        <v>11.63</v>
      </c>
      <c r="GX21" s="0" t="n">
        <v>0.641</v>
      </c>
      <c r="GZ21" s="0" t="n">
        <v>11.801</v>
      </c>
      <c r="HA21" s="0" t="n">
        <v>2.89</v>
      </c>
      <c r="HB21" s="0" t="n">
        <v>0.632</v>
      </c>
      <c r="HC21" s="0" t="n">
        <v>0.057</v>
      </c>
      <c r="HE21" s="0" t="n">
        <v>0.228</v>
      </c>
      <c r="HG21" s="0" t="n">
        <v>20.57</v>
      </c>
      <c r="HH21" s="0" t="n">
        <v>7.04</v>
      </c>
      <c r="HI21" s="0" t="n">
        <v>11</v>
      </c>
      <c r="HJ21" s="0" t="n">
        <v>51</v>
      </c>
      <c r="HK21" s="0" t="s">
        <v>909</v>
      </c>
      <c r="HL21" s="0" t="n">
        <v>0</v>
      </c>
      <c r="HM21" s="0" t="n">
        <v>6</v>
      </c>
      <c r="HN21" s="0" t="n">
        <v>11</v>
      </c>
      <c r="HO21" s="0" t="n">
        <v>0.162</v>
      </c>
      <c r="HP21" s="0" t="n">
        <v>8</v>
      </c>
      <c r="HQ21" s="0" t="n">
        <v>0.074</v>
      </c>
      <c r="HR21" s="0" t="s">
        <v>102</v>
      </c>
    </row>
    <row r="22" customFormat="false" ht="15" hidden="false" customHeight="false" outlineLevel="0" collapsed="false">
      <c r="A22" s="0" t="s">
        <v>896</v>
      </c>
      <c r="B22" s="0" t="s">
        <v>897</v>
      </c>
      <c r="C22" s="0" t="s">
        <v>898</v>
      </c>
      <c r="D22" s="0" t="s">
        <v>159</v>
      </c>
      <c r="E22" s="0" t="n">
        <v>23136</v>
      </c>
      <c r="F22" s="0" t="s">
        <v>104</v>
      </c>
      <c r="G22" s="0" t="n">
        <v>20.88</v>
      </c>
      <c r="H22" s="0" t="n">
        <v>6.26</v>
      </c>
      <c r="I22" s="0" t="n">
        <v>10</v>
      </c>
      <c r="J22" s="0" t="n">
        <v>33</v>
      </c>
      <c r="L22" s="0" t="s">
        <v>1026</v>
      </c>
      <c r="O22" s="0" t="n">
        <v>99.2</v>
      </c>
      <c r="U22" s="0" t="n">
        <v>6</v>
      </c>
      <c r="V22" s="0" t="s">
        <v>1027</v>
      </c>
      <c r="W22" s="0" t="s">
        <v>901</v>
      </c>
      <c r="X22" s="0" t="s">
        <v>161</v>
      </c>
      <c r="Y22" s="0" t="s">
        <v>1028</v>
      </c>
      <c r="Z22" s="0" t="n">
        <v>23136</v>
      </c>
      <c r="AA22" s="0" t="s">
        <v>1029</v>
      </c>
      <c r="AB22" s="0" t="s">
        <v>904</v>
      </c>
      <c r="AC22" s="0" t="s">
        <v>161</v>
      </c>
      <c r="AD22" s="0" t="s">
        <v>161</v>
      </c>
      <c r="AE22" s="0" t="s">
        <v>161</v>
      </c>
      <c r="AF22" s="0" t="s">
        <v>161</v>
      </c>
      <c r="AG22" s="0" t="s">
        <v>161</v>
      </c>
      <c r="AH22" s="0" t="s">
        <v>905</v>
      </c>
      <c r="AI22" s="0" t="n">
        <v>1</v>
      </c>
      <c r="AJ22" s="0" t="s">
        <v>104</v>
      </c>
      <c r="AK22" s="0" t="n">
        <v>21</v>
      </c>
      <c r="AL22" s="0" t="n">
        <v>8</v>
      </c>
      <c r="AM22" s="0" t="s">
        <v>160</v>
      </c>
      <c r="AN22" s="0" t="n">
        <v>0</v>
      </c>
      <c r="AO22" s="0" t="n">
        <v>0</v>
      </c>
      <c r="AP22" s="0" t="n">
        <v>0</v>
      </c>
      <c r="AQ22" s="0" t="n">
        <v>0</v>
      </c>
      <c r="AR22" s="0" t="n">
        <v>0</v>
      </c>
      <c r="AS22" s="0" t="n">
        <v>0</v>
      </c>
      <c r="AT22" s="0" t="n">
        <v>0</v>
      </c>
      <c r="AU22" s="0" t="n">
        <v>0</v>
      </c>
      <c r="AV22" s="0" t="n">
        <v>0</v>
      </c>
      <c r="AW22" s="0" t="n">
        <v>238</v>
      </c>
      <c r="AX22" s="0" t="n">
        <v>1350</v>
      </c>
      <c r="AY22" s="0" t="n">
        <v>8</v>
      </c>
      <c r="AZ22" s="0" t="n">
        <v>56</v>
      </c>
      <c r="BA22" s="0" t="n">
        <v>14.0388519556049</v>
      </c>
      <c r="BB22" s="0" t="n">
        <v>0</v>
      </c>
      <c r="BC22" s="0" t="n">
        <v>67</v>
      </c>
      <c r="BD22" s="0" t="n">
        <v>85</v>
      </c>
      <c r="BE22" s="0" t="n">
        <v>488</v>
      </c>
      <c r="BF22" s="0" t="n">
        <v>4</v>
      </c>
      <c r="BG22" s="0" t="n">
        <v>35</v>
      </c>
      <c r="BH22" s="0" t="n">
        <v>552</v>
      </c>
      <c r="BI22" s="0" t="n">
        <v>23</v>
      </c>
      <c r="BJ22" s="0" t="n">
        <v>-10.227876861455</v>
      </c>
      <c r="BK22" s="0" t="n">
        <v>0</v>
      </c>
      <c r="BL22" s="0" t="n">
        <v>0</v>
      </c>
      <c r="BM22" s="0" t="n">
        <v>255.8</v>
      </c>
      <c r="BN22" s="0" t="n">
        <v>322.8</v>
      </c>
      <c r="BO22" s="0" t="n">
        <v>16</v>
      </c>
      <c r="BP22" s="0" t="s">
        <v>161</v>
      </c>
      <c r="BQ22" s="0" t="n">
        <v>1</v>
      </c>
      <c r="BR22" s="0" t="n">
        <v>289.3</v>
      </c>
      <c r="BS22" s="0" t="n">
        <v>0.184</v>
      </c>
      <c r="BT22" s="0" t="n">
        <v>0.5509</v>
      </c>
      <c r="BU22" s="0" t="n">
        <v>0.0106</v>
      </c>
      <c r="BV22" s="0" t="n">
        <v>0.1941</v>
      </c>
      <c r="BW22" s="0" t="n">
        <v>0.5848</v>
      </c>
      <c r="BX22" s="0" t="n">
        <v>0.0112</v>
      </c>
      <c r="BY22" s="0" t="n">
        <v>0.299</v>
      </c>
      <c r="BZ22" s="0" t="n">
        <v>16</v>
      </c>
      <c r="CA22" s="0" t="n">
        <v>16.58</v>
      </c>
      <c r="CB22" s="0" t="n">
        <v>25.02</v>
      </c>
      <c r="CC22" s="0" t="n">
        <v>17.75</v>
      </c>
      <c r="CD22" s="0" t="n">
        <v>7.02</v>
      </c>
      <c r="CE22" s="0" t="n">
        <v>11</v>
      </c>
      <c r="CF22" s="0" t="n">
        <v>0</v>
      </c>
      <c r="CG22" s="0" t="n">
        <v>16</v>
      </c>
      <c r="CH22" s="0" t="n">
        <v>0.688</v>
      </c>
      <c r="CI22" s="0" t="n">
        <v>0</v>
      </c>
      <c r="CJ22" s="0" t="n">
        <v>0.395</v>
      </c>
      <c r="CK22" s="0" t="n">
        <v>11</v>
      </c>
      <c r="CL22" s="0" t="n">
        <v>5</v>
      </c>
      <c r="CM22" s="0" t="n">
        <v>1</v>
      </c>
      <c r="CN22" s="0" t="n">
        <v>4</v>
      </c>
      <c r="CO22" s="0" t="n">
        <v>3.670156585907</v>
      </c>
      <c r="CP22" s="0" t="n">
        <v>32</v>
      </c>
      <c r="CQ22" s="0" t="n">
        <v>11</v>
      </c>
      <c r="CR22" s="0" t="n">
        <v>5</v>
      </c>
      <c r="CS22" s="0" t="n">
        <v>8</v>
      </c>
      <c r="CT22" s="0" t="n">
        <v>4.68459158564583</v>
      </c>
      <c r="CU22" s="0" t="n">
        <v>43</v>
      </c>
      <c r="CV22" s="0" t="n">
        <v>16</v>
      </c>
      <c r="CW22" s="0" t="n">
        <v>6</v>
      </c>
      <c r="CX22" s="0" t="n">
        <v>12</v>
      </c>
      <c r="CY22" s="0" t="n">
        <v>8.35</v>
      </c>
      <c r="CZ22" s="0" t="n">
        <v>3.65</v>
      </c>
      <c r="DG22" s="0" t="n">
        <v>3.5574962962963</v>
      </c>
      <c r="DH22" s="0" t="n">
        <v>23.109243697479</v>
      </c>
      <c r="DI22" s="0" t="n">
        <v>2.90792558139535</v>
      </c>
      <c r="DJ22" s="0" t="n">
        <v>241.986271831596</v>
      </c>
      <c r="DK22" s="0" t="n">
        <v>1.02972881630466</v>
      </c>
      <c r="DL22" s="0" t="n">
        <v>0.378723404255319</v>
      </c>
      <c r="DM22" s="0" t="s">
        <v>1030</v>
      </c>
      <c r="DN22" s="0" t="n">
        <v>238</v>
      </c>
      <c r="DO22" s="0" t="n">
        <v>22</v>
      </c>
      <c r="DP22" s="0" t="n">
        <v>2.651</v>
      </c>
      <c r="DQ22" s="0" t="n">
        <v>3.021</v>
      </c>
      <c r="DR22" s="0" t="n">
        <v>10.82</v>
      </c>
      <c r="DS22" s="0" t="n">
        <v>85</v>
      </c>
      <c r="DT22" s="0" t="n">
        <v>9</v>
      </c>
      <c r="DU22" s="0" t="n">
        <v>5</v>
      </c>
      <c r="DV22" s="0" t="n">
        <v>-0.955</v>
      </c>
      <c r="DW22" s="0" t="n">
        <v>8.239</v>
      </c>
      <c r="DX22" s="0" t="n">
        <v>0.4</v>
      </c>
      <c r="DY22" s="0" t="n">
        <v>0.0588</v>
      </c>
      <c r="DZ22" s="0" t="n">
        <v>694</v>
      </c>
      <c r="EA22" s="0" t="n">
        <v>0.754</v>
      </c>
      <c r="EB22" s="0" t="n">
        <v>16</v>
      </c>
      <c r="EC22" s="0" t="s">
        <v>1031</v>
      </c>
      <c r="ED22" s="0" t="n">
        <v>2023</v>
      </c>
      <c r="EE22" s="0" t="n">
        <v>3</v>
      </c>
      <c r="EF22" s="0" t="n">
        <v>84</v>
      </c>
      <c r="EG22" s="0" t="n">
        <v>2023</v>
      </c>
      <c r="EH22" s="0" t="n">
        <v>2026</v>
      </c>
      <c r="EI22" s="0" t="n">
        <v>4</v>
      </c>
      <c r="EJ22" s="0" t="n">
        <v>69</v>
      </c>
      <c r="EK22" s="0" t="n">
        <v>191</v>
      </c>
      <c r="EL22" s="0" t="s">
        <v>1032</v>
      </c>
      <c r="EM22" s="0" t="n">
        <v>24.8</v>
      </c>
      <c r="EN22" s="15" t="b">
        <f aca="false">FALSE()</f>
        <v>0</v>
      </c>
      <c r="EO22" s="0" t="n">
        <v>380</v>
      </c>
      <c r="EP22" s="0" t="n">
        <v>2.83552631578947</v>
      </c>
      <c r="EQ22" s="0" t="n">
        <v>0.213157894736842</v>
      </c>
      <c r="ER22" s="0" t="n">
        <v>1.46578947368421</v>
      </c>
      <c r="ES22" s="0" t="n">
        <v>1.22631578947368</v>
      </c>
      <c r="ET22" s="0" t="n">
        <v>29</v>
      </c>
      <c r="EU22" s="0" t="n">
        <v>17</v>
      </c>
      <c r="EV22" s="0" t="n">
        <v>4.85789473684211</v>
      </c>
      <c r="EW22" s="0" t="n">
        <v>0.586206896551724</v>
      </c>
      <c r="EX22" s="0" t="n">
        <v>2.94501561107985</v>
      </c>
      <c r="EY22" s="0" t="n">
        <v>2.839</v>
      </c>
      <c r="EZ22" s="0" t="n">
        <v>0.2101</v>
      </c>
      <c r="FA22" s="0" t="n">
        <v>2.199</v>
      </c>
      <c r="FB22" s="0" t="n">
        <v>2.532</v>
      </c>
      <c r="FC22" s="0" t="n">
        <v>38</v>
      </c>
      <c r="FD22" s="0" t="n">
        <v>530</v>
      </c>
      <c r="FE22" s="0" t="n">
        <v>0.0716981132075472</v>
      </c>
      <c r="FF22" s="0" t="n">
        <v>0.0727</v>
      </c>
      <c r="FG22" s="0" t="n">
        <v>0.2422</v>
      </c>
      <c r="FH22" s="0" t="n">
        <v>2.29</v>
      </c>
      <c r="FI22" s="0" t="n">
        <v>942</v>
      </c>
      <c r="FJ22" s="0" t="n">
        <v>0.549893842887473</v>
      </c>
      <c r="FK22" s="0" t="n">
        <v>17</v>
      </c>
      <c r="FL22" s="0" t="n">
        <v>55.41</v>
      </c>
      <c r="FM22" s="0" t="n">
        <v>0.5279</v>
      </c>
      <c r="FN22" s="0" t="n">
        <v>0.4721</v>
      </c>
      <c r="FO22" s="0" t="n">
        <v>-0.0584</v>
      </c>
      <c r="FP22" s="0" t="n">
        <v>-0.026</v>
      </c>
      <c r="FQ22" s="0" t="n">
        <v>-0.0093</v>
      </c>
      <c r="FR22" s="0" t="n">
        <v>41</v>
      </c>
      <c r="FS22" s="0" t="n">
        <v>48</v>
      </c>
      <c r="FT22" s="0" t="n">
        <v>2.82</v>
      </c>
      <c r="FU22" s="0" t="n">
        <v>20.4</v>
      </c>
      <c r="FV22" s="0" t="n">
        <v>5041</v>
      </c>
      <c r="FW22" s="0" t="n">
        <v>3387</v>
      </c>
      <c r="FX22" s="0" t="n">
        <v>0.672</v>
      </c>
      <c r="FY22" s="0" t="n">
        <v>5</v>
      </c>
      <c r="FZ22" s="0" t="n">
        <v>4</v>
      </c>
      <c r="GA22" s="0" t="n">
        <v>-0.692098435941776</v>
      </c>
      <c r="GB22" s="0" t="n">
        <v>37.5</v>
      </c>
      <c r="GC22" s="0" t="n">
        <v>44.5</v>
      </c>
      <c r="GD22" s="0" t="n">
        <v>38.6</v>
      </c>
      <c r="GE22" s="0" t="n">
        <v>462</v>
      </c>
      <c r="GF22" s="0" t="n">
        <v>432</v>
      </c>
      <c r="GG22" s="0" t="n">
        <v>209</v>
      </c>
      <c r="GH22" s="0" t="n">
        <v>28</v>
      </c>
      <c r="GI22" s="0" t="n">
        <v>134</v>
      </c>
      <c r="GJ22" s="0" t="n">
        <v>32</v>
      </c>
      <c r="GK22" s="0" t="n">
        <v>0.452</v>
      </c>
      <c r="GL22" s="0" t="n">
        <v>0.065</v>
      </c>
      <c r="GM22" s="0" t="n">
        <v>0.239</v>
      </c>
      <c r="GN22" s="0" t="n">
        <v>20.175</v>
      </c>
      <c r="GO22" s="0" t="n">
        <v>18.081</v>
      </c>
      <c r="GP22" s="0" t="n">
        <v>15.988</v>
      </c>
      <c r="GQ22" s="0" t="n">
        <v>5.312</v>
      </c>
      <c r="GR22" s="0" t="n">
        <v>14.875</v>
      </c>
      <c r="GS22" s="0" t="n">
        <v>323</v>
      </c>
      <c r="GT22" s="0" t="n">
        <v>0.999</v>
      </c>
      <c r="GU22" s="0" t="n">
        <v>0.465</v>
      </c>
      <c r="GV22" s="0" t="n">
        <v>5.741</v>
      </c>
      <c r="GW22" s="0" t="n">
        <v>7.284</v>
      </c>
      <c r="GX22" s="0" t="n">
        <v>0.788</v>
      </c>
      <c r="GY22" s="0" t="n">
        <v>5.672</v>
      </c>
      <c r="GZ22" s="0" t="n">
        <v>0.412</v>
      </c>
      <c r="HA22" s="0" t="n">
        <v>8.239</v>
      </c>
      <c r="HB22" s="0" t="n">
        <v>13.943</v>
      </c>
      <c r="HC22" s="0" t="n">
        <v>0.037</v>
      </c>
      <c r="HD22" s="0" t="n">
        <v>0.059</v>
      </c>
      <c r="HE22" s="0" t="n">
        <v>-0.12</v>
      </c>
      <c r="HG22" s="0" t="n">
        <v>20.88</v>
      </c>
      <c r="HH22" s="0" t="n">
        <v>6.26</v>
      </c>
      <c r="HI22" s="0" t="n">
        <v>10</v>
      </c>
      <c r="HJ22" s="0" t="n">
        <v>33</v>
      </c>
      <c r="HK22" s="0" t="s">
        <v>909</v>
      </c>
      <c r="HL22" s="0" t="n">
        <v>0</v>
      </c>
      <c r="HM22" s="0" t="n">
        <v>5</v>
      </c>
      <c r="HN22" s="0" t="n">
        <v>8</v>
      </c>
      <c r="HO22" s="0" t="n">
        <v>0.099</v>
      </c>
      <c r="HP22" s="0" t="n">
        <v>5</v>
      </c>
      <c r="HQ22" s="0" t="n">
        <v>0.099</v>
      </c>
      <c r="HR22" s="0" t="s">
        <v>102</v>
      </c>
    </row>
    <row r="23" customFormat="false" ht="15" hidden="false" customHeight="false" outlineLevel="0" collapsed="false">
      <c r="A23" s="0" t="s">
        <v>896</v>
      </c>
      <c r="B23" s="0" t="s">
        <v>897</v>
      </c>
      <c r="C23" s="0" t="s">
        <v>898</v>
      </c>
      <c r="D23" s="0" t="s">
        <v>162</v>
      </c>
      <c r="E23" s="0" t="n">
        <v>23113</v>
      </c>
      <c r="F23" s="0" t="s">
        <v>99</v>
      </c>
      <c r="G23" s="0" t="n">
        <v>22.15</v>
      </c>
      <c r="H23" s="0" t="n">
        <v>9.15</v>
      </c>
      <c r="I23" s="0" t="n">
        <v>8</v>
      </c>
      <c r="J23" s="0" t="n">
        <v>48</v>
      </c>
      <c r="L23" s="0" t="s">
        <v>1033</v>
      </c>
      <c r="O23" s="0" t="n">
        <v>98.4</v>
      </c>
      <c r="U23" s="0" t="n">
        <v>5</v>
      </c>
      <c r="V23" s="0" t="s">
        <v>162</v>
      </c>
      <c r="W23" s="0" t="s">
        <v>901</v>
      </c>
      <c r="X23" s="0" t="s">
        <v>1034</v>
      </c>
      <c r="Y23" s="0" t="s">
        <v>1035</v>
      </c>
      <c r="Z23" s="0" t="n">
        <v>23113</v>
      </c>
      <c r="AA23" s="0" t="s">
        <v>1036</v>
      </c>
      <c r="AB23" s="0" t="s">
        <v>904</v>
      </c>
      <c r="AC23" s="0" t="s">
        <v>164</v>
      </c>
      <c r="AD23" s="0" t="s">
        <v>164</v>
      </c>
      <c r="AE23" s="0" t="s">
        <v>164</v>
      </c>
      <c r="AF23" s="0" t="s">
        <v>164</v>
      </c>
      <c r="AG23" s="0" t="s">
        <v>164</v>
      </c>
      <c r="AH23" s="0" t="s">
        <v>905</v>
      </c>
      <c r="AI23" s="0" t="n">
        <v>1</v>
      </c>
      <c r="AJ23" s="0" t="s">
        <v>99</v>
      </c>
      <c r="AK23" s="0" t="n">
        <v>22</v>
      </c>
      <c r="AL23" s="0" t="n">
        <v>12</v>
      </c>
      <c r="AM23" s="0" t="s">
        <v>163</v>
      </c>
      <c r="AN23" s="0" t="n">
        <v>0</v>
      </c>
      <c r="AO23" s="0" t="n">
        <v>0</v>
      </c>
      <c r="AP23" s="0" t="n">
        <v>0</v>
      </c>
      <c r="AQ23" s="0" t="n">
        <v>0</v>
      </c>
      <c r="AR23" s="0" t="n">
        <v>0</v>
      </c>
      <c r="AS23" s="0" t="n">
        <v>0</v>
      </c>
      <c r="AT23" s="0" t="n">
        <v>0</v>
      </c>
      <c r="AU23" s="0" t="n">
        <v>0</v>
      </c>
      <c r="AV23" s="0" t="n">
        <v>0</v>
      </c>
      <c r="AW23" s="0" t="n">
        <v>5</v>
      </c>
      <c r="AX23" s="0" t="n">
        <v>20</v>
      </c>
      <c r="AY23" s="0" t="n">
        <v>1</v>
      </c>
      <c r="AZ23" s="0" t="n">
        <v>2</v>
      </c>
      <c r="BA23" s="0" t="n">
        <v>1.86250078538433</v>
      </c>
      <c r="BB23" s="0" t="n">
        <v>0</v>
      </c>
      <c r="BC23" s="0" t="n">
        <v>53</v>
      </c>
      <c r="BD23" s="0" t="n">
        <v>78</v>
      </c>
      <c r="BE23" s="0" t="n">
        <v>571</v>
      </c>
      <c r="BF23" s="0" t="n">
        <v>5</v>
      </c>
      <c r="BG23" s="0" t="n">
        <v>338</v>
      </c>
      <c r="BH23" s="0" t="n">
        <v>414</v>
      </c>
      <c r="BI23" s="0" t="n">
        <v>28</v>
      </c>
      <c r="BJ23" s="0" t="n">
        <v>16.0194480610332</v>
      </c>
      <c r="BK23" s="0" t="n">
        <v>0</v>
      </c>
      <c r="BL23" s="0" t="n">
        <v>0</v>
      </c>
      <c r="BM23" s="0" t="n">
        <v>97.1</v>
      </c>
      <c r="BN23" s="0" t="n">
        <v>150.1</v>
      </c>
      <c r="BO23" s="0" t="n">
        <v>8</v>
      </c>
      <c r="BP23" s="0" t="s">
        <v>164</v>
      </c>
      <c r="BQ23" s="0" t="n">
        <v>1</v>
      </c>
      <c r="BR23" s="0" t="n">
        <v>123.6</v>
      </c>
      <c r="BS23" s="0" t="n">
        <v>0.1421</v>
      </c>
      <c r="BT23" s="0" t="n">
        <v>0.0116</v>
      </c>
      <c r="BU23" s="0" t="n">
        <v>0.0786</v>
      </c>
      <c r="BV23" s="0" t="n">
        <v>0.2868</v>
      </c>
      <c r="BW23" s="0" t="n">
        <v>0.0228</v>
      </c>
      <c r="BX23" s="0" t="n">
        <v>0.1523</v>
      </c>
      <c r="BY23" s="0" t="n">
        <v>0.5368</v>
      </c>
      <c r="BZ23" s="0" t="n">
        <v>8</v>
      </c>
      <c r="CA23" s="0" t="n">
        <v>11.53</v>
      </c>
      <c r="CB23" s="0" t="n">
        <v>25.43</v>
      </c>
      <c r="CC23" s="0" t="n">
        <v>20.9</v>
      </c>
      <c r="CD23" s="0" t="n">
        <v>8.11</v>
      </c>
      <c r="CE23" s="0" t="n">
        <v>5</v>
      </c>
      <c r="CF23" s="0" t="n">
        <v>0</v>
      </c>
      <c r="CG23" s="0" t="n">
        <v>8</v>
      </c>
      <c r="CH23" s="0" t="n">
        <v>0.625</v>
      </c>
      <c r="CI23" s="0" t="n">
        <v>0</v>
      </c>
      <c r="CJ23" s="0" t="n">
        <v>0.388</v>
      </c>
      <c r="CK23" s="0" t="n">
        <v>18</v>
      </c>
      <c r="CL23" s="0" t="n">
        <v>14</v>
      </c>
      <c r="CM23" s="0" t="n">
        <v>7</v>
      </c>
      <c r="CN23" s="0" t="n">
        <v>5</v>
      </c>
      <c r="CO23" s="0" t="n">
        <v>6.86849301996819</v>
      </c>
      <c r="CP23" s="0" t="n">
        <v>3</v>
      </c>
      <c r="CQ23" s="0" t="n">
        <v>3</v>
      </c>
      <c r="CR23" s="0" t="n">
        <v>2</v>
      </c>
      <c r="CS23" s="0" t="n">
        <v>1</v>
      </c>
      <c r="CT23" s="0" t="n">
        <v>0.676148942509521</v>
      </c>
      <c r="CU23" s="0" t="n">
        <v>21</v>
      </c>
      <c r="CV23" s="0" t="n">
        <v>17</v>
      </c>
      <c r="CW23" s="0" t="n">
        <v>9</v>
      </c>
      <c r="CX23" s="0" t="n">
        <v>6</v>
      </c>
      <c r="CY23" s="0" t="n">
        <v>7.54</v>
      </c>
      <c r="CZ23" s="0" t="n">
        <v>-1.54</v>
      </c>
      <c r="DA23" s="0" t="n">
        <v>3.59544145694787</v>
      </c>
      <c r="DB23" s="0" t="n">
        <v>6.31058823529412</v>
      </c>
      <c r="DC23" s="0" t="n">
        <v>4.41641025641026</v>
      </c>
      <c r="DD23" s="0" t="n">
        <v>8.36226107305326</v>
      </c>
      <c r="DE23" s="0" t="n">
        <v>0.6166205115972</v>
      </c>
      <c r="DF23" s="0" t="n">
        <v>67.948717948718</v>
      </c>
      <c r="DM23" s="0" t="s">
        <v>1037</v>
      </c>
      <c r="DN23" s="0" t="n">
        <v>5</v>
      </c>
      <c r="DO23" s="0" t="n">
        <v>0</v>
      </c>
      <c r="DS23" s="0" t="n">
        <v>78</v>
      </c>
      <c r="DT23" s="0" t="n">
        <v>3</v>
      </c>
      <c r="DU23" s="0" t="n">
        <v>5</v>
      </c>
      <c r="DV23" s="0" t="n">
        <v>2.962</v>
      </c>
      <c r="DW23" s="0" t="n">
        <v>7.811</v>
      </c>
      <c r="DX23" s="0" t="n">
        <v>4.3</v>
      </c>
      <c r="DY23" s="0" t="n">
        <v>0.0641</v>
      </c>
      <c r="DZ23" s="0" t="n">
        <v>415</v>
      </c>
      <c r="EA23" s="0" t="n">
        <v>0.749</v>
      </c>
      <c r="EB23" s="0" t="n">
        <v>8</v>
      </c>
      <c r="EC23" s="0" t="s">
        <v>1038</v>
      </c>
      <c r="ED23" s="0" t="n">
        <v>2023</v>
      </c>
      <c r="EE23" s="0" t="n">
        <v>2</v>
      </c>
      <c r="EF23" s="0" t="n">
        <v>55</v>
      </c>
      <c r="EG23" s="0" t="n">
        <v>2023</v>
      </c>
      <c r="EH23" s="0" t="n">
        <v>2026</v>
      </c>
      <c r="EI23" s="0" t="n">
        <v>4</v>
      </c>
      <c r="EJ23" s="0" t="n">
        <v>73</v>
      </c>
      <c r="EK23" s="0" t="n">
        <v>203</v>
      </c>
      <c r="EL23" s="0" t="s">
        <v>1039</v>
      </c>
      <c r="EM23" s="0" t="n">
        <v>26.3</v>
      </c>
      <c r="EN23" s="15" t="b">
        <f aca="false">FALSE()</f>
        <v>0</v>
      </c>
      <c r="EO23" s="0" t="n">
        <v>336</v>
      </c>
      <c r="EP23" s="0" t="n">
        <v>3.01964285714286</v>
      </c>
      <c r="EQ23" s="0" t="n">
        <v>0.133928571428571</v>
      </c>
      <c r="ER23" s="0" t="n">
        <v>0.958333333333333</v>
      </c>
      <c r="ES23" s="0" t="n">
        <v>0.196428571428571</v>
      </c>
      <c r="ET23" s="0" t="n">
        <v>48</v>
      </c>
      <c r="EU23" s="0" t="n">
        <v>39</v>
      </c>
      <c r="EV23" s="0" t="n">
        <v>3.71130952380952</v>
      </c>
      <c r="EW23" s="0" t="n">
        <v>0.8125</v>
      </c>
      <c r="EX23" s="0" t="n">
        <v>2.90619800347793</v>
      </c>
      <c r="EY23" s="0" t="n">
        <v>3.062</v>
      </c>
      <c r="EZ23" s="0" t="n">
        <v>0.1258</v>
      </c>
      <c r="FA23" s="0" t="n">
        <v>2.623</v>
      </c>
      <c r="FB23" s="0" t="n">
        <v>1.591</v>
      </c>
      <c r="FC23" s="0" t="n">
        <v>14</v>
      </c>
      <c r="FD23" s="0" t="n">
        <v>686</v>
      </c>
      <c r="FE23" s="0" t="n">
        <v>0.0685131195335277</v>
      </c>
      <c r="FF23" s="0" t="n">
        <v>0.0659</v>
      </c>
      <c r="FG23" s="0" t="n">
        <v>0.2877</v>
      </c>
      <c r="FH23" s="0" t="n">
        <v>2.212</v>
      </c>
      <c r="FI23" s="0" t="n">
        <v>1048</v>
      </c>
      <c r="FJ23" s="0" t="n">
        <v>0.602099236641221</v>
      </c>
      <c r="FK23" s="0" t="n">
        <v>17</v>
      </c>
      <c r="FL23" s="0" t="n">
        <v>61.65</v>
      </c>
      <c r="FM23" s="0" t="n">
        <v>0.5721</v>
      </c>
      <c r="FN23" s="0" t="n">
        <v>0.4279</v>
      </c>
      <c r="FO23" s="0" t="n">
        <v>0.0395</v>
      </c>
      <c r="FP23" s="0" t="n">
        <v>0.0273</v>
      </c>
      <c r="FQ23" s="0" t="n">
        <v>0.0399</v>
      </c>
      <c r="FR23" s="0" t="n">
        <v>38</v>
      </c>
      <c r="FS23" s="0" t="n">
        <v>63</v>
      </c>
      <c r="FT23" s="0" t="n">
        <v>3.71</v>
      </c>
      <c r="FU23" s="0" t="n">
        <v>21.3</v>
      </c>
      <c r="FV23" s="0" t="n">
        <v>5605</v>
      </c>
      <c r="FW23" s="0" t="n">
        <v>4845</v>
      </c>
      <c r="FX23" s="0" t="n">
        <v>0.864</v>
      </c>
      <c r="FY23" s="0" t="n">
        <v>5</v>
      </c>
      <c r="FZ23" s="0" t="n">
        <v>5</v>
      </c>
      <c r="GA23" s="0" t="n">
        <v>0.894249870072499</v>
      </c>
      <c r="GB23" s="0" t="n">
        <v>66.2</v>
      </c>
      <c r="GC23" s="0" t="n">
        <v>34</v>
      </c>
      <c r="GD23" s="0" t="n">
        <v>50.1</v>
      </c>
      <c r="GE23" s="0" t="n">
        <v>549</v>
      </c>
      <c r="GF23" s="0" t="n">
        <v>430</v>
      </c>
      <c r="GG23" s="0" t="n">
        <v>147</v>
      </c>
      <c r="GH23" s="0" t="n">
        <v>129</v>
      </c>
      <c r="GI23" s="0" t="n">
        <v>166</v>
      </c>
      <c r="GJ23" s="0" t="n">
        <v>43</v>
      </c>
      <c r="GK23" s="0" t="n">
        <v>0.268</v>
      </c>
      <c r="GL23" s="0" t="n">
        <v>0.3</v>
      </c>
      <c r="GM23" s="0" t="n">
        <v>0.259</v>
      </c>
      <c r="GN23" s="0" t="n">
        <v>18.762</v>
      </c>
      <c r="GO23" s="0" t="n">
        <v>15.45</v>
      </c>
      <c r="GP23" s="0" t="n">
        <v>12.138</v>
      </c>
      <c r="GQ23" s="0" t="n">
        <v>9.75</v>
      </c>
      <c r="GR23" s="0" t="n">
        <v>0.625</v>
      </c>
      <c r="GS23" s="0" t="n">
        <v>83</v>
      </c>
      <c r="GT23" s="0" t="n">
        <v>1.808</v>
      </c>
      <c r="GU23" s="0" t="n">
        <v>0.362</v>
      </c>
      <c r="GV23" s="0" t="n">
        <v>7.321</v>
      </c>
      <c r="GW23" s="0" t="n">
        <v>10.774</v>
      </c>
      <c r="GX23" s="0" t="n">
        <v>0.679</v>
      </c>
      <c r="GZ23" s="0" t="n">
        <v>4.333</v>
      </c>
      <c r="HA23" s="0" t="n">
        <v>7.811</v>
      </c>
      <c r="HB23" s="0" t="n">
        <v>1.689</v>
      </c>
      <c r="HC23" s="0" t="n">
        <v>0.072</v>
      </c>
      <c r="HE23" s="0" t="n">
        <v>0.205</v>
      </c>
      <c r="HG23" s="0" t="n">
        <v>22.15</v>
      </c>
      <c r="HH23" s="0" t="n">
        <v>9.15</v>
      </c>
      <c r="HI23" s="0" t="n">
        <v>8</v>
      </c>
      <c r="HJ23" s="0" t="n">
        <v>48</v>
      </c>
      <c r="HK23" s="0" t="s">
        <v>909</v>
      </c>
      <c r="HL23" s="0" t="n">
        <v>0</v>
      </c>
      <c r="HM23" s="0" t="n">
        <v>40</v>
      </c>
      <c r="HN23" s="0" t="n">
        <v>12</v>
      </c>
      <c r="HO23" s="0" t="n">
        <v>-1.293</v>
      </c>
      <c r="HP23" s="0" t="n">
        <v>5</v>
      </c>
      <c r="HQ23" s="0" t="n">
        <v>0.241</v>
      </c>
      <c r="HR23" s="0" t="s">
        <v>165</v>
      </c>
    </row>
    <row r="24" customFormat="false" ht="15" hidden="false" customHeight="false" outlineLevel="0" collapsed="false">
      <c r="A24" s="0" t="s">
        <v>896</v>
      </c>
      <c r="B24" s="0" t="s">
        <v>897</v>
      </c>
      <c r="C24" s="0" t="s">
        <v>898</v>
      </c>
      <c r="D24" s="0" t="s">
        <v>166</v>
      </c>
      <c r="E24" s="0" t="n">
        <v>19222</v>
      </c>
      <c r="F24" s="0" t="s">
        <v>99</v>
      </c>
      <c r="G24" s="0" t="n">
        <v>23.99</v>
      </c>
      <c r="H24" s="0" t="n">
        <v>7.6</v>
      </c>
      <c r="I24" s="0" t="n">
        <v>11</v>
      </c>
      <c r="J24" s="0" t="n">
        <v>48</v>
      </c>
      <c r="L24" s="0" t="s">
        <v>1040</v>
      </c>
      <c r="O24" s="0" t="n">
        <v>97.9</v>
      </c>
      <c r="U24" s="0" t="n">
        <v>10</v>
      </c>
      <c r="V24" s="0" t="s">
        <v>166</v>
      </c>
      <c r="W24" s="0" t="s">
        <v>901</v>
      </c>
      <c r="X24" s="0" t="s">
        <v>136</v>
      </c>
      <c r="Y24" s="0" t="s">
        <v>1041</v>
      </c>
      <c r="Z24" s="0" t="n">
        <v>19222</v>
      </c>
      <c r="AA24" s="0" t="s">
        <v>1042</v>
      </c>
      <c r="AB24" s="0" t="s">
        <v>904</v>
      </c>
      <c r="AC24" s="0" t="s">
        <v>136</v>
      </c>
      <c r="AD24" s="0" t="s">
        <v>136</v>
      </c>
      <c r="AE24" s="0" t="s">
        <v>136</v>
      </c>
      <c r="AF24" s="0" t="s">
        <v>136</v>
      </c>
      <c r="AG24" s="0" t="s">
        <v>136</v>
      </c>
      <c r="AH24" s="0" t="s">
        <v>905</v>
      </c>
      <c r="AI24" s="0" t="n">
        <v>1</v>
      </c>
      <c r="AJ24" s="0" t="s">
        <v>99</v>
      </c>
      <c r="AK24" s="0" t="n">
        <v>23</v>
      </c>
      <c r="AL24" s="0" t="n">
        <v>13</v>
      </c>
      <c r="AM24" s="0" t="s">
        <v>167</v>
      </c>
      <c r="AN24" s="0" t="n">
        <v>0</v>
      </c>
      <c r="AO24" s="0" t="n">
        <v>0</v>
      </c>
      <c r="AP24" s="0" t="n">
        <v>0</v>
      </c>
      <c r="AQ24" s="0" t="n">
        <v>0</v>
      </c>
      <c r="AR24" s="0" t="n">
        <v>0</v>
      </c>
      <c r="AS24" s="0" t="n">
        <v>0</v>
      </c>
      <c r="AT24" s="0" t="n">
        <v>0</v>
      </c>
      <c r="AU24" s="0" t="n">
        <v>0</v>
      </c>
      <c r="AV24" s="0" t="n">
        <v>0</v>
      </c>
      <c r="AW24" s="0" t="n">
        <v>0</v>
      </c>
      <c r="AX24" s="0" t="n">
        <v>0</v>
      </c>
      <c r="AY24" s="0" t="n">
        <v>0</v>
      </c>
      <c r="AZ24" s="0" t="n">
        <v>0</v>
      </c>
      <c r="BA24" s="0" t="n">
        <v>0</v>
      </c>
      <c r="BB24" s="0" t="n">
        <v>0</v>
      </c>
      <c r="BC24" s="0" t="n">
        <v>77</v>
      </c>
      <c r="BD24" s="0" t="n">
        <v>113</v>
      </c>
      <c r="BE24" s="0" t="n">
        <v>1008</v>
      </c>
      <c r="BF24" s="0" t="n">
        <v>4</v>
      </c>
      <c r="BG24" s="0" t="n">
        <v>1355</v>
      </c>
      <c r="BH24" s="0" t="n">
        <v>293</v>
      </c>
      <c r="BI24" s="0" t="n">
        <v>44</v>
      </c>
      <c r="BJ24" s="0" t="n">
        <v>54.3695421216312</v>
      </c>
      <c r="BK24" s="0" t="n">
        <v>0</v>
      </c>
      <c r="BL24" s="0" t="n">
        <v>0</v>
      </c>
      <c r="BM24" s="0" t="n">
        <v>124.8</v>
      </c>
      <c r="BN24" s="0" t="n">
        <v>201.8</v>
      </c>
      <c r="BO24" s="0" t="n">
        <v>17</v>
      </c>
      <c r="BP24" s="0" t="s">
        <v>136</v>
      </c>
      <c r="BQ24" s="0" t="n">
        <v>1</v>
      </c>
      <c r="BR24" s="0" t="n">
        <v>163.3</v>
      </c>
      <c r="BS24" s="0" t="n">
        <v>0.2435</v>
      </c>
      <c r="BT24" s="0" t="n">
        <v>0</v>
      </c>
      <c r="BU24" s="0" t="n">
        <v>0.3217</v>
      </c>
      <c r="BV24" s="0" t="n">
        <v>0.2435</v>
      </c>
      <c r="BW24" s="0" t="n">
        <v>0</v>
      </c>
      <c r="BX24" s="0" t="n">
        <v>0.3217</v>
      </c>
      <c r="BY24" s="0" t="n">
        <v>0.5904</v>
      </c>
      <c r="BZ24" s="0" t="n">
        <v>17</v>
      </c>
      <c r="CA24" s="0" t="n">
        <v>7</v>
      </c>
      <c r="CB24" s="0" t="n">
        <v>18.4</v>
      </c>
      <c r="CC24" s="0" t="n">
        <v>9.3</v>
      </c>
      <c r="CD24" s="0" t="n">
        <v>7.8</v>
      </c>
      <c r="CE24" s="0" t="n">
        <v>3</v>
      </c>
      <c r="CF24" s="0" t="n">
        <v>1</v>
      </c>
      <c r="CG24" s="0" t="n">
        <v>17</v>
      </c>
      <c r="CH24" s="0" t="n">
        <v>0.176</v>
      </c>
      <c r="CI24" s="0" t="n">
        <v>0.059</v>
      </c>
      <c r="CJ24" s="0" t="n">
        <v>0.839</v>
      </c>
      <c r="CK24" s="0" t="n">
        <v>11</v>
      </c>
      <c r="CL24" s="0" t="n">
        <v>3</v>
      </c>
      <c r="CM24" s="0" t="n">
        <v>2</v>
      </c>
      <c r="CN24" s="0" t="n">
        <v>4</v>
      </c>
      <c r="CO24" s="0" t="n">
        <v>3.84348274622346</v>
      </c>
      <c r="CP24" s="0" t="n">
        <v>0</v>
      </c>
      <c r="CQ24" s="0" t="n">
        <v>0</v>
      </c>
      <c r="CR24" s="0" t="n">
        <v>0</v>
      </c>
      <c r="CS24" s="0" t="n">
        <v>0</v>
      </c>
      <c r="CT24" s="0" t="n">
        <v>0</v>
      </c>
      <c r="CU24" s="0" t="n">
        <v>11</v>
      </c>
      <c r="CV24" s="0" t="n">
        <v>3</v>
      </c>
      <c r="CW24" s="0" t="n">
        <v>2</v>
      </c>
      <c r="CX24" s="0" t="n">
        <v>4</v>
      </c>
      <c r="CY24" s="0" t="n">
        <v>3.84</v>
      </c>
      <c r="CZ24" s="0" t="n">
        <v>0.16</v>
      </c>
      <c r="DA24" s="0" t="n">
        <v>2.82183284965729</v>
      </c>
      <c r="DB24" s="0" t="n">
        <v>6.36339805825243</v>
      </c>
      <c r="DC24" s="0" t="n">
        <v>12.0151327433628</v>
      </c>
      <c r="DD24" s="0" t="n">
        <v>32.3728296272276</v>
      </c>
      <c r="DE24" s="0" t="n">
        <v>-0.117766696003175</v>
      </c>
      <c r="DF24" s="0" t="n">
        <v>68.141592920354</v>
      </c>
      <c r="DM24" s="0" t="s">
        <v>1043</v>
      </c>
      <c r="DS24" s="0" t="n">
        <v>113</v>
      </c>
      <c r="DT24" s="0" t="n">
        <v>0</v>
      </c>
      <c r="DU24" s="0" t="n">
        <v>3</v>
      </c>
      <c r="DV24" s="0" t="n">
        <v>9.286</v>
      </c>
      <c r="DW24" s="0" t="n">
        <v>3.805</v>
      </c>
      <c r="DX24" s="0" t="n">
        <v>11.9</v>
      </c>
      <c r="DY24" s="0" t="n">
        <v>0.0265</v>
      </c>
      <c r="DZ24" s="0" t="n">
        <v>888</v>
      </c>
      <c r="EA24" s="0" t="n">
        <v>0.844</v>
      </c>
      <c r="EB24" s="0" t="n">
        <v>17</v>
      </c>
      <c r="EC24" s="0" t="s">
        <v>1044</v>
      </c>
      <c r="ED24" s="0" t="n">
        <v>2021</v>
      </c>
      <c r="EE24" s="0" t="n">
        <v>1</v>
      </c>
      <c r="EF24" s="0" t="n">
        <v>10</v>
      </c>
      <c r="EG24" s="0" t="n">
        <v>2021</v>
      </c>
      <c r="EH24" s="0" t="n">
        <v>2026</v>
      </c>
      <c r="EI24" s="0" t="n">
        <v>6</v>
      </c>
      <c r="EJ24" s="0" t="n">
        <v>72</v>
      </c>
      <c r="EK24" s="0" t="n">
        <v>170</v>
      </c>
      <c r="EL24" s="0" t="s">
        <v>1045</v>
      </c>
      <c r="EM24" s="0" t="n">
        <v>27.8</v>
      </c>
      <c r="EN24" s="15" t="b">
        <f aca="false">FALSE()</f>
        <v>0</v>
      </c>
      <c r="EO24" s="0" t="n">
        <v>364</v>
      </c>
      <c r="EP24" s="0" t="n">
        <v>2.7760989010989</v>
      </c>
      <c r="EQ24" s="0" t="n">
        <v>0.222527472527473</v>
      </c>
      <c r="ER24" s="0" t="n">
        <v>1.3489010989011</v>
      </c>
      <c r="ES24" s="0" t="n">
        <v>0.862637362637363</v>
      </c>
      <c r="ET24" s="0" t="n">
        <v>15</v>
      </c>
      <c r="EU24" s="0" t="n">
        <v>7</v>
      </c>
      <c r="EV24" s="0" t="n">
        <v>4.37637362637363</v>
      </c>
      <c r="EW24" s="0" t="n">
        <v>0.466666666666667</v>
      </c>
      <c r="EX24" s="0" t="n">
        <v>2.97533830221885</v>
      </c>
      <c r="EY24" s="0" t="n">
        <v>2.749</v>
      </c>
      <c r="EZ24" s="0" t="n">
        <v>0.2192</v>
      </c>
      <c r="FA24" s="0" t="n">
        <v>2.6</v>
      </c>
      <c r="FB24" s="0" t="n">
        <v>1.559</v>
      </c>
      <c r="FC24" s="0" t="n">
        <v>33</v>
      </c>
      <c r="FD24" s="0" t="n">
        <v>573</v>
      </c>
      <c r="FE24" s="0" t="n">
        <v>0.0610820244328098</v>
      </c>
      <c r="FF24" s="0" t="n">
        <v>0.0577</v>
      </c>
      <c r="FG24" s="0" t="n">
        <v>0.2334</v>
      </c>
      <c r="FH24" s="0" t="n">
        <v>2.491</v>
      </c>
      <c r="FI24" s="0" t="n">
        <v>995</v>
      </c>
      <c r="FJ24" s="0" t="n">
        <v>0.534673366834171</v>
      </c>
      <c r="FK24" s="0" t="n">
        <v>17</v>
      </c>
      <c r="FL24" s="0" t="n">
        <v>58.53</v>
      </c>
      <c r="FM24" s="0" t="n">
        <v>0.5347</v>
      </c>
      <c r="FN24" s="0" t="n">
        <v>0.4653</v>
      </c>
      <c r="FO24" s="0" t="n">
        <v>-0.0248</v>
      </c>
      <c r="FP24" s="0" t="n">
        <v>0.0054</v>
      </c>
      <c r="FQ24" s="0" t="n">
        <v>0.0436</v>
      </c>
      <c r="FR24" s="0" t="n">
        <v>39</v>
      </c>
      <c r="FS24" s="0" t="n">
        <v>47</v>
      </c>
      <c r="FT24" s="0" t="n">
        <v>2.76</v>
      </c>
      <c r="FU24" s="0" t="n">
        <v>22.3</v>
      </c>
      <c r="FV24" s="0" t="n">
        <v>5320</v>
      </c>
      <c r="FW24" s="0" t="n">
        <v>4835</v>
      </c>
      <c r="FX24" s="0" t="n">
        <v>0.909</v>
      </c>
      <c r="FY24" s="0" t="n">
        <v>5</v>
      </c>
      <c r="FZ24" s="0" t="n">
        <v>5</v>
      </c>
      <c r="GA24" s="0" t="n">
        <v>-0.79459899751177</v>
      </c>
      <c r="GB24" s="0" t="n">
        <v>35.6</v>
      </c>
      <c r="GC24" s="0" t="n">
        <v>61.6</v>
      </c>
      <c r="GD24" s="0" t="n">
        <v>48.2</v>
      </c>
      <c r="GE24" s="0" t="n">
        <v>464</v>
      </c>
      <c r="GF24" s="0" t="n">
        <v>478</v>
      </c>
      <c r="GG24" s="0" t="n">
        <v>175</v>
      </c>
      <c r="GH24" s="0" t="n">
        <v>12</v>
      </c>
      <c r="GI24" s="0" t="n">
        <v>148</v>
      </c>
      <c r="GJ24" s="0" t="n">
        <v>23</v>
      </c>
      <c r="GK24" s="0" t="n">
        <v>0.377</v>
      </c>
      <c r="GL24" s="0" t="n">
        <v>0.025</v>
      </c>
      <c r="GM24" s="0" t="n">
        <v>0.155</v>
      </c>
      <c r="GN24" s="0" t="n">
        <v>11.871</v>
      </c>
      <c r="GO24" s="0" t="n">
        <v>9.606</v>
      </c>
      <c r="GP24" s="0" t="n">
        <v>7.341</v>
      </c>
      <c r="GQ24" s="0" t="n">
        <v>6.647</v>
      </c>
      <c r="GR24" s="0" t="n">
        <v>0</v>
      </c>
      <c r="GS24" s="0" t="n">
        <v>113</v>
      </c>
      <c r="GT24" s="0" t="n">
        <v>1.786</v>
      </c>
      <c r="GU24" s="0" t="n">
        <v>0.227</v>
      </c>
      <c r="GV24" s="0" t="n">
        <v>8.92</v>
      </c>
      <c r="GW24" s="0" t="n">
        <v>13.091</v>
      </c>
      <c r="GX24" s="0" t="n">
        <v>0.681</v>
      </c>
      <c r="GZ24" s="0" t="n">
        <v>11.991</v>
      </c>
      <c r="HA24" s="0" t="n">
        <v>3.805</v>
      </c>
      <c r="HB24" s="0" t="n">
        <v>0.744</v>
      </c>
      <c r="HC24" s="0" t="n">
        <v>0.035</v>
      </c>
      <c r="HE24" s="0" t="n">
        <v>0.481</v>
      </c>
      <c r="HG24" s="0" t="n">
        <v>23.99</v>
      </c>
      <c r="HH24" s="0" t="n">
        <v>7.6</v>
      </c>
      <c r="HI24" s="0" t="n">
        <v>11</v>
      </c>
      <c r="HJ24" s="0" t="n">
        <v>48</v>
      </c>
      <c r="HK24" s="0" t="s">
        <v>909</v>
      </c>
      <c r="HL24" s="0" t="n">
        <v>0</v>
      </c>
      <c r="HM24" s="0" t="n">
        <v>20</v>
      </c>
      <c r="HN24" s="0" t="n">
        <v>13</v>
      </c>
      <c r="HO24" s="0" t="n">
        <v>-0.381</v>
      </c>
      <c r="HP24" s="0" t="n">
        <v>31</v>
      </c>
      <c r="HQ24" s="0" t="n">
        <v>-0.863</v>
      </c>
      <c r="HR24" s="0" t="s">
        <v>121</v>
      </c>
    </row>
    <row r="25" customFormat="false" ht="15" hidden="false" customHeight="false" outlineLevel="0" collapsed="false">
      <c r="A25" s="0" t="s">
        <v>896</v>
      </c>
      <c r="B25" s="0" t="s">
        <v>897</v>
      </c>
      <c r="C25" s="0" t="s">
        <v>898</v>
      </c>
      <c r="D25" s="0" t="s">
        <v>168</v>
      </c>
      <c r="E25" s="0" t="n">
        <v>25395</v>
      </c>
      <c r="F25" s="0" t="s">
        <v>104</v>
      </c>
      <c r="G25" s="0" t="n">
        <v>25.64</v>
      </c>
      <c r="H25" s="0" t="n">
        <v>7.39</v>
      </c>
      <c r="I25" s="0" t="n">
        <v>11</v>
      </c>
      <c r="J25" s="0" t="n">
        <v>46</v>
      </c>
      <c r="L25" s="0" t="s">
        <v>1046</v>
      </c>
      <c r="O25" s="0" t="n">
        <v>99</v>
      </c>
      <c r="U25" s="0" t="n">
        <v>7</v>
      </c>
      <c r="V25" s="0" t="s">
        <v>168</v>
      </c>
      <c r="W25" s="0" t="s">
        <v>901</v>
      </c>
      <c r="X25" s="0" t="s">
        <v>170</v>
      </c>
      <c r="Y25" s="0" t="s">
        <v>1047</v>
      </c>
      <c r="Z25" s="0" t="n">
        <v>25395</v>
      </c>
      <c r="AA25" s="0" t="s">
        <v>1048</v>
      </c>
      <c r="AB25" s="0" t="s">
        <v>904</v>
      </c>
      <c r="AC25" s="0" t="s">
        <v>170</v>
      </c>
      <c r="AD25" s="0" t="s">
        <v>170</v>
      </c>
      <c r="AE25" s="0" t="s">
        <v>170</v>
      </c>
      <c r="AF25" s="0" t="s">
        <v>170</v>
      </c>
      <c r="AG25" s="0" t="s">
        <v>170</v>
      </c>
      <c r="AH25" s="0" t="s">
        <v>905</v>
      </c>
      <c r="AI25" s="0" t="n">
        <v>1</v>
      </c>
      <c r="AJ25" s="0" t="s">
        <v>104</v>
      </c>
      <c r="AK25" s="0" t="n">
        <v>24</v>
      </c>
      <c r="AL25" s="0" t="n">
        <v>9</v>
      </c>
      <c r="AM25" s="0" t="s">
        <v>169</v>
      </c>
      <c r="AN25" s="0" t="n">
        <v>0</v>
      </c>
      <c r="AO25" s="0" t="n">
        <v>0</v>
      </c>
      <c r="AP25" s="0" t="n">
        <v>0</v>
      </c>
      <c r="AQ25" s="0" t="n">
        <v>0</v>
      </c>
      <c r="AR25" s="0" t="n">
        <v>0</v>
      </c>
      <c r="AS25" s="0" t="n">
        <v>0</v>
      </c>
      <c r="AT25" s="0" t="n">
        <v>0</v>
      </c>
      <c r="AU25" s="0" t="n">
        <v>0</v>
      </c>
      <c r="AV25" s="0" t="n">
        <v>0</v>
      </c>
      <c r="AW25" s="0" t="n">
        <v>124</v>
      </c>
      <c r="AX25" s="0" t="n">
        <v>545</v>
      </c>
      <c r="AY25" s="0" t="n">
        <v>4</v>
      </c>
      <c r="AZ25" s="0" t="n">
        <v>31</v>
      </c>
      <c r="BA25" s="0" t="n">
        <v>-0.775738923468713</v>
      </c>
      <c r="BB25" s="0" t="n">
        <v>0</v>
      </c>
      <c r="BC25" s="0" t="n">
        <v>32</v>
      </c>
      <c r="BD25" s="0" t="n">
        <v>35</v>
      </c>
      <c r="BE25" s="0" t="n">
        <v>192</v>
      </c>
      <c r="BF25" s="0" t="n">
        <v>1</v>
      </c>
      <c r="BG25" s="0" t="n">
        <v>-54</v>
      </c>
      <c r="BH25" s="0" t="n">
        <v>245</v>
      </c>
      <c r="BI25" s="0" t="n">
        <v>7</v>
      </c>
      <c r="BJ25" s="0" t="n">
        <v>-0.591452283493709</v>
      </c>
      <c r="BK25" s="0" t="n">
        <v>0</v>
      </c>
      <c r="BL25" s="0" t="n">
        <v>0</v>
      </c>
      <c r="BM25" s="0" t="n">
        <v>103.7</v>
      </c>
      <c r="BN25" s="0" t="n">
        <v>135.7</v>
      </c>
      <c r="BO25" s="0" t="n">
        <v>9</v>
      </c>
      <c r="BP25" s="0" t="s">
        <v>170</v>
      </c>
      <c r="BQ25" s="0" t="n">
        <v>1</v>
      </c>
      <c r="BR25" s="0" t="n">
        <v>119.7</v>
      </c>
      <c r="BS25" s="0" t="n">
        <v>0.0643</v>
      </c>
      <c r="BT25" s="0" t="n">
        <v>0.2661</v>
      </c>
      <c r="BU25" s="0" t="n">
        <v>-0.0123</v>
      </c>
      <c r="BV25" s="0" t="n">
        <v>0.1232</v>
      </c>
      <c r="BW25" s="0" t="n">
        <v>0.5145</v>
      </c>
      <c r="BX25" s="0" t="n">
        <v>-0.0232</v>
      </c>
      <c r="BY25" s="0" t="n">
        <v>0.1686</v>
      </c>
      <c r="BZ25" s="0" t="n">
        <v>9</v>
      </c>
      <c r="CA25" s="0" t="n">
        <v>8.1</v>
      </c>
      <c r="CB25" s="0" t="n">
        <v>23.92</v>
      </c>
      <c r="CC25" s="0" t="n">
        <v>14.7</v>
      </c>
      <c r="CD25" s="0" t="n">
        <v>8.08</v>
      </c>
      <c r="CE25" s="0" t="n">
        <v>3</v>
      </c>
      <c r="CF25" s="0" t="n">
        <v>0</v>
      </c>
      <c r="CG25" s="0" t="n">
        <v>9</v>
      </c>
      <c r="CH25" s="0" t="n">
        <v>0.333</v>
      </c>
      <c r="CI25" s="0" t="n">
        <v>0</v>
      </c>
      <c r="CJ25" s="0" t="n">
        <v>0.549</v>
      </c>
      <c r="CK25" s="0" t="n">
        <v>2</v>
      </c>
      <c r="CL25" s="0" t="n">
        <v>1</v>
      </c>
      <c r="CM25" s="0" t="n">
        <v>1</v>
      </c>
      <c r="CN25" s="0" t="n">
        <v>1</v>
      </c>
      <c r="CO25" s="0" t="n">
        <v>1.15676897870148</v>
      </c>
      <c r="CP25" s="0" t="n">
        <v>26</v>
      </c>
      <c r="CQ25" s="0" t="n">
        <v>15</v>
      </c>
      <c r="CR25" s="0" t="n">
        <v>8</v>
      </c>
      <c r="CS25" s="0" t="n">
        <v>4</v>
      </c>
      <c r="CT25" s="0" t="n">
        <v>4.64322488725815</v>
      </c>
      <c r="CU25" s="0" t="n">
        <v>28</v>
      </c>
      <c r="CV25" s="0" t="n">
        <v>16</v>
      </c>
      <c r="CW25" s="0" t="n">
        <v>9</v>
      </c>
      <c r="CX25" s="0" t="n">
        <v>5</v>
      </c>
      <c r="CY25" s="0" t="n">
        <v>5.8</v>
      </c>
      <c r="CZ25" s="0" t="n">
        <v>-0.8</v>
      </c>
      <c r="DG25" s="0" t="n">
        <v>3.94088073394496</v>
      </c>
      <c r="DH25" s="0" t="n">
        <v>25.8064516129032</v>
      </c>
      <c r="DI25" s="0" t="n">
        <v>2.98062385321101</v>
      </c>
      <c r="DJ25" s="0" t="n">
        <v>81.6016413589784</v>
      </c>
      <c r="DK25" s="0" t="n">
        <v>0.658077752894987</v>
      </c>
      <c r="DL25" s="0" t="n">
        <v>0.451612903225806</v>
      </c>
      <c r="DM25" s="0" t="s">
        <v>1049</v>
      </c>
      <c r="DN25" s="0" t="n">
        <v>124</v>
      </c>
      <c r="DO25" s="0" t="n">
        <v>15</v>
      </c>
      <c r="DP25" s="0" t="n">
        <v>2.71</v>
      </c>
      <c r="DQ25" s="0" t="n">
        <v>1.685</v>
      </c>
      <c r="DR25" s="0" t="n">
        <v>8.27</v>
      </c>
      <c r="DS25" s="0" t="n">
        <v>35</v>
      </c>
      <c r="DT25" s="0" t="n">
        <v>3</v>
      </c>
      <c r="DU25" s="0" t="n">
        <v>0</v>
      </c>
      <c r="DV25" s="0" t="n">
        <v>-1.656</v>
      </c>
      <c r="DW25" s="0" t="n">
        <v>7.656</v>
      </c>
      <c r="DX25" s="0" t="n">
        <v>-1.5</v>
      </c>
      <c r="DY25" s="0" t="n">
        <v>0</v>
      </c>
      <c r="DZ25" s="0" t="n">
        <v>384</v>
      </c>
      <c r="EA25" s="0" t="n">
        <v>0.634</v>
      </c>
      <c r="EB25" s="0" t="n">
        <v>9</v>
      </c>
      <c r="EC25" s="0" t="s">
        <v>1050</v>
      </c>
      <c r="ED25" s="0" t="n">
        <v>2025</v>
      </c>
      <c r="EE25" s="0" t="n">
        <v>1</v>
      </c>
      <c r="EF25" s="0" t="n">
        <v>22</v>
      </c>
      <c r="EG25" s="0" t="n">
        <v>2025</v>
      </c>
      <c r="EH25" s="0" t="n">
        <v>2026</v>
      </c>
      <c r="EI25" s="0" t="n">
        <v>2</v>
      </c>
      <c r="EJ25" s="0" t="n">
        <v>72</v>
      </c>
      <c r="EK25" s="0" t="n">
        <v>220</v>
      </c>
      <c r="EL25" s="0" t="s">
        <v>1051</v>
      </c>
      <c r="EM25" s="0" t="n">
        <v>23.4</v>
      </c>
      <c r="EN25" s="15" t="b">
        <f aca="false">FALSE()</f>
        <v>0</v>
      </c>
      <c r="EO25" s="0" t="n">
        <v>359</v>
      </c>
      <c r="EP25" s="0" t="n">
        <v>2.71309192200557</v>
      </c>
      <c r="EQ25" s="0" t="n">
        <v>0.22841225626741</v>
      </c>
      <c r="ER25" s="0" t="n">
        <v>1.12534818941504</v>
      </c>
      <c r="ES25" s="0" t="n">
        <v>0.746518105849582</v>
      </c>
      <c r="ET25" s="0" t="n">
        <v>36</v>
      </c>
      <c r="EU25" s="0" t="n">
        <v>22</v>
      </c>
      <c r="EV25" s="0" t="n">
        <v>4.06685236768802</v>
      </c>
      <c r="EW25" s="0" t="n">
        <v>0.611111111111111</v>
      </c>
      <c r="EX25" s="0" t="n">
        <v>2.89104964249176</v>
      </c>
      <c r="EY25" s="0" t="n">
        <v>2.77</v>
      </c>
      <c r="EZ25" s="0" t="n">
        <v>0.2195</v>
      </c>
      <c r="FA25" s="0" t="n">
        <v>2.614</v>
      </c>
      <c r="FB25" s="0" t="n">
        <v>1.822</v>
      </c>
      <c r="FC25" s="0" t="n">
        <v>24</v>
      </c>
      <c r="FD25" s="0" t="n">
        <v>681</v>
      </c>
      <c r="FE25" s="0" t="n">
        <v>0.0881057268722467</v>
      </c>
      <c r="FF25" s="0" t="n">
        <v>0.0832</v>
      </c>
      <c r="FG25" s="0" t="n">
        <v>0.3427</v>
      </c>
      <c r="FH25" s="0" t="n">
        <v>2.37</v>
      </c>
      <c r="FI25" s="0" t="n">
        <v>1080</v>
      </c>
      <c r="FJ25" s="0" t="n">
        <v>0.578703703703704</v>
      </c>
      <c r="FK25" s="0" t="n">
        <v>17</v>
      </c>
      <c r="FL25" s="0" t="n">
        <v>63.53</v>
      </c>
      <c r="FM25" s="0" t="n">
        <v>0.579</v>
      </c>
      <c r="FN25" s="0" t="n">
        <v>0.421</v>
      </c>
      <c r="FO25" s="0" t="n">
        <v>0.0064</v>
      </c>
      <c r="FP25" s="0" t="n">
        <v>0.0187</v>
      </c>
      <c r="FQ25" s="0" t="n">
        <v>-0.0542</v>
      </c>
      <c r="FR25" s="0" t="n">
        <v>39</v>
      </c>
      <c r="FS25" s="0" t="n">
        <v>59</v>
      </c>
      <c r="FT25" s="0" t="n">
        <v>3.47</v>
      </c>
      <c r="FU25" s="0" t="n">
        <v>21.6</v>
      </c>
      <c r="FV25" s="0" t="n">
        <v>5784</v>
      </c>
      <c r="FW25" s="0" t="n">
        <v>1183</v>
      </c>
      <c r="FX25" s="0" t="n">
        <v>0.205</v>
      </c>
      <c r="FY25" s="0" t="n">
        <v>5</v>
      </c>
      <c r="FZ25" s="0" t="n">
        <v>1</v>
      </c>
      <c r="GA25" s="0" t="n">
        <v>-0.516900207039375</v>
      </c>
      <c r="GB25" s="0" t="n">
        <v>40.7</v>
      </c>
      <c r="GC25" s="0" t="n">
        <v>23</v>
      </c>
      <c r="GD25" s="0" t="n">
        <v>26.9</v>
      </c>
      <c r="GE25" s="0" t="n">
        <v>544</v>
      </c>
      <c r="GF25" s="0" t="n">
        <v>466</v>
      </c>
      <c r="GG25" s="0" t="n">
        <v>15</v>
      </c>
      <c r="GH25" s="0" t="n">
        <v>23</v>
      </c>
      <c r="GI25" s="0" t="n">
        <v>152</v>
      </c>
      <c r="GJ25" s="0" t="n">
        <v>2</v>
      </c>
      <c r="GK25" s="0" t="n">
        <v>0.028</v>
      </c>
      <c r="GL25" s="0" t="n">
        <v>0.049</v>
      </c>
      <c r="GM25" s="0" t="n">
        <v>0.013</v>
      </c>
      <c r="GN25" s="0" t="n">
        <v>15.078</v>
      </c>
      <c r="GO25" s="0" t="n">
        <v>13.3</v>
      </c>
      <c r="GP25" s="0" t="n">
        <v>11.522</v>
      </c>
      <c r="GQ25" s="0" t="n">
        <v>3.889</v>
      </c>
      <c r="GR25" s="0" t="n">
        <v>13.778</v>
      </c>
      <c r="GS25" s="0" t="n">
        <v>159</v>
      </c>
      <c r="GT25" s="0" t="n">
        <v>0.853</v>
      </c>
      <c r="GU25" s="0" t="n">
        <v>0.353</v>
      </c>
      <c r="GV25" s="0" t="n">
        <v>5.486</v>
      </c>
      <c r="GW25" s="0" t="n">
        <v>6</v>
      </c>
      <c r="GX25" s="0" t="n">
        <v>0.914</v>
      </c>
      <c r="GY25" s="0" t="n">
        <v>4.395</v>
      </c>
      <c r="GZ25" s="0" t="n">
        <v>-1.543</v>
      </c>
      <c r="HA25" s="0" t="n">
        <v>7.656</v>
      </c>
      <c r="HB25" s="0" t="n">
        <v>-3.556</v>
      </c>
      <c r="HC25" s="0" t="n">
        <v>0.031</v>
      </c>
      <c r="HD25" s="0" t="n">
        <v>-0.006</v>
      </c>
      <c r="HE25" s="0" t="n">
        <v>-0.017</v>
      </c>
      <c r="HG25" s="0" t="n">
        <v>25.64</v>
      </c>
      <c r="HH25" s="0" t="n">
        <v>7.39</v>
      </c>
      <c r="HI25" s="0" t="n">
        <v>11</v>
      </c>
      <c r="HJ25" s="0" t="n">
        <v>46</v>
      </c>
      <c r="HK25" s="0" t="s">
        <v>909</v>
      </c>
      <c r="HL25" s="0" t="n">
        <v>0</v>
      </c>
      <c r="HM25" s="0" t="n">
        <v>34</v>
      </c>
      <c r="HN25" s="0" t="n">
        <v>9</v>
      </c>
      <c r="HO25" s="0" t="n">
        <v>-1.136</v>
      </c>
      <c r="HP25" s="0" t="n">
        <v>13</v>
      </c>
      <c r="HQ25" s="0" t="n">
        <v>-0.216</v>
      </c>
      <c r="HR25" s="0" t="s">
        <v>165</v>
      </c>
    </row>
    <row r="26" customFormat="false" ht="15" hidden="false" customHeight="false" outlineLevel="0" collapsed="false">
      <c r="A26" s="0" t="s">
        <v>896</v>
      </c>
      <c r="B26" s="0" t="s">
        <v>897</v>
      </c>
      <c r="C26" s="0" t="s">
        <v>898</v>
      </c>
      <c r="D26" s="0" t="s">
        <v>171</v>
      </c>
      <c r="E26" s="0" t="n">
        <v>17298</v>
      </c>
      <c r="F26" s="0" t="s">
        <v>172</v>
      </c>
      <c r="G26" s="0" t="n">
        <v>25.86</v>
      </c>
      <c r="H26" s="0" t="n">
        <v>2.48</v>
      </c>
      <c r="I26" s="0" t="n">
        <v>21</v>
      </c>
      <c r="J26" s="0" t="n">
        <v>36</v>
      </c>
      <c r="L26" s="0" t="s">
        <v>1052</v>
      </c>
      <c r="O26" s="0" t="n">
        <v>99.6</v>
      </c>
      <c r="U26" s="0" t="n">
        <v>7</v>
      </c>
      <c r="V26" s="0" t="s">
        <v>171</v>
      </c>
      <c r="W26" s="0" t="s">
        <v>901</v>
      </c>
      <c r="X26" s="0" t="s">
        <v>147</v>
      </c>
      <c r="Y26" s="0" t="s">
        <v>1053</v>
      </c>
      <c r="Z26" s="0" t="n">
        <v>17298</v>
      </c>
      <c r="AA26" s="0" t="s">
        <v>1054</v>
      </c>
      <c r="AB26" s="0" t="s">
        <v>904</v>
      </c>
      <c r="AC26" s="0" t="s">
        <v>147</v>
      </c>
      <c r="AD26" s="0" t="s">
        <v>147</v>
      </c>
      <c r="AE26" s="0" t="s">
        <v>147</v>
      </c>
      <c r="AF26" s="0" t="s">
        <v>147</v>
      </c>
      <c r="AG26" s="0" t="s">
        <v>147</v>
      </c>
      <c r="AH26" s="0" t="s">
        <v>905</v>
      </c>
      <c r="AI26" s="0" t="n">
        <v>1</v>
      </c>
      <c r="AJ26" s="0" t="s">
        <v>172</v>
      </c>
      <c r="AK26" s="0" t="n">
        <v>25</v>
      </c>
      <c r="AL26" s="0" t="n">
        <v>1</v>
      </c>
      <c r="AM26" s="0" t="s">
        <v>173</v>
      </c>
      <c r="AN26" s="0" t="n">
        <v>319</v>
      </c>
      <c r="AO26" s="0" t="n">
        <v>460</v>
      </c>
      <c r="AP26" s="0" t="n">
        <v>3668</v>
      </c>
      <c r="AQ26" s="0" t="n">
        <v>25</v>
      </c>
      <c r="AR26" s="0" t="n">
        <v>10</v>
      </c>
      <c r="AS26" s="0" t="n">
        <v>40</v>
      </c>
      <c r="AT26" s="0" t="n">
        <v>3359</v>
      </c>
      <c r="AU26" s="0" t="n">
        <v>177</v>
      </c>
      <c r="AV26" s="0" t="n">
        <v>71.3263364575351</v>
      </c>
      <c r="AW26" s="0" t="n">
        <v>112</v>
      </c>
      <c r="AX26" s="0" t="n">
        <v>579</v>
      </c>
      <c r="AY26" s="0" t="n">
        <v>14</v>
      </c>
      <c r="AZ26" s="0" t="n">
        <v>46</v>
      </c>
      <c r="BA26" s="0" t="n">
        <v>38.7725682293971</v>
      </c>
      <c r="BB26" s="0" t="n">
        <v>2</v>
      </c>
      <c r="BC26" s="0" t="n">
        <v>0</v>
      </c>
      <c r="BD26" s="0" t="n">
        <v>0</v>
      </c>
      <c r="BE26" s="0" t="n">
        <v>0</v>
      </c>
      <c r="BF26" s="0" t="n">
        <v>0</v>
      </c>
      <c r="BG26" s="0" t="n">
        <v>0</v>
      </c>
      <c r="BH26" s="0" t="n">
        <v>0</v>
      </c>
      <c r="BI26" s="0" t="n">
        <v>0</v>
      </c>
      <c r="BJ26" s="0" t="n">
        <v>0</v>
      </c>
      <c r="BK26" s="0" t="n">
        <v>0</v>
      </c>
      <c r="BL26" s="0" t="n">
        <v>0</v>
      </c>
      <c r="BM26" s="0" t="n">
        <v>364.62</v>
      </c>
      <c r="BN26" s="0" t="n">
        <v>364.62</v>
      </c>
      <c r="BO26" s="0" t="n">
        <v>16</v>
      </c>
      <c r="BP26" s="0" t="s">
        <v>147</v>
      </c>
      <c r="BQ26" s="0" t="n">
        <v>1</v>
      </c>
      <c r="BR26" s="0" t="n">
        <v>364.62</v>
      </c>
      <c r="BS26" s="0" t="n">
        <v>0</v>
      </c>
      <c r="BT26" s="0" t="n">
        <v>0.2048</v>
      </c>
      <c r="BU26" s="0" t="n">
        <v>0</v>
      </c>
      <c r="BV26" s="0" t="n">
        <v>0</v>
      </c>
      <c r="BW26" s="0" t="n">
        <v>0.2222</v>
      </c>
      <c r="BX26" s="0" t="n">
        <v>0</v>
      </c>
      <c r="BY26" s="0" t="n">
        <v>0</v>
      </c>
      <c r="BZ26" s="0" t="n">
        <v>16</v>
      </c>
      <c r="CA26" s="0" t="n">
        <v>16.39</v>
      </c>
      <c r="CB26" s="0" t="n">
        <v>35.58</v>
      </c>
      <c r="CC26" s="0" t="n">
        <v>23.1</v>
      </c>
      <c r="CD26" s="0" t="n">
        <v>10.4</v>
      </c>
      <c r="CE26" s="0" t="n">
        <v>10</v>
      </c>
      <c r="CF26" s="0" t="n">
        <v>0</v>
      </c>
      <c r="CG26" s="0" t="n">
        <v>16</v>
      </c>
      <c r="CH26" s="0" t="n">
        <v>0.625</v>
      </c>
      <c r="CI26" s="0" t="n">
        <v>0</v>
      </c>
      <c r="CJ26" s="0" t="n">
        <v>0.45</v>
      </c>
      <c r="CK26" s="0" t="n">
        <v>0</v>
      </c>
      <c r="CL26" s="0" t="n">
        <v>0</v>
      </c>
      <c r="CM26" s="0" t="n">
        <v>0</v>
      </c>
      <c r="CN26" s="0" t="n">
        <v>0</v>
      </c>
      <c r="CO26" s="0" t="n">
        <v>0</v>
      </c>
      <c r="CP26" s="0" t="n">
        <v>27</v>
      </c>
      <c r="CQ26" s="0" t="n">
        <v>21</v>
      </c>
      <c r="CR26" s="0" t="n">
        <v>17</v>
      </c>
      <c r="CS26" s="0" t="n">
        <v>14</v>
      </c>
      <c r="CT26" s="0" t="n">
        <v>8.49946511975447</v>
      </c>
      <c r="CU26" s="0" t="n">
        <v>27</v>
      </c>
      <c r="CV26" s="0" t="n">
        <v>21</v>
      </c>
      <c r="CW26" s="0" t="n">
        <v>17</v>
      </c>
      <c r="CX26" s="0" t="n">
        <v>14</v>
      </c>
      <c r="CY26" s="0" t="n">
        <v>8.5</v>
      </c>
      <c r="CZ26" s="0" t="n">
        <v>5.5</v>
      </c>
      <c r="DM26" s="0" t="s">
        <v>1055</v>
      </c>
      <c r="DN26" s="0" t="n">
        <v>112</v>
      </c>
      <c r="DO26" s="0" t="n">
        <v>7</v>
      </c>
      <c r="DP26" s="0" t="n">
        <v>3.179</v>
      </c>
      <c r="DQ26" s="0" t="n">
        <v>1.991</v>
      </c>
      <c r="DR26" s="0" t="n">
        <v>16</v>
      </c>
      <c r="DZ26" s="0" t="n">
        <v>1034</v>
      </c>
      <c r="EA26" s="0" t="n">
        <v>0.922</v>
      </c>
      <c r="EB26" s="0" t="n">
        <v>17</v>
      </c>
      <c r="EC26" s="0" t="s">
        <v>1056</v>
      </c>
      <c r="ED26" s="0" t="n">
        <v>2018</v>
      </c>
      <c r="EE26" s="0" t="n">
        <v>1</v>
      </c>
      <c r="EF26" s="0" t="n">
        <v>7</v>
      </c>
      <c r="EG26" s="0" t="n">
        <v>2018</v>
      </c>
      <c r="EH26" s="0" t="n">
        <v>2026</v>
      </c>
      <c r="EI26" s="0" t="n">
        <v>9</v>
      </c>
      <c r="EJ26" s="0" t="n">
        <v>77</v>
      </c>
      <c r="EK26" s="0" t="n">
        <v>237</v>
      </c>
      <c r="EL26" s="0" t="s">
        <v>1057</v>
      </c>
      <c r="EM26" s="0" t="n">
        <v>30.2</v>
      </c>
      <c r="EN26" s="15" t="b">
        <f aca="false">FALSE()</f>
        <v>0</v>
      </c>
      <c r="EO26" s="0" t="n">
        <v>419</v>
      </c>
      <c r="EP26" s="0" t="n">
        <v>3.36658711217184</v>
      </c>
      <c r="EQ26" s="0" t="n">
        <v>0.126491646778043</v>
      </c>
      <c r="ER26" s="0" t="n">
        <v>1.44630071599045</v>
      </c>
      <c r="ES26" s="0" t="n">
        <v>0.897374701670644</v>
      </c>
      <c r="ET26" s="0" t="n">
        <v>37</v>
      </c>
      <c r="EU26" s="0" t="n">
        <v>20</v>
      </c>
      <c r="EV26" s="0" t="n">
        <v>5.01193317422434</v>
      </c>
      <c r="EW26" s="0" t="n">
        <v>0.540540540540541</v>
      </c>
      <c r="EX26" s="0" t="n">
        <v>2.91817960590113</v>
      </c>
      <c r="EY26" s="0" t="n">
        <v>3.397</v>
      </c>
      <c r="EZ26" s="0" t="n">
        <v>0.1265</v>
      </c>
      <c r="FA26" s="0" t="n">
        <v>2.905</v>
      </c>
      <c r="FB26" s="0" t="n">
        <v>2.057</v>
      </c>
      <c r="FC26" s="0" t="n">
        <v>35</v>
      </c>
      <c r="FD26" s="0" t="n">
        <v>584</v>
      </c>
      <c r="FE26" s="0" t="n">
        <v>0.0684931506849315</v>
      </c>
      <c r="FF26" s="0" t="n">
        <v>0.0702</v>
      </c>
      <c r="FG26" s="0" t="n">
        <v>0.2</v>
      </c>
      <c r="FH26" s="0" t="n">
        <v>2.507</v>
      </c>
      <c r="FI26" s="0" t="n">
        <v>1065</v>
      </c>
      <c r="FJ26" s="0" t="n">
        <v>0.509859154929578</v>
      </c>
      <c r="FK26" s="0" t="n">
        <v>17</v>
      </c>
      <c r="FL26" s="0" t="n">
        <v>62.65</v>
      </c>
      <c r="FM26" s="0" t="n">
        <v>0.5028</v>
      </c>
      <c r="FN26" s="0" t="n">
        <v>0.4972</v>
      </c>
      <c r="FO26" s="0" t="n">
        <v>-0.0352</v>
      </c>
      <c r="FP26" s="0" t="n">
        <v>0.1102</v>
      </c>
      <c r="FQ26" s="0" t="n">
        <v>0.1599</v>
      </c>
      <c r="FR26" s="0" t="n">
        <v>40</v>
      </c>
      <c r="FS26" s="0" t="n">
        <v>68</v>
      </c>
      <c r="FT26" s="0" t="n">
        <v>4</v>
      </c>
      <c r="FU26" s="0" t="n">
        <v>28.3</v>
      </c>
      <c r="FV26" s="0" t="n">
        <v>5677</v>
      </c>
      <c r="FW26" s="0" t="n">
        <v>4330</v>
      </c>
      <c r="FX26" s="0" t="n">
        <v>0.763</v>
      </c>
      <c r="FY26" s="0" t="n">
        <v>5</v>
      </c>
      <c r="FZ26" s="0" t="n">
        <v>4</v>
      </c>
      <c r="GA26" s="0" t="n">
        <v>1.26194193528219</v>
      </c>
      <c r="GB26" s="0" t="n">
        <v>72.8</v>
      </c>
      <c r="GC26" s="0" t="n">
        <v>64.4</v>
      </c>
      <c r="GD26" s="0" t="n">
        <v>73.6</v>
      </c>
      <c r="GE26" s="0" t="n">
        <v>479</v>
      </c>
      <c r="GF26" s="0" t="n">
        <v>547</v>
      </c>
      <c r="GG26" s="0" t="n">
        <v>19</v>
      </c>
      <c r="GH26" s="0" t="n">
        <v>17</v>
      </c>
      <c r="GI26" s="0" t="n">
        <v>180</v>
      </c>
      <c r="GJ26" s="0" t="n">
        <v>2</v>
      </c>
      <c r="GK26" s="0" t="n">
        <v>0.04</v>
      </c>
      <c r="GL26" s="0" t="n">
        <v>0.031</v>
      </c>
      <c r="GM26" s="0" t="n">
        <v>0.011</v>
      </c>
      <c r="GN26" s="0" t="n">
        <v>22.789</v>
      </c>
      <c r="GO26" s="0" t="n">
        <v>22.789</v>
      </c>
      <c r="GP26" s="0" t="n">
        <v>22.789</v>
      </c>
      <c r="GQ26" s="0" t="n">
        <v>0</v>
      </c>
      <c r="GR26" s="0" t="n">
        <v>7</v>
      </c>
      <c r="GS26" s="0" t="n">
        <v>112</v>
      </c>
      <c r="GT26" s="0" t="n">
        <v>3.256</v>
      </c>
      <c r="GU26" s="0" t="n">
        <v>0.353</v>
      </c>
      <c r="GY26" s="0" t="n">
        <v>5.17</v>
      </c>
      <c r="HC26" s="0" t="n">
        <v>0.125</v>
      </c>
      <c r="HD26" s="0" t="n">
        <v>0.346</v>
      </c>
      <c r="HG26" s="0" t="n">
        <v>25.86</v>
      </c>
      <c r="HH26" s="0" t="n">
        <v>2.48</v>
      </c>
      <c r="HI26" s="0" t="n">
        <v>21</v>
      </c>
      <c r="HJ26" s="0" t="n">
        <v>36</v>
      </c>
      <c r="HK26" s="0" t="s">
        <v>909</v>
      </c>
      <c r="HL26" s="0" t="n">
        <v>0</v>
      </c>
      <c r="HM26" s="0" t="n">
        <v>1</v>
      </c>
      <c r="HN26" s="0" t="n">
        <v>1</v>
      </c>
      <c r="HO26" s="0" t="n">
        <v>0.027</v>
      </c>
      <c r="HP26" s="0" t="n">
        <v>1</v>
      </c>
      <c r="HQ26" s="0" t="n">
        <v>0.026</v>
      </c>
      <c r="HR26" s="0" t="s">
        <v>102</v>
      </c>
    </row>
    <row r="27" customFormat="false" ht="15" hidden="false" customHeight="false" outlineLevel="0" collapsed="false">
      <c r="A27" s="0" t="s">
        <v>896</v>
      </c>
      <c r="B27" s="0" t="s">
        <v>897</v>
      </c>
      <c r="C27" s="0" t="s">
        <v>898</v>
      </c>
      <c r="D27" s="0" t="s">
        <v>174</v>
      </c>
      <c r="E27" s="0" t="n">
        <v>17240</v>
      </c>
      <c r="F27" s="0" t="s">
        <v>104</v>
      </c>
      <c r="G27" s="0" t="n">
        <v>25.94</v>
      </c>
      <c r="H27" s="0" t="n">
        <v>7.1</v>
      </c>
      <c r="I27" s="0" t="n">
        <v>10</v>
      </c>
      <c r="J27" s="0" t="n">
        <v>41</v>
      </c>
      <c r="L27" s="0" t="s">
        <v>1058</v>
      </c>
      <c r="O27" s="0" t="n">
        <v>99.4</v>
      </c>
      <c r="U27" s="0" t="n">
        <v>10</v>
      </c>
      <c r="V27" s="0" t="s">
        <v>174</v>
      </c>
      <c r="W27" s="0" t="s">
        <v>901</v>
      </c>
      <c r="X27" s="0" t="s">
        <v>136</v>
      </c>
      <c r="Y27" s="0" t="s">
        <v>1059</v>
      </c>
      <c r="Z27" s="0" t="n">
        <v>17240</v>
      </c>
      <c r="AA27" s="0" t="s">
        <v>1060</v>
      </c>
      <c r="AB27" s="0" t="s">
        <v>904</v>
      </c>
      <c r="AC27" s="0" t="s">
        <v>136</v>
      </c>
      <c r="AD27" s="0" t="s">
        <v>136</v>
      </c>
      <c r="AE27" s="0" t="s">
        <v>136</v>
      </c>
      <c r="AF27" s="0" t="s">
        <v>136</v>
      </c>
      <c r="AG27" s="0" t="s">
        <v>136</v>
      </c>
      <c r="AH27" s="0" t="s">
        <v>905</v>
      </c>
      <c r="AI27" s="0" t="n">
        <v>1</v>
      </c>
      <c r="AJ27" s="0" t="s">
        <v>104</v>
      </c>
      <c r="AK27" s="0" t="n">
        <v>26</v>
      </c>
      <c r="AL27" s="0" t="n">
        <v>10</v>
      </c>
      <c r="AM27" s="0" t="s">
        <v>175</v>
      </c>
      <c r="AN27" s="0" t="n">
        <v>0</v>
      </c>
      <c r="AO27" s="0" t="n">
        <v>0</v>
      </c>
      <c r="AP27" s="0" t="n">
        <v>0</v>
      </c>
      <c r="AQ27" s="0" t="n">
        <v>0</v>
      </c>
      <c r="AR27" s="0" t="n">
        <v>0</v>
      </c>
      <c r="AS27" s="0" t="n">
        <v>0</v>
      </c>
      <c r="AT27" s="0" t="n">
        <v>0</v>
      </c>
      <c r="AU27" s="0" t="n">
        <v>0</v>
      </c>
      <c r="AV27" s="0" t="n">
        <v>0</v>
      </c>
      <c r="AW27" s="0" t="n">
        <v>280</v>
      </c>
      <c r="AX27" s="0" t="n">
        <v>1140</v>
      </c>
      <c r="AY27" s="0" t="n">
        <v>7</v>
      </c>
      <c r="AZ27" s="0" t="n">
        <v>48</v>
      </c>
      <c r="BA27" s="0" t="n">
        <v>-24.0965797156755</v>
      </c>
      <c r="BB27" s="0" t="n">
        <v>0</v>
      </c>
      <c r="BC27" s="0" t="n">
        <v>37</v>
      </c>
      <c r="BD27" s="0" t="n">
        <v>50</v>
      </c>
      <c r="BE27" s="0" t="n">
        <v>273</v>
      </c>
      <c r="BF27" s="0" t="n">
        <v>2</v>
      </c>
      <c r="BG27" s="0" t="n">
        <v>31</v>
      </c>
      <c r="BH27" s="0" t="n">
        <v>296</v>
      </c>
      <c r="BI27" s="0" t="n">
        <v>11</v>
      </c>
      <c r="BJ27" s="0" t="n">
        <v>-4.97130264547002</v>
      </c>
      <c r="BK27" s="0" t="n">
        <v>1</v>
      </c>
      <c r="BL27" s="0" t="n">
        <v>0</v>
      </c>
      <c r="BM27" s="0" t="n">
        <v>195.3</v>
      </c>
      <c r="BN27" s="0" t="n">
        <v>232.3</v>
      </c>
      <c r="BO27" s="0" t="n">
        <v>16</v>
      </c>
      <c r="BP27" s="0" t="s">
        <v>136</v>
      </c>
      <c r="BQ27" s="0" t="n">
        <v>1</v>
      </c>
      <c r="BR27" s="0" t="n">
        <v>213.8</v>
      </c>
      <c r="BS27" s="0" t="n">
        <v>0.1078</v>
      </c>
      <c r="BT27" s="0" t="n">
        <v>0.5858</v>
      </c>
      <c r="BU27" s="0" t="n">
        <v>0.0074</v>
      </c>
      <c r="BV27" s="0" t="n">
        <v>0.1163</v>
      </c>
      <c r="BW27" s="0" t="n">
        <v>0.61</v>
      </c>
      <c r="BX27" s="0" t="n">
        <v>0.008</v>
      </c>
      <c r="BY27" s="0" t="n">
        <v>0.18</v>
      </c>
      <c r="BZ27" s="0" t="n">
        <v>16</v>
      </c>
      <c r="CA27" s="0" t="n">
        <v>9.3</v>
      </c>
      <c r="CB27" s="0" t="n">
        <v>18.35</v>
      </c>
      <c r="CC27" s="0" t="n">
        <v>15.15</v>
      </c>
      <c r="CD27" s="0" t="n">
        <v>7.19</v>
      </c>
      <c r="CE27" s="0" t="n">
        <v>6</v>
      </c>
      <c r="CF27" s="0" t="n">
        <v>0</v>
      </c>
      <c r="CG27" s="0" t="n">
        <v>16</v>
      </c>
      <c r="CH27" s="0" t="n">
        <v>0.375</v>
      </c>
      <c r="CI27" s="0" t="n">
        <v>0</v>
      </c>
      <c r="CJ27" s="0" t="n">
        <v>0.475</v>
      </c>
      <c r="CK27" s="0" t="n">
        <v>7</v>
      </c>
      <c r="CL27" s="0" t="n">
        <v>3</v>
      </c>
      <c r="CM27" s="0" t="n">
        <v>1</v>
      </c>
      <c r="CN27" s="0" t="n">
        <v>2</v>
      </c>
      <c r="CO27" s="0" t="n">
        <v>2.22293430014134</v>
      </c>
      <c r="CP27" s="0" t="n">
        <v>43</v>
      </c>
      <c r="CQ27" s="0" t="n">
        <v>24</v>
      </c>
      <c r="CR27" s="0" t="n">
        <v>14</v>
      </c>
      <c r="CS27" s="0" t="n">
        <v>7</v>
      </c>
      <c r="CT27" s="0" t="n">
        <v>8.29538503418855</v>
      </c>
      <c r="CU27" s="0" t="n">
        <v>50</v>
      </c>
      <c r="CV27" s="0" t="n">
        <v>27</v>
      </c>
      <c r="CW27" s="0" t="n">
        <v>15</v>
      </c>
      <c r="CX27" s="0" t="n">
        <v>9</v>
      </c>
      <c r="CY27" s="0" t="n">
        <v>10.52</v>
      </c>
      <c r="CZ27" s="0" t="n">
        <v>-1.52</v>
      </c>
      <c r="DG27" s="0" t="n">
        <v>4.08211403508772</v>
      </c>
      <c r="DH27" s="0" t="n">
        <v>31.0714285714286</v>
      </c>
      <c r="DI27" s="0" t="n">
        <v>2.96837656903766</v>
      </c>
      <c r="DJ27" s="0" t="n">
        <v>75.9335687827991</v>
      </c>
      <c r="DK27" s="0" t="n">
        <v>0.276122068301088</v>
      </c>
      <c r="DL27" s="0" t="n">
        <v>0.381818181818182</v>
      </c>
      <c r="DM27" s="0" t="s">
        <v>1061</v>
      </c>
      <c r="DN27" s="0" t="n">
        <v>280</v>
      </c>
      <c r="DO27" s="0" t="n">
        <v>18</v>
      </c>
      <c r="DP27" s="0" t="n">
        <v>2.461</v>
      </c>
      <c r="DQ27" s="0" t="n">
        <v>1.611</v>
      </c>
      <c r="DR27" s="0" t="n">
        <v>15.56</v>
      </c>
      <c r="DS27" s="0" t="n">
        <v>50</v>
      </c>
      <c r="DT27" s="0" t="n">
        <v>2</v>
      </c>
      <c r="DU27" s="0" t="n">
        <v>2</v>
      </c>
      <c r="DV27" s="0" t="n">
        <v>-0.622</v>
      </c>
      <c r="DW27" s="0" t="n">
        <v>8</v>
      </c>
      <c r="DX27" s="0" t="n">
        <v>0.6</v>
      </c>
      <c r="DY27" s="0" t="n">
        <v>0.04</v>
      </c>
      <c r="DZ27" s="0" t="n">
        <v>773</v>
      </c>
      <c r="EA27" s="0" t="n">
        <v>0.783</v>
      </c>
      <c r="EB27" s="0" t="n">
        <v>16</v>
      </c>
      <c r="EC27" s="0" t="s">
        <v>1062</v>
      </c>
      <c r="ED27" s="0" t="n">
        <v>2018</v>
      </c>
      <c r="EE27" s="0" t="n">
        <v>1</v>
      </c>
      <c r="EF27" s="0" t="n">
        <v>2</v>
      </c>
      <c r="EG27" s="0" t="n">
        <v>2018</v>
      </c>
      <c r="EH27" s="0" t="n">
        <v>2026</v>
      </c>
      <c r="EI27" s="0" t="n">
        <v>9</v>
      </c>
      <c r="EJ27" s="0" t="n">
        <v>72</v>
      </c>
      <c r="EK27" s="0" t="n">
        <v>232</v>
      </c>
      <c r="EL27" s="0" t="s">
        <v>1063</v>
      </c>
      <c r="EM27" s="0" t="n">
        <v>29.5</v>
      </c>
      <c r="EN27" s="15" t="b">
        <f aca="false">FALSE()</f>
        <v>0</v>
      </c>
      <c r="EO27" s="0" t="n">
        <v>364</v>
      </c>
      <c r="EP27" s="0" t="n">
        <v>2.7760989010989</v>
      </c>
      <c r="EQ27" s="0" t="n">
        <v>0.222527472527473</v>
      </c>
      <c r="ER27" s="0" t="n">
        <v>1.3489010989011</v>
      </c>
      <c r="ES27" s="0" t="n">
        <v>0.862637362637363</v>
      </c>
      <c r="ET27" s="0" t="n">
        <v>15</v>
      </c>
      <c r="EU27" s="0" t="n">
        <v>7</v>
      </c>
      <c r="EV27" s="0" t="n">
        <v>4.37637362637363</v>
      </c>
      <c r="EW27" s="0" t="n">
        <v>0.466666666666667</v>
      </c>
      <c r="EX27" s="0" t="n">
        <v>2.97533830221885</v>
      </c>
      <c r="EY27" s="0" t="n">
        <v>2.749</v>
      </c>
      <c r="EZ27" s="0" t="n">
        <v>0.2192</v>
      </c>
      <c r="FA27" s="0" t="n">
        <v>2.6</v>
      </c>
      <c r="FB27" s="0" t="n">
        <v>1.559</v>
      </c>
      <c r="FC27" s="0" t="n">
        <v>33</v>
      </c>
      <c r="FD27" s="0" t="n">
        <v>573</v>
      </c>
      <c r="FE27" s="0" t="n">
        <v>0.0610820244328098</v>
      </c>
      <c r="FF27" s="0" t="n">
        <v>0.0577</v>
      </c>
      <c r="FG27" s="0" t="n">
        <v>0.2334</v>
      </c>
      <c r="FH27" s="0" t="n">
        <v>2.491</v>
      </c>
      <c r="FI27" s="0" t="n">
        <v>995</v>
      </c>
      <c r="FJ27" s="0" t="n">
        <v>0.534673366834171</v>
      </c>
      <c r="FK27" s="0" t="n">
        <v>17</v>
      </c>
      <c r="FL27" s="0" t="n">
        <v>58.53</v>
      </c>
      <c r="FM27" s="0" t="n">
        <v>0.5347</v>
      </c>
      <c r="FN27" s="0" t="n">
        <v>0.4653</v>
      </c>
      <c r="FO27" s="0" t="n">
        <v>-0.0248</v>
      </c>
      <c r="FP27" s="0" t="n">
        <v>0.0054</v>
      </c>
      <c r="FQ27" s="0" t="n">
        <v>0.0436</v>
      </c>
      <c r="FR27" s="0" t="n">
        <v>39</v>
      </c>
      <c r="FS27" s="0" t="n">
        <v>47</v>
      </c>
      <c r="FT27" s="0" t="n">
        <v>2.76</v>
      </c>
      <c r="FU27" s="0" t="n">
        <v>22.3</v>
      </c>
      <c r="FV27" s="0" t="n">
        <v>5320</v>
      </c>
      <c r="FW27" s="0" t="n">
        <v>4835</v>
      </c>
      <c r="FX27" s="0" t="n">
        <v>0.909</v>
      </c>
      <c r="FY27" s="0" t="n">
        <v>5</v>
      </c>
      <c r="FZ27" s="0" t="n">
        <v>5</v>
      </c>
      <c r="GA27" s="0" t="n">
        <v>-0.79459899751177</v>
      </c>
      <c r="GB27" s="0" t="n">
        <v>35.6</v>
      </c>
      <c r="GC27" s="0" t="n">
        <v>61.6</v>
      </c>
      <c r="GD27" s="0" t="n">
        <v>48.2</v>
      </c>
      <c r="GE27" s="0" t="n">
        <v>464</v>
      </c>
      <c r="GF27" s="0" t="n">
        <v>478</v>
      </c>
      <c r="GG27" s="0" t="n">
        <v>175</v>
      </c>
      <c r="GH27" s="0" t="n">
        <v>12</v>
      </c>
      <c r="GI27" s="0" t="n">
        <v>148</v>
      </c>
      <c r="GJ27" s="0" t="n">
        <v>23</v>
      </c>
      <c r="GK27" s="0" t="n">
        <v>0.377</v>
      </c>
      <c r="GL27" s="0" t="n">
        <v>0.025</v>
      </c>
      <c r="GM27" s="0" t="n">
        <v>0.155</v>
      </c>
      <c r="GN27" s="0" t="n">
        <v>14.519</v>
      </c>
      <c r="GO27" s="0" t="n">
        <v>13.362</v>
      </c>
      <c r="GP27" s="0" t="n">
        <v>12.206</v>
      </c>
      <c r="GQ27" s="0" t="n">
        <v>3.125</v>
      </c>
      <c r="GR27" s="0" t="n">
        <v>17.5</v>
      </c>
      <c r="GS27" s="0" t="n">
        <v>330</v>
      </c>
      <c r="GT27" s="0" t="n">
        <v>0.704</v>
      </c>
      <c r="GU27" s="0" t="n">
        <v>0.301</v>
      </c>
      <c r="GV27" s="0" t="n">
        <v>5.46</v>
      </c>
      <c r="GW27" s="0" t="n">
        <v>7.378</v>
      </c>
      <c r="GX27" s="0" t="n">
        <v>0.74</v>
      </c>
      <c r="GY27" s="0" t="n">
        <v>4.071</v>
      </c>
      <c r="GZ27" s="0" t="n">
        <v>0.62</v>
      </c>
      <c r="HA27" s="0" t="n">
        <v>8</v>
      </c>
      <c r="HB27" s="0" t="n">
        <v>8.806</v>
      </c>
      <c r="HC27" s="0" t="n">
        <v>0.027</v>
      </c>
      <c r="HD27" s="0" t="n">
        <v>-0.086</v>
      </c>
      <c r="HE27" s="0" t="n">
        <v>-0.099</v>
      </c>
      <c r="HG27" s="0" t="n">
        <v>25.94</v>
      </c>
      <c r="HH27" s="0" t="n">
        <v>7.1</v>
      </c>
      <c r="HI27" s="0" t="n">
        <v>10</v>
      </c>
      <c r="HJ27" s="0" t="n">
        <v>41</v>
      </c>
      <c r="HK27" s="0" t="s">
        <v>909</v>
      </c>
      <c r="HL27" s="0" t="n">
        <v>0</v>
      </c>
      <c r="HM27" s="0" t="n">
        <v>14</v>
      </c>
      <c r="HN27" s="0" t="n">
        <v>10</v>
      </c>
      <c r="HO27" s="0" t="n">
        <v>-0.224</v>
      </c>
      <c r="HP27" s="0" t="n">
        <v>15</v>
      </c>
      <c r="HQ27" s="0" t="n">
        <v>-0.268</v>
      </c>
      <c r="HR27" s="0" t="s">
        <v>102</v>
      </c>
    </row>
    <row r="28" customFormat="false" ht="15" hidden="false" customHeight="false" outlineLevel="0" collapsed="false">
      <c r="A28" s="0" t="s">
        <v>896</v>
      </c>
      <c r="B28" s="0" t="s">
        <v>897</v>
      </c>
      <c r="C28" s="0" t="s">
        <v>898</v>
      </c>
      <c r="D28" s="0" t="s">
        <v>176</v>
      </c>
      <c r="E28" s="0" t="n">
        <v>25409</v>
      </c>
      <c r="F28" s="0" t="s">
        <v>99</v>
      </c>
      <c r="G28" s="0" t="n">
        <v>28.55</v>
      </c>
      <c r="H28" s="0" t="n">
        <v>11.16</v>
      </c>
      <c r="I28" s="0" t="n">
        <v>8</v>
      </c>
      <c r="J28" s="0" t="n">
        <v>60</v>
      </c>
      <c r="L28" s="0" t="s">
        <v>1064</v>
      </c>
      <c r="O28" s="0" t="n">
        <v>98.4</v>
      </c>
      <c r="T28" s="0" t="n">
        <v>2</v>
      </c>
      <c r="U28" s="0" t="n">
        <v>8</v>
      </c>
      <c r="V28" s="0" t="s">
        <v>176</v>
      </c>
      <c r="W28" s="0" t="s">
        <v>901</v>
      </c>
      <c r="X28" s="0" t="s">
        <v>178</v>
      </c>
      <c r="Y28" s="0" t="s">
        <v>1065</v>
      </c>
      <c r="Z28" s="0" t="n">
        <v>25409</v>
      </c>
      <c r="AA28" s="0" t="s">
        <v>1066</v>
      </c>
      <c r="AB28" s="0" t="s">
        <v>904</v>
      </c>
      <c r="AC28" s="0" t="s">
        <v>178</v>
      </c>
      <c r="AD28" s="0" t="s">
        <v>178</v>
      </c>
      <c r="AE28" s="0" t="s">
        <v>178</v>
      </c>
      <c r="AF28" s="0" t="s">
        <v>178</v>
      </c>
      <c r="AG28" s="0" t="s">
        <v>178</v>
      </c>
      <c r="AH28" s="0" t="s">
        <v>905</v>
      </c>
      <c r="AI28" s="0" t="n">
        <v>1</v>
      </c>
      <c r="AJ28" s="0" t="s">
        <v>99</v>
      </c>
      <c r="AK28" s="0" t="n">
        <v>27</v>
      </c>
      <c r="AL28" s="0" t="n">
        <v>14</v>
      </c>
      <c r="AM28" s="0" t="s">
        <v>177</v>
      </c>
      <c r="AN28" s="0" t="n">
        <v>0</v>
      </c>
      <c r="AO28" s="0" t="n">
        <v>0</v>
      </c>
      <c r="AP28" s="0" t="n">
        <v>0</v>
      </c>
      <c r="AQ28" s="0" t="n">
        <v>0</v>
      </c>
      <c r="AR28" s="0" t="n">
        <v>0</v>
      </c>
      <c r="AS28" s="0" t="n">
        <v>0</v>
      </c>
      <c r="AT28" s="0" t="n">
        <v>0</v>
      </c>
      <c r="AU28" s="0" t="n">
        <v>0</v>
      </c>
      <c r="AV28" s="0" t="n">
        <v>0</v>
      </c>
      <c r="AW28" s="0" t="n">
        <v>0</v>
      </c>
      <c r="AX28" s="0" t="n">
        <v>0</v>
      </c>
      <c r="AY28" s="0" t="n">
        <v>0</v>
      </c>
      <c r="AZ28" s="0" t="n">
        <v>0</v>
      </c>
      <c r="BA28" s="0" t="n">
        <v>0</v>
      </c>
      <c r="BB28" s="0" t="n">
        <v>0</v>
      </c>
      <c r="BC28" s="0" t="n">
        <v>18</v>
      </c>
      <c r="BD28" s="0" t="n">
        <v>35</v>
      </c>
      <c r="BE28" s="0" t="n">
        <v>271</v>
      </c>
      <c r="BF28" s="0" t="n">
        <v>2</v>
      </c>
      <c r="BG28" s="0" t="n">
        <v>555</v>
      </c>
      <c r="BH28" s="0" t="n">
        <v>52</v>
      </c>
      <c r="BI28" s="0" t="n">
        <v>11</v>
      </c>
      <c r="BJ28" s="0" t="n">
        <v>2.3088885260293</v>
      </c>
      <c r="BK28" s="0" t="n">
        <v>0</v>
      </c>
      <c r="BL28" s="0" t="n">
        <v>0</v>
      </c>
      <c r="BM28" s="0" t="n">
        <v>39.1</v>
      </c>
      <c r="BN28" s="0" t="n">
        <v>57.1</v>
      </c>
      <c r="BO28" s="0" t="n">
        <v>4</v>
      </c>
      <c r="BP28" s="0" t="s">
        <v>178</v>
      </c>
      <c r="BQ28" s="0" t="n">
        <v>1</v>
      </c>
      <c r="BR28" s="0" t="n">
        <v>48.1</v>
      </c>
      <c r="BS28" s="0" t="n">
        <v>0.0696</v>
      </c>
      <c r="BT28" s="0" t="n">
        <v>0</v>
      </c>
      <c r="BU28" s="0" t="n">
        <v>0.1287</v>
      </c>
      <c r="BV28" s="0" t="n">
        <v>0.2869</v>
      </c>
      <c r="BW28" s="0" t="n">
        <v>0</v>
      </c>
      <c r="BX28" s="0" t="n">
        <v>0.5144</v>
      </c>
      <c r="BY28" s="0" t="n">
        <v>0.7904</v>
      </c>
      <c r="BZ28" s="0" t="n">
        <v>4</v>
      </c>
      <c r="CA28" s="0" t="n">
        <v>3.82</v>
      </c>
      <c r="CB28" s="0" t="n">
        <v>26.18</v>
      </c>
      <c r="CC28" s="0" t="n">
        <v>8.05</v>
      </c>
      <c r="CD28" s="0" t="n">
        <v>16.12</v>
      </c>
      <c r="CE28" s="0" t="n">
        <v>1</v>
      </c>
      <c r="CF28" s="0" t="n">
        <v>0</v>
      </c>
      <c r="CG28" s="0" t="n">
        <v>4</v>
      </c>
      <c r="CH28" s="0" t="n">
        <v>0.25</v>
      </c>
      <c r="CI28" s="0" t="n">
        <v>0</v>
      </c>
      <c r="CJ28" s="0" t="n">
        <v>2.002</v>
      </c>
      <c r="CK28" s="0" t="n">
        <v>4</v>
      </c>
      <c r="CL28" s="0" t="n">
        <v>3</v>
      </c>
      <c r="CM28" s="0" t="n">
        <v>2</v>
      </c>
      <c r="CN28" s="0" t="n">
        <v>2</v>
      </c>
      <c r="CO28" s="0" t="n">
        <v>1.92097334627961</v>
      </c>
      <c r="CP28" s="0" t="n">
        <v>0</v>
      </c>
      <c r="CQ28" s="0" t="n">
        <v>0</v>
      </c>
      <c r="CR28" s="0" t="n">
        <v>0</v>
      </c>
      <c r="CS28" s="0" t="n">
        <v>0</v>
      </c>
      <c r="CT28" s="0" t="n">
        <v>0</v>
      </c>
      <c r="CU28" s="0" t="n">
        <v>4</v>
      </c>
      <c r="CV28" s="0" t="n">
        <v>3</v>
      </c>
      <c r="CW28" s="0" t="n">
        <v>2</v>
      </c>
      <c r="CX28" s="0" t="n">
        <v>2</v>
      </c>
      <c r="CY28" s="0" t="n">
        <v>1.92</v>
      </c>
      <c r="CZ28" s="0" t="n">
        <v>0.08</v>
      </c>
      <c r="DM28" s="0" t="s">
        <v>1067</v>
      </c>
      <c r="DS28" s="0" t="n">
        <v>35</v>
      </c>
      <c r="DT28" s="0" t="n">
        <v>0</v>
      </c>
      <c r="DU28" s="0" t="n">
        <v>1</v>
      </c>
      <c r="DV28" s="0" t="n">
        <v>12.167</v>
      </c>
      <c r="DW28" s="0" t="n">
        <v>2.889</v>
      </c>
      <c r="DX28" s="0" t="n">
        <v>15.9</v>
      </c>
      <c r="DY28" s="0" t="n">
        <v>0.0286</v>
      </c>
      <c r="DZ28" s="0" t="n">
        <v>216</v>
      </c>
      <c r="EA28" s="0" t="n">
        <v>0.795</v>
      </c>
      <c r="EB28" s="0" t="n">
        <v>4</v>
      </c>
      <c r="EC28" s="0" t="s">
        <v>1068</v>
      </c>
      <c r="ED28" s="0" t="n">
        <v>2024</v>
      </c>
      <c r="EE28" s="0" t="n">
        <v>1</v>
      </c>
      <c r="EF28" s="0" t="n">
        <v>6</v>
      </c>
      <c r="EG28" s="0" t="n">
        <v>2024</v>
      </c>
      <c r="EH28" s="0" t="n">
        <v>2026</v>
      </c>
      <c r="EI28" s="0" t="n">
        <v>3</v>
      </c>
      <c r="EJ28" s="0" t="n">
        <v>72</v>
      </c>
      <c r="EK28" s="0" t="n">
        <v>200</v>
      </c>
      <c r="EL28" s="0" t="s">
        <v>908</v>
      </c>
      <c r="EM28" s="0" t="n">
        <v>23.1</v>
      </c>
      <c r="EN28" s="15" t="b">
        <f aca="false">FALSE()</f>
        <v>0</v>
      </c>
      <c r="EO28" s="0" t="n">
        <v>396</v>
      </c>
      <c r="EP28" s="0" t="n">
        <v>2.99646464646465</v>
      </c>
      <c r="EQ28" s="0" t="n">
        <v>0.146464646464647</v>
      </c>
      <c r="ER28" s="0" t="n">
        <v>1.08080808080808</v>
      </c>
      <c r="ES28" s="0" t="n">
        <v>0.441919191919192</v>
      </c>
      <c r="ET28" s="0" t="n">
        <v>24</v>
      </c>
      <c r="EU28" s="0" t="n">
        <v>15</v>
      </c>
      <c r="EV28" s="0" t="n">
        <v>4.00757575757576</v>
      </c>
      <c r="EW28" s="0" t="n">
        <v>0.625</v>
      </c>
      <c r="EX28" s="0" t="n">
        <v>2.97085160992848</v>
      </c>
      <c r="EY28" s="0" t="n">
        <v>2.974</v>
      </c>
      <c r="EZ28" s="0" t="n">
        <v>0.1475</v>
      </c>
      <c r="FA28" s="0" t="n">
        <v>2.714</v>
      </c>
      <c r="FB28" s="0" t="n">
        <v>1.581</v>
      </c>
      <c r="FC28" s="0" t="n">
        <v>16</v>
      </c>
      <c r="FD28" s="0" t="n">
        <v>624</v>
      </c>
      <c r="FE28" s="0" t="n">
        <v>0.0769230769230769</v>
      </c>
      <c r="FF28" s="0" t="n">
        <v>0.076</v>
      </c>
      <c r="FG28" s="0" t="n">
        <v>0.2947</v>
      </c>
      <c r="FH28" s="0" t="n">
        <v>2.388</v>
      </c>
      <c r="FI28" s="0" t="n">
        <v>1079</v>
      </c>
      <c r="FJ28" s="0" t="n">
        <v>0.533827618164968</v>
      </c>
      <c r="FK28" s="0" t="n">
        <v>17</v>
      </c>
      <c r="FL28" s="0" t="n">
        <v>63.47</v>
      </c>
      <c r="FM28" s="0" t="n">
        <v>0.494</v>
      </c>
      <c r="FN28" s="0" t="n">
        <v>0.506</v>
      </c>
      <c r="FO28" s="0" t="n">
        <v>-0.0466</v>
      </c>
      <c r="FP28" s="0" t="n">
        <v>0.0356</v>
      </c>
      <c r="FQ28" s="0" t="n">
        <v>-0.008</v>
      </c>
      <c r="FR28" s="0" t="n">
        <v>36</v>
      </c>
      <c r="FS28" s="0" t="n">
        <v>61</v>
      </c>
      <c r="FT28" s="0" t="n">
        <v>3.59</v>
      </c>
      <c r="FU28" s="0" t="n">
        <v>22.4</v>
      </c>
      <c r="FV28" s="0" t="n">
        <v>5756</v>
      </c>
      <c r="FW28" s="0" t="n">
        <v>4159</v>
      </c>
      <c r="FX28" s="0" t="n">
        <v>0.723</v>
      </c>
      <c r="FY28" s="0" t="n">
        <v>5</v>
      </c>
      <c r="FZ28" s="0" t="n">
        <v>4</v>
      </c>
      <c r="GA28" s="0" t="n">
        <v>0.375872277758655</v>
      </c>
      <c r="GB28" s="0" t="n">
        <v>56.8</v>
      </c>
      <c r="GC28" s="0" t="n">
        <v>36.8</v>
      </c>
      <c r="GD28" s="0" t="n">
        <v>45.9</v>
      </c>
      <c r="GE28" s="0" t="n">
        <v>503</v>
      </c>
      <c r="GF28" s="0" t="n">
        <v>511</v>
      </c>
      <c r="GG28" s="0" t="n">
        <v>177</v>
      </c>
      <c r="GH28" s="0" t="n">
        <v>3</v>
      </c>
      <c r="GI28" s="0" t="n">
        <v>162</v>
      </c>
      <c r="GJ28" s="0" t="n">
        <v>21</v>
      </c>
      <c r="GK28" s="0" t="n">
        <v>0.352</v>
      </c>
      <c r="GL28" s="0" t="n">
        <v>0.006</v>
      </c>
      <c r="GM28" s="0" t="n">
        <v>0.13</v>
      </c>
      <c r="GN28" s="0" t="n">
        <v>14.275</v>
      </c>
      <c r="GO28" s="0" t="n">
        <v>12.025</v>
      </c>
      <c r="GP28" s="0" t="n">
        <v>9.775</v>
      </c>
      <c r="GQ28" s="0" t="n">
        <v>8.75</v>
      </c>
      <c r="GR28" s="0" t="n">
        <v>0</v>
      </c>
      <c r="GS28" s="0" t="n">
        <v>35</v>
      </c>
      <c r="GT28" s="0" t="n">
        <v>1.631</v>
      </c>
      <c r="GU28" s="0" t="n">
        <v>0.264</v>
      </c>
      <c r="GV28" s="0" t="n">
        <v>7.743</v>
      </c>
      <c r="GW28" s="0" t="n">
        <v>15.056</v>
      </c>
      <c r="GX28" s="0" t="n">
        <v>0.514</v>
      </c>
      <c r="GZ28" s="0" t="n">
        <v>15.857</v>
      </c>
      <c r="HA28" s="0" t="n">
        <v>2.889</v>
      </c>
      <c r="HB28" s="0" t="n">
        <v>0.488</v>
      </c>
      <c r="HC28" s="0" t="n">
        <v>0.057</v>
      </c>
      <c r="HE28" s="0" t="n">
        <v>0.066</v>
      </c>
      <c r="HG28" s="0" t="n">
        <v>28.55</v>
      </c>
      <c r="HH28" s="0" t="n">
        <v>11.16</v>
      </c>
      <c r="HI28" s="0" t="n">
        <v>8</v>
      </c>
      <c r="HJ28" s="0" t="n">
        <v>60</v>
      </c>
      <c r="HK28" s="0" t="s">
        <v>909</v>
      </c>
      <c r="HL28" s="0" t="n">
        <v>0</v>
      </c>
      <c r="HM28" s="0" t="n">
        <v>79</v>
      </c>
      <c r="HN28" s="0" t="n">
        <v>14</v>
      </c>
      <c r="HO28" s="0" t="n">
        <v>-2.931</v>
      </c>
      <c r="HP28" s="0" t="n">
        <v>14</v>
      </c>
      <c r="HQ28" s="0" t="n">
        <v>-0.083</v>
      </c>
      <c r="HR28" s="0" t="s">
        <v>165</v>
      </c>
    </row>
    <row r="29" customFormat="false" ht="15" hidden="false" customHeight="false" outlineLevel="0" collapsed="false">
      <c r="A29" s="0" t="s">
        <v>896</v>
      </c>
      <c r="B29" s="0" t="s">
        <v>897</v>
      </c>
      <c r="C29" s="0" t="s">
        <v>898</v>
      </c>
      <c r="D29" s="0" t="s">
        <v>179</v>
      </c>
      <c r="E29" s="0" t="n">
        <v>23021</v>
      </c>
      <c r="F29" s="0" t="s">
        <v>104</v>
      </c>
      <c r="G29" s="0" t="n">
        <v>29.29</v>
      </c>
      <c r="H29" s="0" t="n">
        <v>9.13</v>
      </c>
      <c r="I29" s="0" t="n">
        <v>14</v>
      </c>
      <c r="J29" s="0" t="n">
        <v>56</v>
      </c>
      <c r="L29" s="0" t="s">
        <v>1069</v>
      </c>
      <c r="O29" s="0" t="n">
        <v>99.2</v>
      </c>
      <c r="U29" s="0" t="n">
        <v>5</v>
      </c>
      <c r="V29" s="0" t="s">
        <v>1070</v>
      </c>
      <c r="W29" s="0" t="s">
        <v>901</v>
      </c>
      <c r="X29" s="0" t="s">
        <v>1034</v>
      </c>
      <c r="Y29" s="0" t="s">
        <v>1071</v>
      </c>
      <c r="Z29" s="0" t="n">
        <v>23021</v>
      </c>
      <c r="AA29" s="0" t="s">
        <v>1072</v>
      </c>
      <c r="AB29" s="0" t="s">
        <v>904</v>
      </c>
      <c r="AC29" s="0" t="s">
        <v>164</v>
      </c>
      <c r="AD29" s="0" t="s">
        <v>164</v>
      </c>
      <c r="AE29" s="0" t="s">
        <v>164</v>
      </c>
      <c r="AF29" s="0" t="s">
        <v>164</v>
      </c>
      <c r="AG29" s="0" t="s">
        <v>164</v>
      </c>
      <c r="AH29" s="0" t="s">
        <v>905</v>
      </c>
      <c r="AI29" s="0" t="n">
        <v>1</v>
      </c>
      <c r="AJ29" s="0" t="s">
        <v>104</v>
      </c>
      <c r="AK29" s="0" t="n">
        <v>28</v>
      </c>
      <c r="AL29" s="0" t="n">
        <v>11</v>
      </c>
      <c r="AM29" s="0" t="s">
        <v>180</v>
      </c>
      <c r="AN29" s="0" t="n">
        <v>0</v>
      </c>
      <c r="AO29" s="0" t="n">
        <v>0</v>
      </c>
      <c r="AP29" s="0" t="n">
        <v>0</v>
      </c>
      <c r="AQ29" s="0" t="n">
        <v>0</v>
      </c>
      <c r="AR29" s="0" t="n">
        <v>0</v>
      </c>
      <c r="AS29" s="0" t="n">
        <v>0</v>
      </c>
      <c r="AT29" s="0" t="n">
        <v>0</v>
      </c>
      <c r="AU29" s="0" t="n">
        <v>0</v>
      </c>
      <c r="AV29" s="0" t="n">
        <v>0</v>
      </c>
      <c r="AW29" s="0" t="n">
        <v>221</v>
      </c>
      <c r="AX29" s="0" t="n">
        <v>1027</v>
      </c>
      <c r="AY29" s="0" t="n">
        <v>5</v>
      </c>
      <c r="AZ29" s="0" t="n">
        <v>46</v>
      </c>
      <c r="BA29" s="0" t="n">
        <v>-14.2939063761165</v>
      </c>
      <c r="BB29" s="0" t="n">
        <v>0</v>
      </c>
      <c r="BC29" s="0" t="n">
        <v>31</v>
      </c>
      <c r="BD29" s="0" t="n">
        <v>36</v>
      </c>
      <c r="BE29" s="0" t="n">
        <v>282</v>
      </c>
      <c r="BF29" s="0" t="n">
        <v>0</v>
      </c>
      <c r="BG29" s="0" t="n">
        <v>-41</v>
      </c>
      <c r="BH29" s="0" t="n">
        <v>339</v>
      </c>
      <c r="BI29" s="0" t="n">
        <v>12</v>
      </c>
      <c r="BJ29" s="0" t="n">
        <v>6.83945741554152</v>
      </c>
      <c r="BK29" s="0" t="n">
        <v>0</v>
      </c>
      <c r="BL29" s="0" t="n">
        <v>0</v>
      </c>
      <c r="BM29" s="0" t="n">
        <v>160.9</v>
      </c>
      <c r="BN29" s="0" t="n">
        <v>191.9</v>
      </c>
      <c r="BO29" s="0" t="n">
        <v>17</v>
      </c>
      <c r="BP29" s="0" t="s">
        <v>115</v>
      </c>
      <c r="BQ29" s="0" t="n">
        <v>1</v>
      </c>
      <c r="BR29" s="0" t="n">
        <v>176.4</v>
      </c>
      <c r="BS29" s="0" t="n">
        <v>0.0791</v>
      </c>
      <c r="BT29" s="0" t="n">
        <v>0.4359</v>
      </c>
      <c r="BU29" s="0" t="n">
        <v>-0.0112</v>
      </c>
      <c r="BV29" s="0" t="n">
        <v>0.0791</v>
      </c>
      <c r="BW29" s="0" t="n">
        <v>0.4359</v>
      </c>
      <c r="BX29" s="0" t="n">
        <v>-0.0112</v>
      </c>
      <c r="BY29" s="0" t="n">
        <v>0.1108</v>
      </c>
      <c r="BZ29" s="0" t="n">
        <v>17</v>
      </c>
      <c r="CA29" s="0" t="n">
        <v>6.6</v>
      </c>
      <c r="CB29" s="0" t="n">
        <v>18.48</v>
      </c>
      <c r="CC29" s="0" t="n">
        <v>9.6</v>
      </c>
      <c r="CD29" s="0" t="n">
        <v>6.53</v>
      </c>
      <c r="CE29" s="0" t="n">
        <v>5</v>
      </c>
      <c r="CF29" s="0" t="n">
        <v>0</v>
      </c>
      <c r="CG29" s="0" t="n">
        <v>17</v>
      </c>
      <c r="CH29" s="0" t="n">
        <v>0.294</v>
      </c>
      <c r="CI29" s="0" t="n">
        <v>0</v>
      </c>
      <c r="CJ29" s="0" t="n">
        <v>0.68</v>
      </c>
      <c r="CK29" s="0" t="n">
        <v>3</v>
      </c>
      <c r="CL29" s="0" t="n">
        <v>1</v>
      </c>
      <c r="CM29" s="0" t="n">
        <v>0</v>
      </c>
      <c r="CN29" s="0" t="n">
        <v>0</v>
      </c>
      <c r="CO29" s="0" t="n">
        <v>1.09839595481052</v>
      </c>
      <c r="CP29" s="0" t="n">
        <v>34</v>
      </c>
      <c r="CQ29" s="0" t="n">
        <v>10</v>
      </c>
      <c r="CR29" s="0" t="n">
        <v>8</v>
      </c>
      <c r="CS29" s="0" t="n">
        <v>5</v>
      </c>
      <c r="CT29" s="0" t="n">
        <v>5.61516544946522</v>
      </c>
      <c r="CU29" s="0" t="n">
        <v>37</v>
      </c>
      <c r="CV29" s="0" t="n">
        <v>11</v>
      </c>
      <c r="CW29" s="0" t="n">
        <v>8</v>
      </c>
      <c r="CX29" s="0" t="n">
        <v>5</v>
      </c>
      <c r="CY29" s="0" t="n">
        <v>6.71</v>
      </c>
      <c r="CZ29" s="0" t="n">
        <v>-1.71</v>
      </c>
      <c r="DG29" s="0" t="n">
        <v>4.50178188899708</v>
      </c>
      <c r="DH29" s="0" t="n">
        <v>27.6018099547511</v>
      </c>
      <c r="DI29" s="0" t="n">
        <v>3.19477435897436</v>
      </c>
      <c r="DJ29" s="0" t="n">
        <v>38.9255189553547</v>
      </c>
      <c r="DK29" s="0" t="n">
        <v>0.181894948389508</v>
      </c>
      <c r="DL29" s="0" t="n">
        <v>0.373831775700935</v>
      </c>
      <c r="DM29" s="0" t="s">
        <v>1073</v>
      </c>
      <c r="DN29" s="0" t="n">
        <v>221</v>
      </c>
      <c r="DO29" s="0" t="n">
        <v>23</v>
      </c>
      <c r="DP29" s="0" t="n">
        <v>2.81</v>
      </c>
      <c r="DQ29" s="0" t="n">
        <v>1.837</v>
      </c>
      <c r="DR29" s="0" t="n">
        <v>9.61</v>
      </c>
      <c r="DS29" s="0" t="n">
        <v>36</v>
      </c>
      <c r="DT29" s="0" t="n">
        <v>5</v>
      </c>
      <c r="DU29" s="0" t="n">
        <v>2</v>
      </c>
      <c r="DV29" s="0" t="n">
        <v>-1.839</v>
      </c>
      <c r="DW29" s="0" t="n">
        <v>10.935</v>
      </c>
      <c r="DX29" s="0" t="n">
        <v>-1.1</v>
      </c>
      <c r="DY29" s="0" t="n">
        <v>0.0556</v>
      </c>
      <c r="DZ29" s="0" t="n">
        <v>498</v>
      </c>
      <c r="EA29" s="0" t="n">
        <v>0.469</v>
      </c>
      <c r="EB29" s="0" t="n">
        <v>17</v>
      </c>
      <c r="EC29" s="0" t="s">
        <v>1074</v>
      </c>
      <c r="ED29" s="0" t="n">
        <v>2022</v>
      </c>
      <c r="EE29" s="0" t="n">
        <v>2</v>
      </c>
      <c r="EF29" s="0" t="n">
        <v>41</v>
      </c>
      <c r="EG29" s="0" t="n">
        <v>2022</v>
      </c>
      <c r="EH29" s="0" t="n">
        <v>2026</v>
      </c>
      <c r="EI29" s="0" t="n">
        <v>5</v>
      </c>
      <c r="EJ29" s="0" t="n">
        <v>69</v>
      </c>
      <c r="EK29" s="0" t="n">
        <v>211</v>
      </c>
      <c r="EL29" s="0" t="s">
        <v>1075</v>
      </c>
      <c r="EM29" s="0" t="n">
        <v>25.8</v>
      </c>
      <c r="EN29" s="15" t="b">
        <f aca="false">FALSE()</f>
        <v>0</v>
      </c>
      <c r="EO29" s="0" t="n">
        <v>336</v>
      </c>
      <c r="EP29" s="0" t="n">
        <v>3.01964285714286</v>
      </c>
      <c r="EQ29" s="0" t="n">
        <v>0.133928571428571</v>
      </c>
      <c r="ER29" s="0" t="n">
        <v>0.958333333333333</v>
      </c>
      <c r="ES29" s="0" t="n">
        <v>0.196428571428571</v>
      </c>
      <c r="ET29" s="0" t="n">
        <v>48</v>
      </c>
      <c r="EU29" s="0" t="n">
        <v>39</v>
      </c>
      <c r="EV29" s="0" t="n">
        <v>3.71130952380952</v>
      </c>
      <c r="EW29" s="0" t="n">
        <v>0.8125</v>
      </c>
      <c r="EX29" s="0" t="n">
        <v>2.90619800347793</v>
      </c>
      <c r="EY29" s="0" t="n">
        <v>3.062</v>
      </c>
      <c r="EZ29" s="0" t="n">
        <v>0.1258</v>
      </c>
      <c r="FA29" s="0" t="n">
        <v>2.623</v>
      </c>
      <c r="FB29" s="0" t="n">
        <v>1.591</v>
      </c>
      <c r="FC29" s="0" t="n">
        <v>14</v>
      </c>
      <c r="FD29" s="0" t="n">
        <v>686</v>
      </c>
      <c r="FE29" s="0" t="n">
        <v>0.0685131195335277</v>
      </c>
      <c r="FF29" s="0" t="n">
        <v>0.0659</v>
      </c>
      <c r="FG29" s="0" t="n">
        <v>0.2877</v>
      </c>
      <c r="FH29" s="0" t="n">
        <v>2.212</v>
      </c>
      <c r="FI29" s="0" t="n">
        <v>1048</v>
      </c>
      <c r="FJ29" s="0" t="n">
        <v>0.602099236641221</v>
      </c>
      <c r="FK29" s="0" t="n">
        <v>17</v>
      </c>
      <c r="FL29" s="0" t="n">
        <v>61.65</v>
      </c>
      <c r="FM29" s="0" t="n">
        <v>0.5721</v>
      </c>
      <c r="FN29" s="0" t="n">
        <v>0.4279</v>
      </c>
      <c r="FO29" s="0" t="n">
        <v>0.0395</v>
      </c>
      <c r="FP29" s="0" t="n">
        <v>0.0273</v>
      </c>
      <c r="FQ29" s="0" t="n">
        <v>0.0399</v>
      </c>
      <c r="FR29" s="0" t="n">
        <v>38</v>
      </c>
      <c r="FS29" s="0" t="n">
        <v>63</v>
      </c>
      <c r="FT29" s="0" t="n">
        <v>3.71</v>
      </c>
      <c r="FU29" s="0" t="n">
        <v>21.3</v>
      </c>
      <c r="FV29" s="0" t="n">
        <v>5605</v>
      </c>
      <c r="FW29" s="0" t="n">
        <v>4845</v>
      </c>
      <c r="FX29" s="0" t="n">
        <v>0.864</v>
      </c>
      <c r="FY29" s="0" t="n">
        <v>5</v>
      </c>
      <c r="FZ29" s="0" t="n">
        <v>5</v>
      </c>
      <c r="GA29" s="0" t="n">
        <v>0.894249870072499</v>
      </c>
      <c r="GB29" s="0" t="n">
        <v>66.2</v>
      </c>
      <c r="GC29" s="0" t="n">
        <v>34</v>
      </c>
      <c r="GD29" s="0" t="n">
        <v>50.1</v>
      </c>
      <c r="GE29" s="0" t="n">
        <v>549</v>
      </c>
      <c r="GF29" s="0" t="n">
        <v>430</v>
      </c>
      <c r="GG29" s="0" t="n">
        <v>147</v>
      </c>
      <c r="GH29" s="0" t="n">
        <v>129</v>
      </c>
      <c r="GI29" s="0" t="n">
        <v>166</v>
      </c>
      <c r="GJ29" s="0" t="n">
        <v>43</v>
      </c>
      <c r="GK29" s="0" t="n">
        <v>0.268</v>
      </c>
      <c r="GL29" s="0" t="n">
        <v>0.3</v>
      </c>
      <c r="GM29" s="0" t="n">
        <v>0.259</v>
      </c>
      <c r="GN29" s="0" t="n">
        <v>11.288</v>
      </c>
      <c r="GO29" s="0" t="n">
        <v>10.376</v>
      </c>
      <c r="GP29" s="0" t="n">
        <v>9.465</v>
      </c>
      <c r="GQ29" s="0" t="n">
        <v>2.118</v>
      </c>
      <c r="GR29" s="0" t="n">
        <v>13</v>
      </c>
      <c r="GS29" s="0" t="n">
        <v>257</v>
      </c>
      <c r="GT29" s="0" t="n">
        <v>0.747</v>
      </c>
      <c r="GU29" s="0" t="n">
        <v>0.385</v>
      </c>
      <c r="GV29" s="0" t="n">
        <v>7.833</v>
      </c>
      <c r="GW29" s="0" t="n">
        <v>9.097</v>
      </c>
      <c r="GX29" s="0" t="n">
        <v>0.861</v>
      </c>
      <c r="GY29" s="0" t="n">
        <v>4.647</v>
      </c>
      <c r="GZ29" s="0" t="n">
        <v>-1.139</v>
      </c>
      <c r="HA29" s="0" t="n">
        <v>10.935</v>
      </c>
      <c r="HB29" s="0" t="n">
        <v>-6.878</v>
      </c>
      <c r="HC29" s="0" t="n">
        <v>0.019</v>
      </c>
      <c r="HD29" s="0" t="n">
        <v>-0.065</v>
      </c>
      <c r="HE29" s="0" t="n">
        <v>0.19</v>
      </c>
      <c r="HG29" s="0" t="n">
        <v>29.29</v>
      </c>
      <c r="HH29" s="0" t="n">
        <v>9.13</v>
      </c>
      <c r="HI29" s="0" t="n">
        <v>14</v>
      </c>
      <c r="HJ29" s="0" t="n">
        <v>56</v>
      </c>
      <c r="HK29" s="0" t="s">
        <v>909</v>
      </c>
      <c r="HL29" s="0" t="n">
        <v>0</v>
      </c>
      <c r="HM29" s="0" t="n">
        <v>22</v>
      </c>
      <c r="HN29" s="0" t="n">
        <v>11</v>
      </c>
      <c r="HO29" s="0" t="n">
        <v>-0.539</v>
      </c>
      <c r="HP29" s="0" t="n">
        <v>29</v>
      </c>
      <c r="HQ29" s="0" t="n">
        <v>-0.846</v>
      </c>
      <c r="HR29" s="0" t="s">
        <v>121</v>
      </c>
    </row>
    <row r="30" customFormat="false" ht="15" hidden="false" customHeight="false" outlineLevel="0" collapsed="false">
      <c r="A30" s="0" t="s">
        <v>896</v>
      </c>
      <c r="B30" s="0" t="s">
        <v>897</v>
      </c>
      <c r="C30" s="0" t="s">
        <v>898</v>
      </c>
      <c r="D30" s="0" t="s">
        <v>181</v>
      </c>
      <c r="E30" s="0" t="n">
        <v>22916</v>
      </c>
      <c r="F30" s="0" t="s">
        <v>99</v>
      </c>
      <c r="G30" s="0" t="n">
        <v>29.37</v>
      </c>
      <c r="H30" s="0" t="n">
        <v>7.59</v>
      </c>
      <c r="I30" s="0" t="n">
        <v>12</v>
      </c>
      <c r="J30" s="0" t="n">
        <v>44</v>
      </c>
      <c r="L30" s="0" t="s">
        <v>1076</v>
      </c>
      <c r="O30" s="0" t="n">
        <v>97.6</v>
      </c>
      <c r="U30" s="0" t="n">
        <v>13</v>
      </c>
      <c r="V30" s="0" t="s">
        <v>181</v>
      </c>
      <c r="W30" s="0" t="s">
        <v>901</v>
      </c>
      <c r="X30" s="0" t="s">
        <v>183</v>
      </c>
      <c r="Y30" s="0" t="s">
        <v>1077</v>
      </c>
      <c r="Z30" s="0" t="n">
        <v>22916</v>
      </c>
      <c r="AA30" s="0" t="s">
        <v>1078</v>
      </c>
      <c r="AB30" s="0" t="s">
        <v>904</v>
      </c>
      <c r="AC30" s="0" t="s">
        <v>183</v>
      </c>
      <c r="AD30" s="0" t="s">
        <v>183</v>
      </c>
      <c r="AE30" s="0" t="s">
        <v>183</v>
      </c>
      <c r="AF30" s="0" t="s">
        <v>183</v>
      </c>
      <c r="AG30" s="0" t="s">
        <v>183</v>
      </c>
      <c r="AH30" s="0" t="s">
        <v>905</v>
      </c>
      <c r="AI30" s="0" t="n">
        <v>1</v>
      </c>
      <c r="AJ30" s="0" t="s">
        <v>99</v>
      </c>
      <c r="AK30" s="0" t="n">
        <v>29</v>
      </c>
      <c r="AL30" s="0" t="n">
        <v>15</v>
      </c>
      <c r="AM30" s="0" t="s">
        <v>182</v>
      </c>
      <c r="AN30" s="0" t="n">
        <v>0</v>
      </c>
      <c r="AO30" s="0" t="n">
        <v>0</v>
      </c>
      <c r="AP30" s="0" t="n">
        <v>0</v>
      </c>
      <c r="AQ30" s="0" t="n">
        <v>0</v>
      </c>
      <c r="AR30" s="0" t="n">
        <v>0</v>
      </c>
      <c r="AS30" s="0" t="n">
        <v>0</v>
      </c>
      <c r="AT30" s="0" t="n">
        <v>0</v>
      </c>
      <c r="AU30" s="0" t="n">
        <v>0</v>
      </c>
      <c r="AV30" s="0" t="n">
        <v>0</v>
      </c>
      <c r="AW30" s="0" t="n">
        <v>10</v>
      </c>
      <c r="AX30" s="0" t="n">
        <v>62</v>
      </c>
      <c r="AY30" s="0" t="n">
        <v>1</v>
      </c>
      <c r="AZ30" s="0" t="n">
        <v>3</v>
      </c>
      <c r="BA30" s="0" t="n">
        <v>2.49965554429218</v>
      </c>
      <c r="BB30" s="0" t="n">
        <v>0</v>
      </c>
      <c r="BC30" s="0" t="n">
        <v>86</v>
      </c>
      <c r="BD30" s="0" t="n">
        <v>118</v>
      </c>
      <c r="BE30" s="0" t="n">
        <v>1211</v>
      </c>
      <c r="BF30" s="0" t="n">
        <v>5</v>
      </c>
      <c r="BG30" s="0" t="n">
        <v>1204</v>
      </c>
      <c r="BH30" s="0" t="n">
        <v>458</v>
      </c>
      <c r="BI30" s="0" t="n">
        <v>48</v>
      </c>
      <c r="BJ30" s="0" t="n">
        <v>46.3842026584022</v>
      </c>
      <c r="BK30" s="0" t="n">
        <v>3</v>
      </c>
      <c r="BL30" s="0" t="n">
        <v>0</v>
      </c>
      <c r="BM30" s="0" t="n">
        <v>157.3</v>
      </c>
      <c r="BN30" s="0" t="n">
        <v>243.3</v>
      </c>
      <c r="BO30" s="0" t="n">
        <v>17</v>
      </c>
      <c r="BP30" s="0" t="s">
        <v>183</v>
      </c>
      <c r="BQ30" s="0" t="n">
        <v>1</v>
      </c>
      <c r="BR30" s="0" t="n">
        <v>200.3</v>
      </c>
      <c r="BS30" s="0" t="n">
        <v>0.2899</v>
      </c>
      <c r="BT30" s="0" t="n">
        <v>0.0197</v>
      </c>
      <c r="BU30" s="0" t="n">
        <v>0.3566</v>
      </c>
      <c r="BV30" s="0" t="n">
        <v>0.2899</v>
      </c>
      <c r="BW30" s="0" t="n">
        <v>0.0197</v>
      </c>
      <c r="BX30" s="0" t="n">
        <v>0.3566</v>
      </c>
      <c r="BY30" s="0" t="n">
        <v>0.6845</v>
      </c>
      <c r="BZ30" s="0" t="n">
        <v>17</v>
      </c>
      <c r="CA30" s="0" t="n">
        <v>11.4</v>
      </c>
      <c r="CB30" s="0" t="n">
        <v>20.96</v>
      </c>
      <c r="CC30" s="0" t="n">
        <v>13</v>
      </c>
      <c r="CD30" s="0" t="n">
        <v>7.48</v>
      </c>
      <c r="CE30" s="0" t="n">
        <v>4</v>
      </c>
      <c r="CF30" s="0" t="n">
        <v>1</v>
      </c>
      <c r="CG30" s="0" t="n">
        <v>17</v>
      </c>
      <c r="CH30" s="0" t="n">
        <v>0.235</v>
      </c>
      <c r="CI30" s="0" t="n">
        <v>0.059</v>
      </c>
      <c r="CJ30" s="0" t="n">
        <v>0.576</v>
      </c>
      <c r="CK30" s="0" t="n">
        <v>11</v>
      </c>
      <c r="CL30" s="0" t="n">
        <v>5</v>
      </c>
      <c r="CM30" s="0" t="n">
        <v>1</v>
      </c>
      <c r="CN30" s="0" t="n">
        <v>5</v>
      </c>
      <c r="CO30" s="0" t="n">
        <v>4.06099456455308</v>
      </c>
      <c r="CP30" s="0" t="n">
        <v>1</v>
      </c>
      <c r="CQ30" s="0" t="n">
        <v>0</v>
      </c>
      <c r="CR30" s="0" t="n">
        <v>0</v>
      </c>
      <c r="CS30" s="0" t="n">
        <v>1</v>
      </c>
      <c r="CT30" s="0" t="n">
        <v>0.131441415727682</v>
      </c>
      <c r="CU30" s="0" t="n">
        <v>12</v>
      </c>
      <c r="CV30" s="0" t="n">
        <v>5</v>
      </c>
      <c r="CW30" s="0" t="n">
        <v>1</v>
      </c>
      <c r="CX30" s="0" t="n">
        <v>6</v>
      </c>
      <c r="CY30" s="0" t="n">
        <v>4.19</v>
      </c>
      <c r="CZ30" s="0" t="n">
        <v>1.81</v>
      </c>
      <c r="DA30" s="0" t="n">
        <v>3.57967755734189</v>
      </c>
      <c r="DB30" s="0" t="n">
        <v>6.45445454545455</v>
      </c>
      <c r="DC30" s="0" t="n">
        <v>9.92288135593221</v>
      </c>
      <c r="DD30" s="0" t="n">
        <v>34.7383130156677</v>
      </c>
      <c r="DE30" s="0" t="n">
        <v>0.195902509796348</v>
      </c>
      <c r="DF30" s="0" t="n">
        <v>72.8813559322034</v>
      </c>
      <c r="DM30" s="0" t="s">
        <v>1079</v>
      </c>
      <c r="DN30" s="0" t="n">
        <v>10</v>
      </c>
      <c r="DO30" s="0" t="n">
        <v>0</v>
      </c>
      <c r="DS30" s="0" t="n">
        <v>118</v>
      </c>
      <c r="DT30" s="0" t="n">
        <v>9</v>
      </c>
      <c r="DU30" s="0" t="n">
        <v>7</v>
      </c>
      <c r="DV30" s="0" t="n">
        <v>8.756</v>
      </c>
      <c r="DW30" s="0" t="n">
        <v>5.326</v>
      </c>
      <c r="DX30" s="0" t="n">
        <v>10.2</v>
      </c>
      <c r="DY30" s="0" t="n">
        <v>0.0593</v>
      </c>
      <c r="DZ30" s="0" t="n">
        <v>878</v>
      </c>
      <c r="EA30" s="0" t="n">
        <v>0.865</v>
      </c>
      <c r="EB30" s="0" t="n">
        <v>17</v>
      </c>
      <c r="EC30" s="0" t="s">
        <v>1080</v>
      </c>
      <c r="ED30" s="0" t="n">
        <v>2023</v>
      </c>
      <c r="EE30" s="0" t="n">
        <v>1</v>
      </c>
      <c r="EF30" s="0" t="n">
        <v>22</v>
      </c>
      <c r="EG30" s="0" t="n">
        <v>2023</v>
      </c>
      <c r="EH30" s="0" t="n">
        <v>2026</v>
      </c>
      <c r="EI30" s="0" t="n">
        <v>4</v>
      </c>
      <c r="EJ30" s="0" t="n">
        <v>69</v>
      </c>
      <c r="EK30" s="0" t="n">
        <v>183</v>
      </c>
      <c r="EL30" s="0" t="s">
        <v>1081</v>
      </c>
      <c r="EM30" s="0" t="n">
        <v>25.9</v>
      </c>
      <c r="EN30" s="15" t="b">
        <f aca="false">FALSE()</f>
        <v>0</v>
      </c>
      <c r="EO30" s="0" t="n">
        <v>392</v>
      </c>
      <c r="EP30" s="0" t="n">
        <v>3.03673469387755</v>
      </c>
      <c r="EQ30" s="0" t="n">
        <v>0.153061224489796</v>
      </c>
      <c r="ER30" s="0" t="n">
        <v>1.31122448979592</v>
      </c>
      <c r="ES30" s="0" t="n">
        <v>1.51275510204082</v>
      </c>
      <c r="ET30" s="0" t="n">
        <v>37</v>
      </c>
      <c r="EU30" s="0" t="n">
        <v>24</v>
      </c>
      <c r="EV30" s="0" t="n">
        <v>5.24489795918367</v>
      </c>
      <c r="EW30" s="0" t="n">
        <v>0.648648648648649</v>
      </c>
      <c r="EX30" s="0" t="n">
        <v>2.95276427199016</v>
      </c>
      <c r="EY30" s="0" t="n">
        <v>3.032</v>
      </c>
      <c r="EZ30" s="0" t="n">
        <v>0.1574</v>
      </c>
      <c r="FA30" s="0" t="n">
        <v>3.144</v>
      </c>
      <c r="FB30" s="0" t="n">
        <v>2.107</v>
      </c>
      <c r="FC30" s="0" t="n">
        <v>24</v>
      </c>
      <c r="FD30" s="0" t="n">
        <v>501</v>
      </c>
      <c r="FE30" s="0" t="n">
        <v>0.0898203592814371</v>
      </c>
      <c r="FF30" s="0" t="n">
        <v>0.0849</v>
      </c>
      <c r="FG30" s="0" t="n">
        <v>0.2725</v>
      </c>
      <c r="FH30" s="0" t="n">
        <v>2.454</v>
      </c>
      <c r="FI30" s="0" t="n">
        <v>956</v>
      </c>
      <c r="FJ30" s="0" t="n">
        <v>0.48744769874477</v>
      </c>
      <c r="FK30" s="0" t="n">
        <v>17</v>
      </c>
      <c r="FL30" s="0" t="n">
        <v>56.24</v>
      </c>
      <c r="FM30" s="0" t="n">
        <v>0.4667</v>
      </c>
      <c r="FN30" s="0" t="n">
        <v>0.5333</v>
      </c>
      <c r="FO30" s="0" t="n">
        <v>-0.0884</v>
      </c>
      <c r="FP30" s="0" t="n">
        <v>0.0996</v>
      </c>
      <c r="FQ30" s="0" t="n">
        <v>-0.035</v>
      </c>
      <c r="FR30" s="0" t="n">
        <v>39</v>
      </c>
      <c r="FS30" s="0" t="n">
        <v>61</v>
      </c>
      <c r="FT30" s="0" t="n">
        <v>3.59</v>
      </c>
      <c r="FU30" s="0" t="n">
        <v>24.9</v>
      </c>
      <c r="FV30" s="0" t="n">
        <v>5080</v>
      </c>
      <c r="FW30" s="0" t="n">
        <v>2908</v>
      </c>
      <c r="FX30" s="0" t="n">
        <v>0.572</v>
      </c>
      <c r="FY30" s="0" t="n">
        <v>5</v>
      </c>
      <c r="FZ30" s="0" t="n">
        <v>2</v>
      </c>
      <c r="GA30" s="0" t="n">
        <v>0.782789362458</v>
      </c>
      <c r="GB30" s="0" t="n">
        <v>64.1</v>
      </c>
      <c r="GC30" s="0" t="n">
        <v>41</v>
      </c>
      <c r="GD30" s="0" t="n">
        <v>53.2</v>
      </c>
      <c r="GE30" s="0" t="n">
        <v>407</v>
      </c>
      <c r="GF30" s="0" t="n">
        <v>507</v>
      </c>
      <c r="GG30" s="0" t="n">
        <v>75</v>
      </c>
      <c r="GH30" s="0" t="n">
        <v>64</v>
      </c>
      <c r="GI30" s="0" t="n">
        <v>160</v>
      </c>
      <c r="GJ30" s="0" t="n">
        <v>26</v>
      </c>
      <c r="GK30" s="0" t="n">
        <v>0.184</v>
      </c>
      <c r="GL30" s="0" t="n">
        <v>0.126</v>
      </c>
      <c r="GM30" s="0" t="n">
        <v>0.162</v>
      </c>
      <c r="GN30" s="0" t="n">
        <v>14.312</v>
      </c>
      <c r="GO30" s="0" t="n">
        <v>11.782</v>
      </c>
      <c r="GP30" s="0" t="n">
        <v>9.253</v>
      </c>
      <c r="GQ30" s="0" t="n">
        <v>6.941</v>
      </c>
      <c r="GR30" s="0" t="n">
        <v>0.588</v>
      </c>
      <c r="GS30" s="0" t="n">
        <v>128</v>
      </c>
      <c r="GT30" s="0" t="n">
        <v>1.901</v>
      </c>
      <c r="GU30" s="0" t="n">
        <v>0.277</v>
      </c>
      <c r="GV30" s="0" t="n">
        <v>10.263</v>
      </c>
      <c r="GW30" s="0" t="n">
        <v>14.081</v>
      </c>
      <c r="GX30" s="0" t="n">
        <v>0.729</v>
      </c>
      <c r="GZ30" s="0" t="n">
        <v>10.203</v>
      </c>
      <c r="HA30" s="0" t="n">
        <v>5.326</v>
      </c>
      <c r="HB30" s="0" t="n">
        <v>1.006</v>
      </c>
      <c r="HC30" s="0" t="n">
        <v>0.047</v>
      </c>
      <c r="HE30" s="0" t="n">
        <v>0.393</v>
      </c>
      <c r="HG30" s="0" t="n">
        <v>29.37</v>
      </c>
      <c r="HH30" s="0" t="n">
        <v>7.59</v>
      </c>
      <c r="HI30" s="0" t="n">
        <v>12</v>
      </c>
      <c r="HJ30" s="0" t="n">
        <v>44</v>
      </c>
      <c r="HK30" s="0" t="s">
        <v>909</v>
      </c>
      <c r="HL30" s="0" t="n">
        <v>0</v>
      </c>
      <c r="HM30" s="0" t="n">
        <v>7</v>
      </c>
      <c r="HN30" s="0" t="n">
        <v>15</v>
      </c>
      <c r="HO30" s="0" t="n">
        <v>0.26</v>
      </c>
      <c r="HP30" s="0" t="n">
        <v>13</v>
      </c>
      <c r="HQ30" s="0" t="n">
        <v>-0.004</v>
      </c>
      <c r="HR30" s="0" t="s">
        <v>102</v>
      </c>
    </row>
    <row r="31" customFormat="false" ht="15" hidden="false" customHeight="false" outlineLevel="0" collapsed="false">
      <c r="A31" s="0" t="s">
        <v>896</v>
      </c>
      <c r="B31" s="0" t="s">
        <v>897</v>
      </c>
      <c r="C31" s="0" t="s">
        <v>898</v>
      </c>
      <c r="D31" s="0" t="s">
        <v>184</v>
      </c>
      <c r="E31" s="0" t="n">
        <v>23072</v>
      </c>
      <c r="F31" s="0" t="s">
        <v>99</v>
      </c>
      <c r="G31" s="0" t="n">
        <v>30.29</v>
      </c>
      <c r="H31" s="0" t="n">
        <v>6.99</v>
      </c>
      <c r="I31" s="0" t="n">
        <v>15</v>
      </c>
      <c r="J31" s="0" t="n">
        <v>46</v>
      </c>
      <c r="L31" s="0" t="s">
        <v>1082</v>
      </c>
      <c r="O31" s="0" t="n">
        <v>96.6</v>
      </c>
      <c r="U31" s="0" t="n">
        <v>13</v>
      </c>
      <c r="V31" s="0" t="s">
        <v>184</v>
      </c>
      <c r="W31" s="0" t="s">
        <v>901</v>
      </c>
      <c r="X31" s="0" t="s">
        <v>186</v>
      </c>
      <c r="Y31" s="0" t="s">
        <v>1083</v>
      </c>
      <c r="Z31" s="0" t="n">
        <v>23072</v>
      </c>
      <c r="AA31" s="0" t="s">
        <v>1084</v>
      </c>
      <c r="AB31" s="0" t="s">
        <v>904</v>
      </c>
      <c r="AC31" s="0" t="s">
        <v>186</v>
      </c>
      <c r="AD31" s="0" t="s">
        <v>186</v>
      </c>
      <c r="AE31" s="0" t="s">
        <v>186</v>
      </c>
      <c r="AF31" s="0" t="s">
        <v>186</v>
      </c>
      <c r="AG31" s="0" t="s">
        <v>186</v>
      </c>
      <c r="AH31" s="0" t="s">
        <v>905</v>
      </c>
      <c r="AI31" s="0" t="n">
        <v>1</v>
      </c>
      <c r="AJ31" s="0" t="s">
        <v>99</v>
      </c>
      <c r="AK31" s="0" t="n">
        <v>30</v>
      </c>
      <c r="AL31" s="0" t="n">
        <v>16</v>
      </c>
      <c r="AM31" s="0" t="s">
        <v>185</v>
      </c>
      <c r="AN31" s="0" t="n">
        <v>0</v>
      </c>
      <c r="AO31" s="0" t="n">
        <v>0</v>
      </c>
      <c r="AP31" s="0" t="n">
        <v>0</v>
      </c>
      <c r="AQ31" s="0" t="n">
        <v>0</v>
      </c>
      <c r="AR31" s="0" t="n">
        <v>0</v>
      </c>
      <c r="AS31" s="0" t="n">
        <v>0</v>
      </c>
      <c r="AT31" s="0" t="n">
        <v>0</v>
      </c>
      <c r="AU31" s="0" t="n">
        <v>0</v>
      </c>
      <c r="AV31" s="0" t="n">
        <v>0</v>
      </c>
      <c r="AW31" s="0" t="n">
        <v>0</v>
      </c>
      <c r="AX31" s="0" t="n">
        <v>0</v>
      </c>
      <c r="AY31" s="0" t="n">
        <v>0</v>
      </c>
      <c r="AZ31" s="0" t="n">
        <v>0</v>
      </c>
      <c r="BA31" s="0" t="n">
        <v>0</v>
      </c>
      <c r="BB31" s="0" t="n">
        <v>0</v>
      </c>
      <c r="BC31" s="0" t="n">
        <v>36</v>
      </c>
      <c r="BD31" s="0" t="n">
        <v>59</v>
      </c>
      <c r="BE31" s="0" t="n">
        <v>395</v>
      </c>
      <c r="BF31" s="0" t="n">
        <v>4</v>
      </c>
      <c r="BG31" s="0" t="n">
        <v>535</v>
      </c>
      <c r="BH31" s="0" t="n">
        <v>100</v>
      </c>
      <c r="BI31" s="0" t="n">
        <v>18</v>
      </c>
      <c r="BJ31" s="0" t="n">
        <v>-2.06512804815362</v>
      </c>
      <c r="BK31" s="0" t="n">
        <v>0</v>
      </c>
      <c r="BL31" s="0" t="n">
        <v>0</v>
      </c>
      <c r="BM31" s="0" t="n">
        <v>63.5</v>
      </c>
      <c r="BN31" s="0" t="n">
        <v>99.5</v>
      </c>
      <c r="BO31" s="0" t="n">
        <v>7</v>
      </c>
      <c r="BP31" s="0" t="s">
        <v>186</v>
      </c>
      <c r="BQ31" s="0" t="n">
        <v>1</v>
      </c>
      <c r="BR31" s="0" t="n">
        <v>81.5</v>
      </c>
      <c r="BS31" s="0" t="n">
        <v>0.125</v>
      </c>
      <c r="BT31" s="0" t="n">
        <v>0</v>
      </c>
      <c r="BU31" s="0" t="n">
        <v>0.1663</v>
      </c>
      <c r="BV31" s="0" t="n">
        <v>0.3371</v>
      </c>
      <c r="BW31" s="0" t="n">
        <v>0</v>
      </c>
      <c r="BX31" s="0" t="n">
        <v>0.485</v>
      </c>
      <c r="BY31" s="0" t="n">
        <v>0.8452</v>
      </c>
      <c r="BZ31" s="0" t="n">
        <v>7</v>
      </c>
      <c r="CA31" s="0" t="n">
        <v>6.65</v>
      </c>
      <c r="CB31" s="0" t="n">
        <v>22.69</v>
      </c>
      <c r="CC31" s="0" t="n">
        <v>19.1</v>
      </c>
      <c r="CD31" s="0" t="n">
        <v>9.66</v>
      </c>
      <c r="CE31" s="0" t="n">
        <v>4</v>
      </c>
      <c r="CF31" s="0" t="n">
        <v>1</v>
      </c>
      <c r="CG31" s="0" t="n">
        <v>7</v>
      </c>
      <c r="CH31" s="0" t="n">
        <v>0.571</v>
      </c>
      <c r="CI31" s="0" t="n">
        <v>0.143</v>
      </c>
      <c r="CJ31" s="0" t="n">
        <v>0.506</v>
      </c>
      <c r="CK31" s="0" t="n">
        <v>4</v>
      </c>
      <c r="CL31" s="0" t="n">
        <v>1</v>
      </c>
      <c r="CM31" s="0" t="n">
        <v>0</v>
      </c>
      <c r="CN31" s="0" t="n">
        <v>4</v>
      </c>
      <c r="CO31" s="0" t="n">
        <v>1.45664610918269</v>
      </c>
      <c r="CP31" s="0" t="n">
        <v>0</v>
      </c>
      <c r="CQ31" s="0" t="n">
        <v>0</v>
      </c>
      <c r="CR31" s="0" t="n">
        <v>0</v>
      </c>
      <c r="CS31" s="0" t="n">
        <v>0</v>
      </c>
      <c r="CT31" s="0" t="n">
        <v>0</v>
      </c>
      <c r="CU31" s="0" t="n">
        <v>4</v>
      </c>
      <c r="CV31" s="0" t="n">
        <v>1</v>
      </c>
      <c r="CW31" s="0" t="n">
        <v>0</v>
      </c>
      <c r="CX31" s="0" t="n">
        <v>4</v>
      </c>
      <c r="CY31" s="0" t="n">
        <v>1.46</v>
      </c>
      <c r="CZ31" s="0" t="n">
        <v>2.54</v>
      </c>
      <c r="DA31" s="0" t="n">
        <v>3.05797517007371</v>
      </c>
      <c r="DB31" s="0" t="n">
        <v>6.48491228070175</v>
      </c>
      <c r="DC31" s="0" t="n">
        <v>9.44474576271187</v>
      </c>
      <c r="DD31" s="0" t="n">
        <v>17.0683819588024</v>
      </c>
      <c r="DE31" s="0" t="n">
        <v>-0.0267561304368011</v>
      </c>
      <c r="DF31" s="0" t="n">
        <v>61.0169491525424</v>
      </c>
      <c r="DM31" s="0" t="s">
        <v>1085</v>
      </c>
      <c r="DS31" s="0" t="n">
        <v>59</v>
      </c>
      <c r="DT31" s="0" t="n">
        <v>3</v>
      </c>
      <c r="DU31" s="0" t="n">
        <v>3</v>
      </c>
      <c r="DV31" s="0" t="n">
        <v>8.194</v>
      </c>
      <c r="DW31" s="0" t="n">
        <v>2.778</v>
      </c>
      <c r="DX31" s="0" t="n">
        <v>9.1</v>
      </c>
      <c r="DY31" s="0" t="n">
        <v>0.0508</v>
      </c>
      <c r="DZ31" s="0" t="n">
        <v>383</v>
      </c>
      <c r="EA31" s="0" t="n">
        <v>0.87</v>
      </c>
      <c r="EB31" s="0" t="n">
        <v>7</v>
      </c>
      <c r="EC31" s="0" t="s">
        <v>1086</v>
      </c>
      <c r="ED31" s="0" t="n">
        <v>2022</v>
      </c>
      <c r="EE31" s="0" t="n">
        <v>1</v>
      </c>
      <c r="EF31" s="0" t="n">
        <v>10</v>
      </c>
      <c r="EG31" s="0" t="n">
        <v>2022</v>
      </c>
      <c r="EH31" s="0" t="n">
        <v>2026</v>
      </c>
      <c r="EI31" s="0" t="n">
        <v>5</v>
      </c>
      <c r="EJ31" s="0" t="n">
        <v>72</v>
      </c>
      <c r="EK31" s="0" t="n">
        <v>183</v>
      </c>
      <c r="EL31" s="0" t="s">
        <v>933</v>
      </c>
      <c r="EM31" s="0" t="n">
        <v>26.1</v>
      </c>
      <c r="EN31" s="15" t="b">
        <f aca="false">FALSE()</f>
        <v>0</v>
      </c>
      <c r="EO31" s="0" t="n">
        <v>334</v>
      </c>
      <c r="EP31" s="0" t="n">
        <v>2.84431137724551</v>
      </c>
      <c r="EQ31" s="0" t="n">
        <v>0.182634730538922</v>
      </c>
      <c r="ER31" s="0" t="n">
        <v>1.19161676646707</v>
      </c>
      <c r="ES31" s="0" t="n">
        <v>0.940119760479042</v>
      </c>
      <c r="ET31" s="0" t="n">
        <v>23</v>
      </c>
      <c r="EU31" s="0" t="n">
        <v>17</v>
      </c>
      <c r="EV31" s="0" t="n">
        <v>4.44011976047904</v>
      </c>
      <c r="EW31" s="0" t="n">
        <v>0.739130434782609</v>
      </c>
      <c r="EX31" s="0" t="n">
        <v>2.90111469172123</v>
      </c>
      <c r="EY31" s="0" t="n">
        <v>2.892</v>
      </c>
      <c r="EZ31" s="0" t="n">
        <v>0.1813</v>
      </c>
      <c r="FA31" s="0" t="n">
        <v>2.899</v>
      </c>
      <c r="FB31" s="0" t="n">
        <v>1.697</v>
      </c>
      <c r="FC31" s="0" t="n">
        <v>18</v>
      </c>
      <c r="FD31" s="0" t="n">
        <v>608</v>
      </c>
      <c r="FE31" s="0" t="n">
        <v>0.0986842105263158</v>
      </c>
      <c r="FF31" s="0" t="n">
        <v>0.0989</v>
      </c>
      <c r="FG31" s="0" t="n">
        <v>0.3117</v>
      </c>
      <c r="FH31" s="0" t="n">
        <v>2.423</v>
      </c>
      <c r="FI31" s="0" t="n">
        <v>1009</v>
      </c>
      <c r="FJ31" s="0" t="n">
        <v>0.551040634291378</v>
      </c>
      <c r="FK31" s="0" t="n">
        <v>17</v>
      </c>
      <c r="FL31" s="0" t="n">
        <v>59.35</v>
      </c>
      <c r="FM31" s="0" t="n">
        <v>0.4319</v>
      </c>
      <c r="FN31" s="0" t="n">
        <v>0.5681</v>
      </c>
      <c r="FO31" s="0" t="n">
        <v>-0.0877</v>
      </c>
      <c r="FP31" s="0" t="n">
        <v>-0.061</v>
      </c>
      <c r="FQ31" s="0" t="n">
        <v>-0.1799</v>
      </c>
      <c r="FR31" s="0" t="n">
        <v>38</v>
      </c>
      <c r="FS31" s="0" t="n">
        <v>42</v>
      </c>
      <c r="FT31" s="0" t="n">
        <v>2.47</v>
      </c>
      <c r="FU31" s="0" t="n">
        <v>17.6</v>
      </c>
      <c r="FV31" s="0" t="n">
        <v>5302</v>
      </c>
      <c r="FW31" s="0" t="n">
        <v>4286</v>
      </c>
      <c r="FX31" s="0" t="n">
        <v>0.808</v>
      </c>
      <c r="FY31" s="0" t="n">
        <v>5</v>
      </c>
      <c r="FZ31" s="0" t="n">
        <v>3</v>
      </c>
      <c r="GA31" s="0" t="n">
        <v>0.350287370649638</v>
      </c>
      <c r="GB31" s="0" t="n">
        <v>56.3</v>
      </c>
      <c r="GC31" s="0" t="n">
        <v>25.8</v>
      </c>
      <c r="GD31" s="0" t="n">
        <v>38.6</v>
      </c>
      <c r="GE31" s="0" t="n">
        <v>472</v>
      </c>
      <c r="GF31" s="0" t="n">
        <v>456</v>
      </c>
      <c r="GG31" s="0" t="n">
        <v>76</v>
      </c>
      <c r="GH31" s="0" t="n">
        <v>117</v>
      </c>
      <c r="GI31" s="0" t="n">
        <v>116</v>
      </c>
      <c r="GJ31" s="0" t="n">
        <v>27</v>
      </c>
      <c r="GK31" s="0" t="n">
        <v>0.161</v>
      </c>
      <c r="GL31" s="0" t="n">
        <v>0.257</v>
      </c>
      <c r="GM31" s="0" t="n">
        <v>0.233</v>
      </c>
      <c r="GN31" s="0" t="n">
        <v>14.214</v>
      </c>
      <c r="GO31" s="0" t="n">
        <v>11.643</v>
      </c>
      <c r="GP31" s="0" t="n">
        <v>9.071</v>
      </c>
      <c r="GQ31" s="0" t="n">
        <v>8.429</v>
      </c>
      <c r="GR31" s="0" t="n">
        <v>0</v>
      </c>
      <c r="GS31" s="0" t="n">
        <v>59</v>
      </c>
      <c r="GT31" s="0" t="n">
        <v>1.686</v>
      </c>
      <c r="GU31" s="0" t="n">
        <v>0.26</v>
      </c>
      <c r="GV31" s="0" t="n">
        <v>6.695</v>
      </c>
      <c r="GW31" s="0" t="n">
        <v>10.972</v>
      </c>
      <c r="GX31" s="0" t="n">
        <v>0.61</v>
      </c>
      <c r="GZ31" s="0" t="n">
        <v>9.068</v>
      </c>
      <c r="HA31" s="0" t="n">
        <v>2.778</v>
      </c>
      <c r="HB31" s="0" t="n">
        <v>0.738</v>
      </c>
      <c r="HC31" s="0" t="n">
        <v>0.068</v>
      </c>
      <c r="HE31" s="0" t="n">
        <v>-0.035</v>
      </c>
      <c r="HG31" s="0" t="n">
        <v>30.29</v>
      </c>
      <c r="HH31" s="0" t="n">
        <v>6.99</v>
      </c>
      <c r="HI31" s="0" t="n">
        <v>15</v>
      </c>
      <c r="HJ31" s="0" t="n">
        <v>46</v>
      </c>
      <c r="HK31" s="0" t="s">
        <v>909</v>
      </c>
      <c r="HL31" s="0" t="n">
        <v>0</v>
      </c>
      <c r="HM31" s="0" t="n">
        <v>60</v>
      </c>
      <c r="HN31" s="0" t="n">
        <v>16</v>
      </c>
      <c r="HO31" s="0" t="n">
        <v>-2.027</v>
      </c>
      <c r="HP31" s="0" t="n">
        <v>15</v>
      </c>
      <c r="HQ31" s="0" t="n">
        <v>-0.056</v>
      </c>
      <c r="HR31" s="0" t="s">
        <v>165</v>
      </c>
    </row>
    <row r="32" customFormat="false" ht="15" hidden="false" customHeight="false" outlineLevel="0" collapsed="false">
      <c r="A32" s="0" t="s">
        <v>896</v>
      </c>
      <c r="B32" s="0" t="s">
        <v>897</v>
      </c>
      <c r="C32" s="0" t="s">
        <v>898</v>
      </c>
      <c r="D32" s="0" t="s">
        <v>187</v>
      </c>
      <c r="E32" s="0" t="n">
        <v>17233</v>
      </c>
      <c r="F32" s="0" t="s">
        <v>172</v>
      </c>
      <c r="G32" s="0" t="n">
        <v>32.31</v>
      </c>
      <c r="H32" s="0" t="n">
        <v>9.26</v>
      </c>
      <c r="I32" s="0" t="n">
        <v>25</v>
      </c>
      <c r="J32" s="0" t="n">
        <v>59</v>
      </c>
      <c r="L32" s="0" t="s">
        <v>1087</v>
      </c>
      <c r="O32" s="0" t="n">
        <v>99.2</v>
      </c>
      <c r="U32" s="0" t="n">
        <v>13</v>
      </c>
      <c r="V32" s="0" t="s">
        <v>187</v>
      </c>
      <c r="W32" s="0" t="s">
        <v>901</v>
      </c>
      <c r="X32" s="0" t="s">
        <v>183</v>
      </c>
      <c r="Y32" s="0" t="s">
        <v>1088</v>
      </c>
      <c r="Z32" s="0" t="n">
        <v>17233</v>
      </c>
      <c r="AA32" s="0" t="s">
        <v>1089</v>
      </c>
      <c r="AB32" s="0" t="s">
        <v>904</v>
      </c>
      <c r="AC32" s="0" t="s">
        <v>183</v>
      </c>
      <c r="AD32" s="0" t="s">
        <v>183</v>
      </c>
      <c r="AE32" s="0" t="s">
        <v>183</v>
      </c>
      <c r="AF32" s="0" t="s">
        <v>183</v>
      </c>
      <c r="AG32" s="0" t="s">
        <v>183</v>
      </c>
      <c r="AH32" s="0" t="s">
        <v>905</v>
      </c>
      <c r="AI32" s="0" t="n">
        <v>1</v>
      </c>
      <c r="AJ32" s="0" t="s">
        <v>172</v>
      </c>
      <c r="AK32" s="0" t="n">
        <v>31</v>
      </c>
      <c r="AL32" s="0" t="n">
        <v>2</v>
      </c>
      <c r="AM32" s="0" t="s">
        <v>188</v>
      </c>
      <c r="AN32" s="0" t="n">
        <v>192</v>
      </c>
      <c r="AO32" s="0" t="n">
        <v>302</v>
      </c>
      <c r="AP32" s="0" t="n">
        <v>2549</v>
      </c>
      <c r="AQ32" s="0" t="n">
        <v>21</v>
      </c>
      <c r="AR32" s="0" t="n">
        <v>7</v>
      </c>
      <c r="AS32" s="0" t="n">
        <v>36</v>
      </c>
      <c r="AT32" s="0" t="n">
        <v>2648</v>
      </c>
      <c r="AU32" s="0" t="n">
        <v>109</v>
      </c>
      <c r="AV32" s="0" t="n">
        <v>18.1570221709542</v>
      </c>
      <c r="AW32" s="0" t="n">
        <v>67</v>
      </c>
      <c r="AX32" s="0" t="n">
        <v>349</v>
      </c>
      <c r="AY32" s="0" t="n">
        <v>2</v>
      </c>
      <c r="AZ32" s="0" t="n">
        <v>24</v>
      </c>
      <c r="BA32" s="0" t="n">
        <v>20.6087183911207</v>
      </c>
      <c r="BB32" s="0" t="n">
        <v>0</v>
      </c>
      <c r="BC32" s="0" t="n">
        <v>0</v>
      </c>
      <c r="BD32" s="0" t="n">
        <v>0</v>
      </c>
      <c r="BE32" s="0" t="n">
        <v>0</v>
      </c>
      <c r="BF32" s="0" t="n">
        <v>0</v>
      </c>
      <c r="BG32" s="0" t="n">
        <v>0</v>
      </c>
      <c r="BH32" s="0" t="n">
        <v>0</v>
      </c>
      <c r="BI32" s="0" t="n">
        <v>0</v>
      </c>
      <c r="BJ32" s="0" t="n">
        <v>0</v>
      </c>
      <c r="BK32" s="0" t="n">
        <v>0</v>
      </c>
      <c r="BL32" s="0" t="n">
        <v>0</v>
      </c>
      <c r="BM32" s="0" t="n">
        <v>214.86</v>
      </c>
      <c r="BN32" s="0" t="n">
        <v>214.86</v>
      </c>
      <c r="BO32" s="0" t="n">
        <v>13</v>
      </c>
      <c r="BP32" s="0" t="s">
        <v>183</v>
      </c>
      <c r="BQ32" s="0" t="n">
        <v>1</v>
      </c>
      <c r="BR32" s="0" t="n">
        <v>214.86</v>
      </c>
      <c r="BS32" s="0" t="n">
        <v>0</v>
      </c>
      <c r="BT32" s="0" t="n">
        <v>0.1321</v>
      </c>
      <c r="BU32" s="0" t="n">
        <v>0</v>
      </c>
      <c r="BV32" s="0" t="n">
        <v>0</v>
      </c>
      <c r="BW32" s="0" t="n">
        <v>0.1846</v>
      </c>
      <c r="BX32" s="0" t="n">
        <v>0</v>
      </c>
      <c r="BY32" s="0" t="n">
        <v>0</v>
      </c>
      <c r="BZ32" s="0" t="n">
        <v>13</v>
      </c>
      <c r="CA32" s="0" t="n">
        <v>7.22</v>
      </c>
      <c r="CB32" s="0" t="n">
        <v>26.44</v>
      </c>
      <c r="CC32" s="0" t="n">
        <v>16.64</v>
      </c>
      <c r="CD32" s="0" t="n">
        <v>9.08</v>
      </c>
      <c r="CE32" s="0" t="n">
        <v>6</v>
      </c>
      <c r="CF32" s="0" t="n">
        <v>3</v>
      </c>
      <c r="CG32" s="0" t="n">
        <v>13</v>
      </c>
      <c r="CH32" s="0" t="n">
        <v>0.462</v>
      </c>
      <c r="CI32" s="0" t="n">
        <v>0.231</v>
      </c>
      <c r="CJ32" s="0" t="n">
        <v>0.546</v>
      </c>
      <c r="CK32" s="0" t="n">
        <v>0</v>
      </c>
      <c r="CL32" s="0" t="n">
        <v>0</v>
      </c>
      <c r="CM32" s="0" t="n">
        <v>0</v>
      </c>
      <c r="CN32" s="0" t="n">
        <v>0</v>
      </c>
      <c r="CO32" s="0" t="n">
        <v>0</v>
      </c>
      <c r="CP32" s="0" t="n">
        <v>13</v>
      </c>
      <c r="CQ32" s="0" t="n">
        <v>5</v>
      </c>
      <c r="CR32" s="0" t="n">
        <v>1</v>
      </c>
      <c r="CS32" s="0" t="n">
        <v>2</v>
      </c>
      <c r="CT32" s="0" t="n">
        <v>1.44533331092175</v>
      </c>
      <c r="CU32" s="0" t="n">
        <v>13</v>
      </c>
      <c r="CV32" s="0" t="n">
        <v>5</v>
      </c>
      <c r="CW32" s="0" t="n">
        <v>1</v>
      </c>
      <c r="CX32" s="0" t="n">
        <v>2</v>
      </c>
      <c r="CY32" s="0" t="n">
        <v>1.45</v>
      </c>
      <c r="CZ32" s="0" t="n">
        <v>0.55</v>
      </c>
      <c r="DM32" s="0" t="s">
        <v>1090</v>
      </c>
      <c r="DN32" s="0" t="n">
        <v>67</v>
      </c>
      <c r="DO32" s="0" t="n">
        <v>7</v>
      </c>
      <c r="DP32" s="0" t="n">
        <v>3.836</v>
      </c>
      <c r="DQ32" s="0" t="n">
        <v>1.373</v>
      </c>
      <c r="DR32" s="0" t="n">
        <v>9.57</v>
      </c>
      <c r="DZ32" s="0" t="n">
        <v>702</v>
      </c>
      <c r="EA32" s="0" t="n">
        <v>0.922</v>
      </c>
      <c r="EB32" s="0" t="n">
        <v>13</v>
      </c>
      <c r="EC32" s="0" t="s">
        <v>1091</v>
      </c>
      <c r="ED32" s="0" t="n">
        <v>2018</v>
      </c>
      <c r="EE32" s="0" t="n">
        <v>1</v>
      </c>
      <c r="EF32" s="0" t="n">
        <v>32</v>
      </c>
      <c r="EG32" s="0" t="n">
        <v>2018</v>
      </c>
      <c r="EH32" s="0" t="n">
        <v>2026</v>
      </c>
      <c r="EI32" s="0" t="n">
        <v>9</v>
      </c>
      <c r="EJ32" s="0" t="n">
        <v>74</v>
      </c>
      <c r="EK32" s="0" t="n">
        <v>205</v>
      </c>
      <c r="EL32" s="0" t="s">
        <v>1092</v>
      </c>
      <c r="EM32" s="0" t="n">
        <v>29.6</v>
      </c>
      <c r="EN32" s="15" t="b">
        <f aca="false">FALSE()</f>
        <v>0</v>
      </c>
      <c r="EO32" s="0" t="n">
        <v>392</v>
      </c>
      <c r="EP32" s="0" t="n">
        <v>3.03673469387755</v>
      </c>
      <c r="EQ32" s="0" t="n">
        <v>0.153061224489796</v>
      </c>
      <c r="ER32" s="0" t="n">
        <v>1.31122448979592</v>
      </c>
      <c r="ES32" s="0" t="n">
        <v>1.51275510204082</v>
      </c>
      <c r="ET32" s="0" t="n">
        <v>37</v>
      </c>
      <c r="EU32" s="0" t="n">
        <v>24</v>
      </c>
      <c r="EV32" s="0" t="n">
        <v>5.24489795918367</v>
      </c>
      <c r="EW32" s="0" t="n">
        <v>0.648648648648649</v>
      </c>
      <c r="EX32" s="0" t="n">
        <v>2.95276427199016</v>
      </c>
      <c r="EY32" s="0" t="n">
        <v>3.032</v>
      </c>
      <c r="EZ32" s="0" t="n">
        <v>0.1574</v>
      </c>
      <c r="FA32" s="0" t="n">
        <v>3.144</v>
      </c>
      <c r="FB32" s="0" t="n">
        <v>2.107</v>
      </c>
      <c r="FC32" s="0" t="n">
        <v>24</v>
      </c>
      <c r="FD32" s="0" t="n">
        <v>501</v>
      </c>
      <c r="FE32" s="0" t="n">
        <v>0.0898203592814371</v>
      </c>
      <c r="FF32" s="0" t="n">
        <v>0.0849</v>
      </c>
      <c r="FG32" s="0" t="n">
        <v>0.2725</v>
      </c>
      <c r="FH32" s="0" t="n">
        <v>2.454</v>
      </c>
      <c r="FI32" s="0" t="n">
        <v>956</v>
      </c>
      <c r="FJ32" s="0" t="n">
        <v>0.48744769874477</v>
      </c>
      <c r="FK32" s="0" t="n">
        <v>17</v>
      </c>
      <c r="FL32" s="0" t="n">
        <v>56.24</v>
      </c>
      <c r="FM32" s="0" t="n">
        <v>0.4667</v>
      </c>
      <c r="FN32" s="0" t="n">
        <v>0.5333</v>
      </c>
      <c r="FO32" s="0" t="n">
        <v>-0.0884</v>
      </c>
      <c r="FP32" s="0" t="n">
        <v>0.0996</v>
      </c>
      <c r="FQ32" s="0" t="n">
        <v>-0.035</v>
      </c>
      <c r="FR32" s="0" t="n">
        <v>39</v>
      </c>
      <c r="FS32" s="0" t="n">
        <v>61</v>
      </c>
      <c r="FT32" s="0" t="n">
        <v>3.59</v>
      </c>
      <c r="FU32" s="0" t="n">
        <v>24.9</v>
      </c>
      <c r="FV32" s="0" t="n">
        <v>5080</v>
      </c>
      <c r="FW32" s="0" t="n">
        <v>2908</v>
      </c>
      <c r="FX32" s="0" t="n">
        <v>0.572</v>
      </c>
      <c r="FY32" s="0" t="n">
        <v>5</v>
      </c>
      <c r="FZ32" s="0" t="n">
        <v>2</v>
      </c>
      <c r="GA32" s="0" t="n">
        <v>0.782789362458</v>
      </c>
      <c r="GB32" s="0" t="n">
        <v>64.1</v>
      </c>
      <c r="GC32" s="0" t="n">
        <v>41</v>
      </c>
      <c r="GD32" s="0" t="n">
        <v>53.2</v>
      </c>
      <c r="GE32" s="0" t="n">
        <v>407</v>
      </c>
      <c r="GF32" s="0" t="n">
        <v>507</v>
      </c>
      <c r="GG32" s="0" t="n">
        <v>75</v>
      </c>
      <c r="GH32" s="0" t="n">
        <v>64</v>
      </c>
      <c r="GI32" s="0" t="n">
        <v>160</v>
      </c>
      <c r="GJ32" s="0" t="n">
        <v>26</v>
      </c>
      <c r="GK32" s="0" t="n">
        <v>0.184</v>
      </c>
      <c r="GL32" s="0" t="n">
        <v>0.126</v>
      </c>
      <c r="GM32" s="0" t="n">
        <v>0.162</v>
      </c>
      <c r="GN32" s="0" t="n">
        <v>16.528</v>
      </c>
      <c r="GO32" s="0" t="n">
        <v>16.528</v>
      </c>
      <c r="GP32" s="0" t="n">
        <v>16.528</v>
      </c>
      <c r="GQ32" s="0" t="n">
        <v>0</v>
      </c>
      <c r="GR32" s="0" t="n">
        <v>5.154</v>
      </c>
      <c r="GS32" s="0" t="n">
        <v>67</v>
      </c>
      <c r="GT32" s="0" t="n">
        <v>3.207</v>
      </c>
      <c r="GU32" s="0" t="n">
        <v>0.306</v>
      </c>
      <c r="GY32" s="0" t="n">
        <v>5.209</v>
      </c>
      <c r="HC32" s="0" t="n">
        <v>0.03</v>
      </c>
      <c r="HD32" s="0" t="n">
        <v>0.308</v>
      </c>
      <c r="HG32" s="0" t="n">
        <v>32.31</v>
      </c>
      <c r="HH32" s="0" t="n">
        <v>9.26</v>
      </c>
      <c r="HI32" s="0" t="n">
        <v>25</v>
      </c>
      <c r="HJ32" s="0" t="n">
        <v>59</v>
      </c>
      <c r="HK32" s="0" t="s">
        <v>909</v>
      </c>
      <c r="HL32" s="0" t="n">
        <v>0</v>
      </c>
      <c r="HM32" s="0" t="n">
        <v>20</v>
      </c>
      <c r="HN32" s="0" t="n">
        <v>2</v>
      </c>
      <c r="HO32" s="0" t="n">
        <v>-0.77</v>
      </c>
      <c r="HP32" s="0" t="n">
        <v>16</v>
      </c>
      <c r="HQ32" s="0" t="n">
        <v>-0.596</v>
      </c>
      <c r="HR32" s="0" t="s">
        <v>121</v>
      </c>
    </row>
    <row r="33" customFormat="false" ht="15" hidden="false" customHeight="false" outlineLevel="0" collapsed="false">
      <c r="A33" s="0" t="s">
        <v>896</v>
      </c>
      <c r="B33" s="0" t="s">
        <v>897</v>
      </c>
      <c r="C33" s="0" t="s">
        <v>898</v>
      </c>
      <c r="D33" s="0" t="s">
        <v>189</v>
      </c>
      <c r="E33" s="0" t="n">
        <v>25417</v>
      </c>
      <c r="F33" s="0" t="s">
        <v>99</v>
      </c>
      <c r="G33" s="0" t="n">
        <v>33.7</v>
      </c>
      <c r="H33" s="0" t="n">
        <v>7.48</v>
      </c>
      <c r="I33" s="0" t="n">
        <v>14</v>
      </c>
      <c r="J33" s="0" t="n">
        <v>46</v>
      </c>
      <c r="L33" s="0" t="s">
        <v>1093</v>
      </c>
      <c r="O33" s="0" t="n">
        <v>97.7</v>
      </c>
      <c r="U33" s="0" t="n">
        <v>5</v>
      </c>
      <c r="V33" s="0" t="s">
        <v>189</v>
      </c>
      <c r="W33" s="0" t="s">
        <v>901</v>
      </c>
      <c r="X33" s="0" t="s">
        <v>191</v>
      </c>
      <c r="Y33" s="0" t="s">
        <v>1094</v>
      </c>
      <c r="Z33" s="0" t="n">
        <v>25417</v>
      </c>
      <c r="AA33" s="0" t="s">
        <v>1095</v>
      </c>
      <c r="AB33" s="0" t="s">
        <v>904</v>
      </c>
      <c r="AC33" s="0" t="s">
        <v>191</v>
      </c>
      <c r="AD33" s="0" t="s">
        <v>191</v>
      </c>
      <c r="AE33" s="0" t="s">
        <v>191</v>
      </c>
      <c r="AF33" s="0" t="s">
        <v>191</v>
      </c>
      <c r="AG33" s="0" t="s">
        <v>191</v>
      </c>
      <c r="AH33" s="0" t="s">
        <v>905</v>
      </c>
      <c r="AI33" s="0" t="n">
        <v>1</v>
      </c>
      <c r="AJ33" s="0" t="s">
        <v>99</v>
      </c>
      <c r="AK33" s="0" t="n">
        <v>32</v>
      </c>
      <c r="AL33" s="0" t="n">
        <v>17</v>
      </c>
      <c r="AM33" s="0" t="s">
        <v>190</v>
      </c>
      <c r="AN33" s="0" t="n">
        <v>0</v>
      </c>
      <c r="AO33" s="0" t="n">
        <v>0</v>
      </c>
      <c r="AP33" s="0" t="n">
        <v>0</v>
      </c>
      <c r="AQ33" s="0" t="n">
        <v>0</v>
      </c>
      <c r="AR33" s="0" t="n">
        <v>0</v>
      </c>
      <c r="AS33" s="0" t="n">
        <v>0</v>
      </c>
      <c r="AT33" s="0" t="n">
        <v>0</v>
      </c>
      <c r="AU33" s="0" t="n">
        <v>0</v>
      </c>
      <c r="AV33" s="0" t="n">
        <v>0</v>
      </c>
      <c r="AW33" s="0" t="n">
        <v>0</v>
      </c>
      <c r="AX33" s="0" t="n">
        <v>0</v>
      </c>
      <c r="AY33" s="0" t="n">
        <v>0</v>
      </c>
      <c r="AZ33" s="0" t="n">
        <v>0</v>
      </c>
      <c r="BA33" s="0" t="n">
        <v>0</v>
      </c>
      <c r="BB33" s="0" t="n">
        <v>0</v>
      </c>
      <c r="BC33" s="0" t="n">
        <v>70</v>
      </c>
      <c r="BD33" s="0" t="n">
        <v>122</v>
      </c>
      <c r="BE33" s="0" t="n">
        <v>1014</v>
      </c>
      <c r="BF33" s="0" t="n">
        <v>7</v>
      </c>
      <c r="BG33" s="0" t="n">
        <v>1410</v>
      </c>
      <c r="BH33" s="0" t="n">
        <v>269</v>
      </c>
      <c r="BI33" s="0" t="n">
        <v>55</v>
      </c>
      <c r="BJ33" s="0" t="n">
        <v>25.2850960882129</v>
      </c>
      <c r="BK33" s="0" t="n">
        <v>0</v>
      </c>
      <c r="BL33" s="0" t="n">
        <v>0</v>
      </c>
      <c r="BM33" s="0" t="n">
        <v>143.4</v>
      </c>
      <c r="BN33" s="0" t="n">
        <v>213.4</v>
      </c>
      <c r="BO33" s="0" t="n">
        <v>17</v>
      </c>
      <c r="BP33" s="0" t="s">
        <v>191</v>
      </c>
      <c r="BQ33" s="0" t="n">
        <v>1</v>
      </c>
      <c r="BR33" s="0" t="n">
        <v>178.4</v>
      </c>
      <c r="BS33" s="0" t="n">
        <v>0.2542</v>
      </c>
      <c r="BT33" s="0" t="n">
        <v>0</v>
      </c>
      <c r="BU33" s="0" t="n">
        <v>0.4326</v>
      </c>
      <c r="BV33" s="0" t="n">
        <v>0.2542</v>
      </c>
      <c r="BW33" s="0" t="n">
        <v>0</v>
      </c>
      <c r="BX33" s="0" t="n">
        <v>0.4326</v>
      </c>
      <c r="BY33" s="0" t="n">
        <v>0.6841</v>
      </c>
      <c r="BZ33" s="0" t="n">
        <v>17</v>
      </c>
      <c r="CA33" s="0" t="n">
        <v>8.6</v>
      </c>
      <c r="CB33" s="0" t="n">
        <v>17.5</v>
      </c>
      <c r="CC33" s="0" t="n">
        <v>11.5</v>
      </c>
      <c r="CD33" s="0" t="n">
        <v>7.07</v>
      </c>
      <c r="CE33" s="0" t="n">
        <v>2</v>
      </c>
      <c r="CF33" s="0" t="n">
        <v>1</v>
      </c>
      <c r="CG33" s="0" t="n">
        <v>17</v>
      </c>
      <c r="CH33" s="0" t="n">
        <v>0.118</v>
      </c>
      <c r="CI33" s="0" t="n">
        <v>0.059</v>
      </c>
      <c r="CJ33" s="0" t="n">
        <v>0.615</v>
      </c>
      <c r="CK33" s="0" t="n">
        <v>15</v>
      </c>
      <c r="CL33" s="0" t="n">
        <v>6</v>
      </c>
      <c r="CM33" s="0" t="n">
        <v>3</v>
      </c>
      <c r="CN33" s="0" t="n">
        <v>7</v>
      </c>
      <c r="CO33" s="0" t="n">
        <v>5.58502448028159</v>
      </c>
      <c r="CP33" s="0" t="n">
        <v>0</v>
      </c>
      <c r="CQ33" s="0" t="n">
        <v>0</v>
      </c>
      <c r="CR33" s="0" t="n">
        <v>0</v>
      </c>
      <c r="CS33" s="0" t="n">
        <v>0</v>
      </c>
      <c r="CT33" s="0" t="n">
        <v>0</v>
      </c>
      <c r="CU33" s="0" t="n">
        <v>15</v>
      </c>
      <c r="CV33" s="0" t="n">
        <v>6</v>
      </c>
      <c r="CW33" s="0" t="n">
        <v>3</v>
      </c>
      <c r="CX33" s="0" t="n">
        <v>7</v>
      </c>
      <c r="CY33" s="0" t="n">
        <v>5.59</v>
      </c>
      <c r="CZ33" s="0" t="n">
        <v>1.41</v>
      </c>
      <c r="DA33" s="0" t="n">
        <v>2.69365976951954</v>
      </c>
      <c r="DB33" s="0" t="n">
        <v>5.72428571428572</v>
      </c>
      <c r="DC33" s="0" t="n">
        <v>12.4313114754098</v>
      </c>
      <c r="DD33" s="0" t="n">
        <v>44.5405767350067</v>
      </c>
      <c r="DE33" s="0" t="n">
        <v>0.104949946695028</v>
      </c>
      <c r="DF33" s="0" t="n">
        <v>57.3770491803279</v>
      </c>
      <c r="DM33" s="0" t="s">
        <v>1096</v>
      </c>
      <c r="DS33" s="0" t="n">
        <v>122</v>
      </c>
      <c r="DT33" s="0" t="n">
        <v>2</v>
      </c>
      <c r="DU33" s="0" t="n">
        <v>8</v>
      </c>
      <c r="DV33" s="0" t="n">
        <v>10.643</v>
      </c>
      <c r="DW33" s="0" t="n">
        <v>3.843</v>
      </c>
      <c r="DX33" s="0" t="n">
        <v>11.6</v>
      </c>
      <c r="DY33" s="0" t="n">
        <v>0.0656</v>
      </c>
      <c r="DZ33" s="0" t="n">
        <v>925</v>
      </c>
      <c r="EA33" s="0" t="n">
        <v>0.872</v>
      </c>
      <c r="EB33" s="0" t="n">
        <v>17</v>
      </c>
      <c r="EC33" s="0" t="s">
        <v>1097</v>
      </c>
      <c r="ED33" s="0" t="n">
        <v>2025</v>
      </c>
      <c r="EE33" s="0" t="n">
        <v>1</v>
      </c>
      <c r="EF33" s="0" t="n">
        <v>8</v>
      </c>
      <c r="EG33" s="0" t="n">
        <v>2025</v>
      </c>
      <c r="EH33" s="0" t="n">
        <v>2026</v>
      </c>
      <c r="EI33" s="0" t="n">
        <v>2</v>
      </c>
      <c r="EJ33" s="0" t="n">
        <v>76</v>
      </c>
      <c r="EK33" s="0" t="n">
        <v>219</v>
      </c>
      <c r="EL33" s="0" t="s">
        <v>1098</v>
      </c>
      <c r="EM33" s="0" t="n">
        <v>23.4</v>
      </c>
      <c r="EN33" s="15" t="b">
        <f aca="false">FALSE()</f>
        <v>0</v>
      </c>
      <c r="EO33" s="0" t="n">
        <v>391</v>
      </c>
      <c r="EP33" s="0" t="n">
        <v>3.16700767263427</v>
      </c>
      <c r="EQ33" s="0" t="n">
        <v>0.138107416879795</v>
      </c>
      <c r="ER33" s="0" t="n">
        <v>1.15856777493606</v>
      </c>
      <c r="ES33" s="0" t="n">
        <v>0.534526854219949</v>
      </c>
      <c r="ET33" s="0" t="n">
        <v>29</v>
      </c>
      <c r="EU33" s="0" t="n">
        <v>20</v>
      </c>
      <c r="EV33" s="0" t="n">
        <v>4.29923273657289</v>
      </c>
      <c r="EW33" s="0" t="n">
        <v>0.689655172413793</v>
      </c>
      <c r="EX33" s="0" t="n">
        <v>2.93615385596069</v>
      </c>
      <c r="EY33" s="0" t="n">
        <v>3.179</v>
      </c>
      <c r="EZ33" s="0" t="n">
        <v>0.1391</v>
      </c>
      <c r="FA33" s="0" t="n">
        <v>2.49</v>
      </c>
      <c r="FB33" s="0" t="n">
        <v>1.798</v>
      </c>
      <c r="FC33" s="0" t="n">
        <v>18</v>
      </c>
      <c r="FD33" s="0" t="n">
        <v>582</v>
      </c>
      <c r="FE33" s="0" t="n">
        <v>0.0601374570446735</v>
      </c>
      <c r="FF33" s="0" t="n">
        <v>0.0629</v>
      </c>
      <c r="FG33" s="0" t="n">
        <v>0.2718</v>
      </c>
      <c r="FH33" s="0" t="n">
        <v>2.4</v>
      </c>
      <c r="FI33" s="0" t="n">
        <v>996</v>
      </c>
      <c r="FJ33" s="0" t="n">
        <v>0.553212851405623</v>
      </c>
      <c r="FK33" s="0" t="n">
        <v>17</v>
      </c>
      <c r="FL33" s="0" t="n">
        <v>58.59</v>
      </c>
      <c r="FM33" s="0" t="n">
        <v>0.5106</v>
      </c>
      <c r="FN33" s="0" t="n">
        <v>0.4894</v>
      </c>
      <c r="FO33" s="0" t="n">
        <v>-0.061</v>
      </c>
      <c r="FP33" s="0" t="n">
        <v>-0.0262</v>
      </c>
      <c r="FQ33" s="0" t="n">
        <v>-0.0498</v>
      </c>
      <c r="FR33" s="0" t="n">
        <v>39</v>
      </c>
      <c r="FS33" s="0" t="n">
        <v>48</v>
      </c>
      <c r="FT33" s="0" t="n">
        <v>2.82</v>
      </c>
      <c r="FU33" s="0" t="n">
        <v>18.3</v>
      </c>
      <c r="FV33" s="0" t="n">
        <v>5317</v>
      </c>
      <c r="FW33" s="0" t="n">
        <v>3170</v>
      </c>
      <c r="FX33" s="0" t="n">
        <v>0.596</v>
      </c>
      <c r="FY33" s="0" t="n">
        <v>5</v>
      </c>
      <c r="FZ33" s="0" t="n">
        <v>3</v>
      </c>
      <c r="GA33" s="0" t="n">
        <v>0.724248193828235</v>
      </c>
      <c r="GB33" s="0" t="n">
        <v>63.1</v>
      </c>
      <c r="GC33" s="0" t="n">
        <v>47.3</v>
      </c>
      <c r="GD33" s="0" t="n">
        <v>56.6</v>
      </c>
      <c r="GE33" s="0" t="n">
        <v>480</v>
      </c>
      <c r="GF33" s="0" t="n">
        <v>461</v>
      </c>
      <c r="GG33" s="0" t="n">
        <v>50</v>
      </c>
      <c r="GH33" s="0" t="n">
        <v>242</v>
      </c>
      <c r="GI33" s="0" t="n">
        <v>136</v>
      </c>
      <c r="GJ33" s="0" t="n">
        <v>40</v>
      </c>
      <c r="GK33" s="0" t="n">
        <v>0.104</v>
      </c>
      <c r="GL33" s="0" t="n">
        <v>0.525</v>
      </c>
      <c r="GM33" s="0" t="n">
        <v>0.294</v>
      </c>
      <c r="GN33" s="0" t="n">
        <v>12.553</v>
      </c>
      <c r="GO33" s="0" t="n">
        <v>10.494</v>
      </c>
      <c r="GP33" s="0" t="n">
        <v>8.435</v>
      </c>
      <c r="GQ33" s="0" t="n">
        <v>7.176</v>
      </c>
      <c r="GR33" s="0" t="n">
        <v>0</v>
      </c>
      <c r="GS33" s="0" t="n">
        <v>122</v>
      </c>
      <c r="GT33" s="0" t="n">
        <v>1.749</v>
      </c>
      <c r="GU33" s="0" t="n">
        <v>0.231</v>
      </c>
      <c r="GV33" s="0" t="n">
        <v>8.311</v>
      </c>
      <c r="GW33" s="0" t="n">
        <v>14.486</v>
      </c>
      <c r="GX33" s="0" t="n">
        <v>0.574</v>
      </c>
      <c r="GZ33" s="0" t="n">
        <v>11.557</v>
      </c>
      <c r="HA33" s="0" t="n">
        <v>3.843</v>
      </c>
      <c r="HB33" s="0" t="n">
        <v>0.719</v>
      </c>
      <c r="HC33" s="0" t="n">
        <v>0.057</v>
      </c>
      <c r="HE33" s="0" t="n">
        <v>0.207</v>
      </c>
      <c r="HG33" s="0" t="n">
        <v>33.7</v>
      </c>
      <c r="HH33" s="0" t="n">
        <v>7.48</v>
      </c>
      <c r="HI33" s="0" t="n">
        <v>14</v>
      </c>
      <c r="HJ33" s="0" t="n">
        <v>46</v>
      </c>
      <c r="HK33" s="0" t="s">
        <v>909</v>
      </c>
      <c r="HL33" s="0" t="n">
        <v>0</v>
      </c>
      <c r="HM33" s="0" t="n">
        <v>15</v>
      </c>
      <c r="HN33" s="0" t="n">
        <v>17</v>
      </c>
      <c r="HO33" s="0" t="n">
        <v>-0.02</v>
      </c>
      <c r="HP33" s="0" t="n">
        <v>24</v>
      </c>
      <c r="HQ33" s="0" t="n">
        <v>-0.415</v>
      </c>
      <c r="HR33" s="0" t="s">
        <v>102</v>
      </c>
    </row>
    <row r="34" customFormat="false" ht="15" hidden="false" customHeight="false" outlineLevel="0" collapsed="false">
      <c r="A34" s="0" t="s">
        <v>896</v>
      </c>
      <c r="B34" s="0" t="s">
        <v>897</v>
      </c>
      <c r="C34" s="0" t="s">
        <v>898</v>
      </c>
      <c r="D34" s="0" t="s">
        <v>192</v>
      </c>
      <c r="E34" s="0" t="n">
        <v>19211</v>
      </c>
      <c r="F34" s="0" t="s">
        <v>99</v>
      </c>
      <c r="G34" s="0" t="n">
        <v>34.77</v>
      </c>
      <c r="H34" s="0" t="n">
        <v>7.37</v>
      </c>
      <c r="I34" s="0" t="n">
        <v>19</v>
      </c>
      <c r="J34" s="0" t="n">
        <v>52</v>
      </c>
      <c r="L34" s="0" t="s">
        <v>1099</v>
      </c>
      <c r="O34" s="0" t="n">
        <v>96.9</v>
      </c>
      <c r="U34" s="0" t="n">
        <v>6</v>
      </c>
      <c r="V34" s="0" t="s">
        <v>192</v>
      </c>
      <c r="W34" s="0" t="s">
        <v>901</v>
      </c>
      <c r="X34" s="0" t="s">
        <v>101</v>
      </c>
      <c r="Y34" s="0" t="s">
        <v>1100</v>
      </c>
      <c r="Z34" s="0" t="n">
        <v>19211</v>
      </c>
      <c r="AA34" s="0" t="s">
        <v>1101</v>
      </c>
      <c r="AB34" s="0" t="s">
        <v>904</v>
      </c>
      <c r="AC34" s="0" t="s">
        <v>101</v>
      </c>
      <c r="AD34" s="0" t="s">
        <v>101</v>
      </c>
      <c r="AE34" s="0" t="s">
        <v>101</v>
      </c>
      <c r="AF34" s="0" t="s">
        <v>101</v>
      </c>
      <c r="AG34" s="0" t="s">
        <v>101</v>
      </c>
      <c r="AH34" s="0" t="s">
        <v>905</v>
      </c>
      <c r="AI34" s="0" t="n">
        <v>2</v>
      </c>
      <c r="AJ34" s="0" t="s">
        <v>99</v>
      </c>
      <c r="AK34" s="0" t="n">
        <v>33</v>
      </c>
      <c r="AL34" s="0" t="n">
        <v>18</v>
      </c>
      <c r="AM34" s="0" t="s">
        <v>193</v>
      </c>
      <c r="AN34" s="0" t="n">
        <v>0</v>
      </c>
      <c r="AO34" s="0" t="n">
        <v>0</v>
      </c>
      <c r="AP34" s="0" t="n">
        <v>0</v>
      </c>
      <c r="AQ34" s="0" t="n">
        <v>0</v>
      </c>
      <c r="AR34" s="0" t="n">
        <v>0</v>
      </c>
      <c r="AS34" s="0" t="n">
        <v>0</v>
      </c>
      <c r="AT34" s="0" t="n">
        <v>0</v>
      </c>
      <c r="AU34" s="0" t="n">
        <v>0</v>
      </c>
      <c r="AV34" s="0" t="n">
        <v>0</v>
      </c>
      <c r="AW34" s="0" t="n">
        <v>0</v>
      </c>
      <c r="AX34" s="0" t="n">
        <v>0</v>
      </c>
      <c r="AY34" s="0" t="n">
        <v>0</v>
      </c>
      <c r="AZ34" s="0" t="n">
        <v>0</v>
      </c>
      <c r="BA34" s="0" t="n">
        <v>0</v>
      </c>
      <c r="BB34" s="0" t="n">
        <v>0</v>
      </c>
      <c r="BC34" s="0" t="n">
        <v>59</v>
      </c>
      <c r="BD34" s="0" t="n">
        <v>98</v>
      </c>
      <c r="BE34" s="0" t="n">
        <v>846</v>
      </c>
      <c r="BF34" s="0" t="n">
        <v>11</v>
      </c>
      <c r="BG34" s="0" t="n">
        <v>1314</v>
      </c>
      <c r="BH34" s="0" t="n">
        <v>166</v>
      </c>
      <c r="BI34" s="0" t="n">
        <v>41</v>
      </c>
      <c r="BJ34" s="0" t="n">
        <v>35.986866589898</v>
      </c>
      <c r="BK34" s="0" t="n">
        <v>0</v>
      </c>
      <c r="BL34" s="0" t="n">
        <v>0</v>
      </c>
      <c r="BM34" s="0" t="n">
        <v>152.6</v>
      </c>
      <c r="BN34" s="0" t="n">
        <v>211.6</v>
      </c>
      <c r="BO34" s="0" t="n">
        <v>15</v>
      </c>
      <c r="BP34" s="0" t="s">
        <v>101</v>
      </c>
      <c r="BQ34" s="0" t="n">
        <v>1</v>
      </c>
      <c r="BR34" s="0" t="n">
        <v>182.1</v>
      </c>
      <c r="BS34" s="0" t="n">
        <v>0.1612</v>
      </c>
      <c r="BT34" s="0" t="n">
        <v>0</v>
      </c>
      <c r="BU34" s="0" t="n">
        <v>0.2878</v>
      </c>
      <c r="BV34" s="0" t="n">
        <v>0.1856</v>
      </c>
      <c r="BW34" s="0" t="n">
        <v>0</v>
      </c>
      <c r="BX34" s="0" t="n">
        <v>0.3361</v>
      </c>
      <c r="BY34" s="0" t="n">
        <v>0.5137</v>
      </c>
      <c r="BZ34" s="0" t="n">
        <v>15</v>
      </c>
      <c r="CA34" s="0" t="n">
        <v>9</v>
      </c>
      <c r="CB34" s="0" t="n">
        <v>21.31</v>
      </c>
      <c r="CC34" s="0" t="n">
        <v>11.4</v>
      </c>
      <c r="CD34" s="0" t="n">
        <v>8.23</v>
      </c>
      <c r="CE34" s="0" t="n">
        <v>4</v>
      </c>
      <c r="CF34" s="0" t="n">
        <v>0</v>
      </c>
      <c r="CG34" s="0" t="n">
        <v>15</v>
      </c>
      <c r="CH34" s="0" t="n">
        <v>0.267</v>
      </c>
      <c r="CI34" s="0" t="n">
        <v>0</v>
      </c>
      <c r="CJ34" s="0" t="n">
        <v>0.722</v>
      </c>
      <c r="CK34" s="0" t="n">
        <v>15</v>
      </c>
      <c r="CL34" s="0" t="n">
        <v>7</v>
      </c>
      <c r="CM34" s="0" t="n">
        <v>4</v>
      </c>
      <c r="CN34" s="0" t="n">
        <v>11</v>
      </c>
      <c r="CO34" s="0" t="n">
        <v>6.05701125028941</v>
      </c>
      <c r="CP34" s="0" t="n">
        <v>0</v>
      </c>
      <c r="CQ34" s="0" t="n">
        <v>0</v>
      </c>
      <c r="CR34" s="0" t="n">
        <v>0</v>
      </c>
      <c r="CS34" s="0" t="n">
        <v>0</v>
      </c>
      <c r="CT34" s="0" t="n">
        <v>0</v>
      </c>
      <c r="CU34" s="0" t="n">
        <v>15</v>
      </c>
      <c r="CV34" s="0" t="n">
        <v>7</v>
      </c>
      <c r="CW34" s="0" t="n">
        <v>4</v>
      </c>
      <c r="CX34" s="0" t="n">
        <v>11</v>
      </c>
      <c r="CY34" s="0" t="n">
        <v>6.06</v>
      </c>
      <c r="CZ34" s="0" t="n">
        <v>4.94</v>
      </c>
      <c r="DA34" s="0" t="n">
        <v>1.83289897084396</v>
      </c>
      <c r="DB34" s="0" t="n">
        <v>5.22721649484536</v>
      </c>
      <c r="DC34" s="0" t="n">
        <v>13.5325510204082</v>
      </c>
      <c r="DD34" s="0" t="n">
        <v>29.0201733520938</v>
      </c>
      <c r="DE34" s="0" t="n">
        <v>0.382112297101687</v>
      </c>
      <c r="DF34" s="0" t="n">
        <v>60.2040816326531</v>
      </c>
      <c r="DM34" s="0" t="s">
        <v>1102</v>
      </c>
      <c r="DS34" s="0" t="n">
        <v>98</v>
      </c>
      <c r="DT34" s="0" t="n">
        <v>5</v>
      </c>
      <c r="DU34" s="0" t="n">
        <v>2</v>
      </c>
      <c r="DV34" s="0" t="n">
        <v>11.525</v>
      </c>
      <c r="DW34" s="0" t="n">
        <v>2.814</v>
      </c>
      <c r="DX34" s="0" t="n">
        <v>13.1</v>
      </c>
      <c r="DY34" s="0" t="n">
        <v>0.0204</v>
      </c>
      <c r="DZ34" s="0" t="n">
        <v>769</v>
      </c>
      <c r="EA34" s="0" t="n">
        <v>0.809</v>
      </c>
      <c r="EB34" s="0" t="n">
        <v>15</v>
      </c>
      <c r="EC34" s="0" t="s">
        <v>1103</v>
      </c>
      <c r="ED34" s="0" t="n">
        <v>2020</v>
      </c>
      <c r="EE34" s="0" t="n">
        <v>2</v>
      </c>
      <c r="EF34" s="0" t="n">
        <v>33</v>
      </c>
      <c r="EG34" s="0" t="n">
        <v>2020</v>
      </c>
      <c r="EH34" s="0" t="n">
        <v>2026</v>
      </c>
      <c r="EI34" s="0" t="n">
        <v>7</v>
      </c>
      <c r="EJ34" s="0" t="n">
        <v>76</v>
      </c>
      <c r="EK34" s="0" t="n">
        <v>219</v>
      </c>
      <c r="EL34" s="0" t="s">
        <v>1104</v>
      </c>
      <c r="EM34" s="0" t="n">
        <v>27.6</v>
      </c>
      <c r="EN34" s="15" t="b">
        <f aca="false">FALSE()</f>
        <v>0</v>
      </c>
      <c r="EO34" s="0" t="n">
        <v>334</v>
      </c>
      <c r="EP34" s="0" t="n">
        <v>3.15059880239521</v>
      </c>
      <c r="EQ34" s="0" t="n">
        <v>0.110778443113773</v>
      </c>
      <c r="ER34" s="0" t="n">
        <v>1.15269461077844</v>
      </c>
      <c r="ES34" s="0" t="n">
        <v>0.583832335329341</v>
      </c>
      <c r="ET34" s="0" t="n">
        <v>35</v>
      </c>
      <c r="EU34" s="0" t="n">
        <v>23</v>
      </c>
      <c r="EV34" s="0" t="n">
        <v>4.33532934131737</v>
      </c>
      <c r="EW34" s="0" t="n">
        <v>0.657142857142857</v>
      </c>
      <c r="EX34" s="0" t="n">
        <v>2.88704171718939</v>
      </c>
      <c r="EY34" s="0" t="n">
        <v>3.212</v>
      </c>
      <c r="EZ34" s="0" t="n">
        <v>0.1072</v>
      </c>
      <c r="FA34" s="0" t="n">
        <v>2.249</v>
      </c>
      <c r="FB34" s="0" t="n">
        <v>1.927</v>
      </c>
      <c r="FC34" s="0" t="n">
        <v>22</v>
      </c>
      <c r="FD34" s="0" t="n">
        <v>687</v>
      </c>
      <c r="FE34" s="0" t="n">
        <v>0.0524017467248908</v>
      </c>
      <c r="FF34" s="0" t="n">
        <v>0.0527</v>
      </c>
      <c r="FG34" s="0" t="n">
        <v>0.2234</v>
      </c>
      <c r="FH34" s="0" t="n">
        <v>2.22</v>
      </c>
      <c r="FI34" s="0" t="n">
        <v>1049</v>
      </c>
      <c r="FJ34" s="0" t="n">
        <v>0.645376549094376</v>
      </c>
      <c r="FK34" s="0" t="n">
        <v>17</v>
      </c>
      <c r="FL34" s="0" t="n">
        <v>61.71</v>
      </c>
      <c r="FM34" s="0" t="n">
        <v>0.6322</v>
      </c>
      <c r="FN34" s="0" t="n">
        <v>0.3678</v>
      </c>
      <c r="FO34" s="0" t="n">
        <v>0.0172</v>
      </c>
      <c r="FP34" s="0" t="n">
        <v>0.0246</v>
      </c>
      <c r="FQ34" s="0" t="n">
        <v>-0.0266</v>
      </c>
      <c r="FR34" s="0" t="n">
        <v>38</v>
      </c>
      <c r="FS34" s="0" t="n">
        <v>56</v>
      </c>
      <c r="FT34" s="0" t="n">
        <v>3.29</v>
      </c>
      <c r="FU34" s="0" t="n">
        <v>24.4</v>
      </c>
      <c r="FV34" s="0" t="n">
        <v>5575</v>
      </c>
      <c r="FW34" s="0" t="n">
        <v>5552</v>
      </c>
      <c r="FX34" s="0" t="n">
        <v>0.996</v>
      </c>
      <c r="FY34" s="0" t="n">
        <v>5</v>
      </c>
      <c r="FZ34" s="0" t="n">
        <v>5</v>
      </c>
      <c r="GA34" s="0" t="n">
        <v>0.739940369212519</v>
      </c>
      <c r="GB34" s="0" t="n">
        <v>63.4</v>
      </c>
      <c r="GC34" s="0" t="n">
        <v>53</v>
      </c>
      <c r="GD34" s="0" t="n">
        <v>60.4</v>
      </c>
      <c r="GE34" s="0" t="n">
        <v>608</v>
      </c>
      <c r="GF34" s="0" t="n">
        <v>381</v>
      </c>
      <c r="GG34" s="0" t="n">
        <v>41</v>
      </c>
      <c r="GH34" s="0" t="n">
        <v>9</v>
      </c>
      <c r="GI34" s="0" t="n">
        <v>137</v>
      </c>
      <c r="GJ34" s="0" t="n">
        <v>6</v>
      </c>
      <c r="GK34" s="0" t="n">
        <v>0.067</v>
      </c>
      <c r="GL34" s="0" t="n">
        <v>0.024</v>
      </c>
      <c r="GM34" s="0" t="n">
        <v>0.044</v>
      </c>
      <c r="GN34" s="0" t="n">
        <v>14.107</v>
      </c>
      <c r="GO34" s="0" t="n">
        <v>12.14</v>
      </c>
      <c r="GP34" s="0" t="n">
        <v>10.173</v>
      </c>
      <c r="GQ34" s="0" t="n">
        <v>6.533</v>
      </c>
      <c r="GR34" s="0" t="n">
        <v>0</v>
      </c>
      <c r="GS34" s="0" t="n">
        <v>98</v>
      </c>
      <c r="GT34" s="0" t="n">
        <v>2.159</v>
      </c>
      <c r="GU34" s="0" t="n">
        <v>0.275</v>
      </c>
      <c r="GV34" s="0" t="n">
        <v>8.633</v>
      </c>
      <c r="GW34" s="0" t="n">
        <v>14.339</v>
      </c>
      <c r="GX34" s="0" t="n">
        <v>0.602</v>
      </c>
      <c r="GZ34" s="0" t="n">
        <v>13.408</v>
      </c>
      <c r="HA34" s="0" t="n">
        <v>2.814</v>
      </c>
      <c r="HB34" s="0" t="n">
        <v>0.644</v>
      </c>
      <c r="HC34" s="0" t="n">
        <v>0.112</v>
      </c>
      <c r="HE34" s="0" t="n">
        <v>0.367</v>
      </c>
      <c r="HG34" s="0" t="n">
        <v>34.77</v>
      </c>
      <c r="HH34" s="0" t="n">
        <v>7.37</v>
      </c>
      <c r="HI34" s="0" t="n">
        <v>19</v>
      </c>
      <c r="HJ34" s="0" t="n">
        <v>52</v>
      </c>
      <c r="HK34" s="0" t="s">
        <v>909</v>
      </c>
      <c r="HL34" s="0" t="n">
        <v>0</v>
      </c>
      <c r="HM34" s="0" t="n">
        <v>16</v>
      </c>
      <c r="HN34" s="0" t="n">
        <v>18</v>
      </c>
      <c r="HO34" s="0" t="n">
        <v>-0.028</v>
      </c>
      <c r="HP34" s="0" t="n">
        <v>16</v>
      </c>
      <c r="HQ34" s="0" t="n">
        <v>-0.029</v>
      </c>
      <c r="HR34" s="0" t="s">
        <v>102</v>
      </c>
    </row>
    <row r="35" customFormat="false" ht="15" hidden="false" customHeight="false" outlineLevel="0" collapsed="false">
      <c r="A35" s="0" t="s">
        <v>896</v>
      </c>
      <c r="B35" s="0" t="s">
        <v>897</v>
      </c>
      <c r="C35" s="0" t="s">
        <v>898</v>
      </c>
      <c r="D35" s="0" t="s">
        <v>194</v>
      </c>
      <c r="E35" s="0" t="n">
        <v>26122</v>
      </c>
      <c r="F35" s="0" t="s">
        <v>99</v>
      </c>
      <c r="G35" s="0" t="n">
        <v>35.74</v>
      </c>
      <c r="H35" s="0" t="n">
        <v>6.91</v>
      </c>
      <c r="I35" s="0" t="n">
        <v>14</v>
      </c>
      <c r="J35" s="0" t="n">
        <v>48</v>
      </c>
      <c r="L35" s="0" t="s">
        <v>1105</v>
      </c>
      <c r="O35" s="0" t="n">
        <v>96</v>
      </c>
      <c r="U35" s="0" t="n">
        <v>7</v>
      </c>
      <c r="V35" s="0" t="s">
        <v>194</v>
      </c>
      <c r="W35" s="0" t="s">
        <v>901</v>
      </c>
      <c r="X35" s="0" t="s">
        <v>170</v>
      </c>
      <c r="Y35" s="0" t="s">
        <v>1106</v>
      </c>
      <c r="Z35" s="0" t="n">
        <v>26122</v>
      </c>
      <c r="AA35" s="0" t="s">
        <v>1107</v>
      </c>
      <c r="AB35" s="0" t="s">
        <v>904</v>
      </c>
      <c r="AC35" s="0" t="s">
        <v>170</v>
      </c>
      <c r="AD35" s="0" t="s">
        <v>170</v>
      </c>
      <c r="AE35" s="0" t="s">
        <v>170</v>
      </c>
      <c r="AF35" s="0" t="s">
        <v>170</v>
      </c>
      <c r="AG35" s="0" t="s">
        <v>170</v>
      </c>
      <c r="AH35" s="0" t="s">
        <v>905</v>
      </c>
      <c r="AI35" s="0" t="n">
        <v>1</v>
      </c>
      <c r="AJ35" s="0" t="s">
        <v>99</v>
      </c>
      <c r="AK35" s="0" t="n">
        <v>34</v>
      </c>
      <c r="AL35" s="0" t="n">
        <v>19</v>
      </c>
      <c r="AM35" s="0" t="s">
        <v>195</v>
      </c>
      <c r="AN35" s="0" t="n">
        <v>0</v>
      </c>
      <c r="AO35" s="0" t="n">
        <v>0</v>
      </c>
      <c r="AP35" s="0" t="n">
        <v>0</v>
      </c>
      <c r="AQ35" s="0" t="n">
        <v>0</v>
      </c>
      <c r="AR35" s="0" t="n">
        <v>0</v>
      </c>
      <c r="AS35" s="0" t="n">
        <v>0</v>
      </c>
      <c r="AT35" s="0" t="n">
        <v>0</v>
      </c>
      <c r="AU35" s="0" t="n">
        <v>0</v>
      </c>
      <c r="AV35" s="0" t="n">
        <v>0</v>
      </c>
      <c r="AW35" s="0" t="n">
        <v>0</v>
      </c>
      <c r="AX35" s="0" t="n">
        <v>0</v>
      </c>
      <c r="AY35" s="0" t="n">
        <v>0</v>
      </c>
      <c r="AZ35" s="0" t="n">
        <v>0</v>
      </c>
      <c r="BA35" s="0" t="n">
        <v>0</v>
      </c>
      <c r="BB35" s="0" t="n">
        <v>0</v>
      </c>
      <c r="BC35" s="0" t="n">
        <v>66</v>
      </c>
      <c r="BD35" s="0" t="n">
        <v>106</v>
      </c>
      <c r="BE35" s="0" t="n">
        <v>789</v>
      </c>
      <c r="BF35" s="0" t="n">
        <v>6</v>
      </c>
      <c r="BG35" s="0" t="n">
        <v>1046</v>
      </c>
      <c r="BH35" s="0" t="n">
        <v>310</v>
      </c>
      <c r="BI35" s="0" t="n">
        <v>35</v>
      </c>
      <c r="BJ35" s="0" t="n">
        <v>7.23522750449289</v>
      </c>
      <c r="BK35" s="0" t="n">
        <v>0</v>
      </c>
      <c r="BL35" s="0" t="n">
        <v>0</v>
      </c>
      <c r="BM35" s="0" t="n">
        <v>114.9</v>
      </c>
      <c r="BN35" s="0" t="n">
        <v>180.9</v>
      </c>
      <c r="BO35" s="0" t="n">
        <v>16</v>
      </c>
      <c r="BP35" s="0" t="s">
        <v>170</v>
      </c>
      <c r="BQ35" s="0" t="n">
        <v>1</v>
      </c>
      <c r="BR35" s="0" t="n">
        <v>147.9</v>
      </c>
      <c r="BS35" s="0" t="n">
        <v>0.1949</v>
      </c>
      <c r="BT35" s="0" t="n">
        <v>0</v>
      </c>
      <c r="BU35" s="0" t="n">
        <v>0.2373</v>
      </c>
      <c r="BV35" s="0" t="n">
        <v>0.2095</v>
      </c>
      <c r="BW35" s="0" t="n">
        <v>0</v>
      </c>
      <c r="BX35" s="0" t="n">
        <v>0.2592</v>
      </c>
      <c r="BY35" s="0" t="n">
        <v>0.4957</v>
      </c>
      <c r="BZ35" s="0" t="n">
        <v>16</v>
      </c>
      <c r="CA35" s="0" t="n">
        <v>4.25</v>
      </c>
      <c r="CB35" s="0" t="n">
        <v>19.45</v>
      </c>
      <c r="CC35" s="0" t="n">
        <v>11.6</v>
      </c>
      <c r="CD35" s="0" t="n">
        <v>6.86</v>
      </c>
      <c r="CE35" s="0" t="n">
        <v>3</v>
      </c>
      <c r="CF35" s="0" t="n">
        <v>0</v>
      </c>
      <c r="CG35" s="0" t="n">
        <v>16</v>
      </c>
      <c r="CH35" s="0" t="n">
        <v>0.188</v>
      </c>
      <c r="CI35" s="0" t="n">
        <v>0</v>
      </c>
      <c r="CJ35" s="0" t="n">
        <v>0.591</v>
      </c>
      <c r="CK35" s="0" t="n">
        <v>15</v>
      </c>
      <c r="CL35" s="0" t="n">
        <v>6</v>
      </c>
      <c r="CM35" s="0" t="n">
        <v>4</v>
      </c>
      <c r="CN35" s="0" t="n">
        <v>6</v>
      </c>
      <c r="CO35" s="0" t="n">
        <v>5.71491850445636</v>
      </c>
      <c r="CP35" s="0" t="n">
        <v>0</v>
      </c>
      <c r="CQ35" s="0" t="n">
        <v>0</v>
      </c>
      <c r="CR35" s="0" t="n">
        <v>0</v>
      </c>
      <c r="CS35" s="0" t="n">
        <v>0</v>
      </c>
      <c r="CT35" s="0" t="n">
        <v>0</v>
      </c>
      <c r="CU35" s="0" t="n">
        <v>15</v>
      </c>
      <c r="CV35" s="0" t="n">
        <v>6</v>
      </c>
      <c r="CW35" s="0" t="n">
        <v>4</v>
      </c>
      <c r="CX35" s="0" t="n">
        <v>6</v>
      </c>
      <c r="CY35" s="0" t="n">
        <v>5.71</v>
      </c>
      <c r="CZ35" s="0" t="n">
        <v>0.29</v>
      </c>
      <c r="DA35" s="0" t="n">
        <v>3.26484209158479</v>
      </c>
      <c r="DB35" s="0" t="n">
        <v>5.79572815533981</v>
      </c>
      <c r="DC35" s="0" t="n">
        <v>9.98462264150944</v>
      </c>
      <c r="DD35" s="0" t="n">
        <v>23.8998724129755</v>
      </c>
      <c r="DE35" s="0" t="n">
        <v>1.00853801908532</v>
      </c>
      <c r="DF35" s="0" t="n">
        <v>62.2641509433962</v>
      </c>
      <c r="DM35" s="0" t="s">
        <v>1108</v>
      </c>
      <c r="DS35" s="0" t="n">
        <v>106</v>
      </c>
      <c r="DT35" s="0" t="n">
        <v>5</v>
      </c>
      <c r="DU35" s="0" t="n">
        <v>6</v>
      </c>
      <c r="DV35" s="0" t="n">
        <v>7.258</v>
      </c>
      <c r="DW35" s="0" t="n">
        <v>4.697</v>
      </c>
      <c r="DX35" s="0" t="n">
        <v>9.9</v>
      </c>
      <c r="DY35" s="0" t="n">
        <v>0.0566</v>
      </c>
      <c r="DZ35" s="0" t="n">
        <v>837</v>
      </c>
      <c r="EA35" s="0" t="n">
        <v>0.775</v>
      </c>
      <c r="EB35" s="0" t="n">
        <v>16</v>
      </c>
      <c r="EC35" s="0" t="s">
        <v>1109</v>
      </c>
      <c r="ED35" s="0" t="n">
        <v>2024</v>
      </c>
      <c r="EE35" s="0" t="n">
        <v>2</v>
      </c>
      <c r="EF35" s="0" t="n">
        <v>34</v>
      </c>
      <c r="EG35" s="0" t="n">
        <v>2024</v>
      </c>
      <c r="EH35" s="0" t="n">
        <v>2026</v>
      </c>
      <c r="EI35" s="0" t="n">
        <v>3</v>
      </c>
      <c r="EJ35" s="0" t="n">
        <v>72</v>
      </c>
      <c r="EK35" s="0" t="n">
        <v>185</v>
      </c>
      <c r="EL35" s="0" t="s">
        <v>1003</v>
      </c>
      <c r="EM35" s="0" t="n">
        <v>24.8</v>
      </c>
      <c r="EN35" s="15" t="b">
        <f aca="false">FALSE()</f>
        <v>0</v>
      </c>
      <c r="EO35" s="0" t="n">
        <v>359</v>
      </c>
      <c r="EP35" s="0" t="n">
        <v>2.71309192200557</v>
      </c>
      <c r="EQ35" s="0" t="n">
        <v>0.22841225626741</v>
      </c>
      <c r="ER35" s="0" t="n">
        <v>1.12534818941504</v>
      </c>
      <c r="ES35" s="0" t="n">
        <v>0.746518105849582</v>
      </c>
      <c r="ET35" s="0" t="n">
        <v>36</v>
      </c>
      <c r="EU35" s="0" t="n">
        <v>22</v>
      </c>
      <c r="EV35" s="0" t="n">
        <v>4.06685236768802</v>
      </c>
      <c r="EW35" s="0" t="n">
        <v>0.611111111111111</v>
      </c>
      <c r="EX35" s="0" t="n">
        <v>2.89104964249176</v>
      </c>
      <c r="EY35" s="0" t="n">
        <v>2.77</v>
      </c>
      <c r="EZ35" s="0" t="n">
        <v>0.2195</v>
      </c>
      <c r="FA35" s="0" t="n">
        <v>2.614</v>
      </c>
      <c r="FB35" s="0" t="n">
        <v>1.822</v>
      </c>
      <c r="FC35" s="0" t="n">
        <v>24</v>
      </c>
      <c r="FD35" s="0" t="n">
        <v>681</v>
      </c>
      <c r="FE35" s="0" t="n">
        <v>0.0881057268722467</v>
      </c>
      <c r="FF35" s="0" t="n">
        <v>0.0832</v>
      </c>
      <c r="FG35" s="0" t="n">
        <v>0.3427</v>
      </c>
      <c r="FH35" s="0" t="n">
        <v>2.37</v>
      </c>
      <c r="FI35" s="0" t="n">
        <v>1080</v>
      </c>
      <c r="FJ35" s="0" t="n">
        <v>0.578703703703704</v>
      </c>
      <c r="FK35" s="0" t="n">
        <v>17</v>
      </c>
      <c r="FL35" s="0" t="n">
        <v>63.53</v>
      </c>
      <c r="FM35" s="0" t="n">
        <v>0.579</v>
      </c>
      <c r="FN35" s="0" t="n">
        <v>0.421</v>
      </c>
      <c r="FO35" s="0" t="n">
        <v>0.0064</v>
      </c>
      <c r="FP35" s="0" t="n">
        <v>0.0187</v>
      </c>
      <c r="FQ35" s="0" t="n">
        <v>-0.0542</v>
      </c>
      <c r="FR35" s="0" t="n">
        <v>39</v>
      </c>
      <c r="FS35" s="0" t="n">
        <v>59</v>
      </c>
      <c r="FT35" s="0" t="n">
        <v>3.47</v>
      </c>
      <c r="FU35" s="0" t="n">
        <v>21.6</v>
      </c>
      <c r="FV35" s="0" t="n">
        <v>5784</v>
      </c>
      <c r="FW35" s="0" t="n">
        <v>1183</v>
      </c>
      <c r="FX35" s="0" t="n">
        <v>0.205</v>
      </c>
      <c r="FY35" s="0" t="n">
        <v>5</v>
      </c>
      <c r="FZ35" s="0" t="n">
        <v>1</v>
      </c>
      <c r="GA35" s="0" t="n">
        <v>-0.516900207039375</v>
      </c>
      <c r="GB35" s="0" t="n">
        <v>40.7</v>
      </c>
      <c r="GC35" s="0" t="n">
        <v>23</v>
      </c>
      <c r="GD35" s="0" t="n">
        <v>26.9</v>
      </c>
      <c r="GE35" s="0" t="n">
        <v>544</v>
      </c>
      <c r="GF35" s="0" t="n">
        <v>466</v>
      </c>
      <c r="GG35" s="0" t="n">
        <v>15</v>
      </c>
      <c r="GH35" s="0" t="n">
        <v>23</v>
      </c>
      <c r="GI35" s="0" t="n">
        <v>152</v>
      </c>
      <c r="GJ35" s="0" t="n">
        <v>2</v>
      </c>
      <c r="GK35" s="0" t="n">
        <v>0.028</v>
      </c>
      <c r="GL35" s="0" t="n">
        <v>0.049</v>
      </c>
      <c r="GM35" s="0" t="n">
        <v>0.013</v>
      </c>
      <c r="GN35" s="0" t="n">
        <v>11.306</v>
      </c>
      <c r="GO35" s="0" t="n">
        <v>9.244</v>
      </c>
      <c r="GP35" s="0" t="n">
        <v>7.181</v>
      </c>
      <c r="GQ35" s="0" t="n">
        <v>6.625</v>
      </c>
      <c r="GR35" s="0" t="n">
        <v>0</v>
      </c>
      <c r="GS35" s="0" t="n">
        <v>106</v>
      </c>
      <c r="GT35" s="0" t="n">
        <v>1.707</v>
      </c>
      <c r="GU35" s="0" t="n">
        <v>0.216</v>
      </c>
      <c r="GV35" s="0" t="n">
        <v>7.443</v>
      </c>
      <c r="GW35" s="0" t="n">
        <v>11.955</v>
      </c>
      <c r="GX35" s="0" t="n">
        <v>0.623</v>
      </c>
      <c r="GZ35" s="0" t="n">
        <v>9.868</v>
      </c>
      <c r="HA35" s="0" t="n">
        <v>4.697</v>
      </c>
      <c r="HB35" s="0" t="n">
        <v>0.754</v>
      </c>
      <c r="HC35" s="0" t="n">
        <v>0.057</v>
      </c>
      <c r="HE35" s="0" t="n">
        <v>0.068</v>
      </c>
      <c r="HG35" s="0" t="n">
        <v>35.74</v>
      </c>
      <c r="HH35" s="0" t="n">
        <v>6.91</v>
      </c>
      <c r="HI35" s="0" t="n">
        <v>14</v>
      </c>
      <c r="HJ35" s="0" t="n">
        <v>48</v>
      </c>
      <c r="HK35" s="0" t="s">
        <v>909</v>
      </c>
      <c r="HL35" s="0" t="n">
        <v>0</v>
      </c>
      <c r="HM35" s="0" t="n">
        <v>30</v>
      </c>
      <c r="HN35" s="0" t="n">
        <v>19</v>
      </c>
      <c r="HO35" s="0" t="n">
        <v>-0.607</v>
      </c>
      <c r="HP35" s="0" t="n">
        <v>38</v>
      </c>
      <c r="HQ35" s="0" t="n">
        <v>-0.958</v>
      </c>
      <c r="HR35" s="0" t="s">
        <v>121</v>
      </c>
    </row>
    <row r="36" customFormat="false" ht="15" hidden="false" customHeight="false" outlineLevel="0" collapsed="false">
      <c r="A36" s="0" t="s">
        <v>896</v>
      </c>
      <c r="B36" s="0" t="s">
        <v>897</v>
      </c>
      <c r="C36" s="0" t="s">
        <v>898</v>
      </c>
      <c r="D36" s="0" t="s">
        <v>196</v>
      </c>
      <c r="E36" s="0" t="n">
        <v>23062</v>
      </c>
      <c r="F36" s="0" t="s">
        <v>99</v>
      </c>
      <c r="G36" s="0" t="n">
        <v>37.67</v>
      </c>
      <c r="H36" s="0" t="n">
        <v>7.99</v>
      </c>
      <c r="I36" s="0" t="n">
        <v>14</v>
      </c>
      <c r="J36" s="0" t="n">
        <v>55</v>
      </c>
      <c r="L36" s="0" t="s">
        <v>1110</v>
      </c>
      <c r="O36" s="0" t="n">
        <v>96.8</v>
      </c>
      <c r="U36" s="0" t="n">
        <v>10</v>
      </c>
      <c r="V36" s="0" t="s">
        <v>196</v>
      </c>
      <c r="W36" s="0" t="s">
        <v>901</v>
      </c>
      <c r="X36" s="0" t="s">
        <v>1111</v>
      </c>
      <c r="Y36" s="0" t="s">
        <v>1112</v>
      </c>
      <c r="Z36" s="0" t="n">
        <v>23062</v>
      </c>
      <c r="AA36" s="0" t="s">
        <v>1113</v>
      </c>
      <c r="AB36" s="0" t="s">
        <v>904</v>
      </c>
      <c r="AC36" s="0" t="s">
        <v>198</v>
      </c>
      <c r="AD36" s="0" t="s">
        <v>198</v>
      </c>
      <c r="AE36" s="0" t="s">
        <v>198</v>
      </c>
      <c r="AF36" s="0" t="s">
        <v>198</v>
      </c>
      <c r="AG36" s="0" t="s">
        <v>198</v>
      </c>
      <c r="AH36" s="0" t="s">
        <v>905</v>
      </c>
      <c r="AI36" s="0" t="n">
        <v>1</v>
      </c>
      <c r="AJ36" s="0" t="s">
        <v>99</v>
      </c>
      <c r="AK36" s="0" t="n">
        <v>35</v>
      </c>
      <c r="AL36" s="0" t="n">
        <v>20</v>
      </c>
      <c r="AM36" s="0" t="s">
        <v>197</v>
      </c>
      <c r="AN36" s="0" t="n">
        <v>0</v>
      </c>
      <c r="AO36" s="0" t="n">
        <v>0</v>
      </c>
      <c r="AP36" s="0" t="n">
        <v>0</v>
      </c>
      <c r="AQ36" s="0" t="n">
        <v>0</v>
      </c>
      <c r="AR36" s="0" t="n">
        <v>0</v>
      </c>
      <c r="AS36" s="0" t="n">
        <v>0</v>
      </c>
      <c r="AT36" s="0" t="n">
        <v>0</v>
      </c>
      <c r="AU36" s="0" t="n">
        <v>0</v>
      </c>
      <c r="AV36" s="0" t="n">
        <v>0</v>
      </c>
      <c r="AW36" s="0" t="n">
        <v>2</v>
      </c>
      <c r="AX36" s="0" t="n">
        <v>9</v>
      </c>
      <c r="AY36" s="0" t="n">
        <v>0</v>
      </c>
      <c r="AZ36" s="0" t="n">
        <v>0</v>
      </c>
      <c r="BA36" s="0" t="n">
        <v>-1.6816435545478</v>
      </c>
      <c r="BB36" s="0" t="n">
        <v>0</v>
      </c>
      <c r="BC36" s="0" t="n">
        <v>63</v>
      </c>
      <c r="BD36" s="0" t="n">
        <v>127</v>
      </c>
      <c r="BE36" s="0" t="n">
        <v>938</v>
      </c>
      <c r="BF36" s="0" t="n">
        <v>6</v>
      </c>
      <c r="BG36" s="0" t="n">
        <v>1572</v>
      </c>
      <c r="BH36" s="0" t="n">
        <v>335</v>
      </c>
      <c r="BI36" s="0" t="n">
        <v>34</v>
      </c>
      <c r="BJ36" s="0" t="n">
        <v>7.14314297718989</v>
      </c>
      <c r="BK36" s="0" t="n">
        <v>0</v>
      </c>
      <c r="BL36" s="0" t="n">
        <v>0</v>
      </c>
      <c r="BM36" s="0" t="n">
        <v>132.7</v>
      </c>
      <c r="BN36" s="0" t="n">
        <v>195.7</v>
      </c>
      <c r="BO36" s="0" t="n">
        <v>17</v>
      </c>
      <c r="BP36" s="0" t="s">
        <v>198</v>
      </c>
      <c r="BQ36" s="0" t="n">
        <v>1</v>
      </c>
      <c r="BR36" s="0" t="n">
        <v>164.2</v>
      </c>
      <c r="BS36" s="0" t="n">
        <v>0.2348</v>
      </c>
      <c r="BT36" s="0" t="n">
        <v>0.0042</v>
      </c>
      <c r="BU36" s="0" t="n">
        <v>0.3625</v>
      </c>
      <c r="BV36" s="0" t="n">
        <v>0.2348</v>
      </c>
      <c r="BW36" s="0" t="n">
        <v>0.0042</v>
      </c>
      <c r="BX36" s="0" t="n">
        <v>0.3625</v>
      </c>
      <c r="BY36" s="0" t="n">
        <v>0.606</v>
      </c>
      <c r="BZ36" s="0" t="n">
        <v>17</v>
      </c>
      <c r="CA36" s="0" t="n">
        <v>5</v>
      </c>
      <c r="CB36" s="0" t="n">
        <v>22.14</v>
      </c>
      <c r="CC36" s="0" t="n">
        <v>9</v>
      </c>
      <c r="CD36" s="0" t="n">
        <v>8.42</v>
      </c>
      <c r="CE36" s="0" t="n">
        <v>4</v>
      </c>
      <c r="CF36" s="0" t="n">
        <v>0</v>
      </c>
      <c r="CG36" s="0" t="n">
        <v>17</v>
      </c>
      <c r="CH36" s="0" t="n">
        <v>0.235</v>
      </c>
      <c r="CI36" s="0" t="n">
        <v>0</v>
      </c>
      <c r="CJ36" s="0" t="n">
        <v>0.936</v>
      </c>
      <c r="CK36" s="0" t="n">
        <v>14</v>
      </c>
      <c r="CL36" s="0" t="n">
        <v>4</v>
      </c>
      <c r="CM36" s="0" t="n">
        <v>2</v>
      </c>
      <c r="CN36" s="0" t="n">
        <v>6</v>
      </c>
      <c r="CO36" s="0" t="n">
        <v>4.57130114743462</v>
      </c>
      <c r="CP36" s="0" t="n">
        <v>0</v>
      </c>
      <c r="CQ36" s="0" t="n">
        <v>0</v>
      </c>
      <c r="CR36" s="0" t="n">
        <v>0</v>
      </c>
      <c r="CS36" s="0" t="n">
        <v>0</v>
      </c>
      <c r="CT36" s="0" t="n">
        <v>0.00714183688044565</v>
      </c>
      <c r="CU36" s="0" t="n">
        <v>14</v>
      </c>
      <c r="CV36" s="0" t="n">
        <v>4</v>
      </c>
      <c r="CW36" s="0" t="n">
        <v>2</v>
      </c>
      <c r="CX36" s="0" t="n">
        <v>6</v>
      </c>
      <c r="CY36" s="0" t="n">
        <v>4.58</v>
      </c>
      <c r="CZ36" s="0" t="n">
        <v>1.42</v>
      </c>
      <c r="DA36" s="0" t="n">
        <v>2.58266381761159</v>
      </c>
      <c r="DB36" s="0" t="n">
        <v>6.22984</v>
      </c>
      <c r="DC36" s="0" t="n">
        <v>12.1979527559055</v>
      </c>
      <c r="DD36" s="0" t="n">
        <v>35.5051637123723</v>
      </c>
      <c r="DE36" s="0" t="n">
        <v>0.680138021406879</v>
      </c>
      <c r="DF36" s="0" t="n">
        <v>49.6062992125984</v>
      </c>
      <c r="DM36" s="0" t="s">
        <v>1114</v>
      </c>
      <c r="DN36" s="0" t="n">
        <v>2</v>
      </c>
      <c r="DO36" s="0" t="n">
        <v>0</v>
      </c>
      <c r="DS36" s="0" t="n">
        <v>127</v>
      </c>
      <c r="DT36" s="0" t="n">
        <v>1</v>
      </c>
      <c r="DU36" s="0" t="n">
        <v>9</v>
      </c>
      <c r="DV36" s="0" t="n">
        <v>9.571</v>
      </c>
      <c r="DW36" s="0" t="n">
        <v>5.317</v>
      </c>
      <c r="DX36" s="0" t="n">
        <v>12.1</v>
      </c>
      <c r="DY36" s="0" t="n">
        <v>0.0709</v>
      </c>
      <c r="DZ36" s="0" t="n">
        <v>886</v>
      </c>
      <c r="EA36" s="0" t="n">
        <v>0.776</v>
      </c>
      <c r="EB36" s="0" t="n">
        <v>17</v>
      </c>
      <c r="EC36" s="0" t="s">
        <v>1115</v>
      </c>
      <c r="ED36" s="0" t="n">
        <v>2025</v>
      </c>
      <c r="EE36" s="0" t="n">
        <v>1</v>
      </c>
      <c r="EF36" s="0" t="n">
        <v>19</v>
      </c>
      <c r="EG36" s="0" t="n">
        <v>2025</v>
      </c>
      <c r="EH36" s="0" t="n">
        <v>2026</v>
      </c>
      <c r="EI36" s="0" t="n">
        <v>2</v>
      </c>
      <c r="EJ36" s="0" t="n">
        <v>73</v>
      </c>
      <c r="EK36" s="0" t="n">
        <v>205</v>
      </c>
      <c r="EL36" s="0" t="s">
        <v>933</v>
      </c>
      <c r="EM36" s="0" t="n">
        <v>23.8</v>
      </c>
      <c r="EN36" s="15" t="b">
        <f aca="false">FALSE()</f>
        <v>0</v>
      </c>
      <c r="EO36" s="0" t="n">
        <v>398</v>
      </c>
      <c r="EP36" s="0" t="n">
        <v>2.76407035175879</v>
      </c>
      <c r="EQ36" s="0" t="n">
        <v>0.183417085427136</v>
      </c>
      <c r="ER36" s="0" t="n">
        <v>1.05276381909548</v>
      </c>
      <c r="ES36" s="0" t="n">
        <v>0.42462311557789</v>
      </c>
      <c r="ET36" s="0" t="n">
        <v>48</v>
      </c>
      <c r="EU36" s="0" t="n">
        <v>34</v>
      </c>
      <c r="EV36" s="0" t="n">
        <v>3.76130653266332</v>
      </c>
      <c r="EW36" s="0" t="n">
        <v>0.708333333333333</v>
      </c>
      <c r="EX36" s="0" t="n">
        <v>2.97696363334511</v>
      </c>
      <c r="EY36" s="0" t="n">
        <v>2.736</v>
      </c>
      <c r="EZ36" s="0" t="n">
        <v>0.1938</v>
      </c>
      <c r="FA36" s="0" t="n">
        <v>2.699</v>
      </c>
      <c r="FB36" s="0" t="n">
        <v>1.426</v>
      </c>
      <c r="FC36" s="0" t="n">
        <v>31</v>
      </c>
      <c r="FD36" s="0" t="n">
        <v>638</v>
      </c>
      <c r="FE36" s="0" t="n">
        <v>0.0595611285266458</v>
      </c>
      <c r="FF36" s="0" t="n">
        <v>0.0571</v>
      </c>
      <c r="FG36" s="0" t="n">
        <v>0.172</v>
      </c>
      <c r="FH36" s="0" t="n">
        <v>2.292</v>
      </c>
      <c r="FI36" s="0" t="n">
        <v>1065</v>
      </c>
      <c r="FJ36" s="0" t="n">
        <v>0.564319248826291</v>
      </c>
      <c r="FK36" s="0" t="n">
        <v>17</v>
      </c>
      <c r="FL36" s="0" t="n">
        <v>62.65</v>
      </c>
      <c r="FM36" s="0" t="n">
        <v>0.5148</v>
      </c>
      <c r="FN36" s="0" t="n">
        <v>0.4852</v>
      </c>
      <c r="FO36" s="0" t="n">
        <v>-0.0347</v>
      </c>
      <c r="FP36" s="0" t="n">
        <v>0.0138</v>
      </c>
      <c r="FQ36" s="0" t="n">
        <v>-0.0264</v>
      </c>
      <c r="FR36" s="0" t="n">
        <v>41</v>
      </c>
      <c r="FS36" s="0" t="n">
        <v>53</v>
      </c>
      <c r="FT36" s="0" t="n">
        <v>3.12</v>
      </c>
      <c r="FU36" s="0" t="n">
        <v>22.4</v>
      </c>
      <c r="FV36" s="0" t="n">
        <v>5692</v>
      </c>
      <c r="FW36" s="0" t="n">
        <v>4502</v>
      </c>
      <c r="FX36" s="0" t="n">
        <v>0.791</v>
      </c>
      <c r="FY36" s="0" t="n">
        <v>5</v>
      </c>
      <c r="FZ36" s="0" t="n">
        <v>4</v>
      </c>
      <c r="GA36" s="0" t="n">
        <v>-0.202503543001561</v>
      </c>
      <c r="GB36" s="0" t="n">
        <v>46.3</v>
      </c>
      <c r="GC36" s="0" t="n">
        <v>65.4</v>
      </c>
      <c r="GD36" s="0" t="n">
        <v>57.4</v>
      </c>
      <c r="GE36" s="0" t="n">
        <v>541</v>
      </c>
      <c r="GF36" s="0" t="n">
        <v>472</v>
      </c>
      <c r="GG36" s="0" t="n">
        <v>111</v>
      </c>
      <c r="GH36" s="0" t="n">
        <v>138</v>
      </c>
      <c r="GI36" s="0" t="n">
        <v>136</v>
      </c>
      <c r="GJ36" s="0" t="n">
        <v>38</v>
      </c>
      <c r="GK36" s="0" t="n">
        <v>0.205</v>
      </c>
      <c r="GL36" s="0" t="n">
        <v>0.292</v>
      </c>
      <c r="GM36" s="0" t="n">
        <v>0.279</v>
      </c>
      <c r="GN36" s="0" t="n">
        <v>11.512</v>
      </c>
      <c r="GO36" s="0" t="n">
        <v>9.659</v>
      </c>
      <c r="GP36" s="0" t="n">
        <v>7.806</v>
      </c>
      <c r="GQ36" s="0" t="n">
        <v>7.471</v>
      </c>
      <c r="GR36" s="0" t="n">
        <v>0.118</v>
      </c>
      <c r="GS36" s="0" t="n">
        <v>129</v>
      </c>
      <c r="GT36" s="0" t="n">
        <v>1.517</v>
      </c>
      <c r="GU36" s="0" t="n">
        <v>0.221</v>
      </c>
      <c r="GV36" s="0" t="n">
        <v>7.386</v>
      </c>
      <c r="GW36" s="0" t="n">
        <v>14.889</v>
      </c>
      <c r="GX36" s="0" t="n">
        <v>0.496</v>
      </c>
      <c r="GZ36" s="0" t="n">
        <v>12.378</v>
      </c>
      <c r="HA36" s="0" t="n">
        <v>5.317</v>
      </c>
      <c r="HB36" s="0" t="n">
        <v>0.597</v>
      </c>
      <c r="HC36" s="0" t="n">
        <v>0.047</v>
      </c>
      <c r="HE36" s="0" t="n">
        <v>0.056</v>
      </c>
      <c r="HG36" s="0" t="n">
        <v>37.67</v>
      </c>
      <c r="HH36" s="0" t="n">
        <v>7.99</v>
      </c>
      <c r="HI36" s="0" t="n">
        <v>14</v>
      </c>
      <c r="HJ36" s="0" t="n">
        <v>55</v>
      </c>
      <c r="HK36" s="0" t="s">
        <v>909</v>
      </c>
      <c r="HL36" s="0" t="n">
        <v>0</v>
      </c>
      <c r="HM36" s="0" t="n">
        <v>23</v>
      </c>
      <c r="HN36" s="0" t="n">
        <v>20</v>
      </c>
      <c r="HO36" s="0" t="n">
        <v>-0.264</v>
      </c>
      <c r="HP36" s="0" t="n">
        <v>36</v>
      </c>
      <c r="HQ36" s="0" t="n">
        <v>-0.834</v>
      </c>
      <c r="HR36" s="0" t="s">
        <v>102</v>
      </c>
    </row>
    <row r="37" customFormat="false" ht="15" hidden="false" customHeight="false" outlineLevel="0" collapsed="false">
      <c r="A37" s="0" t="s">
        <v>896</v>
      </c>
      <c r="B37" s="0" t="s">
        <v>897</v>
      </c>
      <c r="C37" s="0" t="s">
        <v>898</v>
      </c>
      <c r="D37" s="0" t="s">
        <v>199</v>
      </c>
      <c r="E37" s="0" t="n">
        <v>15514</v>
      </c>
      <c r="F37" s="0" t="s">
        <v>104</v>
      </c>
      <c r="G37" s="0" t="n">
        <v>37.78</v>
      </c>
      <c r="H37" s="0" t="n">
        <v>8.23</v>
      </c>
      <c r="I37" s="0" t="n">
        <v>17</v>
      </c>
      <c r="J37" s="0" t="n">
        <v>56</v>
      </c>
      <c r="L37" s="0" t="s">
        <v>1116</v>
      </c>
      <c r="O37" s="0" t="n">
        <v>99.2</v>
      </c>
      <c r="U37" s="0" t="n">
        <v>13</v>
      </c>
      <c r="V37" s="0" t="s">
        <v>199</v>
      </c>
      <c r="W37" s="0" t="s">
        <v>901</v>
      </c>
      <c r="X37" s="0" t="s">
        <v>183</v>
      </c>
      <c r="Y37" s="0" t="s">
        <v>1117</v>
      </c>
      <c r="Z37" s="0" t="n">
        <v>15514</v>
      </c>
      <c r="AA37" s="0" t="s">
        <v>1118</v>
      </c>
      <c r="AB37" s="0" t="s">
        <v>904</v>
      </c>
      <c r="AC37" s="0" t="s">
        <v>183</v>
      </c>
      <c r="AD37" s="0" t="s">
        <v>183</v>
      </c>
      <c r="AE37" s="0" t="s">
        <v>183</v>
      </c>
      <c r="AF37" s="0" t="s">
        <v>183</v>
      </c>
      <c r="AG37" s="0" t="s">
        <v>183</v>
      </c>
      <c r="AH37" s="0" t="s">
        <v>905</v>
      </c>
      <c r="AI37" s="0" t="n">
        <v>1</v>
      </c>
      <c r="AJ37" s="0" t="s">
        <v>104</v>
      </c>
      <c r="AK37" s="0" t="n">
        <v>36</v>
      </c>
      <c r="AL37" s="0" t="n">
        <v>12</v>
      </c>
      <c r="AM37" s="0" t="s">
        <v>200</v>
      </c>
      <c r="AN37" s="0" t="n">
        <v>0</v>
      </c>
      <c r="AO37" s="0" t="n">
        <v>1</v>
      </c>
      <c r="AP37" s="0" t="n">
        <v>0</v>
      </c>
      <c r="AQ37" s="0" t="n">
        <v>0</v>
      </c>
      <c r="AR37" s="0" t="n">
        <v>0</v>
      </c>
      <c r="AS37" s="0" t="n">
        <v>0</v>
      </c>
      <c r="AT37" s="0" t="n">
        <v>10</v>
      </c>
      <c r="AU37" s="0" t="n">
        <v>0</v>
      </c>
      <c r="AV37" s="0" t="n">
        <v>-0.459118590631988</v>
      </c>
      <c r="AW37" s="0" t="n">
        <v>307</v>
      </c>
      <c r="AX37" s="0" t="n">
        <v>1595</v>
      </c>
      <c r="AY37" s="0" t="n">
        <v>16</v>
      </c>
      <c r="AZ37" s="0" t="n">
        <v>79</v>
      </c>
      <c r="BA37" s="0" t="n">
        <v>9.16617427023278</v>
      </c>
      <c r="BB37" s="0" t="n">
        <v>3</v>
      </c>
      <c r="BC37" s="0" t="n">
        <v>15</v>
      </c>
      <c r="BD37" s="0" t="n">
        <v>21</v>
      </c>
      <c r="BE37" s="0" t="n">
        <v>150</v>
      </c>
      <c r="BF37" s="0" t="n">
        <v>0</v>
      </c>
      <c r="BG37" s="0" t="n">
        <v>12</v>
      </c>
      <c r="BH37" s="0" t="n">
        <v>135</v>
      </c>
      <c r="BI37" s="0" t="n">
        <v>4</v>
      </c>
      <c r="BJ37" s="0" t="n">
        <v>-2.87575280852616</v>
      </c>
      <c r="BK37" s="0" t="n">
        <v>0</v>
      </c>
      <c r="BL37" s="0" t="n">
        <v>0</v>
      </c>
      <c r="BM37" s="0" t="n">
        <v>264.5</v>
      </c>
      <c r="BN37" s="0" t="n">
        <v>279.5</v>
      </c>
      <c r="BO37" s="0" t="n">
        <v>17</v>
      </c>
      <c r="BP37" s="0" t="s">
        <v>183</v>
      </c>
      <c r="BQ37" s="0" t="n">
        <v>1</v>
      </c>
      <c r="BR37" s="0" t="n">
        <v>272</v>
      </c>
      <c r="BS37" s="0" t="n">
        <v>0.0516</v>
      </c>
      <c r="BT37" s="0" t="n">
        <v>0.6055</v>
      </c>
      <c r="BU37" s="0" t="n">
        <v>0.0036</v>
      </c>
      <c r="BV37" s="0" t="n">
        <v>0.0516</v>
      </c>
      <c r="BW37" s="0" t="n">
        <v>0.6055</v>
      </c>
      <c r="BX37" s="0" t="n">
        <v>0.0036</v>
      </c>
      <c r="BY37" s="0" t="n">
        <v>0.0799</v>
      </c>
      <c r="BZ37" s="0" t="n">
        <v>17</v>
      </c>
      <c r="CA37" s="0" t="n">
        <v>10.7</v>
      </c>
      <c r="CB37" s="0" t="n">
        <v>22.8</v>
      </c>
      <c r="CC37" s="0" t="n">
        <v>13.1</v>
      </c>
      <c r="CD37" s="0" t="n">
        <v>10</v>
      </c>
      <c r="CE37" s="0" t="n">
        <v>7</v>
      </c>
      <c r="CF37" s="0" t="n">
        <v>1</v>
      </c>
      <c r="CG37" s="0" t="n">
        <v>17</v>
      </c>
      <c r="CH37" s="0" t="n">
        <v>0.412</v>
      </c>
      <c r="CI37" s="0" t="n">
        <v>0.059</v>
      </c>
      <c r="CJ37" s="0" t="n">
        <v>0.764</v>
      </c>
      <c r="CK37" s="0" t="n">
        <v>2</v>
      </c>
      <c r="CL37" s="0" t="n">
        <v>0</v>
      </c>
      <c r="CM37" s="0" t="n">
        <v>0</v>
      </c>
      <c r="CN37" s="0" t="n">
        <v>0</v>
      </c>
      <c r="CO37" s="0" t="n">
        <v>0.649813079143258</v>
      </c>
      <c r="CP37" s="0" t="n">
        <v>63</v>
      </c>
      <c r="CQ37" s="0" t="n">
        <v>40</v>
      </c>
      <c r="CR37" s="0" t="n">
        <v>27</v>
      </c>
      <c r="CS37" s="0" t="n">
        <v>16</v>
      </c>
      <c r="CT37" s="0" t="n">
        <v>14.8090337205425</v>
      </c>
      <c r="CU37" s="0" t="n">
        <v>65</v>
      </c>
      <c r="CV37" s="0" t="n">
        <v>40</v>
      </c>
      <c r="CW37" s="0" t="n">
        <v>27</v>
      </c>
      <c r="CX37" s="0" t="n">
        <v>16</v>
      </c>
      <c r="CY37" s="0" t="n">
        <v>15.46</v>
      </c>
      <c r="CZ37" s="0" t="n">
        <v>0.54</v>
      </c>
      <c r="DG37" s="0" t="n">
        <v>3.28435736677116</v>
      </c>
      <c r="DH37" s="0" t="n">
        <v>39.0879478827362</v>
      </c>
      <c r="DI37" s="0" t="n">
        <v>2.80338947368421</v>
      </c>
      <c r="DJ37" s="0" t="n">
        <v>340.095447430413</v>
      </c>
      <c r="DK37" s="0" t="n">
        <v>1.11873502444215</v>
      </c>
      <c r="DL37" s="0" t="n">
        <v>0.421052631578947</v>
      </c>
      <c r="DM37" s="0" t="s">
        <v>1119</v>
      </c>
      <c r="DN37" s="0" t="n">
        <v>307</v>
      </c>
      <c r="DO37" s="0" t="n">
        <v>13</v>
      </c>
      <c r="DP37" s="0" t="n">
        <v>2.821</v>
      </c>
      <c r="DQ37" s="0" t="n">
        <v>2.375</v>
      </c>
      <c r="DR37" s="0" t="n">
        <v>23.62</v>
      </c>
      <c r="DS37" s="0" t="n">
        <v>21</v>
      </c>
      <c r="DT37" s="0" t="n">
        <v>1</v>
      </c>
      <c r="DU37" s="0" t="n">
        <v>1</v>
      </c>
      <c r="DV37" s="0" t="n">
        <v>1</v>
      </c>
      <c r="DW37" s="0" t="n">
        <v>9</v>
      </c>
      <c r="DX37" s="0" t="n">
        <v>0.6</v>
      </c>
      <c r="DY37" s="0" t="n">
        <v>0.0476</v>
      </c>
      <c r="DZ37" s="0" t="n">
        <v>555</v>
      </c>
      <c r="EA37" s="0" t="n">
        <v>0.545</v>
      </c>
      <c r="EB37" s="0" t="n">
        <v>17</v>
      </c>
      <c r="EC37" s="0" t="s">
        <v>1120</v>
      </c>
      <c r="ED37" s="0" t="n">
        <v>2016</v>
      </c>
      <c r="EE37" s="0" t="n">
        <v>2</v>
      </c>
      <c r="EF37" s="0" t="n">
        <v>45</v>
      </c>
      <c r="EG37" s="0" t="n">
        <v>2016</v>
      </c>
      <c r="EH37" s="0" t="n">
        <v>2026</v>
      </c>
      <c r="EI37" s="0" t="n">
        <v>11</v>
      </c>
      <c r="EJ37" s="0" t="n">
        <v>75</v>
      </c>
      <c r="EK37" s="0" t="n">
        <v>252</v>
      </c>
      <c r="EL37" s="0" t="s">
        <v>1045</v>
      </c>
      <c r="EM37" s="0" t="n">
        <v>32.6</v>
      </c>
      <c r="EN37" s="15" t="b">
        <f aca="false">FALSE()</f>
        <v>0</v>
      </c>
      <c r="EO37" s="0" t="n">
        <v>392</v>
      </c>
      <c r="EP37" s="0" t="n">
        <v>3.03673469387755</v>
      </c>
      <c r="EQ37" s="0" t="n">
        <v>0.153061224489796</v>
      </c>
      <c r="ER37" s="0" t="n">
        <v>1.31122448979592</v>
      </c>
      <c r="ES37" s="0" t="n">
        <v>1.51275510204082</v>
      </c>
      <c r="ET37" s="0" t="n">
        <v>37</v>
      </c>
      <c r="EU37" s="0" t="n">
        <v>24</v>
      </c>
      <c r="EV37" s="0" t="n">
        <v>5.24489795918367</v>
      </c>
      <c r="EW37" s="0" t="n">
        <v>0.648648648648649</v>
      </c>
      <c r="EX37" s="0" t="n">
        <v>2.95276427199016</v>
      </c>
      <c r="EY37" s="0" t="n">
        <v>3.032</v>
      </c>
      <c r="EZ37" s="0" t="n">
        <v>0.1574</v>
      </c>
      <c r="FA37" s="0" t="n">
        <v>3.144</v>
      </c>
      <c r="FB37" s="0" t="n">
        <v>2.107</v>
      </c>
      <c r="FC37" s="0" t="n">
        <v>24</v>
      </c>
      <c r="FD37" s="0" t="n">
        <v>501</v>
      </c>
      <c r="FE37" s="0" t="n">
        <v>0.0898203592814371</v>
      </c>
      <c r="FF37" s="0" t="n">
        <v>0.0849</v>
      </c>
      <c r="FG37" s="0" t="n">
        <v>0.2725</v>
      </c>
      <c r="FH37" s="0" t="n">
        <v>2.454</v>
      </c>
      <c r="FI37" s="0" t="n">
        <v>956</v>
      </c>
      <c r="FJ37" s="0" t="n">
        <v>0.48744769874477</v>
      </c>
      <c r="FK37" s="0" t="n">
        <v>17</v>
      </c>
      <c r="FL37" s="0" t="n">
        <v>56.24</v>
      </c>
      <c r="FM37" s="0" t="n">
        <v>0.4667</v>
      </c>
      <c r="FN37" s="0" t="n">
        <v>0.5333</v>
      </c>
      <c r="FO37" s="0" t="n">
        <v>-0.0884</v>
      </c>
      <c r="FP37" s="0" t="n">
        <v>0.0996</v>
      </c>
      <c r="FQ37" s="0" t="n">
        <v>-0.035</v>
      </c>
      <c r="FR37" s="0" t="n">
        <v>39</v>
      </c>
      <c r="FS37" s="0" t="n">
        <v>61</v>
      </c>
      <c r="FT37" s="0" t="n">
        <v>3.59</v>
      </c>
      <c r="FU37" s="0" t="n">
        <v>24.9</v>
      </c>
      <c r="FV37" s="0" t="n">
        <v>5080</v>
      </c>
      <c r="FW37" s="0" t="n">
        <v>2908</v>
      </c>
      <c r="FX37" s="0" t="n">
        <v>0.572</v>
      </c>
      <c r="FY37" s="0" t="n">
        <v>5</v>
      </c>
      <c r="FZ37" s="0" t="n">
        <v>2</v>
      </c>
      <c r="GA37" s="0" t="n">
        <v>0.782789362458</v>
      </c>
      <c r="GB37" s="0" t="n">
        <v>64.1</v>
      </c>
      <c r="GC37" s="0" t="n">
        <v>41</v>
      </c>
      <c r="GD37" s="0" t="n">
        <v>53.2</v>
      </c>
      <c r="GE37" s="0" t="n">
        <v>407</v>
      </c>
      <c r="GF37" s="0" t="n">
        <v>507</v>
      </c>
      <c r="GG37" s="0" t="n">
        <v>75</v>
      </c>
      <c r="GH37" s="0" t="n">
        <v>64</v>
      </c>
      <c r="GI37" s="0" t="n">
        <v>160</v>
      </c>
      <c r="GJ37" s="0" t="n">
        <v>26</v>
      </c>
      <c r="GK37" s="0" t="n">
        <v>0.184</v>
      </c>
      <c r="GL37" s="0" t="n">
        <v>0.126</v>
      </c>
      <c r="GM37" s="0" t="n">
        <v>0.162</v>
      </c>
      <c r="GN37" s="0" t="n">
        <v>16.441</v>
      </c>
      <c r="GO37" s="0" t="n">
        <v>16</v>
      </c>
      <c r="GP37" s="0" t="n">
        <v>15.559</v>
      </c>
      <c r="GQ37" s="0" t="n">
        <v>1.235</v>
      </c>
      <c r="GR37" s="0" t="n">
        <v>18.059</v>
      </c>
      <c r="GS37" s="0" t="n">
        <v>328</v>
      </c>
      <c r="GT37" s="0" t="n">
        <v>0.852</v>
      </c>
      <c r="GU37" s="0" t="n">
        <v>0.504</v>
      </c>
      <c r="GV37" s="0" t="n">
        <v>7.143</v>
      </c>
      <c r="GW37" s="0" t="n">
        <v>10</v>
      </c>
      <c r="GX37" s="0" t="n">
        <v>0.714</v>
      </c>
      <c r="GY37" s="0" t="n">
        <v>5.195</v>
      </c>
      <c r="GZ37" s="0" t="n">
        <v>0.571</v>
      </c>
      <c r="HA37" s="0" t="n">
        <v>9</v>
      </c>
      <c r="HB37" s="0" t="n">
        <v>12.5</v>
      </c>
      <c r="HC37" s="0" t="n">
        <v>0.049</v>
      </c>
      <c r="HD37" s="0" t="n">
        <v>0.03</v>
      </c>
      <c r="HE37" s="0" t="n">
        <v>-0.137</v>
      </c>
      <c r="HG37" s="0" t="n">
        <v>37.78</v>
      </c>
      <c r="HH37" s="0" t="n">
        <v>8.23</v>
      </c>
      <c r="HI37" s="0" t="n">
        <v>17</v>
      </c>
      <c r="HJ37" s="0" t="n">
        <v>56</v>
      </c>
      <c r="HK37" s="0" t="s">
        <v>909</v>
      </c>
      <c r="HL37" s="0" t="n">
        <v>0</v>
      </c>
      <c r="HM37" s="0" t="n">
        <v>8</v>
      </c>
      <c r="HN37" s="0" t="n">
        <v>12</v>
      </c>
      <c r="HO37" s="0" t="n">
        <v>0.11</v>
      </c>
      <c r="HP37" s="0" t="n">
        <v>8</v>
      </c>
      <c r="HQ37" s="0" t="n">
        <v>0.109</v>
      </c>
      <c r="HR37" s="0" t="s">
        <v>102</v>
      </c>
    </row>
    <row r="38" customFormat="false" ht="15" hidden="false" customHeight="false" outlineLevel="0" collapsed="false">
      <c r="A38" s="0" t="s">
        <v>896</v>
      </c>
      <c r="B38" s="0" t="s">
        <v>897</v>
      </c>
      <c r="C38" s="0" t="s">
        <v>898</v>
      </c>
      <c r="D38" s="0" t="s">
        <v>201</v>
      </c>
      <c r="E38" s="0" t="n">
        <v>26006</v>
      </c>
      <c r="F38" s="0" t="s">
        <v>149</v>
      </c>
      <c r="G38" s="0" t="n">
        <v>37.97</v>
      </c>
      <c r="H38" s="0" t="n">
        <v>14.42</v>
      </c>
      <c r="I38" s="0" t="n">
        <v>22</v>
      </c>
      <c r="J38" s="0" t="n">
        <v>97</v>
      </c>
      <c r="L38" s="0" t="s">
        <v>1121</v>
      </c>
      <c r="O38" s="0" t="n">
        <v>99.1</v>
      </c>
      <c r="U38" s="0" t="n">
        <v>10</v>
      </c>
      <c r="V38" s="0" t="s">
        <v>201</v>
      </c>
      <c r="W38" s="0" t="s">
        <v>901</v>
      </c>
      <c r="X38" s="0" t="s">
        <v>203</v>
      </c>
      <c r="Y38" s="0" t="s">
        <v>1122</v>
      </c>
      <c r="Z38" s="0" t="n">
        <v>26006</v>
      </c>
      <c r="AA38" s="0" t="s">
        <v>1123</v>
      </c>
      <c r="AB38" s="0" t="s">
        <v>904</v>
      </c>
      <c r="AC38" s="0" t="s">
        <v>203</v>
      </c>
      <c r="AD38" s="0" t="s">
        <v>203</v>
      </c>
      <c r="AE38" s="0" t="s">
        <v>203</v>
      </c>
      <c r="AF38" s="0" t="s">
        <v>203</v>
      </c>
      <c r="AG38" s="0" t="s">
        <v>203</v>
      </c>
      <c r="AH38" s="0" t="s">
        <v>905</v>
      </c>
      <c r="AI38" s="0" t="n">
        <v>1</v>
      </c>
      <c r="AJ38" s="0" t="s">
        <v>149</v>
      </c>
      <c r="AK38" s="0" t="n">
        <v>37</v>
      </c>
      <c r="AL38" s="0" t="n">
        <v>3</v>
      </c>
      <c r="AM38" s="0" t="s">
        <v>202</v>
      </c>
      <c r="AN38" s="0" t="n">
        <v>0</v>
      </c>
      <c r="AO38" s="0" t="n">
        <v>0</v>
      </c>
      <c r="AP38" s="0" t="n">
        <v>0</v>
      </c>
      <c r="AQ38" s="0" t="n">
        <v>0</v>
      </c>
      <c r="AR38" s="0" t="n">
        <v>0</v>
      </c>
      <c r="AS38" s="0" t="n">
        <v>0</v>
      </c>
      <c r="AT38" s="0" t="n">
        <v>0</v>
      </c>
      <c r="AU38" s="0" t="n">
        <v>0</v>
      </c>
      <c r="AV38" s="0" t="n">
        <v>0</v>
      </c>
      <c r="AW38" s="0" t="n">
        <v>1</v>
      </c>
      <c r="AX38" s="0" t="n">
        <v>-2</v>
      </c>
      <c r="AY38" s="0" t="n">
        <v>0</v>
      </c>
      <c r="AZ38" s="0" t="n">
        <v>0</v>
      </c>
      <c r="BA38" s="0" t="n">
        <v>-0.872515333816409</v>
      </c>
      <c r="BB38" s="0" t="n">
        <v>0</v>
      </c>
      <c r="BC38" s="0" t="n">
        <v>58</v>
      </c>
      <c r="BD38" s="0" t="n">
        <v>82</v>
      </c>
      <c r="BE38" s="0" t="n">
        <v>713</v>
      </c>
      <c r="BF38" s="0" t="n">
        <v>6</v>
      </c>
      <c r="BG38" s="0" t="n">
        <v>746</v>
      </c>
      <c r="BH38" s="0" t="n">
        <v>250</v>
      </c>
      <c r="BI38" s="0" t="n">
        <v>36</v>
      </c>
      <c r="BJ38" s="0" t="n">
        <v>47.5060987164436</v>
      </c>
      <c r="BK38" s="0" t="n">
        <v>0</v>
      </c>
      <c r="BL38" s="0" t="n">
        <v>0</v>
      </c>
      <c r="BM38" s="0" t="n">
        <v>107.1</v>
      </c>
      <c r="BN38" s="0" t="n">
        <v>165.1</v>
      </c>
      <c r="BO38" s="0" t="n">
        <v>16</v>
      </c>
      <c r="BP38" s="0" t="s">
        <v>203</v>
      </c>
      <c r="BQ38" s="0" t="n">
        <v>1</v>
      </c>
      <c r="BR38" s="0" t="n">
        <v>136.1</v>
      </c>
      <c r="BS38" s="0" t="n">
        <v>0.1541</v>
      </c>
      <c r="BT38" s="0" t="n">
        <v>0.002</v>
      </c>
      <c r="BU38" s="0" t="n">
        <v>0.1645</v>
      </c>
      <c r="BV38" s="0" t="n">
        <v>0.1653</v>
      </c>
      <c r="BW38" s="0" t="n">
        <v>0.0021</v>
      </c>
      <c r="BX38" s="0" t="n">
        <v>0.1728</v>
      </c>
      <c r="BY38" s="0" t="n">
        <v>0.3689</v>
      </c>
      <c r="BZ38" s="0" t="n">
        <v>16</v>
      </c>
      <c r="CA38" s="0" t="n">
        <v>5.08</v>
      </c>
      <c r="CB38" s="0" t="n">
        <v>19.77</v>
      </c>
      <c r="CC38" s="0" t="n">
        <v>6.9</v>
      </c>
      <c r="CD38" s="0" t="n">
        <v>8.5</v>
      </c>
      <c r="CE38" s="0" t="n">
        <v>4</v>
      </c>
      <c r="CF38" s="0" t="n">
        <v>1</v>
      </c>
      <c r="CG38" s="0" t="n">
        <v>16</v>
      </c>
      <c r="CH38" s="0" t="n">
        <v>0.25</v>
      </c>
      <c r="CI38" s="0" t="n">
        <v>0.062</v>
      </c>
      <c r="CJ38" s="0" t="n">
        <v>1.232</v>
      </c>
      <c r="CK38" s="0" t="n">
        <v>14</v>
      </c>
      <c r="CL38" s="0" t="n">
        <v>6</v>
      </c>
      <c r="CM38" s="0" t="n">
        <v>4</v>
      </c>
      <c r="CN38" s="0" t="n">
        <v>6</v>
      </c>
      <c r="CO38" s="0" t="n">
        <v>4.99216866499997</v>
      </c>
      <c r="CP38" s="0" t="n">
        <v>1</v>
      </c>
      <c r="CQ38" s="0" t="n">
        <v>1</v>
      </c>
      <c r="CR38" s="0" t="n">
        <v>0</v>
      </c>
      <c r="CS38" s="0" t="n">
        <v>0</v>
      </c>
      <c r="CT38" s="0" t="n">
        <v>0.136279926335175</v>
      </c>
      <c r="CU38" s="0" t="n">
        <v>15</v>
      </c>
      <c r="CV38" s="0" t="n">
        <v>7</v>
      </c>
      <c r="CW38" s="0" t="n">
        <v>4</v>
      </c>
      <c r="CX38" s="0" t="n">
        <v>6</v>
      </c>
      <c r="CY38" s="0" t="n">
        <v>5.13</v>
      </c>
      <c r="CZ38" s="0" t="n">
        <v>0.87</v>
      </c>
      <c r="DA38" s="0" t="n">
        <v>3.6848323272703</v>
      </c>
      <c r="DB38" s="0" t="n">
        <v>5.38375</v>
      </c>
      <c r="DC38" s="0" t="n">
        <v>8.92975609756097</v>
      </c>
      <c r="DD38" s="0" t="n">
        <v>16.3509569543596</v>
      </c>
      <c r="DE38" s="0" t="n">
        <v>0.742548228414731</v>
      </c>
      <c r="DF38" s="0" t="n">
        <v>70.7317073170732</v>
      </c>
      <c r="DM38" s="0" t="s">
        <v>1124</v>
      </c>
      <c r="DN38" s="0" t="n">
        <v>1</v>
      </c>
      <c r="DO38" s="0" t="n">
        <v>0</v>
      </c>
      <c r="DS38" s="0" t="n">
        <v>82</v>
      </c>
      <c r="DT38" s="0" t="n">
        <v>4</v>
      </c>
      <c r="DU38" s="0" t="n">
        <v>1</v>
      </c>
      <c r="DV38" s="0" t="n">
        <v>7.983</v>
      </c>
      <c r="DW38" s="0" t="n">
        <v>4.31</v>
      </c>
      <c r="DX38" s="0" t="n">
        <v>9</v>
      </c>
      <c r="DY38" s="0" t="n">
        <v>0.0122</v>
      </c>
      <c r="DZ38" s="0" t="n">
        <v>701</v>
      </c>
      <c r="EA38" s="0" t="n">
        <v>0.645</v>
      </c>
      <c r="EB38" s="0" t="n">
        <v>16</v>
      </c>
      <c r="EC38" s="0" t="s">
        <v>1125</v>
      </c>
      <c r="ED38" s="0" t="n">
        <v>2025</v>
      </c>
      <c r="EE38" s="0" t="n">
        <v>1</v>
      </c>
      <c r="EF38" s="0" t="n">
        <v>10</v>
      </c>
      <c r="EG38" s="0" t="n">
        <v>2025</v>
      </c>
      <c r="EH38" s="0" t="n">
        <v>2026</v>
      </c>
      <c r="EI38" s="0" t="n">
        <v>2</v>
      </c>
      <c r="EJ38" s="0" t="n">
        <v>78</v>
      </c>
      <c r="EK38" s="0" t="n">
        <v>241</v>
      </c>
      <c r="EL38" s="0" t="s">
        <v>983</v>
      </c>
      <c r="EM38" s="0" t="n">
        <v>22.4</v>
      </c>
      <c r="EN38" s="15" t="b">
        <f aca="false">FALSE()</f>
        <v>0</v>
      </c>
      <c r="EO38" s="0" t="n">
        <v>400</v>
      </c>
      <c r="EP38" s="0" t="n">
        <v>3.37625</v>
      </c>
      <c r="EQ38" s="0" t="n">
        <v>0.13</v>
      </c>
      <c r="ER38" s="0" t="n">
        <v>1.5225</v>
      </c>
      <c r="ES38" s="0" t="n">
        <v>0.63</v>
      </c>
      <c r="ET38" s="0" t="n">
        <v>34</v>
      </c>
      <c r="EU38" s="0" t="n">
        <v>27</v>
      </c>
      <c r="EV38" s="0" t="n">
        <v>4.805</v>
      </c>
      <c r="EW38" s="0" t="n">
        <v>0.794117647058824</v>
      </c>
      <c r="EX38" s="0" t="n">
        <v>2.98769008642548</v>
      </c>
      <c r="EY38" s="0" t="n">
        <v>3.337</v>
      </c>
      <c r="EZ38" s="0" t="n">
        <v>0.1354</v>
      </c>
      <c r="FA38" s="0" t="n">
        <v>3.125</v>
      </c>
      <c r="FB38" s="0" t="n">
        <v>1.739</v>
      </c>
      <c r="FC38" s="0" t="n">
        <v>26</v>
      </c>
      <c r="FD38" s="0" t="n">
        <v>640</v>
      </c>
      <c r="FE38" s="0" t="n">
        <v>0.0375</v>
      </c>
      <c r="FF38" s="0" t="n">
        <v>0.0358</v>
      </c>
      <c r="FG38" s="0" t="n">
        <v>0.2787</v>
      </c>
      <c r="FH38" s="0" t="n">
        <v>2.496</v>
      </c>
      <c r="FI38" s="0" t="n">
        <v>1096</v>
      </c>
      <c r="FJ38" s="0" t="n">
        <v>0.547445255474453</v>
      </c>
      <c r="FK38" s="0" t="n">
        <v>17</v>
      </c>
      <c r="FL38" s="0" t="n">
        <v>64.47</v>
      </c>
      <c r="FM38" s="0" t="n">
        <v>0.5233</v>
      </c>
      <c r="FN38" s="0" t="n">
        <v>0.4767</v>
      </c>
      <c r="FO38" s="0" t="n">
        <v>-0.039</v>
      </c>
      <c r="FP38" s="0" t="n">
        <v>0.0786</v>
      </c>
      <c r="FQ38" s="0" t="n">
        <v>0.0802</v>
      </c>
      <c r="FR38" s="0" t="n">
        <v>37</v>
      </c>
      <c r="FS38" s="0" t="n">
        <v>58</v>
      </c>
      <c r="FT38" s="0" t="n">
        <v>3.41</v>
      </c>
      <c r="FU38" s="0" t="n">
        <v>25.9</v>
      </c>
      <c r="FV38" s="0" t="n">
        <v>5814</v>
      </c>
      <c r="FW38" s="0" t="n">
        <v>4660</v>
      </c>
      <c r="FX38" s="0" t="n">
        <v>0.802</v>
      </c>
      <c r="FY38" s="0" t="n">
        <v>5</v>
      </c>
      <c r="FZ38" s="0" t="n">
        <v>4</v>
      </c>
      <c r="GA38" s="0" t="n">
        <v>1.67518100810579</v>
      </c>
      <c r="GB38" s="0" t="n">
        <v>80.3</v>
      </c>
      <c r="GC38" s="0" t="n">
        <v>61.1</v>
      </c>
      <c r="GD38" s="0" t="n">
        <v>76.3</v>
      </c>
      <c r="GE38" s="0" t="n">
        <v>532</v>
      </c>
      <c r="GF38" s="0" t="n">
        <v>505</v>
      </c>
      <c r="GG38" s="0" t="n">
        <v>161</v>
      </c>
      <c r="GH38" s="0" t="n">
        <v>20</v>
      </c>
      <c r="GI38" s="0" t="n">
        <v>163</v>
      </c>
      <c r="GJ38" s="0" t="n">
        <v>26</v>
      </c>
      <c r="GK38" s="0" t="n">
        <v>0.303</v>
      </c>
      <c r="GL38" s="0" t="n">
        <v>0.04</v>
      </c>
      <c r="GM38" s="0" t="n">
        <v>0.16</v>
      </c>
      <c r="GN38" s="0" t="n">
        <v>10.319</v>
      </c>
      <c r="GO38" s="0" t="n">
        <v>8.506</v>
      </c>
      <c r="GP38" s="0" t="n">
        <v>6.694</v>
      </c>
      <c r="GQ38" s="0" t="n">
        <v>5.125</v>
      </c>
      <c r="GR38" s="0" t="n">
        <v>0.062</v>
      </c>
      <c r="GS38" s="0" t="n">
        <v>83</v>
      </c>
      <c r="GT38" s="0" t="n">
        <v>1.989</v>
      </c>
      <c r="GU38" s="0" t="n">
        <v>0.236</v>
      </c>
      <c r="GV38" s="0" t="n">
        <v>8.695</v>
      </c>
      <c r="GW38" s="0" t="n">
        <v>12.293</v>
      </c>
      <c r="GX38" s="0" t="n">
        <v>0.707</v>
      </c>
      <c r="GZ38" s="0" t="n">
        <v>9.098</v>
      </c>
      <c r="HA38" s="0" t="n">
        <v>4.31</v>
      </c>
      <c r="HB38" s="0" t="n">
        <v>0.956</v>
      </c>
      <c r="HC38" s="0" t="n">
        <v>0.072</v>
      </c>
      <c r="HE38" s="0" t="n">
        <v>0.579</v>
      </c>
      <c r="HG38" s="0" t="n">
        <v>37.97</v>
      </c>
      <c r="HH38" s="0" t="n">
        <v>14.42</v>
      </c>
      <c r="HI38" s="0" t="n">
        <v>22</v>
      </c>
      <c r="HJ38" s="0" t="n">
        <v>97</v>
      </c>
      <c r="HK38" s="0" t="s">
        <v>909</v>
      </c>
      <c r="HL38" s="0" t="n">
        <v>0</v>
      </c>
      <c r="HM38" s="0" t="n">
        <v>12</v>
      </c>
      <c r="HN38" s="0" t="n">
        <v>3</v>
      </c>
      <c r="HO38" s="0" t="n">
        <v>-0.384</v>
      </c>
      <c r="HP38" s="0" t="n">
        <v>16</v>
      </c>
      <c r="HQ38" s="0" t="n">
        <v>-0.56</v>
      </c>
      <c r="HR38" s="0" t="s">
        <v>121</v>
      </c>
    </row>
    <row r="39" customFormat="false" ht="15" hidden="false" customHeight="false" outlineLevel="0" collapsed="false">
      <c r="A39" s="0" t="s">
        <v>896</v>
      </c>
      <c r="B39" s="0" t="s">
        <v>897</v>
      </c>
      <c r="C39" s="0" t="s">
        <v>898</v>
      </c>
      <c r="D39" s="0" t="s">
        <v>204</v>
      </c>
      <c r="E39" s="0" t="n">
        <v>25403</v>
      </c>
      <c r="F39" s="0" t="s">
        <v>104</v>
      </c>
      <c r="G39" s="0" t="n">
        <v>38.13</v>
      </c>
      <c r="H39" s="0" t="n">
        <v>7.09</v>
      </c>
      <c r="I39" s="0" t="n">
        <v>22</v>
      </c>
      <c r="J39" s="0" t="n">
        <v>65</v>
      </c>
      <c r="L39" s="0" t="s">
        <v>1126</v>
      </c>
      <c r="O39" s="0" t="n">
        <v>98.3</v>
      </c>
      <c r="U39" s="0" t="n">
        <v>14</v>
      </c>
      <c r="V39" s="0" t="s">
        <v>204</v>
      </c>
      <c r="W39" s="0" t="s">
        <v>901</v>
      </c>
      <c r="X39" s="0" t="s">
        <v>151</v>
      </c>
      <c r="Y39" s="0" t="s">
        <v>1127</v>
      </c>
      <c r="Z39" s="0" t="n">
        <v>25403</v>
      </c>
      <c r="AA39" s="0" t="s">
        <v>1128</v>
      </c>
      <c r="AB39" s="0" t="s">
        <v>904</v>
      </c>
      <c r="AC39" s="0" t="s">
        <v>151</v>
      </c>
      <c r="AD39" s="0" t="s">
        <v>151</v>
      </c>
      <c r="AE39" s="0" t="s">
        <v>151</v>
      </c>
      <c r="AF39" s="0" t="s">
        <v>151</v>
      </c>
      <c r="AG39" s="0" t="s">
        <v>151</v>
      </c>
      <c r="AH39" s="0" t="s">
        <v>905</v>
      </c>
      <c r="AI39" s="0" t="n">
        <v>1</v>
      </c>
      <c r="AJ39" s="0" t="s">
        <v>104</v>
      </c>
      <c r="AK39" s="0" t="n">
        <v>38</v>
      </c>
      <c r="AL39" s="0" t="n">
        <v>13</v>
      </c>
      <c r="AM39" s="0" t="s">
        <v>205</v>
      </c>
      <c r="EC39" s="0" t="s">
        <v>1129</v>
      </c>
      <c r="EG39" s="0" t="n">
        <v>2026</v>
      </c>
      <c r="EH39" s="0" t="n">
        <v>2026</v>
      </c>
      <c r="EI39" s="0" t="n">
        <v>0</v>
      </c>
      <c r="EJ39" s="0" t="n">
        <v>72</v>
      </c>
      <c r="EK39" s="0" t="n">
        <v>214</v>
      </c>
      <c r="EL39" s="0" t="s">
        <v>1130</v>
      </c>
      <c r="EM39" s="0" t="n">
        <v>21.2</v>
      </c>
      <c r="EN39" s="15" t="b">
        <f aca="false">TRUE()</f>
        <v>1</v>
      </c>
      <c r="EO39" s="0" t="n">
        <v>292</v>
      </c>
      <c r="EP39" s="0" t="n">
        <v>2.76198630136986</v>
      </c>
      <c r="EQ39" s="0" t="n">
        <v>0.198630136986301</v>
      </c>
      <c r="ER39" s="0" t="n">
        <v>1.1472602739726</v>
      </c>
      <c r="ES39" s="0" t="n">
        <v>0.828767123287671</v>
      </c>
      <c r="ET39" s="0" t="n">
        <v>32</v>
      </c>
      <c r="EU39" s="0" t="n">
        <v>21</v>
      </c>
      <c r="EV39" s="0" t="n">
        <v>4.20205479452055</v>
      </c>
      <c r="EW39" s="0" t="n">
        <v>0.65625</v>
      </c>
      <c r="EX39" s="0" t="n">
        <v>2.93895253186521</v>
      </c>
      <c r="EY39" s="0" t="n">
        <v>2.771</v>
      </c>
      <c r="EZ39" s="0" t="n">
        <v>0.2005</v>
      </c>
      <c r="FA39" s="0" t="n">
        <v>2.593</v>
      </c>
      <c r="FB39" s="0" t="n">
        <v>1.732</v>
      </c>
      <c r="FC39" s="0" t="n">
        <v>22</v>
      </c>
      <c r="FD39" s="0" t="n">
        <v>745</v>
      </c>
      <c r="FE39" s="0" t="n">
        <v>0.0791946308724832</v>
      </c>
      <c r="FF39" s="0" t="n">
        <v>0.0839</v>
      </c>
      <c r="FG39" s="0" t="n">
        <v>0.282</v>
      </c>
      <c r="FH39" s="0" t="n">
        <v>2.373</v>
      </c>
      <c r="FI39" s="0" t="n">
        <v>1074</v>
      </c>
      <c r="FJ39" s="0" t="n">
        <v>0.661080074487896</v>
      </c>
      <c r="FK39" s="0" t="n">
        <v>17</v>
      </c>
      <c r="FL39" s="0" t="n">
        <v>63.18</v>
      </c>
      <c r="FM39" s="0" t="n">
        <v>0.6204</v>
      </c>
      <c r="FN39" s="0" t="n">
        <v>0.3796</v>
      </c>
      <c r="FO39" s="0" t="n">
        <v>0.0399</v>
      </c>
      <c r="FP39" s="0" t="n">
        <v>-0.0591</v>
      </c>
      <c r="FQ39" s="0" t="n">
        <v>0.0023</v>
      </c>
      <c r="FR39" s="0" t="n">
        <v>39</v>
      </c>
      <c r="FS39" s="0" t="n">
        <v>61</v>
      </c>
      <c r="FT39" s="0" t="n">
        <v>3.59</v>
      </c>
      <c r="FU39" s="0" t="n">
        <v>20.9</v>
      </c>
      <c r="FV39" s="0" t="n">
        <v>5838</v>
      </c>
      <c r="FW39" s="0" t="n">
        <v>4005</v>
      </c>
      <c r="FX39" s="0" t="n">
        <v>0.686</v>
      </c>
      <c r="FY39" s="0" t="n">
        <v>5</v>
      </c>
      <c r="FZ39" s="0" t="n">
        <v>3</v>
      </c>
      <c r="GA39" s="0" t="n">
        <v>-0.344439654226007</v>
      </c>
      <c r="GB39" s="0" t="n">
        <v>43.8</v>
      </c>
      <c r="GC39" s="0" t="n">
        <v>35.6</v>
      </c>
      <c r="GD39" s="0" t="n">
        <v>36.9</v>
      </c>
      <c r="GE39" s="0" t="n">
        <v>617</v>
      </c>
      <c r="GF39" s="0" t="n">
        <v>366</v>
      </c>
      <c r="GG39" s="0" t="n">
        <v>106</v>
      </c>
      <c r="GH39" s="0" t="n">
        <v>173</v>
      </c>
      <c r="GI39" s="0" t="n">
        <v>153</v>
      </c>
      <c r="GJ39" s="0" t="n">
        <v>41</v>
      </c>
      <c r="GK39" s="0" t="n">
        <v>0.172</v>
      </c>
      <c r="GL39" s="0" t="n">
        <v>0.473</v>
      </c>
      <c r="GM39" s="0" t="n">
        <v>0.268</v>
      </c>
      <c r="HF39" s="0" t="s">
        <v>206</v>
      </c>
      <c r="HG39" s="0" t="n">
        <v>38.13</v>
      </c>
      <c r="HH39" s="0" t="n">
        <v>7.09</v>
      </c>
      <c r="HI39" s="0" t="n">
        <v>22</v>
      </c>
      <c r="HJ39" s="0" t="n">
        <v>65</v>
      </c>
      <c r="HK39" s="0" t="s">
        <v>909</v>
      </c>
      <c r="HL39" s="0" t="n">
        <v>0</v>
      </c>
      <c r="HN39" s="0" t="n">
        <v>13</v>
      </c>
    </row>
    <row r="40" customFormat="false" ht="15" hidden="false" customHeight="false" outlineLevel="0" collapsed="false">
      <c r="A40" s="0" t="s">
        <v>896</v>
      </c>
      <c r="B40" s="0" t="s">
        <v>897</v>
      </c>
      <c r="C40" s="0" t="s">
        <v>898</v>
      </c>
      <c r="D40" s="0" t="s">
        <v>207</v>
      </c>
      <c r="E40" s="0" t="n">
        <v>19790</v>
      </c>
      <c r="F40" s="0" t="s">
        <v>99</v>
      </c>
      <c r="G40" s="0" t="n">
        <v>38.17</v>
      </c>
      <c r="H40" s="0" t="n">
        <v>7.48</v>
      </c>
      <c r="I40" s="0" t="n">
        <v>18</v>
      </c>
      <c r="J40" s="0" t="n">
        <v>59</v>
      </c>
      <c r="L40" s="0" t="s">
        <v>1131</v>
      </c>
      <c r="O40" s="0" t="n">
        <v>95.7</v>
      </c>
      <c r="U40" s="0" t="n">
        <v>10</v>
      </c>
      <c r="V40" s="0" t="s">
        <v>207</v>
      </c>
      <c r="W40" s="0" t="s">
        <v>901</v>
      </c>
      <c r="X40" s="0" t="s">
        <v>209</v>
      </c>
      <c r="Y40" s="0" t="s">
        <v>1132</v>
      </c>
      <c r="Z40" s="0" t="n">
        <v>19790</v>
      </c>
      <c r="AA40" s="0" t="s">
        <v>1133</v>
      </c>
      <c r="AB40" s="0" t="s">
        <v>904</v>
      </c>
      <c r="AC40" s="0" t="s">
        <v>209</v>
      </c>
      <c r="AD40" s="0" t="s">
        <v>209</v>
      </c>
      <c r="AE40" s="0" t="s">
        <v>209</v>
      </c>
      <c r="AF40" s="0" t="s">
        <v>209</v>
      </c>
      <c r="AG40" s="0" t="s">
        <v>209</v>
      </c>
      <c r="AH40" s="0" t="s">
        <v>905</v>
      </c>
      <c r="AI40" s="0" t="n">
        <v>2</v>
      </c>
      <c r="AJ40" s="0" t="s">
        <v>99</v>
      </c>
      <c r="AK40" s="0" t="n">
        <v>39</v>
      </c>
      <c r="AL40" s="0" t="n">
        <v>21</v>
      </c>
      <c r="AM40" s="0" t="s">
        <v>208</v>
      </c>
      <c r="AN40" s="0" t="n">
        <v>1</v>
      </c>
      <c r="AO40" s="0" t="n">
        <v>1</v>
      </c>
      <c r="AP40" s="0" t="n">
        <v>8</v>
      </c>
      <c r="AQ40" s="0" t="n">
        <v>0</v>
      </c>
      <c r="AR40" s="0" t="n">
        <v>0</v>
      </c>
      <c r="AS40" s="0" t="n">
        <v>0</v>
      </c>
      <c r="AT40" s="0" t="n">
        <v>-5</v>
      </c>
      <c r="AU40" s="0" t="n">
        <v>0</v>
      </c>
      <c r="AV40" s="0" t="n">
        <v>-0.592364791144431</v>
      </c>
      <c r="AW40" s="0" t="n">
        <v>2</v>
      </c>
      <c r="AX40" s="0" t="n">
        <v>28</v>
      </c>
      <c r="AY40" s="0" t="n">
        <v>0</v>
      </c>
      <c r="AZ40" s="0" t="n">
        <v>1</v>
      </c>
      <c r="BA40" s="0" t="n">
        <v>1.92951566330157</v>
      </c>
      <c r="BB40" s="0" t="n">
        <v>0</v>
      </c>
      <c r="BC40" s="0" t="n">
        <v>64</v>
      </c>
      <c r="BD40" s="0" t="n">
        <v>100</v>
      </c>
      <c r="BE40" s="0" t="n">
        <v>910</v>
      </c>
      <c r="BF40" s="0" t="n">
        <v>6</v>
      </c>
      <c r="BG40" s="0" t="n">
        <v>1306</v>
      </c>
      <c r="BH40" s="0" t="n">
        <v>228</v>
      </c>
      <c r="BI40" s="0" t="n">
        <v>48</v>
      </c>
      <c r="BJ40" s="0" t="n">
        <v>34.4516600557987</v>
      </c>
      <c r="BK40" s="0" t="n">
        <v>0</v>
      </c>
      <c r="BL40" s="0" t="n">
        <v>0</v>
      </c>
      <c r="BM40" s="0" t="n">
        <v>130.12</v>
      </c>
      <c r="BN40" s="0" t="n">
        <v>194.12</v>
      </c>
      <c r="BO40" s="0" t="n">
        <v>16</v>
      </c>
      <c r="BP40" s="0" t="s">
        <v>161</v>
      </c>
      <c r="BQ40" s="0" t="n">
        <v>1</v>
      </c>
      <c r="BR40" s="0" t="n">
        <v>162.12</v>
      </c>
      <c r="BS40" s="0" t="n">
        <v>0.2165</v>
      </c>
      <c r="BT40" s="0" t="n">
        <v>0.0046</v>
      </c>
      <c r="BU40" s="0" t="n">
        <v>0.3958</v>
      </c>
      <c r="BV40" s="0" t="n">
        <v>0.2283</v>
      </c>
      <c r="BW40" s="0" t="n">
        <v>0.0049</v>
      </c>
      <c r="BX40" s="0" t="n">
        <v>0.417</v>
      </c>
      <c r="BY40" s="0" t="n">
        <v>0.6344</v>
      </c>
      <c r="BZ40" s="0" t="n">
        <v>16</v>
      </c>
      <c r="CA40" s="0" t="n">
        <v>7</v>
      </c>
      <c r="CB40" s="0" t="n">
        <v>19.08</v>
      </c>
      <c r="CC40" s="0" t="n">
        <v>13.2</v>
      </c>
      <c r="CD40" s="0" t="n">
        <v>6.87</v>
      </c>
      <c r="CE40" s="0" t="n">
        <v>3</v>
      </c>
      <c r="CF40" s="0" t="n">
        <v>1</v>
      </c>
      <c r="CG40" s="0" t="n">
        <v>16</v>
      </c>
      <c r="CH40" s="0" t="n">
        <v>0.188</v>
      </c>
      <c r="CI40" s="0" t="n">
        <v>0.062</v>
      </c>
      <c r="CJ40" s="0" t="n">
        <v>0.521</v>
      </c>
      <c r="CK40" s="0" t="n">
        <v>11</v>
      </c>
      <c r="CL40" s="0" t="n">
        <v>5</v>
      </c>
      <c r="CM40" s="0" t="n">
        <v>4</v>
      </c>
      <c r="CN40" s="0" t="n">
        <v>6</v>
      </c>
      <c r="CO40" s="0" t="n">
        <v>4.29399286820967</v>
      </c>
      <c r="CP40" s="0" t="n">
        <v>0</v>
      </c>
      <c r="CQ40" s="0" t="n">
        <v>0</v>
      </c>
      <c r="CR40" s="0" t="n">
        <v>0</v>
      </c>
      <c r="CS40" s="0" t="n">
        <v>0</v>
      </c>
      <c r="CT40" s="0" t="n">
        <v>0.00714183688044565</v>
      </c>
      <c r="CU40" s="0" t="n">
        <v>11</v>
      </c>
      <c r="CV40" s="0" t="n">
        <v>5</v>
      </c>
      <c r="CW40" s="0" t="n">
        <v>4</v>
      </c>
      <c r="CX40" s="0" t="n">
        <v>6</v>
      </c>
      <c r="CY40" s="0" t="n">
        <v>4.3</v>
      </c>
      <c r="CZ40" s="0" t="n">
        <v>1.7</v>
      </c>
      <c r="DA40" s="0" t="n">
        <v>2.73433420229969</v>
      </c>
      <c r="DB40" s="0" t="n">
        <v>6.18673469387755</v>
      </c>
      <c r="DC40" s="0" t="n">
        <v>12.2635</v>
      </c>
      <c r="DD40" s="0" t="n">
        <v>38.6616057326427</v>
      </c>
      <c r="DE40" s="0" t="n">
        <v>0.145745365037632</v>
      </c>
      <c r="DF40" s="0" t="n">
        <v>64</v>
      </c>
      <c r="DM40" s="0" t="s">
        <v>1134</v>
      </c>
      <c r="DN40" s="0" t="n">
        <v>2</v>
      </c>
      <c r="DO40" s="0" t="n">
        <v>0</v>
      </c>
      <c r="DS40" s="0" t="n">
        <v>100</v>
      </c>
      <c r="DT40" s="0" t="n">
        <v>4</v>
      </c>
      <c r="DU40" s="0" t="n">
        <v>4</v>
      </c>
      <c r="DV40" s="0" t="n">
        <v>10.656</v>
      </c>
      <c r="DW40" s="0" t="n">
        <v>3.562</v>
      </c>
      <c r="DX40" s="0" t="n">
        <v>13.1</v>
      </c>
      <c r="DY40" s="0" t="n">
        <v>0.04</v>
      </c>
      <c r="DZ40" s="0" t="n">
        <v>722</v>
      </c>
      <c r="EA40" s="0" t="n">
        <v>0.776</v>
      </c>
      <c r="EB40" s="0" t="n">
        <v>16</v>
      </c>
      <c r="EC40" s="0" t="s">
        <v>1135</v>
      </c>
      <c r="ED40" s="0" t="n">
        <v>2021</v>
      </c>
      <c r="EE40" s="0" t="n">
        <v>1</v>
      </c>
      <c r="EF40" s="0" t="n">
        <v>6</v>
      </c>
      <c r="EG40" s="0" t="n">
        <v>2021</v>
      </c>
      <c r="EH40" s="0" t="n">
        <v>2026</v>
      </c>
      <c r="EI40" s="0" t="n">
        <v>6</v>
      </c>
      <c r="EJ40" s="0" t="n">
        <v>70</v>
      </c>
      <c r="EK40" s="0" t="n">
        <v>185</v>
      </c>
      <c r="EL40" s="0" t="s">
        <v>1045</v>
      </c>
      <c r="EM40" s="0" t="n">
        <v>27.7</v>
      </c>
      <c r="EN40" s="15" t="b">
        <f aca="false">FALSE()</f>
        <v>0</v>
      </c>
      <c r="EO40" s="0" t="n">
        <v>354</v>
      </c>
      <c r="EP40" s="0" t="n">
        <v>2.95932203389831</v>
      </c>
      <c r="EQ40" s="0" t="n">
        <v>0.172316384180791</v>
      </c>
      <c r="ER40" s="0" t="n">
        <v>1.24293785310735</v>
      </c>
      <c r="ES40" s="0" t="n">
        <v>0.807909604519774</v>
      </c>
      <c r="ET40" s="0" t="n">
        <v>29</v>
      </c>
      <c r="EU40" s="0" t="n">
        <v>16</v>
      </c>
      <c r="EV40" s="0" t="n">
        <v>4.42372881355932</v>
      </c>
      <c r="EW40" s="0" t="n">
        <v>0.551724137931035</v>
      </c>
      <c r="EX40" s="0" t="n">
        <v>2.95623424539257</v>
      </c>
      <c r="EY40" s="0" t="n">
        <v>2.952</v>
      </c>
      <c r="EZ40" s="0" t="n">
        <v>0.1682</v>
      </c>
      <c r="FA40" s="0" t="n">
        <v>2.592</v>
      </c>
      <c r="FB40" s="0" t="n">
        <v>1.833</v>
      </c>
      <c r="FC40" s="0" t="n">
        <v>20</v>
      </c>
      <c r="FD40" s="0" t="n">
        <v>671</v>
      </c>
      <c r="FE40" s="0" t="n">
        <v>0.0342771982116244</v>
      </c>
      <c r="FF40" s="0" t="n">
        <v>0.037</v>
      </c>
      <c r="FG40" s="0" t="n">
        <v>0.2088</v>
      </c>
      <c r="FH40" s="0" t="n">
        <v>2.401</v>
      </c>
      <c r="FI40" s="0" t="n">
        <v>1079</v>
      </c>
      <c r="FJ40" s="0" t="n">
        <v>0.593141797961075</v>
      </c>
      <c r="FK40" s="0" t="n">
        <v>17</v>
      </c>
      <c r="FL40" s="0" t="n">
        <v>63.47</v>
      </c>
      <c r="FM40" s="0" t="n">
        <v>0.59</v>
      </c>
      <c r="FN40" s="0" t="n">
        <v>0.41</v>
      </c>
      <c r="FO40" s="0" t="n">
        <v>0.0157</v>
      </c>
      <c r="FP40" s="0" t="n">
        <v>0.0004</v>
      </c>
      <c r="FQ40" s="0" t="n">
        <v>0.0835</v>
      </c>
      <c r="FR40" s="0" t="n">
        <v>38</v>
      </c>
      <c r="FS40" s="0" t="n">
        <v>59</v>
      </c>
      <c r="FT40" s="0" t="n">
        <v>3.47</v>
      </c>
      <c r="FU40" s="0" t="n">
        <v>23.6</v>
      </c>
      <c r="FV40" s="0" t="n">
        <v>5797</v>
      </c>
      <c r="FW40" s="0" t="n">
        <v>5793</v>
      </c>
      <c r="FX40" s="0" t="n">
        <v>0.999</v>
      </c>
      <c r="FY40" s="0" t="n">
        <v>5</v>
      </c>
      <c r="FZ40" s="0" t="n">
        <v>5</v>
      </c>
      <c r="GA40" s="0" t="n">
        <v>0.00253477555898343</v>
      </c>
      <c r="GB40" s="0" t="n">
        <v>50</v>
      </c>
      <c r="GC40" s="0" t="n">
        <v>70.8</v>
      </c>
      <c r="GD40" s="0" t="n">
        <v>63.2</v>
      </c>
      <c r="GE40" s="0" t="n">
        <v>584</v>
      </c>
      <c r="GF40" s="0" t="n">
        <v>456</v>
      </c>
      <c r="GG40" s="0" t="n">
        <v>4</v>
      </c>
      <c r="GH40" s="0" t="n">
        <v>0</v>
      </c>
      <c r="GI40" s="0" t="n">
        <v>157</v>
      </c>
      <c r="GJ40" s="0" t="n">
        <v>1</v>
      </c>
      <c r="GK40" s="0" t="n">
        <v>0.007</v>
      </c>
      <c r="GL40" s="0" t="n">
        <v>0</v>
      </c>
      <c r="GM40" s="0" t="n">
        <v>0.006</v>
      </c>
      <c r="GN40" s="0" t="n">
        <v>12.132</v>
      </c>
      <c r="GO40" s="0" t="n">
        <v>10.132</v>
      </c>
      <c r="GP40" s="0" t="n">
        <v>8.132</v>
      </c>
      <c r="GQ40" s="0" t="n">
        <v>6.25</v>
      </c>
      <c r="GR40" s="0" t="n">
        <v>0.125</v>
      </c>
      <c r="GS40" s="0" t="n">
        <v>102</v>
      </c>
      <c r="GT40" s="0" t="n">
        <v>1.903</v>
      </c>
      <c r="GU40" s="0" t="n">
        <v>0.269</v>
      </c>
      <c r="GV40" s="0" t="n">
        <v>9.1</v>
      </c>
      <c r="GW40" s="0" t="n">
        <v>14.219</v>
      </c>
      <c r="GX40" s="0" t="n">
        <v>0.64</v>
      </c>
      <c r="GZ40" s="0" t="n">
        <v>13.06</v>
      </c>
      <c r="HA40" s="0" t="n">
        <v>3.562</v>
      </c>
      <c r="HB40" s="0" t="n">
        <v>0.697</v>
      </c>
      <c r="HC40" s="0" t="n">
        <v>0.059</v>
      </c>
      <c r="HE40" s="0" t="n">
        <v>0.345</v>
      </c>
      <c r="HG40" s="0" t="n">
        <v>38.17</v>
      </c>
      <c r="HH40" s="0" t="n">
        <v>7.48</v>
      </c>
      <c r="HI40" s="0" t="n">
        <v>18</v>
      </c>
      <c r="HJ40" s="0" t="n">
        <v>59</v>
      </c>
      <c r="HK40" s="0" t="s">
        <v>909</v>
      </c>
      <c r="HL40" s="0" t="n">
        <v>0</v>
      </c>
      <c r="HM40" s="0" t="n">
        <v>24</v>
      </c>
      <c r="HN40" s="0" t="n">
        <v>21</v>
      </c>
      <c r="HO40" s="0" t="n">
        <v>-0.273</v>
      </c>
      <c r="HP40" s="0" t="n">
        <v>29</v>
      </c>
      <c r="HQ40" s="0" t="n">
        <v>-0.492</v>
      </c>
      <c r="HR40" s="0" t="s">
        <v>102</v>
      </c>
    </row>
    <row r="41" customFormat="false" ht="15" hidden="false" customHeight="false" outlineLevel="0" collapsed="false">
      <c r="A41" s="0" t="s">
        <v>896</v>
      </c>
      <c r="B41" s="0" t="s">
        <v>897</v>
      </c>
      <c r="C41" s="0" t="s">
        <v>898</v>
      </c>
      <c r="D41" s="0" t="s">
        <v>210</v>
      </c>
      <c r="E41" s="0" t="n">
        <v>23046</v>
      </c>
      <c r="F41" s="0" t="s">
        <v>172</v>
      </c>
      <c r="G41" s="0" t="n">
        <v>39.19</v>
      </c>
      <c r="H41" s="0" t="n">
        <v>14.57</v>
      </c>
      <c r="I41" s="0" t="n">
        <v>26</v>
      </c>
      <c r="J41" s="0" t="n">
        <v>92</v>
      </c>
      <c r="L41" s="0" t="s">
        <v>1136</v>
      </c>
      <c r="O41" s="0" t="n">
        <v>98.6</v>
      </c>
      <c r="U41" s="0" t="n">
        <v>11</v>
      </c>
      <c r="V41" s="0" t="s">
        <v>210</v>
      </c>
      <c r="W41" s="0" t="s">
        <v>901</v>
      </c>
      <c r="X41" s="0" t="s">
        <v>972</v>
      </c>
      <c r="Y41" s="0" t="s">
        <v>1137</v>
      </c>
      <c r="Z41" s="0" t="n">
        <v>23046</v>
      </c>
      <c r="AA41" s="0" t="s">
        <v>1138</v>
      </c>
      <c r="AB41" s="0" t="s">
        <v>904</v>
      </c>
      <c r="AC41" s="0" t="s">
        <v>135</v>
      </c>
      <c r="AD41" s="0" t="s">
        <v>135</v>
      </c>
      <c r="AE41" s="0" t="s">
        <v>135</v>
      </c>
      <c r="AF41" s="0" t="s">
        <v>135</v>
      </c>
      <c r="AG41" s="0" t="s">
        <v>135</v>
      </c>
      <c r="AH41" s="0" t="s">
        <v>905</v>
      </c>
      <c r="AI41" s="0" t="n">
        <v>1</v>
      </c>
      <c r="AJ41" s="0" t="s">
        <v>172</v>
      </c>
      <c r="AK41" s="0" t="n">
        <v>40</v>
      </c>
      <c r="AL41" s="0" t="n">
        <v>3</v>
      </c>
      <c r="AM41" s="0" t="s">
        <v>211</v>
      </c>
      <c r="AN41" s="0" t="n">
        <v>354</v>
      </c>
      <c r="AO41" s="0" t="n">
        <v>492</v>
      </c>
      <c r="AP41" s="0" t="n">
        <v>4394</v>
      </c>
      <c r="AQ41" s="0" t="n">
        <v>31</v>
      </c>
      <c r="AR41" s="0" t="n">
        <v>8</v>
      </c>
      <c r="AS41" s="0" t="n">
        <v>47</v>
      </c>
      <c r="AT41" s="0" t="n">
        <v>4493</v>
      </c>
      <c r="AU41" s="0" t="n">
        <v>203</v>
      </c>
      <c r="AV41" s="0" t="n">
        <v>166.214541956108</v>
      </c>
      <c r="AW41" s="0" t="n">
        <v>103</v>
      </c>
      <c r="AX41" s="0" t="n">
        <v>450</v>
      </c>
      <c r="AY41" s="0" t="n">
        <v>4</v>
      </c>
      <c r="AZ41" s="0" t="n">
        <v>38</v>
      </c>
      <c r="BA41" s="0" t="n">
        <v>11.2128673671761</v>
      </c>
      <c r="BB41" s="0" t="n">
        <v>0</v>
      </c>
      <c r="BC41" s="0" t="n">
        <v>1</v>
      </c>
      <c r="BD41" s="0" t="n">
        <v>1</v>
      </c>
      <c r="BE41" s="0" t="n">
        <v>2</v>
      </c>
      <c r="BF41" s="0" t="n">
        <v>0</v>
      </c>
      <c r="BG41" s="0" t="n">
        <v>-8</v>
      </c>
      <c r="BH41" s="0" t="n">
        <v>10</v>
      </c>
      <c r="BI41" s="0" t="n">
        <v>0</v>
      </c>
      <c r="BJ41" s="0" t="n">
        <v>-1.32933220104314</v>
      </c>
      <c r="BK41" s="0" t="n">
        <v>0</v>
      </c>
      <c r="BL41" s="0" t="n">
        <v>0</v>
      </c>
      <c r="BM41" s="0" t="n">
        <v>350.96</v>
      </c>
      <c r="BN41" s="0" t="n">
        <v>351.96</v>
      </c>
      <c r="BO41" s="0" t="n">
        <v>17</v>
      </c>
      <c r="BP41" s="0" t="s">
        <v>135</v>
      </c>
      <c r="BQ41" s="0" t="n">
        <v>1</v>
      </c>
      <c r="BR41" s="0" t="n">
        <v>351.46</v>
      </c>
      <c r="BS41" s="0" t="n">
        <v>0.0021</v>
      </c>
      <c r="BT41" s="0" t="n">
        <v>0.2085</v>
      </c>
      <c r="BU41" s="0" t="n">
        <v>-0.0018</v>
      </c>
      <c r="BV41" s="0" t="n">
        <v>0.0021</v>
      </c>
      <c r="BW41" s="0" t="n">
        <v>0.2085</v>
      </c>
      <c r="BX41" s="0" t="n">
        <v>-0.0018</v>
      </c>
      <c r="BY41" s="0" t="n">
        <v>0.0019</v>
      </c>
      <c r="BZ41" s="0" t="n">
        <v>17</v>
      </c>
      <c r="CA41" s="0" t="n">
        <v>15.96</v>
      </c>
      <c r="CB41" s="0" t="n">
        <v>26.29</v>
      </c>
      <c r="CC41" s="0" t="n">
        <v>20.48</v>
      </c>
      <c r="CD41" s="0" t="n">
        <v>5.39</v>
      </c>
      <c r="CE41" s="0" t="n">
        <v>10</v>
      </c>
      <c r="CF41" s="0" t="n">
        <v>0</v>
      </c>
      <c r="CG41" s="0" t="n">
        <v>17</v>
      </c>
      <c r="CH41" s="0" t="n">
        <v>0.588</v>
      </c>
      <c r="CI41" s="0" t="n">
        <v>0</v>
      </c>
      <c r="CJ41" s="0" t="n">
        <v>0.263</v>
      </c>
      <c r="CK41" s="0" t="n">
        <v>0</v>
      </c>
      <c r="CL41" s="0" t="n">
        <v>0</v>
      </c>
      <c r="CM41" s="0" t="n">
        <v>0</v>
      </c>
      <c r="CN41" s="0" t="n">
        <v>0</v>
      </c>
      <c r="CO41" s="0" t="n">
        <v>0.00389841835598129</v>
      </c>
      <c r="CP41" s="0" t="n">
        <v>17</v>
      </c>
      <c r="CQ41" s="0" t="n">
        <v>12</v>
      </c>
      <c r="CR41" s="0" t="n">
        <v>3</v>
      </c>
      <c r="CS41" s="0" t="n">
        <v>4</v>
      </c>
      <c r="CT41" s="0" t="n">
        <v>3.2488445164341</v>
      </c>
      <c r="CU41" s="0" t="n">
        <v>17</v>
      </c>
      <c r="CV41" s="0" t="n">
        <v>12</v>
      </c>
      <c r="CW41" s="0" t="n">
        <v>3</v>
      </c>
      <c r="CX41" s="0" t="n">
        <v>4</v>
      </c>
      <c r="CY41" s="0" t="n">
        <v>3.25</v>
      </c>
      <c r="CZ41" s="0" t="n">
        <v>0.75</v>
      </c>
      <c r="DM41" s="0" t="s">
        <v>1139</v>
      </c>
      <c r="DN41" s="0" t="n">
        <v>103</v>
      </c>
      <c r="DO41" s="0" t="n">
        <v>2</v>
      </c>
      <c r="DP41" s="0" t="n">
        <v>3.252</v>
      </c>
      <c r="DQ41" s="0" t="n">
        <v>1.117</v>
      </c>
      <c r="DR41" s="0" t="n">
        <v>51.5</v>
      </c>
      <c r="DS41" s="0" t="n">
        <v>1</v>
      </c>
      <c r="DT41" s="0" t="n">
        <v>0</v>
      </c>
      <c r="DU41" s="0" t="n">
        <v>0</v>
      </c>
      <c r="DZ41" s="0" t="n">
        <v>1050</v>
      </c>
      <c r="EA41" s="0" t="n">
        <v>0.958</v>
      </c>
      <c r="EB41" s="0" t="n">
        <v>17</v>
      </c>
      <c r="EC41" s="0" t="s">
        <v>1140</v>
      </c>
      <c r="ED41" s="0" t="n">
        <v>2024</v>
      </c>
      <c r="EE41" s="0" t="n">
        <v>1</v>
      </c>
      <c r="EF41" s="0" t="n">
        <v>3</v>
      </c>
      <c r="EG41" s="0" t="n">
        <v>2024</v>
      </c>
      <c r="EH41" s="0" t="n">
        <v>2026</v>
      </c>
      <c r="EI41" s="0" t="n">
        <v>3</v>
      </c>
      <c r="EJ41" s="0" t="n">
        <v>76</v>
      </c>
      <c r="EK41" s="0" t="n">
        <v>225</v>
      </c>
      <c r="EL41" s="0" t="s">
        <v>1051</v>
      </c>
      <c r="EM41" s="0" t="n">
        <v>24</v>
      </c>
      <c r="EN41" s="15" t="b">
        <f aca="false">FALSE()</f>
        <v>0</v>
      </c>
      <c r="EO41" s="0" t="n">
        <v>371</v>
      </c>
      <c r="EP41" s="0" t="n">
        <v>2.77951482479784</v>
      </c>
      <c r="EQ41" s="0" t="n">
        <v>0.194070080862534</v>
      </c>
      <c r="ER41" s="0" t="n">
        <v>1.19676549865229</v>
      </c>
      <c r="ES41" s="0" t="n">
        <v>1.20485175202156</v>
      </c>
      <c r="ET41" s="0" t="n">
        <v>33</v>
      </c>
      <c r="EU41" s="0" t="n">
        <v>19</v>
      </c>
      <c r="EV41" s="0" t="n">
        <v>4.63072776280323</v>
      </c>
      <c r="EW41" s="0" t="n">
        <v>0.575757575757576</v>
      </c>
      <c r="EX41" s="0" t="n">
        <v>2.9254952414656</v>
      </c>
      <c r="EY41" s="0" t="n">
        <v>2.802</v>
      </c>
      <c r="EZ41" s="0" t="n">
        <v>0.1883</v>
      </c>
      <c r="FA41" s="0" t="n">
        <v>2.561</v>
      </c>
      <c r="FB41" s="0" t="n">
        <v>1.874</v>
      </c>
      <c r="FC41" s="0" t="n">
        <v>33</v>
      </c>
      <c r="FD41" s="0" t="n">
        <v>613</v>
      </c>
      <c r="FE41" s="0" t="n">
        <v>0.0783034257748776</v>
      </c>
      <c r="FF41" s="0" t="n">
        <v>0.0789</v>
      </c>
      <c r="FG41" s="0" t="n">
        <v>0.261</v>
      </c>
      <c r="FH41" s="0" t="n">
        <v>2.406</v>
      </c>
      <c r="FI41" s="0" t="n">
        <v>1017</v>
      </c>
      <c r="FJ41" s="0" t="n">
        <v>0.541789577187807</v>
      </c>
      <c r="FK41" s="0" t="n">
        <v>17</v>
      </c>
      <c r="FL41" s="0" t="n">
        <v>59.82</v>
      </c>
      <c r="FM41" s="0" t="n">
        <v>0.5691</v>
      </c>
      <c r="FN41" s="0" t="n">
        <v>0.4309</v>
      </c>
      <c r="FO41" s="0" t="n">
        <v>0.0242</v>
      </c>
      <c r="FP41" s="0" t="n">
        <v>0.0077</v>
      </c>
      <c r="FQ41" s="0" t="n">
        <v>0.2873</v>
      </c>
      <c r="FR41" s="0" t="n">
        <v>38</v>
      </c>
      <c r="FS41" s="0" t="n">
        <v>64</v>
      </c>
      <c r="FT41" s="0" t="n">
        <v>3.76</v>
      </c>
      <c r="FU41" s="0" t="n">
        <v>28.8</v>
      </c>
      <c r="FV41" s="0" t="n">
        <v>5553</v>
      </c>
      <c r="FW41" s="0" t="n">
        <v>2959</v>
      </c>
      <c r="FX41" s="0" t="n">
        <v>0.533</v>
      </c>
      <c r="FY41" s="0" t="n">
        <v>5</v>
      </c>
      <c r="FZ41" s="0" t="n">
        <v>3</v>
      </c>
      <c r="GA41" s="0" t="n">
        <v>-0.369404903105602</v>
      </c>
      <c r="GB41" s="0" t="n">
        <v>43.3</v>
      </c>
      <c r="GC41" s="0" t="n">
        <v>43.5</v>
      </c>
      <c r="GD41" s="0" t="n">
        <v>41.6</v>
      </c>
      <c r="GE41" s="0" t="n">
        <v>482</v>
      </c>
      <c r="GF41" s="0" t="n">
        <v>494</v>
      </c>
      <c r="GG41" s="0" t="n">
        <v>128</v>
      </c>
      <c r="GH41" s="0" t="n">
        <v>10</v>
      </c>
      <c r="GI41" s="0" t="n">
        <v>154</v>
      </c>
      <c r="GJ41" s="0" t="n">
        <v>17</v>
      </c>
      <c r="GK41" s="0" t="n">
        <v>0.266</v>
      </c>
      <c r="GL41" s="0" t="n">
        <v>0.02</v>
      </c>
      <c r="GM41" s="0" t="n">
        <v>0.11</v>
      </c>
      <c r="GN41" s="0" t="n">
        <v>20.704</v>
      </c>
      <c r="GO41" s="0" t="n">
        <v>20.674</v>
      </c>
      <c r="GP41" s="0" t="n">
        <v>20.645</v>
      </c>
      <c r="GQ41" s="0" t="n">
        <v>0.059</v>
      </c>
      <c r="GR41" s="0" t="n">
        <v>6.059</v>
      </c>
      <c r="GS41" s="0" t="n">
        <v>104</v>
      </c>
      <c r="GT41" s="0" t="n">
        <v>3.384</v>
      </c>
      <c r="GU41" s="0" t="n">
        <v>0.335</v>
      </c>
      <c r="GY41" s="0" t="n">
        <v>4.369</v>
      </c>
      <c r="HC41" s="0" t="n">
        <v>0.038</v>
      </c>
      <c r="HD41" s="0" t="n">
        <v>0.109</v>
      </c>
      <c r="HE41" s="0" t="n">
        <v>-1.329</v>
      </c>
      <c r="HG41" s="0" t="n">
        <v>39.19</v>
      </c>
      <c r="HH41" s="0" t="n">
        <v>14.57</v>
      </c>
      <c r="HI41" s="0" t="n">
        <v>26</v>
      </c>
      <c r="HJ41" s="0" t="n">
        <v>92</v>
      </c>
      <c r="HK41" s="0" t="s">
        <v>909</v>
      </c>
      <c r="HL41" s="0" t="n">
        <v>0</v>
      </c>
      <c r="HM41" s="0" t="n">
        <v>2</v>
      </c>
      <c r="HN41" s="0" t="n">
        <v>3</v>
      </c>
      <c r="HO41" s="0" t="n">
        <v>0.054</v>
      </c>
      <c r="HP41" s="0" t="n">
        <v>2</v>
      </c>
      <c r="HQ41" s="0" t="n">
        <v>0.053</v>
      </c>
      <c r="HR41" s="0" t="s">
        <v>102</v>
      </c>
    </row>
    <row r="42" customFormat="false" ht="15" hidden="false" customHeight="false" outlineLevel="0" collapsed="false">
      <c r="A42" s="0" t="s">
        <v>896</v>
      </c>
      <c r="B42" s="0" t="s">
        <v>897</v>
      </c>
      <c r="C42" s="0" t="s">
        <v>898</v>
      </c>
      <c r="D42" s="0" t="s">
        <v>212</v>
      </c>
      <c r="E42" s="0" t="n">
        <v>22982</v>
      </c>
      <c r="F42" s="0" t="s">
        <v>104</v>
      </c>
      <c r="G42" s="0" t="n">
        <v>40.83</v>
      </c>
      <c r="H42" s="0" t="n">
        <v>6.55</v>
      </c>
      <c r="I42" s="0" t="n">
        <v>26</v>
      </c>
      <c r="J42" s="0" t="n">
        <v>67</v>
      </c>
      <c r="L42" s="0" t="s">
        <v>1141</v>
      </c>
      <c r="O42" s="0" t="n">
        <v>97</v>
      </c>
      <c r="U42" s="0" t="n">
        <v>13</v>
      </c>
      <c r="V42" s="0" t="s">
        <v>212</v>
      </c>
      <c r="W42" s="0" t="s">
        <v>901</v>
      </c>
      <c r="X42" s="0" t="s">
        <v>186</v>
      </c>
      <c r="Y42" s="0" t="s">
        <v>1142</v>
      </c>
      <c r="Z42" s="0" t="n">
        <v>22982</v>
      </c>
      <c r="AA42" s="0" t="s">
        <v>1143</v>
      </c>
      <c r="AB42" s="0" t="s">
        <v>904</v>
      </c>
      <c r="AC42" s="0" t="s">
        <v>186</v>
      </c>
      <c r="AD42" s="0" t="s">
        <v>186</v>
      </c>
      <c r="AE42" s="0" t="s">
        <v>186</v>
      </c>
      <c r="AF42" s="0" t="s">
        <v>186</v>
      </c>
      <c r="AG42" s="0" t="s">
        <v>186</v>
      </c>
      <c r="AH42" s="0" t="s">
        <v>905</v>
      </c>
      <c r="AI42" s="0" t="n">
        <v>1</v>
      </c>
      <c r="AJ42" s="0" t="s">
        <v>104</v>
      </c>
      <c r="AK42" s="0" t="n">
        <v>41</v>
      </c>
      <c r="AL42" s="0" t="n">
        <v>14</v>
      </c>
      <c r="AM42" s="0" t="s">
        <v>213</v>
      </c>
      <c r="AN42" s="0" t="n">
        <v>1</v>
      </c>
      <c r="AO42" s="0" t="n">
        <v>1</v>
      </c>
      <c r="AP42" s="0" t="n">
        <v>4</v>
      </c>
      <c r="AQ42" s="0" t="n">
        <v>1</v>
      </c>
      <c r="AR42" s="0" t="n">
        <v>0</v>
      </c>
      <c r="AS42" s="0" t="n">
        <v>0</v>
      </c>
      <c r="AT42" s="0" t="n">
        <v>4</v>
      </c>
      <c r="AU42" s="0" t="n">
        <v>1</v>
      </c>
      <c r="AV42" s="0" t="n">
        <v>1.19456161110429</v>
      </c>
      <c r="AW42" s="0" t="n">
        <v>243</v>
      </c>
      <c r="AX42" s="0" t="n">
        <v>1065</v>
      </c>
      <c r="AY42" s="0" t="n">
        <v>4</v>
      </c>
      <c r="AZ42" s="0" t="n">
        <v>57</v>
      </c>
      <c r="BA42" s="0" t="n">
        <v>-22.2666095108434</v>
      </c>
      <c r="BB42" s="0" t="n">
        <v>2</v>
      </c>
      <c r="BC42" s="0" t="n">
        <v>36</v>
      </c>
      <c r="BD42" s="0" t="n">
        <v>48</v>
      </c>
      <c r="BE42" s="0" t="n">
        <v>350</v>
      </c>
      <c r="BF42" s="0" t="n">
        <v>1</v>
      </c>
      <c r="BG42" s="0" t="n">
        <v>14</v>
      </c>
      <c r="BH42" s="0" t="n">
        <v>321</v>
      </c>
      <c r="BI42" s="0" t="n">
        <v>13</v>
      </c>
      <c r="BJ42" s="0" t="n">
        <v>8.66959196323341</v>
      </c>
      <c r="BK42" s="0" t="n">
        <v>0</v>
      </c>
      <c r="BL42" s="0" t="n">
        <v>0</v>
      </c>
      <c r="BM42" s="0" t="n">
        <v>171.66</v>
      </c>
      <c r="BN42" s="0" t="n">
        <v>207.66</v>
      </c>
      <c r="BO42" s="0" t="n">
        <v>16</v>
      </c>
      <c r="BP42" s="0" t="s">
        <v>186</v>
      </c>
      <c r="BQ42" s="0" t="n">
        <v>1</v>
      </c>
      <c r="BR42" s="0" t="n">
        <v>189.66</v>
      </c>
      <c r="BS42" s="0" t="n">
        <v>0.1017</v>
      </c>
      <c r="BT42" s="0" t="n">
        <v>0.5329</v>
      </c>
      <c r="BU42" s="0" t="n">
        <v>0.0044</v>
      </c>
      <c r="BV42" s="0" t="n">
        <v>0.1067</v>
      </c>
      <c r="BW42" s="0" t="n">
        <v>0.5612</v>
      </c>
      <c r="BX42" s="0" t="n">
        <v>0.0045</v>
      </c>
      <c r="BY42" s="0" t="n">
        <v>0.1632</v>
      </c>
      <c r="BZ42" s="0" t="n">
        <v>16</v>
      </c>
      <c r="CA42" s="0" t="n">
        <v>6.88</v>
      </c>
      <c r="CB42" s="0" t="n">
        <v>19</v>
      </c>
      <c r="CC42" s="0" t="n">
        <v>11.55</v>
      </c>
      <c r="CD42" s="0" t="n">
        <v>7.62</v>
      </c>
      <c r="CE42" s="0" t="n">
        <v>5</v>
      </c>
      <c r="CF42" s="0" t="n">
        <v>0</v>
      </c>
      <c r="CG42" s="0" t="n">
        <v>16</v>
      </c>
      <c r="CH42" s="0" t="n">
        <v>0.312</v>
      </c>
      <c r="CI42" s="0" t="n">
        <v>0</v>
      </c>
      <c r="CJ42" s="0" t="n">
        <v>0.66</v>
      </c>
      <c r="CK42" s="0" t="n">
        <v>9</v>
      </c>
      <c r="CL42" s="0" t="n">
        <v>3</v>
      </c>
      <c r="CM42" s="0" t="n">
        <v>1</v>
      </c>
      <c r="CN42" s="0" t="n">
        <v>1</v>
      </c>
      <c r="CO42" s="0" t="n">
        <v>2.4428255713065</v>
      </c>
      <c r="CP42" s="0" t="n">
        <v>24</v>
      </c>
      <c r="CQ42" s="0" t="n">
        <v>10</v>
      </c>
      <c r="CR42" s="0" t="n">
        <v>4</v>
      </c>
      <c r="CS42" s="0" t="n">
        <v>4</v>
      </c>
      <c r="CT42" s="0" t="n">
        <v>4.02961450690839</v>
      </c>
      <c r="CU42" s="0" t="n">
        <v>33</v>
      </c>
      <c r="CV42" s="0" t="n">
        <v>13</v>
      </c>
      <c r="CW42" s="0" t="n">
        <v>5</v>
      </c>
      <c r="CX42" s="0" t="n">
        <v>5</v>
      </c>
      <c r="CY42" s="0" t="n">
        <v>6.47</v>
      </c>
      <c r="CZ42" s="0" t="n">
        <v>-1.47</v>
      </c>
      <c r="DG42" s="0" t="n">
        <v>3.88369360902256</v>
      </c>
      <c r="DH42" s="0" t="n">
        <v>27.2727272727273</v>
      </c>
      <c r="DI42" s="0" t="n">
        <v>2.78636842105263</v>
      </c>
      <c r="DJ42" s="0" t="n">
        <v>142.423486285359</v>
      </c>
      <c r="DK42" s="0" t="n">
        <v>0.588526802832064</v>
      </c>
      <c r="DL42" s="0" t="n">
        <v>0.421487603305785</v>
      </c>
      <c r="DM42" s="0" t="s">
        <v>1144</v>
      </c>
      <c r="DN42" s="0" t="n">
        <v>243</v>
      </c>
      <c r="DO42" s="0" t="n">
        <v>12</v>
      </c>
      <c r="DP42" s="0" t="n">
        <v>2.543</v>
      </c>
      <c r="DQ42" s="0" t="n">
        <v>1.84</v>
      </c>
      <c r="DR42" s="0" t="n">
        <v>20.25</v>
      </c>
      <c r="DS42" s="0" t="n">
        <v>48</v>
      </c>
      <c r="DT42" s="0" t="n">
        <v>1</v>
      </c>
      <c r="DU42" s="0" t="n">
        <v>2</v>
      </c>
      <c r="DV42" s="0" t="n">
        <v>0.806</v>
      </c>
      <c r="DW42" s="0" t="n">
        <v>8.917</v>
      </c>
      <c r="DX42" s="0" t="n">
        <v>0.4</v>
      </c>
      <c r="DY42" s="0" t="n">
        <v>0.0417</v>
      </c>
      <c r="DZ42" s="0" t="n">
        <v>640</v>
      </c>
      <c r="EA42" s="0" t="n">
        <v>0.644</v>
      </c>
      <c r="EB42" s="0" t="n">
        <v>16</v>
      </c>
      <c r="EC42" s="0" t="s">
        <v>1145</v>
      </c>
      <c r="ED42" s="0" t="n">
        <v>2022</v>
      </c>
      <c r="EE42" s="0" t="n">
        <v>2</v>
      </c>
      <c r="EF42" s="0" t="n">
        <v>36</v>
      </c>
      <c r="EG42" s="0" t="n">
        <v>2022</v>
      </c>
      <c r="EH42" s="0" t="n">
        <v>2026</v>
      </c>
      <c r="EI42" s="0" t="n">
        <v>5</v>
      </c>
      <c r="EJ42" s="0" t="n">
        <v>71</v>
      </c>
      <c r="EK42" s="0" t="n">
        <v>217</v>
      </c>
      <c r="EL42" s="0" t="s">
        <v>1146</v>
      </c>
      <c r="EM42" s="0" t="n">
        <v>25.2</v>
      </c>
      <c r="EN42" s="15" t="b">
        <f aca="false">FALSE()</f>
        <v>0</v>
      </c>
      <c r="EO42" s="0" t="n">
        <v>334</v>
      </c>
      <c r="EP42" s="0" t="n">
        <v>2.84431137724551</v>
      </c>
      <c r="EQ42" s="0" t="n">
        <v>0.182634730538922</v>
      </c>
      <c r="ER42" s="0" t="n">
        <v>1.19161676646707</v>
      </c>
      <c r="ES42" s="0" t="n">
        <v>0.940119760479042</v>
      </c>
      <c r="ET42" s="0" t="n">
        <v>23</v>
      </c>
      <c r="EU42" s="0" t="n">
        <v>17</v>
      </c>
      <c r="EV42" s="0" t="n">
        <v>4.44011976047904</v>
      </c>
      <c r="EW42" s="0" t="n">
        <v>0.739130434782609</v>
      </c>
      <c r="EX42" s="0" t="n">
        <v>2.90111469172123</v>
      </c>
      <c r="EY42" s="0" t="n">
        <v>2.892</v>
      </c>
      <c r="EZ42" s="0" t="n">
        <v>0.1813</v>
      </c>
      <c r="FA42" s="0" t="n">
        <v>2.899</v>
      </c>
      <c r="FB42" s="0" t="n">
        <v>1.697</v>
      </c>
      <c r="FC42" s="0" t="n">
        <v>18</v>
      </c>
      <c r="FD42" s="0" t="n">
        <v>608</v>
      </c>
      <c r="FE42" s="0" t="n">
        <v>0.0986842105263158</v>
      </c>
      <c r="FF42" s="0" t="n">
        <v>0.0989</v>
      </c>
      <c r="FG42" s="0" t="n">
        <v>0.3117</v>
      </c>
      <c r="FH42" s="0" t="n">
        <v>2.423</v>
      </c>
      <c r="FI42" s="0" t="n">
        <v>1009</v>
      </c>
      <c r="FJ42" s="0" t="n">
        <v>0.551040634291378</v>
      </c>
      <c r="FK42" s="0" t="n">
        <v>17</v>
      </c>
      <c r="FL42" s="0" t="n">
        <v>59.35</v>
      </c>
      <c r="FM42" s="0" t="n">
        <v>0.4319</v>
      </c>
      <c r="FN42" s="0" t="n">
        <v>0.5681</v>
      </c>
      <c r="FO42" s="0" t="n">
        <v>-0.0877</v>
      </c>
      <c r="FP42" s="0" t="n">
        <v>-0.061</v>
      </c>
      <c r="FQ42" s="0" t="n">
        <v>-0.1799</v>
      </c>
      <c r="FR42" s="0" t="n">
        <v>38</v>
      </c>
      <c r="FS42" s="0" t="n">
        <v>42</v>
      </c>
      <c r="FT42" s="0" t="n">
        <v>2.47</v>
      </c>
      <c r="FU42" s="0" t="n">
        <v>17.6</v>
      </c>
      <c r="FV42" s="0" t="n">
        <v>5302</v>
      </c>
      <c r="FW42" s="0" t="n">
        <v>4286</v>
      </c>
      <c r="FX42" s="0" t="n">
        <v>0.808</v>
      </c>
      <c r="FY42" s="0" t="n">
        <v>5</v>
      </c>
      <c r="FZ42" s="0" t="n">
        <v>3</v>
      </c>
      <c r="GA42" s="0" t="n">
        <v>0.350287370649638</v>
      </c>
      <c r="GB42" s="0" t="n">
        <v>56.3</v>
      </c>
      <c r="GC42" s="0" t="n">
        <v>25.8</v>
      </c>
      <c r="GD42" s="0" t="n">
        <v>38.6</v>
      </c>
      <c r="GE42" s="0" t="n">
        <v>472</v>
      </c>
      <c r="GF42" s="0" t="n">
        <v>456</v>
      </c>
      <c r="GG42" s="0" t="n">
        <v>76</v>
      </c>
      <c r="GH42" s="0" t="n">
        <v>117</v>
      </c>
      <c r="GI42" s="0" t="n">
        <v>116</v>
      </c>
      <c r="GJ42" s="0" t="n">
        <v>27</v>
      </c>
      <c r="GK42" s="0" t="n">
        <v>0.161</v>
      </c>
      <c r="GL42" s="0" t="n">
        <v>0.257</v>
      </c>
      <c r="GM42" s="0" t="n">
        <v>0.233</v>
      </c>
      <c r="GN42" s="0" t="n">
        <v>12.979</v>
      </c>
      <c r="GO42" s="0" t="n">
        <v>11.854</v>
      </c>
      <c r="GP42" s="0" t="n">
        <v>10.729</v>
      </c>
      <c r="GQ42" s="0" t="n">
        <v>3</v>
      </c>
      <c r="GR42" s="0" t="n">
        <v>15.188</v>
      </c>
      <c r="GS42" s="0" t="n">
        <v>291</v>
      </c>
      <c r="GT42" s="0" t="n">
        <v>0.714</v>
      </c>
      <c r="GU42" s="0" t="n">
        <v>0.324</v>
      </c>
      <c r="GV42" s="0" t="n">
        <v>7.292</v>
      </c>
      <c r="GW42" s="0" t="n">
        <v>9.722</v>
      </c>
      <c r="GX42" s="0" t="n">
        <v>0.75</v>
      </c>
      <c r="GY42" s="0" t="n">
        <v>4.383</v>
      </c>
      <c r="GZ42" s="0" t="n">
        <v>0.292</v>
      </c>
      <c r="HA42" s="0" t="n">
        <v>8.917</v>
      </c>
      <c r="HB42" s="0" t="n">
        <v>25</v>
      </c>
      <c r="HC42" s="0" t="n">
        <v>0.017</v>
      </c>
      <c r="HD42" s="0" t="n">
        <v>-0.092</v>
      </c>
      <c r="HE42" s="0" t="n">
        <v>0.181</v>
      </c>
      <c r="HG42" s="0" t="n">
        <v>40.83</v>
      </c>
      <c r="HH42" s="0" t="n">
        <v>6.55</v>
      </c>
      <c r="HI42" s="0" t="n">
        <v>26</v>
      </c>
      <c r="HJ42" s="0" t="n">
        <v>67</v>
      </c>
      <c r="HK42" s="0" t="s">
        <v>909</v>
      </c>
      <c r="HL42" s="0" t="n">
        <v>0</v>
      </c>
      <c r="HM42" s="0" t="n">
        <v>19</v>
      </c>
      <c r="HN42" s="0" t="n">
        <v>14</v>
      </c>
      <c r="HO42" s="0" t="n">
        <v>-0.302</v>
      </c>
      <c r="HP42" s="0" t="n">
        <v>21</v>
      </c>
      <c r="HQ42" s="0" t="n">
        <v>-0.39</v>
      </c>
      <c r="HR42" s="0" t="s">
        <v>102</v>
      </c>
    </row>
    <row r="43" customFormat="false" ht="15" hidden="false" customHeight="false" outlineLevel="0" collapsed="false">
      <c r="A43" s="0" t="s">
        <v>896</v>
      </c>
      <c r="B43" s="0" t="s">
        <v>897</v>
      </c>
      <c r="C43" s="0" t="s">
        <v>898</v>
      </c>
      <c r="D43" s="0" t="s">
        <v>214</v>
      </c>
      <c r="E43" s="0" t="n">
        <v>23059</v>
      </c>
      <c r="F43" s="0" t="s">
        <v>104</v>
      </c>
      <c r="G43" s="0" t="n">
        <v>41.87</v>
      </c>
      <c r="H43" s="0" t="n">
        <v>6.68</v>
      </c>
      <c r="I43" s="0" t="n">
        <v>23</v>
      </c>
      <c r="J43" s="0" t="n">
        <v>56</v>
      </c>
      <c r="L43" s="0" t="s">
        <v>1147</v>
      </c>
      <c r="O43" s="0" t="n">
        <v>97.8</v>
      </c>
      <c r="U43" s="0" t="n">
        <v>11</v>
      </c>
      <c r="V43" s="0" t="s">
        <v>214</v>
      </c>
      <c r="W43" s="0" t="s">
        <v>901</v>
      </c>
      <c r="X43" s="0" t="s">
        <v>109</v>
      </c>
      <c r="Y43" s="0" t="s">
        <v>1148</v>
      </c>
      <c r="Z43" s="0" t="n">
        <v>23059</v>
      </c>
      <c r="AA43" s="0" t="s">
        <v>1149</v>
      </c>
      <c r="AB43" s="0" t="s">
        <v>904</v>
      </c>
      <c r="AC43" s="0" t="s">
        <v>109</v>
      </c>
      <c r="AD43" s="0" t="s">
        <v>109</v>
      </c>
      <c r="AE43" s="0" t="s">
        <v>109</v>
      </c>
      <c r="AF43" s="0" t="s">
        <v>109</v>
      </c>
      <c r="AG43" s="0" t="s">
        <v>109</v>
      </c>
      <c r="AH43" s="0" t="s">
        <v>905</v>
      </c>
      <c r="AI43" s="0" t="n">
        <v>1</v>
      </c>
      <c r="AJ43" s="0" t="s">
        <v>104</v>
      </c>
      <c r="AK43" s="0" t="n">
        <v>42</v>
      </c>
      <c r="AL43" s="0" t="n">
        <v>15</v>
      </c>
      <c r="AM43" s="0" t="s">
        <v>215</v>
      </c>
      <c r="AN43" s="0" t="n">
        <v>0</v>
      </c>
      <c r="AO43" s="0" t="n">
        <v>0</v>
      </c>
      <c r="AP43" s="0" t="n">
        <v>0</v>
      </c>
      <c r="AQ43" s="0" t="n">
        <v>0</v>
      </c>
      <c r="AR43" s="0" t="n">
        <v>0</v>
      </c>
      <c r="AS43" s="0" t="n">
        <v>0</v>
      </c>
      <c r="AT43" s="0" t="n">
        <v>0</v>
      </c>
      <c r="AU43" s="0" t="n">
        <v>0</v>
      </c>
      <c r="AV43" s="0" t="n">
        <v>0</v>
      </c>
      <c r="AW43" s="0" t="n">
        <v>259</v>
      </c>
      <c r="AX43" s="0" t="n">
        <v>1252</v>
      </c>
      <c r="AY43" s="0" t="n">
        <v>10</v>
      </c>
      <c r="AZ43" s="0" t="n">
        <v>74</v>
      </c>
      <c r="BA43" s="0" t="n">
        <v>4.92759938989395</v>
      </c>
      <c r="BB43" s="0" t="n">
        <v>2</v>
      </c>
      <c r="BC43" s="0" t="n">
        <v>36</v>
      </c>
      <c r="BD43" s="0" t="n">
        <v>50</v>
      </c>
      <c r="BE43" s="0" t="n">
        <v>281</v>
      </c>
      <c r="BF43" s="0" t="n">
        <v>3</v>
      </c>
      <c r="BG43" s="0" t="n">
        <v>125</v>
      </c>
      <c r="BH43" s="0" t="n">
        <v>155</v>
      </c>
      <c r="BI43" s="0" t="n">
        <v>12</v>
      </c>
      <c r="BJ43" s="0" t="n">
        <v>8.53867498547588</v>
      </c>
      <c r="BK43" s="0" t="n">
        <v>0</v>
      </c>
      <c r="BL43" s="0" t="n">
        <v>0</v>
      </c>
      <c r="BM43" s="0" t="n">
        <v>227.3</v>
      </c>
      <c r="BN43" s="0" t="n">
        <v>263.3</v>
      </c>
      <c r="BO43" s="0" t="n">
        <v>17</v>
      </c>
      <c r="BP43" s="0" t="s">
        <v>109</v>
      </c>
      <c r="BQ43" s="0" t="n">
        <v>1</v>
      </c>
      <c r="BR43" s="0" t="n">
        <v>245.3</v>
      </c>
      <c r="BS43" s="0" t="n">
        <v>0.0861</v>
      </c>
      <c r="BT43" s="0" t="n">
        <v>0.557</v>
      </c>
      <c r="BU43" s="0" t="n">
        <v>0.0232</v>
      </c>
      <c r="BV43" s="0" t="n">
        <v>0.0861</v>
      </c>
      <c r="BW43" s="0" t="n">
        <v>0.557</v>
      </c>
      <c r="BX43" s="0" t="n">
        <v>0.0232</v>
      </c>
      <c r="BY43" s="0" t="n">
        <v>0.1454</v>
      </c>
      <c r="BZ43" s="0" t="n">
        <v>17</v>
      </c>
      <c r="CA43" s="0" t="n">
        <v>11.1</v>
      </c>
      <c r="CB43" s="0" t="n">
        <v>20.76</v>
      </c>
      <c r="CC43" s="0" t="n">
        <v>16</v>
      </c>
      <c r="CD43" s="0" t="n">
        <v>6.11</v>
      </c>
      <c r="CE43" s="0" t="n">
        <v>7</v>
      </c>
      <c r="CF43" s="0" t="n">
        <v>0</v>
      </c>
      <c r="CG43" s="0" t="n">
        <v>17</v>
      </c>
      <c r="CH43" s="0" t="n">
        <v>0.412</v>
      </c>
      <c r="CI43" s="0" t="n">
        <v>0</v>
      </c>
      <c r="CJ43" s="0" t="n">
        <v>0.382</v>
      </c>
      <c r="CK43" s="0" t="n">
        <v>10</v>
      </c>
      <c r="CL43" s="0" t="n">
        <v>3</v>
      </c>
      <c r="CM43" s="0" t="n">
        <v>0</v>
      </c>
      <c r="CN43" s="0" t="n">
        <v>3</v>
      </c>
      <c r="CO43" s="0" t="n">
        <v>2.61264207187003</v>
      </c>
      <c r="CP43" s="0" t="n">
        <v>53</v>
      </c>
      <c r="CQ43" s="0" t="n">
        <v>30</v>
      </c>
      <c r="CR43" s="0" t="n">
        <v>18</v>
      </c>
      <c r="CS43" s="0" t="n">
        <v>10</v>
      </c>
      <c r="CT43" s="0" t="n">
        <v>11.586367461342</v>
      </c>
      <c r="CU43" s="0" t="n">
        <v>63</v>
      </c>
      <c r="CV43" s="0" t="n">
        <v>33</v>
      </c>
      <c r="CW43" s="0" t="n">
        <v>18</v>
      </c>
      <c r="CX43" s="0" t="n">
        <v>13</v>
      </c>
      <c r="CY43" s="0" t="n">
        <v>14.2</v>
      </c>
      <c r="CZ43" s="0" t="n">
        <v>-1.2</v>
      </c>
      <c r="DG43" s="0" t="n">
        <v>3.3179552715655</v>
      </c>
      <c r="DH43" s="0" t="n">
        <v>22.3938223938224</v>
      </c>
      <c r="DI43" s="0" t="n">
        <v>2.6547044534413</v>
      </c>
      <c r="DJ43" s="0" t="n">
        <v>145.318683998865</v>
      </c>
      <c r="DK43" s="0" t="n">
        <v>0.569877192152412</v>
      </c>
      <c r="DL43" s="0" t="n">
        <v>0.454901960784314</v>
      </c>
      <c r="DM43" s="0" t="s">
        <v>1150</v>
      </c>
      <c r="DN43" s="0" t="n">
        <v>259</v>
      </c>
      <c r="DO43" s="0" t="n">
        <v>22</v>
      </c>
      <c r="DP43" s="0" t="n">
        <v>2.846</v>
      </c>
      <c r="DQ43" s="0" t="n">
        <v>1.988</v>
      </c>
      <c r="DR43" s="0" t="n">
        <v>11.77</v>
      </c>
      <c r="DS43" s="0" t="n">
        <v>50</v>
      </c>
      <c r="DT43" s="0" t="n">
        <v>1</v>
      </c>
      <c r="DU43" s="0" t="n">
        <v>2</v>
      </c>
      <c r="DV43" s="0" t="n">
        <v>3.5</v>
      </c>
      <c r="DW43" s="0" t="n">
        <v>4.306</v>
      </c>
      <c r="DX43" s="0" t="n">
        <v>2.7</v>
      </c>
      <c r="DY43" s="0" t="n">
        <v>0.04</v>
      </c>
      <c r="DZ43" s="0" t="n">
        <v>772</v>
      </c>
      <c r="EA43" s="0" t="n">
        <v>0.683</v>
      </c>
      <c r="EB43" s="0" t="n">
        <v>17</v>
      </c>
      <c r="EC43" s="0" t="s">
        <v>1151</v>
      </c>
      <c r="ED43" s="0" t="n">
        <v>2022</v>
      </c>
      <c r="EE43" s="0" t="n">
        <v>5</v>
      </c>
      <c r="EF43" s="0" t="n">
        <v>164</v>
      </c>
      <c r="EG43" s="0" t="n">
        <v>2022</v>
      </c>
      <c r="EH43" s="0" t="n">
        <v>2026</v>
      </c>
      <c r="EI43" s="0" t="n">
        <v>5</v>
      </c>
      <c r="EJ43" s="0" t="n">
        <v>69</v>
      </c>
      <c r="EK43" s="0" t="n">
        <v>207</v>
      </c>
      <c r="EL43" s="0" t="s">
        <v>1130</v>
      </c>
      <c r="EM43" s="0" t="n">
        <v>26</v>
      </c>
      <c r="EN43" s="15" t="b">
        <f aca="false">FALSE()</f>
        <v>0</v>
      </c>
      <c r="EO43" s="0" t="n">
        <v>413</v>
      </c>
      <c r="EP43" s="0" t="n">
        <v>3.45544794188862</v>
      </c>
      <c r="EQ43" s="0" t="n">
        <v>0.123486682808717</v>
      </c>
      <c r="ER43" s="0" t="n">
        <v>1.50847457627119</v>
      </c>
      <c r="ES43" s="0" t="n">
        <v>0.711864406779661</v>
      </c>
      <c r="ET43" s="0" t="n">
        <v>47</v>
      </c>
      <c r="EU43" s="0" t="n">
        <v>30</v>
      </c>
      <c r="EV43" s="0" t="n">
        <v>4.94915254237288</v>
      </c>
      <c r="EW43" s="0" t="n">
        <v>0.638297872340426</v>
      </c>
      <c r="EX43" s="0" t="n">
        <v>2.94176720069723</v>
      </c>
      <c r="EY43" s="0" t="n">
        <v>3.462</v>
      </c>
      <c r="EZ43" s="0" t="n">
        <v>0.1266</v>
      </c>
      <c r="FA43" s="0" t="n">
        <v>2.811</v>
      </c>
      <c r="FB43" s="0" t="n">
        <v>1.817</v>
      </c>
      <c r="FC43" s="0" t="n">
        <v>35</v>
      </c>
      <c r="FD43" s="0" t="n">
        <v>624</v>
      </c>
      <c r="FE43" s="0" t="n">
        <v>0.0368589743589744</v>
      </c>
      <c r="FF43" s="0" t="n">
        <v>0.0424</v>
      </c>
      <c r="FG43" s="0" t="n">
        <v>0.194</v>
      </c>
      <c r="FH43" s="0" t="n">
        <v>2.396</v>
      </c>
      <c r="FI43" s="0" t="n">
        <v>1056</v>
      </c>
      <c r="FJ43" s="0" t="n">
        <v>0.584280303030303</v>
      </c>
      <c r="FK43" s="0" t="n">
        <v>17</v>
      </c>
      <c r="FL43" s="0" t="n">
        <v>62.12</v>
      </c>
      <c r="FM43" s="0" t="n">
        <v>0.6185</v>
      </c>
      <c r="FN43" s="0" t="n">
        <v>0.3815</v>
      </c>
      <c r="FO43" s="0" t="n">
        <v>0.0296</v>
      </c>
      <c r="FP43" s="0" t="n">
        <v>0.0262</v>
      </c>
      <c r="FQ43" s="0" t="n">
        <v>0.2292</v>
      </c>
      <c r="FR43" s="0" t="n">
        <v>37</v>
      </c>
      <c r="FS43" s="0" t="n">
        <v>76</v>
      </c>
      <c r="FT43" s="0" t="n">
        <v>4.47</v>
      </c>
      <c r="FU43" s="0" t="n">
        <v>30.5</v>
      </c>
      <c r="FV43" s="0" t="n">
        <v>5675</v>
      </c>
      <c r="FW43" s="0" t="n">
        <v>5129</v>
      </c>
      <c r="FX43" s="0" t="n">
        <v>0.904</v>
      </c>
      <c r="FY43" s="0" t="n">
        <v>5</v>
      </c>
      <c r="FZ43" s="0" t="n">
        <v>5</v>
      </c>
      <c r="GA43" s="0" t="n">
        <v>1.46228832359079</v>
      </c>
      <c r="GB43" s="0" t="n">
        <v>76.4</v>
      </c>
      <c r="GC43" s="0" t="n">
        <v>71.5</v>
      </c>
      <c r="GD43" s="0" t="n">
        <v>80.4</v>
      </c>
      <c r="GE43" s="0" t="n">
        <v>581</v>
      </c>
      <c r="GF43" s="0" t="n">
        <v>465</v>
      </c>
      <c r="GG43" s="0" t="n">
        <v>15</v>
      </c>
      <c r="GH43" s="0" t="n">
        <v>0</v>
      </c>
      <c r="GI43" s="0" t="n">
        <v>195</v>
      </c>
      <c r="GJ43" s="0" t="n">
        <v>1</v>
      </c>
      <c r="GK43" s="0" t="n">
        <v>0.026</v>
      </c>
      <c r="GL43" s="0" t="n">
        <v>0</v>
      </c>
      <c r="GM43" s="0" t="n">
        <v>0.005</v>
      </c>
      <c r="GN43" s="0" t="n">
        <v>15.488</v>
      </c>
      <c r="GO43" s="0" t="n">
        <v>14.429</v>
      </c>
      <c r="GP43" s="0" t="n">
        <v>13.371</v>
      </c>
      <c r="GQ43" s="0" t="n">
        <v>2.941</v>
      </c>
      <c r="GR43" s="0" t="n">
        <v>15.235</v>
      </c>
      <c r="GS43" s="0" t="n">
        <v>309</v>
      </c>
      <c r="GT43" s="0" t="n">
        <v>0.852</v>
      </c>
      <c r="GU43" s="0" t="n">
        <v>0.341</v>
      </c>
      <c r="GV43" s="0" t="n">
        <v>5.62</v>
      </c>
      <c r="GW43" s="0" t="n">
        <v>7.806</v>
      </c>
      <c r="GX43" s="0" t="n">
        <v>0.72</v>
      </c>
      <c r="GY43" s="0" t="n">
        <v>4.834</v>
      </c>
      <c r="GZ43" s="0" t="n">
        <v>2.5</v>
      </c>
      <c r="HA43" s="0" t="n">
        <v>4.306</v>
      </c>
      <c r="HB43" s="0" t="n">
        <v>2.248</v>
      </c>
      <c r="HC43" s="0" t="n">
        <v>0.042</v>
      </c>
      <c r="HD43" s="0" t="n">
        <v>0.019</v>
      </c>
      <c r="HE43" s="0" t="n">
        <v>0.171</v>
      </c>
      <c r="HG43" s="0" t="n">
        <v>41.87</v>
      </c>
      <c r="HH43" s="0" t="n">
        <v>6.68</v>
      </c>
      <c r="HI43" s="0" t="n">
        <v>23</v>
      </c>
      <c r="HJ43" s="0" t="n">
        <v>56</v>
      </c>
      <c r="HK43" s="0" t="s">
        <v>909</v>
      </c>
      <c r="HL43" s="0" t="n">
        <v>0</v>
      </c>
      <c r="HM43" s="0" t="n">
        <v>9</v>
      </c>
      <c r="HN43" s="0" t="n">
        <v>15</v>
      </c>
      <c r="HO43" s="0" t="n">
        <v>0.172</v>
      </c>
      <c r="HP43" s="0" t="n">
        <v>11</v>
      </c>
      <c r="HQ43" s="0" t="n">
        <v>0.084</v>
      </c>
      <c r="HR43" s="0" t="s">
        <v>102</v>
      </c>
    </row>
    <row r="44" customFormat="false" ht="15" hidden="false" customHeight="false" outlineLevel="0" collapsed="false">
      <c r="A44" s="0" t="s">
        <v>896</v>
      </c>
      <c r="B44" s="0" t="s">
        <v>897</v>
      </c>
      <c r="C44" s="0" t="s">
        <v>898</v>
      </c>
      <c r="D44" s="0" t="s">
        <v>216</v>
      </c>
      <c r="E44" s="0" t="n">
        <v>18269</v>
      </c>
      <c r="F44" s="0" t="s">
        <v>104</v>
      </c>
      <c r="G44" s="0" t="n">
        <v>44.17</v>
      </c>
      <c r="H44" s="0" t="n">
        <v>7.16</v>
      </c>
      <c r="I44" s="0" t="n">
        <v>29</v>
      </c>
      <c r="J44" s="0" t="n">
        <v>61</v>
      </c>
      <c r="L44" s="0" t="s">
        <v>1152</v>
      </c>
      <c r="O44" s="0" t="n">
        <v>98.3</v>
      </c>
      <c r="U44" s="0" t="n">
        <v>11</v>
      </c>
      <c r="V44" s="0" t="s">
        <v>216</v>
      </c>
      <c r="W44" s="0" t="s">
        <v>901</v>
      </c>
      <c r="X44" s="0" t="s">
        <v>1153</v>
      </c>
      <c r="Y44" s="0" t="s">
        <v>1154</v>
      </c>
      <c r="Z44" s="0" t="n">
        <v>18269</v>
      </c>
      <c r="AA44" s="0" t="s">
        <v>1155</v>
      </c>
      <c r="AB44" s="0" t="s">
        <v>904</v>
      </c>
      <c r="AC44" s="0" t="s">
        <v>218</v>
      </c>
      <c r="AD44" s="0" t="s">
        <v>218</v>
      </c>
      <c r="AE44" s="0" t="s">
        <v>218</v>
      </c>
      <c r="AF44" s="0" t="s">
        <v>218</v>
      </c>
      <c r="AG44" s="0" t="s">
        <v>218</v>
      </c>
      <c r="AH44" s="0" t="s">
        <v>905</v>
      </c>
      <c r="AI44" s="0" t="n">
        <v>1</v>
      </c>
      <c r="AJ44" s="0" t="s">
        <v>104</v>
      </c>
      <c r="AK44" s="0" t="n">
        <v>43</v>
      </c>
      <c r="AL44" s="0" t="n">
        <v>16</v>
      </c>
      <c r="AM44" s="0" t="s">
        <v>217</v>
      </c>
      <c r="AN44" s="0" t="n">
        <v>0</v>
      </c>
      <c r="AO44" s="0" t="n">
        <v>0</v>
      </c>
      <c r="AP44" s="0" t="n">
        <v>0</v>
      </c>
      <c r="AQ44" s="0" t="n">
        <v>0</v>
      </c>
      <c r="AR44" s="0" t="n">
        <v>0</v>
      </c>
      <c r="AS44" s="0" t="n">
        <v>0</v>
      </c>
      <c r="AT44" s="0" t="n">
        <v>0</v>
      </c>
      <c r="AU44" s="0" t="n">
        <v>0</v>
      </c>
      <c r="AV44" s="0" t="n">
        <v>0</v>
      </c>
      <c r="AW44" s="0" t="n">
        <v>234</v>
      </c>
      <c r="AX44" s="0" t="n">
        <v>929</v>
      </c>
      <c r="AY44" s="0" t="n">
        <v>13</v>
      </c>
      <c r="AZ44" s="0" t="n">
        <v>55</v>
      </c>
      <c r="BA44" s="0" t="n">
        <v>-14.8359953293267</v>
      </c>
      <c r="BB44" s="0" t="n">
        <v>2</v>
      </c>
      <c r="BC44" s="0" t="n">
        <v>36</v>
      </c>
      <c r="BD44" s="0" t="n">
        <v>44</v>
      </c>
      <c r="BE44" s="0" t="n">
        <v>282</v>
      </c>
      <c r="BF44" s="0" t="n">
        <v>1</v>
      </c>
      <c r="BG44" s="0" t="n">
        <v>-39</v>
      </c>
      <c r="BH44" s="0" t="n">
        <v>304</v>
      </c>
      <c r="BI44" s="0" t="n">
        <v>8</v>
      </c>
      <c r="BJ44" s="0" t="n">
        <v>11.8480351399896</v>
      </c>
      <c r="BK44" s="0" t="n">
        <v>0</v>
      </c>
      <c r="BL44" s="0" t="n">
        <v>0</v>
      </c>
      <c r="BM44" s="0" t="n">
        <v>201.1</v>
      </c>
      <c r="BN44" s="0" t="n">
        <v>237.1</v>
      </c>
      <c r="BO44" s="0" t="n">
        <v>15</v>
      </c>
      <c r="BP44" s="0" t="s">
        <v>218</v>
      </c>
      <c r="BQ44" s="0" t="n">
        <v>1</v>
      </c>
      <c r="BR44" s="0" t="n">
        <v>219.1</v>
      </c>
      <c r="BS44" s="0" t="n">
        <v>0.0957</v>
      </c>
      <c r="BT44" s="0" t="n">
        <v>0.4756</v>
      </c>
      <c r="BU44" s="0" t="n">
        <v>-0.0095</v>
      </c>
      <c r="BV44" s="0" t="n">
        <v>0.1026</v>
      </c>
      <c r="BW44" s="0" t="n">
        <v>0.5639</v>
      </c>
      <c r="BX44" s="0" t="n">
        <v>-0.01</v>
      </c>
      <c r="BY44" s="0" t="n">
        <v>0.1469</v>
      </c>
      <c r="BZ44" s="0" t="n">
        <v>15</v>
      </c>
      <c r="CA44" s="0" t="n">
        <v>11.25</v>
      </c>
      <c r="CB44" s="0" t="n">
        <v>22.88</v>
      </c>
      <c r="CC44" s="0" t="n">
        <v>14.4</v>
      </c>
      <c r="CD44" s="0" t="n">
        <v>9.02</v>
      </c>
      <c r="CE44" s="0" t="n">
        <v>7</v>
      </c>
      <c r="CF44" s="0" t="n">
        <v>1</v>
      </c>
      <c r="CG44" s="0" t="n">
        <v>15</v>
      </c>
      <c r="CH44" s="0" t="n">
        <v>0.467</v>
      </c>
      <c r="CI44" s="0" t="n">
        <v>0.067</v>
      </c>
      <c r="CJ44" s="0" t="n">
        <v>0.626</v>
      </c>
      <c r="CK44" s="0" t="n">
        <v>6</v>
      </c>
      <c r="CL44" s="0" t="n">
        <v>2</v>
      </c>
      <c r="CM44" s="0" t="n">
        <v>0</v>
      </c>
      <c r="CN44" s="0" t="n">
        <v>1</v>
      </c>
      <c r="CO44" s="0" t="n">
        <v>1.64184107853176</v>
      </c>
      <c r="CP44" s="0" t="n">
        <v>52</v>
      </c>
      <c r="CQ44" s="0" t="n">
        <v>30</v>
      </c>
      <c r="CR44" s="0" t="n">
        <v>20</v>
      </c>
      <c r="CS44" s="0" t="n">
        <v>13</v>
      </c>
      <c r="CT44" s="0" t="n">
        <v>10.9462575173427</v>
      </c>
      <c r="CU44" s="0" t="n">
        <v>58</v>
      </c>
      <c r="CV44" s="0" t="n">
        <v>32</v>
      </c>
      <c r="CW44" s="0" t="n">
        <v>20</v>
      </c>
      <c r="CX44" s="0" t="n">
        <v>14</v>
      </c>
      <c r="CY44" s="0" t="n">
        <v>12.59</v>
      </c>
      <c r="CZ44" s="0" t="n">
        <v>1.41</v>
      </c>
      <c r="DG44" s="0" t="n">
        <v>3.74994617868676</v>
      </c>
      <c r="DH44" s="0" t="n">
        <v>17.5213675213675</v>
      </c>
      <c r="DI44" s="0" t="n">
        <v>2.67836744186047</v>
      </c>
      <c r="DJ44" s="0" t="n">
        <v>-7.27142325762372</v>
      </c>
      <c r="DK44" s="0" t="n">
        <v>-0.0314780227602759</v>
      </c>
      <c r="DL44" s="0" t="n">
        <v>0.402597402597403</v>
      </c>
      <c r="DM44" s="0" t="s">
        <v>1156</v>
      </c>
      <c r="DN44" s="0" t="n">
        <v>234</v>
      </c>
      <c r="DO44" s="0" t="n">
        <v>16</v>
      </c>
      <c r="DP44" s="0" t="n">
        <v>1.962</v>
      </c>
      <c r="DQ44" s="0" t="n">
        <v>2.009</v>
      </c>
      <c r="DR44" s="0" t="n">
        <v>14.62</v>
      </c>
      <c r="DS44" s="0" t="n">
        <v>44</v>
      </c>
      <c r="DT44" s="0" t="n">
        <v>5</v>
      </c>
      <c r="DU44" s="0" t="n">
        <v>1</v>
      </c>
      <c r="DV44" s="0" t="n">
        <v>-0.611</v>
      </c>
      <c r="DW44" s="0" t="n">
        <v>8.444</v>
      </c>
      <c r="DX44" s="0" t="n">
        <v>-0.9</v>
      </c>
      <c r="DY44" s="0" t="n">
        <v>0.0227</v>
      </c>
      <c r="DZ44" s="0" t="n">
        <v>554</v>
      </c>
      <c r="EA44" s="0" t="n">
        <v>0.591</v>
      </c>
      <c r="EB44" s="0" t="n">
        <v>15</v>
      </c>
      <c r="EC44" s="0" t="s">
        <v>1157</v>
      </c>
      <c r="ED44" s="0" t="n">
        <v>2019</v>
      </c>
      <c r="EE44" s="0" t="n">
        <v>1</v>
      </c>
      <c r="EF44" s="0" t="n">
        <v>24</v>
      </c>
      <c r="EG44" s="0" t="n">
        <v>2019</v>
      </c>
      <c r="EH44" s="0" t="n">
        <v>2026</v>
      </c>
      <c r="EI44" s="0" t="n">
        <v>8</v>
      </c>
      <c r="EJ44" s="0" t="n">
        <v>70</v>
      </c>
      <c r="EK44" s="0" t="n">
        <v>223</v>
      </c>
      <c r="EL44" s="0" t="s">
        <v>1045</v>
      </c>
      <c r="EM44" s="0" t="n">
        <v>28.5</v>
      </c>
      <c r="EN44" s="15" t="b">
        <f aca="false">FALSE()</f>
        <v>0</v>
      </c>
      <c r="EO44" s="0" t="n">
        <v>386</v>
      </c>
      <c r="EP44" s="0" t="n">
        <v>2.97227979274611</v>
      </c>
      <c r="EQ44" s="0" t="n">
        <v>0.155440414507772</v>
      </c>
      <c r="ER44" s="0" t="n">
        <v>1.12694300518135</v>
      </c>
      <c r="ES44" s="0" t="n">
        <v>0.39119170984456</v>
      </c>
      <c r="ET44" s="0" t="n">
        <v>43</v>
      </c>
      <c r="EU44" s="0" t="n">
        <v>26</v>
      </c>
      <c r="EV44" s="0" t="n">
        <v>3.96632124352332</v>
      </c>
      <c r="EW44" s="0" t="n">
        <v>0.604651162790698</v>
      </c>
      <c r="EX44" s="0" t="n">
        <v>3.01595136627878</v>
      </c>
      <c r="EY44" s="0" t="n">
        <v>2.905</v>
      </c>
      <c r="EZ44" s="0" t="n">
        <v>0.1629</v>
      </c>
      <c r="FA44" s="0" t="n">
        <v>2.199</v>
      </c>
      <c r="FB44" s="0" t="n">
        <v>1.941</v>
      </c>
      <c r="FC44" s="0" t="n">
        <v>30</v>
      </c>
      <c r="FD44" s="0" t="n">
        <v>552</v>
      </c>
      <c r="FE44" s="0" t="n">
        <v>0.052536231884058</v>
      </c>
      <c r="FF44" s="0" t="n">
        <v>0.0493</v>
      </c>
      <c r="FG44" s="0" t="n">
        <v>0.2454</v>
      </c>
      <c r="FH44" s="0" t="n">
        <v>2.41</v>
      </c>
      <c r="FI44" s="0" t="n">
        <v>993</v>
      </c>
      <c r="FJ44" s="0" t="n">
        <v>0.522658610271903</v>
      </c>
      <c r="FK44" s="0" t="n">
        <v>17</v>
      </c>
      <c r="FL44" s="0" t="n">
        <v>58.41</v>
      </c>
      <c r="FM44" s="0" t="n">
        <v>0.5063</v>
      </c>
      <c r="FN44" s="0" t="n">
        <v>0.4937</v>
      </c>
      <c r="FO44" s="0" t="n">
        <v>-0.0441</v>
      </c>
      <c r="FP44" s="0" t="n">
        <v>-0.0102</v>
      </c>
      <c r="FQ44" s="0" t="n">
        <v>0.229</v>
      </c>
      <c r="FR44" s="0" t="n">
        <v>39</v>
      </c>
      <c r="FS44" s="0" t="n">
        <v>59</v>
      </c>
      <c r="FT44" s="0" t="n">
        <v>3.47</v>
      </c>
      <c r="FU44" s="0" t="n">
        <v>23</v>
      </c>
      <c r="FV44" s="0" t="n">
        <v>5321</v>
      </c>
      <c r="FW44" s="0" t="n">
        <v>3745</v>
      </c>
      <c r="FX44" s="0" t="n">
        <v>0.704</v>
      </c>
      <c r="FY44" s="0" t="n">
        <v>5</v>
      </c>
      <c r="FZ44" s="0" t="n">
        <v>4</v>
      </c>
      <c r="GA44" s="0" t="n">
        <v>-0.261697082182323</v>
      </c>
      <c r="GB44" s="0" t="n">
        <v>45.3</v>
      </c>
      <c r="GC44" s="0" t="n">
        <v>58.7</v>
      </c>
      <c r="GD44" s="0" t="n">
        <v>52.5</v>
      </c>
      <c r="GE44" s="0" t="n">
        <v>460</v>
      </c>
      <c r="GF44" s="0" t="n">
        <v>492</v>
      </c>
      <c r="GG44" s="0" t="n">
        <v>155</v>
      </c>
      <c r="GH44" s="0" t="n">
        <v>148</v>
      </c>
      <c r="GI44" s="0" t="n">
        <v>161</v>
      </c>
      <c r="GJ44" s="0" t="n">
        <v>52</v>
      </c>
      <c r="GK44" s="0" t="n">
        <v>0.337</v>
      </c>
      <c r="GL44" s="0" t="n">
        <v>0.301</v>
      </c>
      <c r="GM44" s="0" t="n">
        <v>0.323</v>
      </c>
      <c r="GN44" s="0" t="n">
        <v>15.807</v>
      </c>
      <c r="GO44" s="0" t="n">
        <v>14.607</v>
      </c>
      <c r="GP44" s="0" t="n">
        <v>13.407</v>
      </c>
      <c r="GQ44" s="0" t="n">
        <v>2.933</v>
      </c>
      <c r="GR44" s="0" t="n">
        <v>15.6</v>
      </c>
      <c r="GS44" s="0" t="n">
        <v>278</v>
      </c>
      <c r="GT44" s="0" t="n">
        <v>0.853</v>
      </c>
      <c r="GU44" s="0" t="n">
        <v>0.428</v>
      </c>
      <c r="GV44" s="0" t="n">
        <v>6.409</v>
      </c>
      <c r="GW44" s="0" t="n">
        <v>7.833</v>
      </c>
      <c r="GX44" s="0" t="n">
        <v>0.818</v>
      </c>
      <c r="GY44" s="0" t="n">
        <v>3.97</v>
      </c>
      <c r="GZ44" s="0" t="n">
        <v>-0.886</v>
      </c>
      <c r="HA44" s="0" t="n">
        <v>8.444</v>
      </c>
      <c r="HB44" s="0" t="n">
        <v>-7.231</v>
      </c>
      <c r="HC44" s="0" t="n">
        <v>0.05</v>
      </c>
      <c r="HD44" s="0" t="n">
        <v>-0.063</v>
      </c>
      <c r="HE44" s="0" t="n">
        <v>0.269</v>
      </c>
      <c r="HG44" s="0" t="n">
        <v>44.17</v>
      </c>
      <c r="HH44" s="0" t="n">
        <v>7.16</v>
      </c>
      <c r="HI44" s="0" t="n">
        <v>29</v>
      </c>
      <c r="HJ44" s="0" t="n">
        <v>61</v>
      </c>
      <c r="HK44" s="0" t="s">
        <v>909</v>
      </c>
      <c r="HL44" s="0" t="n">
        <v>0</v>
      </c>
      <c r="HM44" s="0" t="n">
        <v>13</v>
      </c>
      <c r="HN44" s="0" t="n">
        <v>16</v>
      </c>
      <c r="HO44" s="0" t="n">
        <v>0.032</v>
      </c>
      <c r="HP44" s="0" t="n">
        <v>10</v>
      </c>
      <c r="HQ44" s="0" t="n">
        <v>0.163</v>
      </c>
      <c r="HR44" s="0" t="s">
        <v>102</v>
      </c>
    </row>
    <row r="45" customFormat="false" ht="15" hidden="false" customHeight="false" outlineLevel="0" collapsed="false">
      <c r="A45" s="0" t="s">
        <v>896</v>
      </c>
      <c r="B45" s="0" t="s">
        <v>897</v>
      </c>
      <c r="C45" s="0" t="s">
        <v>898</v>
      </c>
      <c r="D45" s="0" t="s">
        <v>219</v>
      </c>
      <c r="E45" s="0" t="n">
        <v>18466</v>
      </c>
      <c r="F45" s="0" t="s">
        <v>99</v>
      </c>
      <c r="G45" s="0" t="n">
        <v>44.65</v>
      </c>
      <c r="H45" s="0" t="n">
        <v>5.89</v>
      </c>
      <c r="I45" s="0" t="n">
        <v>26</v>
      </c>
      <c r="J45" s="0" t="n">
        <v>68</v>
      </c>
      <c r="L45" s="0" t="s">
        <v>1158</v>
      </c>
      <c r="O45" s="0" t="n">
        <v>93.9</v>
      </c>
      <c r="U45" s="0" t="n">
        <v>7</v>
      </c>
      <c r="V45" s="0" t="s">
        <v>219</v>
      </c>
      <c r="W45" s="0" t="s">
        <v>901</v>
      </c>
      <c r="X45" s="0" t="s">
        <v>221</v>
      </c>
      <c r="Y45" s="0" t="s">
        <v>1159</v>
      </c>
      <c r="Z45" s="0" t="n">
        <v>18466</v>
      </c>
      <c r="AA45" s="0" t="s">
        <v>1160</v>
      </c>
      <c r="AB45" s="0" t="s">
        <v>904</v>
      </c>
      <c r="AC45" s="0" t="s">
        <v>221</v>
      </c>
      <c r="AD45" s="0" t="s">
        <v>221</v>
      </c>
      <c r="AE45" s="0" t="s">
        <v>221</v>
      </c>
      <c r="AF45" s="0" t="s">
        <v>221</v>
      </c>
      <c r="AG45" s="0" t="s">
        <v>221</v>
      </c>
      <c r="AH45" s="0" t="s">
        <v>905</v>
      </c>
      <c r="AI45" s="0" t="n">
        <v>1</v>
      </c>
      <c r="AJ45" s="0" t="s">
        <v>99</v>
      </c>
      <c r="AK45" s="0" t="n">
        <v>44</v>
      </c>
      <c r="AL45" s="0" t="n">
        <v>22</v>
      </c>
      <c r="AM45" s="0" t="s">
        <v>220</v>
      </c>
      <c r="AN45" s="0" t="n">
        <v>0</v>
      </c>
      <c r="AO45" s="0" t="n">
        <v>0</v>
      </c>
      <c r="AP45" s="0" t="n">
        <v>0</v>
      </c>
      <c r="AQ45" s="0" t="n">
        <v>0</v>
      </c>
      <c r="AR45" s="0" t="n">
        <v>0</v>
      </c>
      <c r="AS45" s="0" t="n">
        <v>0</v>
      </c>
      <c r="AT45" s="0" t="n">
        <v>0</v>
      </c>
      <c r="AU45" s="0" t="n">
        <v>0</v>
      </c>
      <c r="AV45" s="0" t="n">
        <v>0</v>
      </c>
      <c r="AW45" s="0" t="n">
        <v>0</v>
      </c>
      <c r="AX45" s="0" t="n">
        <v>0</v>
      </c>
      <c r="AY45" s="0" t="n">
        <v>0</v>
      </c>
      <c r="AZ45" s="0" t="n">
        <v>0</v>
      </c>
      <c r="BA45" s="0" t="n">
        <v>0</v>
      </c>
      <c r="BB45" s="0" t="n">
        <v>0</v>
      </c>
      <c r="BC45" s="0" t="n">
        <v>38</v>
      </c>
      <c r="BD45" s="0" t="n">
        <v>60</v>
      </c>
      <c r="BE45" s="0" t="n">
        <v>582</v>
      </c>
      <c r="BF45" s="0" t="n">
        <v>3</v>
      </c>
      <c r="BG45" s="0" t="n">
        <v>839</v>
      </c>
      <c r="BH45" s="0" t="n">
        <v>93</v>
      </c>
      <c r="BI45" s="0" t="n">
        <v>33</v>
      </c>
      <c r="BJ45" s="0" t="n">
        <v>31.7498265405018</v>
      </c>
      <c r="BK45" s="0" t="n">
        <v>0</v>
      </c>
      <c r="BL45" s="0" t="n">
        <v>0</v>
      </c>
      <c r="BM45" s="0" t="n">
        <v>76.2</v>
      </c>
      <c r="BN45" s="0" t="n">
        <v>114.2</v>
      </c>
      <c r="BO45" s="0" t="n">
        <v>10</v>
      </c>
      <c r="BP45" s="0" t="s">
        <v>221</v>
      </c>
      <c r="BQ45" s="0" t="n">
        <v>1</v>
      </c>
      <c r="BR45" s="0" t="n">
        <v>95.2</v>
      </c>
      <c r="BS45" s="0" t="n">
        <v>0.1389</v>
      </c>
      <c r="BT45" s="0" t="n">
        <v>0</v>
      </c>
      <c r="BU45" s="0" t="n">
        <v>0.2237</v>
      </c>
      <c r="BV45" s="0" t="n">
        <v>0.2326</v>
      </c>
      <c r="BW45" s="0" t="n">
        <v>0</v>
      </c>
      <c r="BX45" s="0" t="n">
        <v>0.3919</v>
      </c>
      <c r="BY45" s="0" t="n">
        <v>0.6232</v>
      </c>
      <c r="BZ45" s="0" t="n">
        <v>10</v>
      </c>
      <c r="CA45" s="0" t="n">
        <v>8.65</v>
      </c>
      <c r="CB45" s="0" t="n">
        <v>15.38</v>
      </c>
      <c r="CC45" s="0" t="n">
        <v>10.1</v>
      </c>
      <c r="CD45" s="0" t="n">
        <v>5.1</v>
      </c>
      <c r="CE45" s="0" t="n">
        <v>1</v>
      </c>
      <c r="CF45" s="0" t="n">
        <v>0</v>
      </c>
      <c r="CG45" s="0" t="n">
        <v>10</v>
      </c>
      <c r="CH45" s="0" t="n">
        <v>0.1</v>
      </c>
      <c r="CI45" s="0" t="n">
        <v>0</v>
      </c>
      <c r="CJ45" s="0" t="n">
        <v>0.505</v>
      </c>
      <c r="CK45" s="0" t="n">
        <v>8</v>
      </c>
      <c r="CL45" s="0" t="n">
        <v>3</v>
      </c>
      <c r="CM45" s="0" t="n">
        <v>3</v>
      </c>
      <c r="CN45" s="0" t="n">
        <v>3</v>
      </c>
      <c r="CO45" s="0" t="n">
        <v>2.7738947660665</v>
      </c>
      <c r="CP45" s="0" t="n">
        <v>0</v>
      </c>
      <c r="CQ45" s="0" t="n">
        <v>0</v>
      </c>
      <c r="CR45" s="0" t="n">
        <v>0</v>
      </c>
      <c r="CS45" s="0" t="n">
        <v>0</v>
      </c>
      <c r="CT45" s="0" t="n">
        <v>0</v>
      </c>
      <c r="CU45" s="0" t="n">
        <v>8</v>
      </c>
      <c r="CV45" s="0" t="n">
        <v>3</v>
      </c>
      <c r="CW45" s="0" t="n">
        <v>3</v>
      </c>
      <c r="CX45" s="0" t="n">
        <v>3</v>
      </c>
      <c r="CY45" s="0" t="n">
        <v>2.77</v>
      </c>
      <c r="CZ45" s="0" t="n">
        <v>0.23</v>
      </c>
      <c r="DA45" s="0" t="n">
        <v>2.37805308909099</v>
      </c>
      <c r="DB45" s="0" t="n">
        <v>6.69183333333333</v>
      </c>
      <c r="DC45" s="0" t="n">
        <v>14.0593333333333</v>
      </c>
      <c r="DD45" s="0" t="n">
        <v>22.3922276491824</v>
      </c>
      <c r="DE45" s="0" t="n">
        <v>0.0836003990610936</v>
      </c>
      <c r="DF45" s="0" t="n">
        <v>63.3333333333333</v>
      </c>
      <c r="DM45" s="0" t="s">
        <v>1161</v>
      </c>
      <c r="DS45" s="0" t="n">
        <v>60</v>
      </c>
      <c r="DT45" s="0" t="n">
        <v>6</v>
      </c>
      <c r="DU45" s="0" t="n">
        <v>1</v>
      </c>
      <c r="DV45" s="0" t="n">
        <v>12.868</v>
      </c>
      <c r="DW45" s="0" t="n">
        <v>2.447</v>
      </c>
      <c r="DX45" s="0" t="n">
        <v>13.9</v>
      </c>
      <c r="DY45" s="0" t="n">
        <v>0.0167</v>
      </c>
      <c r="DZ45" s="0" t="n">
        <v>433</v>
      </c>
      <c r="EA45" s="0" t="n">
        <v>0.704</v>
      </c>
      <c r="EB45" s="0" t="n">
        <v>10</v>
      </c>
      <c r="EC45" s="0" t="s">
        <v>1162</v>
      </c>
      <c r="ED45" s="0" t="n">
        <v>2019</v>
      </c>
      <c r="EE45" s="0" t="n">
        <v>3</v>
      </c>
      <c r="EF45" s="0" t="n">
        <v>76</v>
      </c>
      <c r="EG45" s="0" t="n">
        <v>2019</v>
      </c>
      <c r="EH45" s="0" t="n">
        <v>2026</v>
      </c>
      <c r="EI45" s="0" t="n">
        <v>8</v>
      </c>
      <c r="EJ45" s="0" t="n">
        <v>72</v>
      </c>
      <c r="EK45" s="0" t="n">
        <v>210</v>
      </c>
      <c r="EL45" s="0" t="s">
        <v>933</v>
      </c>
      <c r="EM45" s="0" t="n">
        <v>30.9</v>
      </c>
      <c r="EN45" s="15" t="b">
        <f aca="false">FALSE()</f>
        <v>0</v>
      </c>
      <c r="EO45" s="0" t="n">
        <v>345</v>
      </c>
      <c r="EP45" s="0" t="n">
        <v>3.01826086956522</v>
      </c>
      <c r="EQ45" s="0" t="n">
        <v>0.165217391304348</v>
      </c>
      <c r="ER45" s="0" t="n">
        <v>1.27246376811594</v>
      </c>
      <c r="ES45" s="0" t="n">
        <v>0.852173913043478</v>
      </c>
      <c r="ET45" s="0" t="n">
        <v>31</v>
      </c>
      <c r="EU45" s="0" t="n">
        <v>17</v>
      </c>
      <c r="EV45" s="0" t="n">
        <v>4.54782608695652</v>
      </c>
      <c r="EW45" s="0" t="n">
        <v>0.548387096774194</v>
      </c>
      <c r="EX45" s="0" t="n">
        <v>2.96856142572662</v>
      </c>
      <c r="EY45" s="0" t="n">
        <v>2.998</v>
      </c>
      <c r="EZ45" s="0" t="n">
        <v>0.1651</v>
      </c>
      <c r="FA45" s="0" t="n">
        <v>2.512</v>
      </c>
      <c r="FB45" s="0" t="n">
        <v>2.219</v>
      </c>
      <c r="FC45" s="0" t="n">
        <v>38</v>
      </c>
      <c r="FD45" s="0" t="n">
        <v>564</v>
      </c>
      <c r="FE45" s="0" t="n">
        <v>0.0656028368794326</v>
      </c>
      <c r="FF45" s="0" t="n">
        <v>0.0606</v>
      </c>
      <c r="FG45" s="0" t="n">
        <v>0.2217</v>
      </c>
      <c r="FH45" s="0" t="n">
        <v>2.36</v>
      </c>
      <c r="FI45" s="0" t="n">
        <v>979</v>
      </c>
      <c r="FJ45" s="0" t="n">
        <v>0.514811031664964</v>
      </c>
      <c r="FK45" s="0" t="n">
        <v>17</v>
      </c>
      <c r="FL45" s="0" t="n">
        <v>57.59</v>
      </c>
      <c r="FM45" s="0" t="n">
        <v>0.4747</v>
      </c>
      <c r="FN45" s="0" t="n">
        <v>0.5253</v>
      </c>
      <c r="FO45" s="0" t="n">
        <v>-0.0427</v>
      </c>
      <c r="FP45" s="0" t="n">
        <v>0.0192</v>
      </c>
      <c r="FQ45" s="0" t="n">
        <v>-0.0055</v>
      </c>
      <c r="FR45" s="0" t="n">
        <v>38</v>
      </c>
      <c r="FS45" s="0" t="n">
        <v>50</v>
      </c>
      <c r="FT45" s="0" t="n">
        <v>2.94</v>
      </c>
      <c r="FU45" s="0" t="n">
        <v>20.9</v>
      </c>
      <c r="FV45" s="0" t="n">
        <v>5375</v>
      </c>
      <c r="FW45" s="0" t="n">
        <v>3794</v>
      </c>
      <c r="FX45" s="0" t="n">
        <v>0.706</v>
      </c>
      <c r="FY45" s="0" t="n">
        <v>5</v>
      </c>
      <c r="FZ45" s="0" t="n">
        <v>4</v>
      </c>
      <c r="GA45" s="0" t="n">
        <v>0.036879143422903</v>
      </c>
      <c r="GB45" s="0" t="n">
        <v>50.7</v>
      </c>
      <c r="GC45" s="0" t="n">
        <v>56.8</v>
      </c>
      <c r="GD45" s="0" t="n">
        <v>54.8</v>
      </c>
      <c r="GE45" s="0" t="n">
        <v>432</v>
      </c>
      <c r="GF45" s="0" t="n">
        <v>484</v>
      </c>
      <c r="GG45" s="0" t="n">
        <v>138</v>
      </c>
      <c r="GH45" s="0" t="n">
        <v>142</v>
      </c>
      <c r="GI45" s="0" t="n">
        <v>138</v>
      </c>
      <c r="GJ45" s="0" t="n">
        <v>56</v>
      </c>
      <c r="GK45" s="0" t="n">
        <v>0.319</v>
      </c>
      <c r="GL45" s="0" t="n">
        <v>0.293</v>
      </c>
      <c r="GM45" s="0" t="n">
        <v>0.406</v>
      </c>
      <c r="GN45" s="0" t="n">
        <v>11.42</v>
      </c>
      <c r="GO45" s="0" t="n">
        <v>9.52</v>
      </c>
      <c r="GP45" s="0" t="n">
        <v>7.62</v>
      </c>
      <c r="GQ45" s="0" t="n">
        <v>6</v>
      </c>
      <c r="GR45" s="0" t="n">
        <v>0</v>
      </c>
      <c r="GS45" s="0" t="n">
        <v>60</v>
      </c>
      <c r="GT45" s="0" t="n">
        <v>1.903</v>
      </c>
      <c r="GU45" s="0" t="n">
        <v>0.264</v>
      </c>
      <c r="GV45" s="0" t="n">
        <v>9.7</v>
      </c>
      <c r="GW45" s="0" t="n">
        <v>15.316</v>
      </c>
      <c r="GX45" s="0" t="n">
        <v>0.633</v>
      </c>
      <c r="GZ45" s="0" t="n">
        <v>13.983</v>
      </c>
      <c r="HA45" s="0" t="n">
        <v>2.447</v>
      </c>
      <c r="HB45" s="0" t="n">
        <v>0.694</v>
      </c>
      <c r="HC45" s="0" t="n">
        <v>0.05</v>
      </c>
      <c r="HE45" s="0" t="n">
        <v>0.529</v>
      </c>
      <c r="HG45" s="0" t="n">
        <v>44.65</v>
      </c>
      <c r="HH45" s="0" t="n">
        <v>5.89</v>
      </c>
      <c r="HI45" s="0" t="n">
        <v>26</v>
      </c>
      <c r="HJ45" s="0" t="n">
        <v>68</v>
      </c>
      <c r="HK45" s="0" t="s">
        <v>909</v>
      </c>
      <c r="HL45" s="0" t="n">
        <v>0</v>
      </c>
      <c r="HM45" s="0" t="n">
        <v>55</v>
      </c>
      <c r="HN45" s="0" t="n">
        <v>22</v>
      </c>
      <c r="HO45" s="0" t="n">
        <v>-1.596</v>
      </c>
      <c r="HP45" s="0" t="n">
        <v>37</v>
      </c>
      <c r="HQ45" s="0" t="n">
        <v>-0.807</v>
      </c>
      <c r="HR45" s="0" t="s">
        <v>165</v>
      </c>
    </row>
    <row r="46" customFormat="false" ht="15" hidden="false" customHeight="false" outlineLevel="0" collapsed="false">
      <c r="A46" s="0" t="s">
        <v>896</v>
      </c>
      <c r="B46" s="0" t="s">
        <v>897</v>
      </c>
      <c r="C46" s="0" t="s">
        <v>898</v>
      </c>
      <c r="D46" s="0" t="s">
        <v>222</v>
      </c>
      <c r="E46" s="0" t="n">
        <v>22739</v>
      </c>
      <c r="F46" s="0" t="s">
        <v>104</v>
      </c>
      <c r="G46" s="0" t="n">
        <v>45.66</v>
      </c>
      <c r="H46" s="0" t="n">
        <v>6.3</v>
      </c>
      <c r="I46" s="0" t="n">
        <v>31</v>
      </c>
      <c r="J46" s="0" t="n">
        <v>61</v>
      </c>
      <c r="L46" s="0" t="s">
        <v>1163</v>
      </c>
      <c r="O46" s="0" t="n">
        <v>96.9</v>
      </c>
      <c r="U46" s="0" t="n">
        <v>14</v>
      </c>
      <c r="V46" s="0" t="s">
        <v>222</v>
      </c>
      <c r="W46" s="0" t="s">
        <v>901</v>
      </c>
      <c r="X46" s="0" t="s">
        <v>120</v>
      </c>
      <c r="Y46" s="0" t="s">
        <v>1164</v>
      </c>
      <c r="Z46" s="0" t="n">
        <v>22739</v>
      </c>
      <c r="AA46" s="0" t="s">
        <v>1165</v>
      </c>
      <c r="AB46" s="0" t="s">
        <v>904</v>
      </c>
      <c r="AC46" s="0" t="s">
        <v>120</v>
      </c>
      <c r="AD46" s="0" t="s">
        <v>120</v>
      </c>
      <c r="AE46" s="0" t="s">
        <v>120</v>
      </c>
      <c r="AF46" s="0" t="s">
        <v>120</v>
      </c>
      <c r="AG46" s="0" t="s">
        <v>120</v>
      </c>
      <c r="AH46" s="0" t="s">
        <v>905</v>
      </c>
      <c r="AI46" s="0" t="n">
        <v>1</v>
      </c>
      <c r="AJ46" s="0" t="s">
        <v>104</v>
      </c>
      <c r="AK46" s="0" t="n">
        <v>45</v>
      </c>
      <c r="AL46" s="0" t="n">
        <v>17</v>
      </c>
      <c r="AM46" s="0" t="s">
        <v>223</v>
      </c>
      <c r="AN46" s="0" t="n">
        <v>0</v>
      </c>
      <c r="AO46" s="0" t="n">
        <v>0</v>
      </c>
      <c r="AP46" s="0" t="n">
        <v>0</v>
      </c>
      <c r="AQ46" s="0" t="n">
        <v>0</v>
      </c>
      <c r="AR46" s="0" t="n">
        <v>0</v>
      </c>
      <c r="AS46" s="0" t="n">
        <v>0</v>
      </c>
      <c r="AT46" s="0" t="n">
        <v>0</v>
      </c>
      <c r="AU46" s="0" t="n">
        <v>0</v>
      </c>
      <c r="AV46" s="0" t="n">
        <v>0</v>
      </c>
      <c r="AW46" s="0" t="n">
        <v>252</v>
      </c>
      <c r="AX46" s="0" t="n">
        <v>1201</v>
      </c>
      <c r="AY46" s="0" t="n">
        <v>11</v>
      </c>
      <c r="AZ46" s="0" t="n">
        <v>67</v>
      </c>
      <c r="BA46" s="0" t="n">
        <v>12.2050037380845</v>
      </c>
      <c r="BB46" s="0" t="n">
        <v>1</v>
      </c>
      <c r="BC46" s="0" t="n">
        <v>35</v>
      </c>
      <c r="BD46" s="0" t="n">
        <v>51</v>
      </c>
      <c r="BE46" s="0" t="n">
        <v>137</v>
      </c>
      <c r="BF46" s="0" t="n">
        <v>2</v>
      </c>
      <c r="BG46" s="0" t="n">
        <v>-67</v>
      </c>
      <c r="BH46" s="0" t="n">
        <v>206</v>
      </c>
      <c r="BI46" s="0" t="n">
        <v>7</v>
      </c>
      <c r="BJ46" s="0" t="n">
        <v>-22.7372691551386</v>
      </c>
      <c r="BK46" s="0" t="n">
        <v>1</v>
      </c>
      <c r="BL46" s="0" t="n">
        <v>0</v>
      </c>
      <c r="BM46" s="0" t="n">
        <v>207.8</v>
      </c>
      <c r="BN46" s="0" t="n">
        <v>242.8</v>
      </c>
      <c r="BO46" s="0" t="n">
        <v>16</v>
      </c>
      <c r="BP46" s="0" t="s">
        <v>120</v>
      </c>
      <c r="BQ46" s="0" t="n">
        <v>1</v>
      </c>
      <c r="BR46" s="0" t="n">
        <v>225.3</v>
      </c>
      <c r="BS46" s="0" t="n">
        <v>0.084</v>
      </c>
      <c r="BT46" s="0" t="n">
        <v>0.5419</v>
      </c>
      <c r="BU46" s="0" t="n">
        <v>-0.0136</v>
      </c>
      <c r="BV46" s="0" t="n">
        <v>0.0873</v>
      </c>
      <c r="BW46" s="0" t="n">
        <v>0.5793</v>
      </c>
      <c r="BX46" s="0" t="n">
        <v>-0.014</v>
      </c>
      <c r="BY46" s="0" t="n">
        <v>0.1212</v>
      </c>
      <c r="BZ46" s="0" t="n">
        <v>16</v>
      </c>
      <c r="CA46" s="0" t="n">
        <v>11.12</v>
      </c>
      <c r="CB46" s="0" t="n">
        <v>20.05</v>
      </c>
      <c r="CC46" s="0" t="n">
        <v>14.9</v>
      </c>
      <c r="CD46" s="0" t="n">
        <v>6.02</v>
      </c>
      <c r="CE46" s="0" t="n">
        <v>5</v>
      </c>
      <c r="CF46" s="0" t="n">
        <v>0</v>
      </c>
      <c r="CG46" s="0" t="n">
        <v>16</v>
      </c>
      <c r="CH46" s="0" t="n">
        <v>0.312</v>
      </c>
      <c r="CI46" s="0" t="n">
        <v>0</v>
      </c>
      <c r="CJ46" s="0" t="n">
        <v>0.404</v>
      </c>
      <c r="CK46" s="0" t="n">
        <v>12</v>
      </c>
      <c r="CL46" s="0" t="n">
        <v>5</v>
      </c>
      <c r="CM46" s="0" t="n">
        <v>4</v>
      </c>
      <c r="CN46" s="0" t="n">
        <v>2</v>
      </c>
      <c r="CO46" s="0" t="n">
        <v>3.64550762592435</v>
      </c>
      <c r="CP46" s="0" t="n">
        <v>54</v>
      </c>
      <c r="CQ46" s="0" t="n">
        <v>28</v>
      </c>
      <c r="CR46" s="0" t="n">
        <v>20</v>
      </c>
      <c r="CS46" s="0" t="n">
        <v>11</v>
      </c>
      <c r="CT46" s="0" t="n">
        <v>12.0923344241895</v>
      </c>
      <c r="CU46" s="0" t="n">
        <v>66</v>
      </c>
      <c r="CV46" s="0" t="n">
        <v>33</v>
      </c>
      <c r="CW46" s="0" t="n">
        <v>24</v>
      </c>
      <c r="CX46" s="0" t="n">
        <v>13</v>
      </c>
      <c r="CY46" s="0" t="n">
        <v>15.74</v>
      </c>
      <c r="CZ46" s="0" t="n">
        <v>-2.74</v>
      </c>
      <c r="DG46" s="0" t="n">
        <v>3.18264779350541</v>
      </c>
      <c r="DH46" s="0" t="n">
        <v>22.6190476190476</v>
      </c>
      <c r="DI46" s="0" t="n">
        <v>2.78787447698745</v>
      </c>
      <c r="DJ46" s="0" t="n">
        <v>156.450887111699</v>
      </c>
      <c r="DK46" s="0" t="n">
        <v>0.623310307217925</v>
      </c>
      <c r="DL46" s="0" t="n">
        <v>0.450199203187251</v>
      </c>
      <c r="DM46" s="0" t="s">
        <v>1166</v>
      </c>
      <c r="DN46" s="0" t="n">
        <v>252</v>
      </c>
      <c r="DO46" s="0" t="n">
        <v>25</v>
      </c>
      <c r="DP46" s="0" t="n">
        <v>2.278</v>
      </c>
      <c r="DQ46" s="0" t="n">
        <v>2.488</v>
      </c>
      <c r="DR46" s="0" t="n">
        <v>10.08</v>
      </c>
      <c r="DS46" s="0" t="n">
        <v>51</v>
      </c>
      <c r="DT46" s="0" t="n">
        <v>0</v>
      </c>
      <c r="DU46" s="0" t="n">
        <v>0</v>
      </c>
      <c r="DV46" s="0" t="n">
        <v>-1.971</v>
      </c>
      <c r="DW46" s="0" t="n">
        <v>5.886</v>
      </c>
      <c r="DX46" s="0" t="n">
        <v>-1.3</v>
      </c>
      <c r="DY46" s="0" t="n">
        <v>0</v>
      </c>
      <c r="DZ46" s="0" t="n">
        <v>769</v>
      </c>
      <c r="EA46" s="0" t="n">
        <v>0.69</v>
      </c>
      <c r="EB46" s="0" t="n">
        <v>16</v>
      </c>
      <c r="EC46" s="0" t="s">
        <v>1167</v>
      </c>
      <c r="ED46" s="0" t="n">
        <v>2021</v>
      </c>
      <c r="EE46" s="0" t="n">
        <v>2</v>
      </c>
      <c r="EF46" s="0" t="n">
        <v>35</v>
      </c>
      <c r="EG46" s="0" t="n">
        <v>2021</v>
      </c>
      <c r="EH46" s="0" t="n">
        <v>2026</v>
      </c>
      <c r="EI46" s="0" t="n">
        <v>6</v>
      </c>
      <c r="EJ46" s="0" t="n">
        <v>70</v>
      </c>
      <c r="EK46" s="0" t="n">
        <v>220</v>
      </c>
      <c r="EL46" s="0" t="s">
        <v>1051</v>
      </c>
      <c r="EM46" s="0" t="n">
        <v>26.3</v>
      </c>
      <c r="EN46" s="15" t="b">
        <f aca="false">FALSE()</f>
        <v>0</v>
      </c>
      <c r="EO46" s="0" t="n">
        <v>383</v>
      </c>
      <c r="EP46" s="0" t="n">
        <v>3.16527415143603</v>
      </c>
      <c r="EQ46" s="0" t="n">
        <v>0.130548302872063</v>
      </c>
      <c r="ER46" s="0" t="n">
        <v>1.25587467362924</v>
      </c>
      <c r="ES46" s="0" t="n">
        <v>0.845953002610966</v>
      </c>
      <c r="ET46" s="0" t="n">
        <v>34</v>
      </c>
      <c r="EU46" s="0" t="n">
        <v>24</v>
      </c>
      <c r="EV46" s="0" t="n">
        <v>4.66318537859008</v>
      </c>
      <c r="EW46" s="0" t="n">
        <v>0.705882352941177</v>
      </c>
      <c r="EX46" s="0" t="n">
        <v>3.04016625444487</v>
      </c>
      <c r="EY46" s="0" t="n">
        <v>3.074</v>
      </c>
      <c r="EZ46" s="0" t="n">
        <v>0.1352</v>
      </c>
      <c r="FA46" s="0" t="n">
        <v>2.563</v>
      </c>
      <c r="FB46" s="0" t="n">
        <v>2.03</v>
      </c>
      <c r="FC46" s="0" t="n">
        <v>33</v>
      </c>
      <c r="FD46" s="0" t="n">
        <v>681</v>
      </c>
      <c r="FE46" s="0" t="n">
        <v>0.0455212922173275</v>
      </c>
      <c r="FF46" s="0" t="n">
        <v>0.044</v>
      </c>
      <c r="FG46" s="0" t="n">
        <v>0.2356</v>
      </c>
      <c r="FH46" s="0" t="n">
        <v>2.396</v>
      </c>
      <c r="FI46" s="0" t="n">
        <v>1104</v>
      </c>
      <c r="FJ46" s="0" t="n">
        <v>0.593297101449275</v>
      </c>
      <c r="FK46" s="0" t="n">
        <v>17</v>
      </c>
      <c r="FL46" s="0" t="n">
        <v>64.94</v>
      </c>
      <c r="FM46" s="0" t="n">
        <v>0.5628</v>
      </c>
      <c r="FN46" s="0" t="n">
        <v>0.4372</v>
      </c>
      <c r="FO46" s="0" t="n">
        <v>-0.0098</v>
      </c>
      <c r="FP46" s="0" t="n">
        <v>0.005</v>
      </c>
      <c r="FQ46" s="0" t="n">
        <v>0.1615</v>
      </c>
      <c r="FR46" s="0" t="n">
        <v>36</v>
      </c>
      <c r="FS46" s="0" t="n">
        <v>65</v>
      </c>
      <c r="FT46" s="0" t="n">
        <v>3.82</v>
      </c>
      <c r="FU46" s="0" t="n">
        <v>27.7</v>
      </c>
      <c r="FV46" s="0" t="n">
        <v>5938</v>
      </c>
      <c r="FW46" s="0" t="n">
        <v>5037</v>
      </c>
      <c r="FX46" s="0" t="n">
        <v>0.848</v>
      </c>
      <c r="FY46" s="0" t="n">
        <v>5</v>
      </c>
      <c r="FZ46" s="0" t="n">
        <v>5</v>
      </c>
      <c r="GA46" s="0" t="n">
        <v>0.642644133012613</v>
      </c>
      <c r="GB46" s="0" t="n">
        <v>61.6</v>
      </c>
      <c r="GC46" s="0" t="n">
        <v>62.2</v>
      </c>
      <c r="GD46" s="0" t="n">
        <v>65.1</v>
      </c>
      <c r="GE46" s="0" t="n">
        <v>607</v>
      </c>
      <c r="GF46" s="0" t="n">
        <v>465</v>
      </c>
      <c r="GG46" s="0" t="n">
        <v>34</v>
      </c>
      <c r="GH46" s="0" t="n">
        <v>0</v>
      </c>
      <c r="GI46" s="0" t="n">
        <v>187</v>
      </c>
      <c r="GJ46" s="0" t="n">
        <v>4</v>
      </c>
      <c r="GK46" s="0" t="n">
        <v>0.056</v>
      </c>
      <c r="GL46" s="0" t="n">
        <v>0</v>
      </c>
      <c r="GM46" s="0" t="n">
        <v>0.021</v>
      </c>
      <c r="GN46" s="0" t="n">
        <v>15.175</v>
      </c>
      <c r="GO46" s="0" t="n">
        <v>14.081</v>
      </c>
      <c r="GP46" s="0" t="n">
        <v>12.988</v>
      </c>
      <c r="GQ46" s="0" t="n">
        <v>3.188</v>
      </c>
      <c r="GR46" s="0" t="n">
        <v>15.75</v>
      </c>
      <c r="GS46" s="0" t="n">
        <v>303</v>
      </c>
      <c r="GT46" s="0" t="n">
        <v>0.801</v>
      </c>
      <c r="GU46" s="0" t="n">
        <v>0.316</v>
      </c>
      <c r="GV46" s="0" t="n">
        <v>2.686</v>
      </c>
      <c r="GW46" s="0" t="n">
        <v>3.914</v>
      </c>
      <c r="GX46" s="0" t="n">
        <v>0.686</v>
      </c>
      <c r="GY46" s="0" t="n">
        <v>4.766</v>
      </c>
      <c r="GZ46" s="0" t="n">
        <v>-1.314</v>
      </c>
      <c r="HA46" s="0" t="n">
        <v>5.886</v>
      </c>
      <c r="HB46" s="0" t="n">
        <v>-2.045</v>
      </c>
      <c r="HC46" s="0" t="n">
        <v>0.043</v>
      </c>
      <c r="HD46" s="0" t="n">
        <v>0.048</v>
      </c>
      <c r="HE46" s="0" t="n">
        <v>-0.446</v>
      </c>
      <c r="HG46" s="0" t="n">
        <v>45.66</v>
      </c>
      <c r="HH46" s="0" t="n">
        <v>6.3</v>
      </c>
      <c r="HI46" s="0" t="n">
        <v>31</v>
      </c>
      <c r="HJ46" s="0" t="n">
        <v>61</v>
      </c>
      <c r="HK46" s="0" t="s">
        <v>909</v>
      </c>
      <c r="HL46" s="0" t="n">
        <v>0</v>
      </c>
      <c r="HM46" s="0" t="n">
        <v>12</v>
      </c>
      <c r="HN46" s="0" t="n">
        <v>17</v>
      </c>
      <c r="HO46" s="0" t="n">
        <v>0.111</v>
      </c>
      <c r="HP46" s="0" t="n">
        <v>12</v>
      </c>
      <c r="HQ46" s="0" t="n">
        <v>0.111</v>
      </c>
      <c r="HR46" s="0" t="s">
        <v>102</v>
      </c>
    </row>
    <row r="47" customFormat="false" ht="15" hidden="false" customHeight="false" outlineLevel="0" collapsed="false">
      <c r="A47" s="0" t="s">
        <v>896</v>
      </c>
      <c r="B47" s="0" t="s">
        <v>897</v>
      </c>
      <c r="C47" s="0" t="s">
        <v>898</v>
      </c>
      <c r="D47" s="0" t="s">
        <v>224</v>
      </c>
      <c r="E47" s="0" t="n">
        <v>19196</v>
      </c>
      <c r="F47" s="0" t="s">
        <v>172</v>
      </c>
      <c r="G47" s="0" t="n">
        <v>45.77</v>
      </c>
      <c r="H47" s="0" t="n">
        <v>12.34</v>
      </c>
      <c r="I47" s="0" t="n">
        <v>27</v>
      </c>
      <c r="J47" s="0" t="n">
        <v>72</v>
      </c>
      <c r="L47" s="0" t="s">
        <v>1168</v>
      </c>
      <c r="O47" s="0" t="n">
        <v>97.8</v>
      </c>
      <c r="U47" s="0" t="n">
        <v>6</v>
      </c>
      <c r="V47" s="0" t="s">
        <v>224</v>
      </c>
      <c r="W47" s="0" t="s">
        <v>901</v>
      </c>
      <c r="X47" s="0" t="s">
        <v>101</v>
      </c>
      <c r="Y47" s="0" t="s">
        <v>1169</v>
      </c>
      <c r="Z47" s="0" t="n">
        <v>19196</v>
      </c>
      <c r="AA47" s="0" t="s">
        <v>1170</v>
      </c>
      <c r="AB47" s="0" t="s">
        <v>904</v>
      </c>
      <c r="AC47" s="0" t="s">
        <v>101</v>
      </c>
      <c r="AD47" s="0" t="s">
        <v>101</v>
      </c>
      <c r="AE47" s="0" t="s">
        <v>101</v>
      </c>
      <c r="AF47" s="0" t="s">
        <v>101</v>
      </c>
      <c r="AG47" s="0" t="s">
        <v>101</v>
      </c>
      <c r="AH47" s="0" t="s">
        <v>905</v>
      </c>
      <c r="AI47" s="0" t="n">
        <v>1</v>
      </c>
      <c r="AJ47" s="0" t="s">
        <v>172</v>
      </c>
      <c r="AK47" s="0" t="n">
        <v>46</v>
      </c>
      <c r="AL47" s="0" t="n">
        <v>4</v>
      </c>
      <c r="AM47" s="0" t="s">
        <v>225</v>
      </c>
      <c r="AN47" s="0" t="n">
        <v>173</v>
      </c>
      <c r="AO47" s="0" t="n">
        <v>259</v>
      </c>
      <c r="AP47" s="0" t="n">
        <v>1809</v>
      </c>
      <c r="AQ47" s="0" t="n">
        <v>17</v>
      </c>
      <c r="AR47" s="0" t="n">
        <v>5</v>
      </c>
      <c r="AS47" s="0" t="n">
        <v>17</v>
      </c>
      <c r="AT47" s="0" t="n">
        <v>1868</v>
      </c>
      <c r="AU47" s="0" t="n">
        <v>100</v>
      </c>
      <c r="AV47" s="0" t="n">
        <v>36.6070933425231</v>
      </c>
      <c r="AW47" s="0" t="n">
        <v>14</v>
      </c>
      <c r="AX47" s="0" t="n">
        <v>41</v>
      </c>
      <c r="AY47" s="0" t="n">
        <v>0</v>
      </c>
      <c r="AZ47" s="0" t="n">
        <v>5</v>
      </c>
      <c r="BA47" s="0" t="n">
        <v>3.56519397423836</v>
      </c>
      <c r="BB47" s="0" t="n">
        <v>0</v>
      </c>
      <c r="BC47" s="0" t="n">
        <v>0</v>
      </c>
      <c r="BD47" s="0" t="n">
        <v>0</v>
      </c>
      <c r="BE47" s="0" t="n">
        <v>0</v>
      </c>
      <c r="BF47" s="0" t="n">
        <v>0</v>
      </c>
      <c r="BG47" s="0" t="n">
        <v>0</v>
      </c>
      <c r="BH47" s="0" t="n">
        <v>0</v>
      </c>
      <c r="BI47" s="0" t="n">
        <v>0</v>
      </c>
      <c r="BJ47" s="0" t="n">
        <v>0</v>
      </c>
      <c r="BK47" s="0" t="n">
        <v>0</v>
      </c>
      <c r="BL47" s="0" t="n">
        <v>0</v>
      </c>
      <c r="BM47" s="0" t="n">
        <v>134.46</v>
      </c>
      <c r="BN47" s="0" t="n">
        <v>134.46</v>
      </c>
      <c r="BO47" s="0" t="n">
        <v>8</v>
      </c>
      <c r="BP47" s="0" t="s">
        <v>101</v>
      </c>
      <c r="BQ47" s="0" t="n">
        <v>1</v>
      </c>
      <c r="BR47" s="0" t="n">
        <v>134.46</v>
      </c>
      <c r="BS47" s="0" t="n">
        <v>0</v>
      </c>
      <c r="BT47" s="0" t="n">
        <v>0.0367</v>
      </c>
      <c r="BU47" s="0" t="n">
        <v>0</v>
      </c>
      <c r="BV47" s="0" t="n">
        <v>0</v>
      </c>
      <c r="BW47" s="0" t="n">
        <v>0.0676</v>
      </c>
      <c r="BX47" s="0" t="n">
        <v>0</v>
      </c>
      <c r="BY47" s="0" t="n">
        <v>0</v>
      </c>
      <c r="BZ47" s="0" t="n">
        <v>8</v>
      </c>
      <c r="CA47" s="0" t="n">
        <v>8.38</v>
      </c>
      <c r="CB47" s="0" t="n">
        <v>23.25</v>
      </c>
      <c r="CC47" s="0" t="n">
        <v>19.82</v>
      </c>
      <c r="CD47" s="0" t="n">
        <v>8.58</v>
      </c>
      <c r="CE47" s="0" t="n">
        <v>5</v>
      </c>
      <c r="CF47" s="0" t="n">
        <v>2</v>
      </c>
      <c r="CG47" s="0" t="n">
        <v>8</v>
      </c>
      <c r="CH47" s="0" t="n">
        <v>0.625</v>
      </c>
      <c r="CI47" s="0" t="n">
        <v>0.25</v>
      </c>
      <c r="CJ47" s="0" t="n">
        <v>0.433</v>
      </c>
      <c r="CK47" s="0" t="n">
        <v>0</v>
      </c>
      <c r="CL47" s="0" t="n">
        <v>0</v>
      </c>
      <c r="CM47" s="0" t="n">
        <v>0</v>
      </c>
      <c r="CN47" s="0" t="n">
        <v>0</v>
      </c>
      <c r="CO47" s="0" t="n">
        <v>0</v>
      </c>
      <c r="CP47" s="0" t="n">
        <v>2</v>
      </c>
      <c r="CQ47" s="0" t="n">
        <v>1</v>
      </c>
      <c r="CR47" s="0" t="n">
        <v>1</v>
      </c>
      <c r="CS47" s="0" t="n">
        <v>0</v>
      </c>
      <c r="CT47" s="0" t="n">
        <v>0.636472191134863</v>
      </c>
      <c r="CU47" s="0" t="n">
        <v>2</v>
      </c>
      <c r="CV47" s="0" t="n">
        <v>1</v>
      </c>
      <c r="CW47" s="0" t="n">
        <v>1</v>
      </c>
      <c r="CX47" s="0" t="n">
        <v>0</v>
      </c>
      <c r="CY47" s="0" t="n">
        <v>0.64</v>
      </c>
      <c r="CZ47" s="0" t="n">
        <v>-0.64</v>
      </c>
      <c r="DM47" s="0" t="s">
        <v>1171</v>
      </c>
      <c r="DN47" s="0" t="n">
        <v>14</v>
      </c>
      <c r="DO47" s="0" t="n">
        <v>0</v>
      </c>
      <c r="DZ47" s="0" t="n">
        <v>478</v>
      </c>
      <c r="EA47" s="0" t="n">
        <v>0.878</v>
      </c>
      <c r="EB47" s="0" t="n">
        <v>8</v>
      </c>
      <c r="EC47" s="0" t="s">
        <v>1172</v>
      </c>
      <c r="ED47" s="0" t="n">
        <v>2020</v>
      </c>
      <c r="EE47" s="0" t="n">
        <v>1</v>
      </c>
      <c r="EF47" s="0" t="n">
        <v>1</v>
      </c>
      <c r="EG47" s="0" t="n">
        <v>2020</v>
      </c>
      <c r="EH47" s="0" t="n">
        <v>2026</v>
      </c>
      <c r="EI47" s="0" t="n">
        <v>7</v>
      </c>
      <c r="EJ47" s="0" t="n">
        <v>76</v>
      </c>
      <c r="EK47" s="0" t="n">
        <v>215</v>
      </c>
      <c r="EL47" s="0" t="s">
        <v>1173</v>
      </c>
      <c r="EM47" s="0" t="n">
        <v>29.7</v>
      </c>
      <c r="EN47" s="15" t="b">
        <f aca="false">FALSE()</f>
        <v>0</v>
      </c>
      <c r="EO47" s="0" t="n">
        <v>334</v>
      </c>
      <c r="EP47" s="0" t="n">
        <v>3.15059880239521</v>
      </c>
      <c r="EQ47" s="0" t="n">
        <v>0.110778443113773</v>
      </c>
      <c r="ER47" s="0" t="n">
        <v>1.15269461077844</v>
      </c>
      <c r="ES47" s="0" t="n">
        <v>0.583832335329341</v>
      </c>
      <c r="ET47" s="0" t="n">
        <v>35</v>
      </c>
      <c r="EU47" s="0" t="n">
        <v>23</v>
      </c>
      <c r="EV47" s="0" t="n">
        <v>4.33532934131737</v>
      </c>
      <c r="EW47" s="0" t="n">
        <v>0.657142857142857</v>
      </c>
      <c r="EX47" s="0" t="n">
        <v>2.88704171718939</v>
      </c>
      <c r="EY47" s="0" t="n">
        <v>3.212</v>
      </c>
      <c r="EZ47" s="0" t="n">
        <v>0.1072</v>
      </c>
      <c r="FA47" s="0" t="n">
        <v>2.249</v>
      </c>
      <c r="FB47" s="0" t="n">
        <v>1.927</v>
      </c>
      <c r="FC47" s="0" t="n">
        <v>22</v>
      </c>
      <c r="FD47" s="0" t="n">
        <v>687</v>
      </c>
      <c r="FE47" s="0" t="n">
        <v>0.0524017467248908</v>
      </c>
      <c r="FF47" s="0" t="n">
        <v>0.0527</v>
      </c>
      <c r="FG47" s="0" t="n">
        <v>0.2234</v>
      </c>
      <c r="FH47" s="0" t="n">
        <v>2.22</v>
      </c>
      <c r="FI47" s="0" t="n">
        <v>1049</v>
      </c>
      <c r="FJ47" s="0" t="n">
        <v>0.645376549094376</v>
      </c>
      <c r="FK47" s="0" t="n">
        <v>17</v>
      </c>
      <c r="FL47" s="0" t="n">
        <v>61.71</v>
      </c>
      <c r="FM47" s="0" t="n">
        <v>0.6322</v>
      </c>
      <c r="FN47" s="0" t="n">
        <v>0.3678</v>
      </c>
      <c r="FO47" s="0" t="n">
        <v>0.0172</v>
      </c>
      <c r="FP47" s="0" t="n">
        <v>0.0246</v>
      </c>
      <c r="FQ47" s="0" t="n">
        <v>-0.0266</v>
      </c>
      <c r="FR47" s="0" t="n">
        <v>38</v>
      </c>
      <c r="FS47" s="0" t="n">
        <v>56</v>
      </c>
      <c r="FT47" s="0" t="n">
        <v>3.29</v>
      </c>
      <c r="FU47" s="0" t="n">
        <v>24.4</v>
      </c>
      <c r="FV47" s="0" t="n">
        <v>5575</v>
      </c>
      <c r="FW47" s="0" t="n">
        <v>5552</v>
      </c>
      <c r="FX47" s="0" t="n">
        <v>0.996</v>
      </c>
      <c r="FY47" s="0" t="n">
        <v>5</v>
      </c>
      <c r="FZ47" s="0" t="n">
        <v>5</v>
      </c>
      <c r="GA47" s="0" t="n">
        <v>0.739940369212519</v>
      </c>
      <c r="GB47" s="0" t="n">
        <v>63.4</v>
      </c>
      <c r="GC47" s="0" t="n">
        <v>53</v>
      </c>
      <c r="GD47" s="0" t="n">
        <v>60.4</v>
      </c>
      <c r="GE47" s="0" t="n">
        <v>608</v>
      </c>
      <c r="GF47" s="0" t="n">
        <v>381</v>
      </c>
      <c r="GG47" s="0" t="n">
        <v>41</v>
      </c>
      <c r="GH47" s="0" t="n">
        <v>9</v>
      </c>
      <c r="GI47" s="0" t="n">
        <v>137</v>
      </c>
      <c r="GJ47" s="0" t="n">
        <v>6</v>
      </c>
      <c r="GK47" s="0" t="n">
        <v>0.067</v>
      </c>
      <c r="GL47" s="0" t="n">
        <v>0.024</v>
      </c>
      <c r="GM47" s="0" t="n">
        <v>0.044</v>
      </c>
      <c r="GN47" s="0" t="n">
        <v>16.808</v>
      </c>
      <c r="GO47" s="0" t="n">
        <v>16.808</v>
      </c>
      <c r="GP47" s="0" t="n">
        <v>16.808</v>
      </c>
      <c r="GQ47" s="0" t="n">
        <v>0</v>
      </c>
      <c r="GR47" s="0" t="n">
        <v>1.75</v>
      </c>
      <c r="GS47" s="0" t="n">
        <v>14</v>
      </c>
      <c r="GT47" s="0" t="n">
        <v>9.604</v>
      </c>
      <c r="GU47" s="0" t="n">
        <v>0.281</v>
      </c>
      <c r="HC47" s="0" t="n">
        <v>0</v>
      </c>
      <c r="HG47" s="0" t="n">
        <v>45.77</v>
      </c>
      <c r="HH47" s="0" t="n">
        <v>12.34</v>
      </c>
      <c r="HI47" s="0" t="n">
        <v>27</v>
      </c>
      <c r="HJ47" s="0" t="n">
        <v>72</v>
      </c>
      <c r="HK47" s="0" t="s">
        <v>909</v>
      </c>
      <c r="HL47" s="0" t="n">
        <v>0</v>
      </c>
      <c r="HM47" s="0" t="n">
        <v>27</v>
      </c>
      <c r="HN47" s="0" t="n">
        <v>4</v>
      </c>
      <c r="HO47" s="0" t="n">
        <v>-1.006</v>
      </c>
      <c r="HP47" s="0" t="n">
        <v>15</v>
      </c>
      <c r="HQ47" s="0" t="n">
        <v>-0.481</v>
      </c>
      <c r="HR47" s="0" t="s">
        <v>165</v>
      </c>
    </row>
    <row r="48" customFormat="false" ht="15" hidden="false" customHeight="false" outlineLevel="0" collapsed="false">
      <c r="A48" s="0" t="s">
        <v>896</v>
      </c>
      <c r="B48" s="0" t="s">
        <v>897</v>
      </c>
      <c r="C48" s="0" t="s">
        <v>898</v>
      </c>
      <c r="D48" s="0" t="s">
        <v>226</v>
      </c>
      <c r="E48" s="0" t="n">
        <v>27016</v>
      </c>
      <c r="F48" s="0" t="s">
        <v>99</v>
      </c>
      <c r="G48" s="0" t="n">
        <v>46.29</v>
      </c>
      <c r="H48" s="0" t="n">
        <v>7.39</v>
      </c>
      <c r="I48" s="0" t="n">
        <v>28</v>
      </c>
      <c r="J48" s="0" t="n">
        <v>83</v>
      </c>
      <c r="L48" s="0" t="s">
        <v>1174</v>
      </c>
      <c r="O48" s="0" t="n">
        <v>93.2</v>
      </c>
      <c r="U48" s="0" t="n">
        <v>10</v>
      </c>
      <c r="V48" s="0" t="s">
        <v>1175</v>
      </c>
      <c r="W48" s="0" t="s">
        <v>901</v>
      </c>
      <c r="X48" s="0" t="s">
        <v>203</v>
      </c>
      <c r="Y48" s="0" t="s">
        <v>1176</v>
      </c>
      <c r="Z48" s="0" t="n">
        <v>27016</v>
      </c>
      <c r="AA48" s="0" t="s">
        <v>1177</v>
      </c>
      <c r="AB48" s="0" t="s">
        <v>904</v>
      </c>
      <c r="AC48" s="0" t="s">
        <v>203</v>
      </c>
      <c r="AD48" s="0" t="s">
        <v>203</v>
      </c>
      <c r="AE48" s="0" t="s">
        <v>203</v>
      </c>
      <c r="AF48" s="0" t="s">
        <v>203</v>
      </c>
      <c r="AG48" s="0" t="s">
        <v>203</v>
      </c>
      <c r="AH48" s="0" t="s">
        <v>905</v>
      </c>
      <c r="AI48" s="0" t="n">
        <v>2</v>
      </c>
      <c r="AJ48" s="0" t="s">
        <v>99</v>
      </c>
      <c r="AK48" s="0" t="n">
        <v>47</v>
      </c>
      <c r="AL48" s="0" t="n">
        <v>23</v>
      </c>
      <c r="AM48" s="0" t="s">
        <v>227</v>
      </c>
      <c r="AN48" s="0" t="n">
        <v>0</v>
      </c>
      <c r="AO48" s="0" t="n">
        <v>0</v>
      </c>
      <c r="AP48" s="0" t="n">
        <v>0</v>
      </c>
      <c r="AQ48" s="0" t="n">
        <v>0</v>
      </c>
      <c r="AR48" s="0" t="n">
        <v>0</v>
      </c>
      <c r="AS48" s="0" t="n">
        <v>0</v>
      </c>
      <c r="AT48" s="0" t="n">
        <v>0</v>
      </c>
      <c r="AU48" s="0" t="n">
        <v>0</v>
      </c>
      <c r="AV48" s="0" t="n">
        <v>0</v>
      </c>
      <c r="AW48" s="0" t="n">
        <v>6</v>
      </c>
      <c r="AX48" s="0" t="n">
        <v>37</v>
      </c>
      <c r="AY48" s="0" t="n">
        <v>0</v>
      </c>
      <c r="AZ48" s="0" t="n">
        <v>3</v>
      </c>
      <c r="BA48" s="0" t="n">
        <v>2.28749933495419</v>
      </c>
      <c r="BB48" s="0" t="n">
        <v>0</v>
      </c>
      <c r="BC48" s="0" t="n">
        <v>47</v>
      </c>
      <c r="BD48" s="0" t="n">
        <v>60</v>
      </c>
      <c r="BE48" s="0" t="n">
        <v>652</v>
      </c>
      <c r="BF48" s="0" t="n">
        <v>2</v>
      </c>
      <c r="BG48" s="0" t="n">
        <v>460</v>
      </c>
      <c r="BH48" s="0" t="n">
        <v>334</v>
      </c>
      <c r="BI48" s="0" t="n">
        <v>27</v>
      </c>
      <c r="BJ48" s="0" t="n">
        <v>30.0706440804352</v>
      </c>
      <c r="BK48" s="0" t="n">
        <v>0</v>
      </c>
      <c r="BL48" s="0" t="n">
        <v>0</v>
      </c>
      <c r="BM48" s="0" t="n">
        <v>80.9</v>
      </c>
      <c r="BN48" s="0" t="n">
        <v>127.9</v>
      </c>
      <c r="BO48" s="0" t="n">
        <v>15</v>
      </c>
      <c r="BP48" s="0" t="s">
        <v>203</v>
      </c>
      <c r="BQ48" s="0" t="n">
        <v>1</v>
      </c>
      <c r="BR48" s="0" t="n">
        <v>104.4</v>
      </c>
      <c r="BS48" s="0" t="n">
        <v>0.1128</v>
      </c>
      <c r="BT48" s="0" t="n">
        <v>0.0119</v>
      </c>
      <c r="BU48" s="0" t="n">
        <v>0.1014</v>
      </c>
      <c r="BV48" s="0" t="n">
        <v>0.1279</v>
      </c>
      <c r="BW48" s="0" t="n">
        <v>0.0136</v>
      </c>
      <c r="BX48" s="0" t="n">
        <v>0.1152</v>
      </c>
      <c r="BY48" s="0" t="n">
        <v>0.2725</v>
      </c>
      <c r="BZ48" s="0" t="n">
        <v>15</v>
      </c>
      <c r="CA48" s="0" t="n">
        <v>2.35</v>
      </c>
      <c r="CB48" s="0" t="n">
        <v>14.06</v>
      </c>
      <c r="CC48" s="0" t="n">
        <v>7.6</v>
      </c>
      <c r="CD48" s="0" t="n">
        <v>7.54</v>
      </c>
      <c r="CE48" s="0" t="n">
        <v>2</v>
      </c>
      <c r="CF48" s="0" t="n">
        <v>4</v>
      </c>
      <c r="CG48" s="0" t="n">
        <v>15</v>
      </c>
      <c r="CH48" s="0" t="n">
        <v>0.133</v>
      </c>
      <c r="CI48" s="0" t="n">
        <v>0.267</v>
      </c>
      <c r="CJ48" s="0" t="n">
        <v>0.992</v>
      </c>
      <c r="CK48" s="0" t="n">
        <v>4</v>
      </c>
      <c r="CL48" s="0" t="n">
        <v>0</v>
      </c>
      <c r="CM48" s="0" t="n">
        <v>0</v>
      </c>
      <c r="CN48" s="0" t="n">
        <v>2</v>
      </c>
      <c r="CO48" s="0" t="n">
        <v>1.47863893088445</v>
      </c>
      <c r="CP48" s="0" t="n">
        <v>0</v>
      </c>
      <c r="CQ48" s="0" t="n">
        <v>0</v>
      </c>
      <c r="CR48" s="0" t="n">
        <v>0</v>
      </c>
      <c r="CS48" s="0" t="n">
        <v>0</v>
      </c>
      <c r="CT48" s="0" t="n">
        <v>0.0686636846343491</v>
      </c>
      <c r="CU48" s="0" t="n">
        <v>4</v>
      </c>
      <c r="CV48" s="0" t="n">
        <v>0</v>
      </c>
      <c r="CW48" s="0" t="n">
        <v>0</v>
      </c>
      <c r="CX48" s="0" t="n">
        <v>2</v>
      </c>
      <c r="CY48" s="0" t="n">
        <v>1.55</v>
      </c>
      <c r="CZ48" s="0" t="n">
        <v>0.45</v>
      </c>
      <c r="DA48" s="0" t="n">
        <v>4.63045457645756</v>
      </c>
      <c r="DB48" s="0" t="n">
        <v>7.42519230769231</v>
      </c>
      <c r="DC48" s="0" t="n">
        <v>7.26483333333333</v>
      </c>
      <c r="DD48" s="0" t="n">
        <v>9.73344617452722</v>
      </c>
      <c r="DE48" s="0" t="n">
        <v>0.926781505824081</v>
      </c>
      <c r="DF48" s="0" t="n">
        <v>78.3333333333333</v>
      </c>
      <c r="DM48" s="0" t="s">
        <v>1178</v>
      </c>
      <c r="DN48" s="0" t="n">
        <v>6</v>
      </c>
      <c r="DO48" s="0" t="n">
        <v>1</v>
      </c>
      <c r="DS48" s="0" t="n">
        <v>60</v>
      </c>
      <c r="DT48" s="0" t="n">
        <v>1</v>
      </c>
      <c r="DU48" s="0" t="n">
        <v>4</v>
      </c>
      <c r="DV48" s="0" t="n">
        <v>6.766</v>
      </c>
      <c r="DW48" s="0" t="n">
        <v>7.106</v>
      </c>
      <c r="DX48" s="0" t="n">
        <v>7.7</v>
      </c>
      <c r="DY48" s="0" t="n">
        <v>0.0667</v>
      </c>
      <c r="DZ48" s="0" t="n">
        <v>402</v>
      </c>
      <c r="EA48" s="0" t="n">
        <v>0.397</v>
      </c>
      <c r="EB48" s="0" t="n">
        <v>15</v>
      </c>
      <c r="EC48" s="0" t="s">
        <v>1179</v>
      </c>
      <c r="ED48" s="0" t="n">
        <v>2025</v>
      </c>
      <c r="EE48" s="0" t="n">
        <v>2</v>
      </c>
      <c r="EF48" s="0" t="n">
        <v>39</v>
      </c>
      <c r="EG48" s="0" t="n">
        <v>2025</v>
      </c>
      <c r="EH48" s="0" t="n">
        <v>2026</v>
      </c>
      <c r="EI48" s="0" t="n">
        <v>2</v>
      </c>
      <c r="EJ48" s="0" t="n">
        <v>72</v>
      </c>
      <c r="EK48" s="0" t="n">
        <v>210</v>
      </c>
      <c r="EL48" s="0" t="s">
        <v>1180</v>
      </c>
      <c r="EM48" s="0" t="n">
        <v>22.7</v>
      </c>
      <c r="EN48" s="15" t="b">
        <f aca="false">FALSE()</f>
        <v>0</v>
      </c>
      <c r="EO48" s="0" t="n">
        <v>400</v>
      </c>
      <c r="EP48" s="0" t="n">
        <v>3.37625</v>
      </c>
      <c r="EQ48" s="0" t="n">
        <v>0.13</v>
      </c>
      <c r="ER48" s="0" t="n">
        <v>1.5225</v>
      </c>
      <c r="ES48" s="0" t="n">
        <v>0.63</v>
      </c>
      <c r="ET48" s="0" t="n">
        <v>34</v>
      </c>
      <c r="EU48" s="0" t="n">
        <v>27</v>
      </c>
      <c r="EV48" s="0" t="n">
        <v>4.805</v>
      </c>
      <c r="EW48" s="0" t="n">
        <v>0.794117647058824</v>
      </c>
      <c r="EX48" s="0" t="n">
        <v>2.98769008642548</v>
      </c>
      <c r="EY48" s="0" t="n">
        <v>3.337</v>
      </c>
      <c r="EZ48" s="0" t="n">
        <v>0.1354</v>
      </c>
      <c r="FA48" s="0" t="n">
        <v>3.125</v>
      </c>
      <c r="FB48" s="0" t="n">
        <v>1.739</v>
      </c>
      <c r="FC48" s="0" t="n">
        <v>26</v>
      </c>
      <c r="FD48" s="0" t="n">
        <v>640</v>
      </c>
      <c r="FE48" s="0" t="n">
        <v>0.0375</v>
      </c>
      <c r="FF48" s="0" t="n">
        <v>0.0358</v>
      </c>
      <c r="FG48" s="0" t="n">
        <v>0.2787</v>
      </c>
      <c r="FH48" s="0" t="n">
        <v>2.496</v>
      </c>
      <c r="FI48" s="0" t="n">
        <v>1096</v>
      </c>
      <c r="FJ48" s="0" t="n">
        <v>0.547445255474453</v>
      </c>
      <c r="FK48" s="0" t="n">
        <v>17</v>
      </c>
      <c r="FL48" s="0" t="n">
        <v>64.47</v>
      </c>
      <c r="FM48" s="0" t="n">
        <v>0.5233</v>
      </c>
      <c r="FN48" s="0" t="n">
        <v>0.4767</v>
      </c>
      <c r="FO48" s="0" t="n">
        <v>-0.039</v>
      </c>
      <c r="FP48" s="0" t="n">
        <v>0.0786</v>
      </c>
      <c r="FQ48" s="0" t="n">
        <v>0.0802</v>
      </c>
      <c r="FR48" s="0" t="n">
        <v>37</v>
      </c>
      <c r="FS48" s="0" t="n">
        <v>58</v>
      </c>
      <c r="FT48" s="0" t="n">
        <v>3.41</v>
      </c>
      <c r="FU48" s="0" t="n">
        <v>25.9</v>
      </c>
      <c r="FV48" s="0" t="n">
        <v>5814</v>
      </c>
      <c r="FW48" s="0" t="n">
        <v>4660</v>
      </c>
      <c r="FX48" s="0" t="n">
        <v>0.802</v>
      </c>
      <c r="FY48" s="0" t="n">
        <v>5</v>
      </c>
      <c r="FZ48" s="0" t="n">
        <v>4</v>
      </c>
      <c r="GA48" s="0" t="n">
        <v>1.67518100810579</v>
      </c>
      <c r="GB48" s="0" t="n">
        <v>80.3</v>
      </c>
      <c r="GC48" s="0" t="n">
        <v>61.1</v>
      </c>
      <c r="GD48" s="0" t="n">
        <v>76.3</v>
      </c>
      <c r="GE48" s="0" t="n">
        <v>532</v>
      </c>
      <c r="GF48" s="0" t="n">
        <v>505</v>
      </c>
      <c r="GG48" s="0" t="n">
        <v>161</v>
      </c>
      <c r="GH48" s="0" t="n">
        <v>20</v>
      </c>
      <c r="GI48" s="0" t="n">
        <v>163</v>
      </c>
      <c r="GJ48" s="0" t="n">
        <v>26</v>
      </c>
      <c r="GK48" s="0" t="n">
        <v>0.303</v>
      </c>
      <c r="GL48" s="0" t="n">
        <v>0.04</v>
      </c>
      <c r="GM48" s="0" t="n">
        <v>0.16</v>
      </c>
      <c r="GN48" s="0" t="n">
        <v>8.527</v>
      </c>
      <c r="GO48" s="0" t="n">
        <v>6.96</v>
      </c>
      <c r="GP48" s="0" t="n">
        <v>5.393</v>
      </c>
      <c r="GQ48" s="0" t="n">
        <v>4</v>
      </c>
      <c r="GR48" s="0" t="n">
        <v>0.4</v>
      </c>
      <c r="GS48" s="0" t="n">
        <v>66</v>
      </c>
      <c r="GT48" s="0" t="n">
        <v>1.938</v>
      </c>
      <c r="GU48" s="0" t="n">
        <v>0.318</v>
      </c>
      <c r="GV48" s="0" t="n">
        <v>10.867</v>
      </c>
      <c r="GW48" s="0" t="n">
        <v>13.872</v>
      </c>
      <c r="GX48" s="0" t="n">
        <v>0.783</v>
      </c>
      <c r="GZ48" s="0" t="n">
        <v>7.667</v>
      </c>
      <c r="HA48" s="0" t="n">
        <v>7.106</v>
      </c>
      <c r="HB48" s="0" t="n">
        <v>1.417</v>
      </c>
      <c r="HC48" s="0" t="n">
        <v>0.03</v>
      </c>
      <c r="HE48" s="0" t="n">
        <v>0.501</v>
      </c>
      <c r="HG48" s="0" t="n">
        <v>46.29</v>
      </c>
      <c r="HH48" s="0" t="n">
        <v>7.39</v>
      </c>
      <c r="HI48" s="0" t="n">
        <v>28</v>
      </c>
      <c r="HJ48" s="0" t="n">
        <v>83</v>
      </c>
      <c r="HK48" s="0" t="s">
        <v>909</v>
      </c>
      <c r="HL48" s="0" t="n">
        <v>0</v>
      </c>
      <c r="HM48" s="0" t="n">
        <v>48</v>
      </c>
      <c r="HN48" s="0" t="n">
        <v>23</v>
      </c>
      <c r="HO48" s="0" t="n">
        <v>-1.254</v>
      </c>
      <c r="HP48" s="0" t="n">
        <v>57</v>
      </c>
      <c r="HQ48" s="0" t="n">
        <v>-1.648</v>
      </c>
      <c r="HR48" s="0" t="s">
        <v>165</v>
      </c>
    </row>
    <row r="49" customFormat="false" ht="15" hidden="false" customHeight="false" outlineLevel="0" collapsed="false">
      <c r="A49" s="0" t="s">
        <v>896</v>
      </c>
      <c r="B49" s="0" t="s">
        <v>897</v>
      </c>
      <c r="C49" s="0" t="s">
        <v>898</v>
      </c>
      <c r="D49" s="0" t="s">
        <v>228</v>
      </c>
      <c r="E49" s="0" t="n">
        <v>22902</v>
      </c>
      <c r="F49" s="0" t="s">
        <v>172</v>
      </c>
      <c r="G49" s="0" t="n">
        <v>49.78</v>
      </c>
      <c r="H49" s="0" t="n">
        <v>14.77</v>
      </c>
      <c r="I49" s="0" t="n">
        <v>27</v>
      </c>
      <c r="J49" s="0" t="n">
        <v>92</v>
      </c>
      <c r="L49" s="0" t="s">
        <v>1181</v>
      </c>
      <c r="O49" s="0" t="n">
        <v>97.7</v>
      </c>
      <c r="U49" s="0" t="n">
        <v>7</v>
      </c>
      <c r="V49" s="0" t="s">
        <v>228</v>
      </c>
      <c r="W49" s="0" t="s">
        <v>901</v>
      </c>
      <c r="X49" s="0" t="s">
        <v>221</v>
      </c>
      <c r="Y49" s="0" t="s">
        <v>1182</v>
      </c>
      <c r="Z49" s="0" t="n">
        <v>22902</v>
      </c>
      <c r="AA49" s="0" t="s">
        <v>1183</v>
      </c>
      <c r="AB49" s="0" t="s">
        <v>904</v>
      </c>
      <c r="AC49" s="0" t="s">
        <v>221</v>
      </c>
      <c r="AD49" s="0" t="s">
        <v>221</v>
      </c>
      <c r="AE49" s="0" t="s">
        <v>221</v>
      </c>
      <c r="AF49" s="0" t="s">
        <v>221</v>
      </c>
      <c r="AG49" s="0" t="s">
        <v>221</v>
      </c>
      <c r="AH49" s="0" t="s">
        <v>905</v>
      </c>
      <c r="AI49" s="0" t="n">
        <v>1</v>
      </c>
      <c r="AJ49" s="0" t="s">
        <v>172</v>
      </c>
      <c r="AK49" s="0" t="n">
        <v>48</v>
      </c>
      <c r="AL49" s="0" t="n">
        <v>5</v>
      </c>
      <c r="AM49" s="0" t="s">
        <v>229</v>
      </c>
      <c r="AN49" s="0" t="n">
        <v>114</v>
      </c>
      <c r="AO49" s="0" t="n">
        <v>188</v>
      </c>
      <c r="AP49" s="0" t="n">
        <v>1262</v>
      </c>
      <c r="AQ49" s="0" t="n">
        <v>8</v>
      </c>
      <c r="AR49" s="0" t="n">
        <v>3</v>
      </c>
      <c r="AS49" s="0" t="n">
        <v>18</v>
      </c>
      <c r="AT49" s="0" t="n">
        <v>1390</v>
      </c>
      <c r="AU49" s="0" t="n">
        <v>59</v>
      </c>
      <c r="AV49" s="0" t="n">
        <v>-4.77699602182444</v>
      </c>
      <c r="AW49" s="0" t="n">
        <v>58</v>
      </c>
      <c r="AX49" s="0" t="n">
        <v>278</v>
      </c>
      <c r="AY49" s="0" t="n">
        <v>2</v>
      </c>
      <c r="AZ49" s="0" t="n">
        <v>14</v>
      </c>
      <c r="BA49" s="0" t="n">
        <v>1.7482305980376</v>
      </c>
      <c r="BB49" s="0" t="n">
        <v>1</v>
      </c>
      <c r="BC49" s="0" t="n">
        <v>0</v>
      </c>
      <c r="BD49" s="0" t="n">
        <v>0</v>
      </c>
      <c r="BE49" s="0" t="n">
        <v>0</v>
      </c>
      <c r="BF49" s="0" t="n">
        <v>0</v>
      </c>
      <c r="BG49" s="0" t="n">
        <v>0</v>
      </c>
      <c r="BH49" s="0" t="n">
        <v>0</v>
      </c>
      <c r="BI49" s="0" t="n">
        <v>0</v>
      </c>
      <c r="BJ49" s="0" t="n">
        <v>0</v>
      </c>
      <c r="BK49" s="0" t="n">
        <v>0</v>
      </c>
      <c r="BL49" s="0" t="n">
        <v>0</v>
      </c>
      <c r="BM49" s="0" t="n">
        <v>114.28</v>
      </c>
      <c r="BN49" s="0" t="n">
        <v>114.28</v>
      </c>
      <c r="BO49" s="0" t="n">
        <v>7</v>
      </c>
      <c r="BP49" s="0" t="s">
        <v>221</v>
      </c>
      <c r="BQ49" s="0" t="n">
        <v>1</v>
      </c>
      <c r="BR49" s="0" t="n">
        <v>114.28</v>
      </c>
      <c r="BS49" s="0" t="n">
        <v>0</v>
      </c>
      <c r="BT49" s="0" t="n">
        <v>0.1198</v>
      </c>
      <c r="BU49" s="0" t="n">
        <v>0</v>
      </c>
      <c r="BV49" s="0" t="n">
        <v>0</v>
      </c>
      <c r="BW49" s="0" t="n">
        <v>0.2944</v>
      </c>
      <c r="BX49" s="0" t="n">
        <v>0</v>
      </c>
      <c r="BY49" s="0" t="n">
        <v>0</v>
      </c>
      <c r="BZ49" s="0" t="n">
        <v>7</v>
      </c>
      <c r="CA49" s="0" t="n">
        <v>16.18</v>
      </c>
      <c r="CB49" s="0" t="n">
        <v>20.27</v>
      </c>
      <c r="CC49" s="0" t="n">
        <v>17.74</v>
      </c>
      <c r="CD49" s="0" t="n">
        <v>6.36</v>
      </c>
      <c r="CE49" s="0" t="n">
        <v>1</v>
      </c>
      <c r="CF49" s="0" t="n">
        <v>1</v>
      </c>
      <c r="CG49" s="0" t="n">
        <v>7</v>
      </c>
      <c r="CH49" s="0" t="n">
        <v>0.143</v>
      </c>
      <c r="CI49" s="0" t="n">
        <v>0.143</v>
      </c>
      <c r="CJ49" s="0" t="n">
        <v>0.359</v>
      </c>
      <c r="CK49" s="0" t="n">
        <v>0</v>
      </c>
      <c r="CL49" s="0" t="n">
        <v>0</v>
      </c>
      <c r="CM49" s="0" t="n">
        <v>0</v>
      </c>
      <c r="CN49" s="0" t="n">
        <v>0</v>
      </c>
      <c r="CO49" s="0" t="n">
        <v>0</v>
      </c>
      <c r="CP49" s="0" t="n">
        <v>6</v>
      </c>
      <c r="CQ49" s="0" t="n">
        <v>2</v>
      </c>
      <c r="CR49" s="0" t="n">
        <v>2</v>
      </c>
      <c r="CS49" s="0" t="n">
        <v>2</v>
      </c>
      <c r="CT49" s="0" t="n">
        <v>1.51650852415766</v>
      </c>
      <c r="CU49" s="0" t="n">
        <v>6</v>
      </c>
      <c r="CV49" s="0" t="n">
        <v>2</v>
      </c>
      <c r="CW49" s="0" t="n">
        <v>2</v>
      </c>
      <c r="CX49" s="0" t="n">
        <v>2</v>
      </c>
      <c r="CY49" s="0" t="n">
        <v>1.52</v>
      </c>
      <c r="CZ49" s="0" t="n">
        <v>0.48</v>
      </c>
      <c r="DM49" s="0" t="s">
        <v>1184</v>
      </c>
      <c r="DN49" s="0" t="n">
        <v>58</v>
      </c>
      <c r="DO49" s="0" t="n">
        <v>4</v>
      </c>
      <c r="DP49" s="0" t="n">
        <v>2.879</v>
      </c>
      <c r="DQ49" s="0" t="n">
        <v>1.914</v>
      </c>
      <c r="DR49" s="0" t="n">
        <v>14.5</v>
      </c>
      <c r="DZ49" s="0" t="n">
        <v>405</v>
      </c>
      <c r="EA49" s="0" t="n">
        <v>0.903</v>
      </c>
      <c r="EB49" s="0" t="n">
        <v>7</v>
      </c>
      <c r="EC49" s="0" t="s">
        <v>1185</v>
      </c>
      <c r="ED49" s="0" t="n">
        <v>2024</v>
      </c>
      <c r="EE49" s="0" t="n">
        <v>1</v>
      </c>
      <c r="EF49" s="0" t="n">
        <v>2</v>
      </c>
      <c r="EG49" s="0" t="n">
        <v>2024</v>
      </c>
      <c r="EH49" s="0" t="n">
        <v>2026</v>
      </c>
      <c r="EI49" s="0" t="n">
        <v>3</v>
      </c>
      <c r="EJ49" s="0" t="n">
        <v>76</v>
      </c>
      <c r="EK49" s="0" t="n">
        <v>210</v>
      </c>
      <c r="EL49" s="0" t="s">
        <v>1186</v>
      </c>
      <c r="EM49" s="0" t="n">
        <v>25.7</v>
      </c>
      <c r="EN49" s="15" t="b">
        <f aca="false">FALSE()</f>
        <v>0</v>
      </c>
      <c r="EO49" s="0" t="n">
        <v>345</v>
      </c>
      <c r="EP49" s="0" t="n">
        <v>3.01826086956522</v>
      </c>
      <c r="EQ49" s="0" t="n">
        <v>0.165217391304348</v>
      </c>
      <c r="ER49" s="0" t="n">
        <v>1.27246376811594</v>
      </c>
      <c r="ES49" s="0" t="n">
        <v>0.852173913043478</v>
      </c>
      <c r="ET49" s="0" t="n">
        <v>31</v>
      </c>
      <c r="EU49" s="0" t="n">
        <v>17</v>
      </c>
      <c r="EV49" s="0" t="n">
        <v>4.54782608695652</v>
      </c>
      <c r="EW49" s="0" t="n">
        <v>0.548387096774194</v>
      </c>
      <c r="EX49" s="0" t="n">
        <v>2.96856142572662</v>
      </c>
      <c r="EY49" s="0" t="n">
        <v>2.998</v>
      </c>
      <c r="EZ49" s="0" t="n">
        <v>0.1651</v>
      </c>
      <c r="FA49" s="0" t="n">
        <v>2.512</v>
      </c>
      <c r="FB49" s="0" t="n">
        <v>2.219</v>
      </c>
      <c r="FC49" s="0" t="n">
        <v>38</v>
      </c>
      <c r="FD49" s="0" t="n">
        <v>564</v>
      </c>
      <c r="FE49" s="0" t="n">
        <v>0.0656028368794326</v>
      </c>
      <c r="FF49" s="0" t="n">
        <v>0.0606</v>
      </c>
      <c r="FG49" s="0" t="n">
        <v>0.2217</v>
      </c>
      <c r="FH49" s="0" t="n">
        <v>2.36</v>
      </c>
      <c r="FI49" s="0" t="n">
        <v>979</v>
      </c>
      <c r="FJ49" s="0" t="n">
        <v>0.514811031664964</v>
      </c>
      <c r="FK49" s="0" t="n">
        <v>17</v>
      </c>
      <c r="FL49" s="0" t="n">
        <v>57.59</v>
      </c>
      <c r="FM49" s="0" t="n">
        <v>0.4747</v>
      </c>
      <c r="FN49" s="0" t="n">
        <v>0.5253</v>
      </c>
      <c r="FO49" s="0" t="n">
        <v>-0.0427</v>
      </c>
      <c r="FP49" s="0" t="n">
        <v>0.0192</v>
      </c>
      <c r="FQ49" s="0" t="n">
        <v>-0.0055</v>
      </c>
      <c r="FR49" s="0" t="n">
        <v>38</v>
      </c>
      <c r="FS49" s="0" t="n">
        <v>50</v>
      </c>
      <c r="FT49" s="0" t="n">
        <v>2.94</v>
      </c>
      <c r="FU49" s="0" t="n">
        <v>20.9</v>
      </c>
      <c r="FV49" s="0" t="n">
        <v>5375</v>
      </c>
      <c r="FW49" s="0" t="n">
        <v>3794</v>
      </c>
      <c r="FX49" s="0" t="n">
        <v>0.706</v>
      </c>
      <c r="FY49" s="0" t="n">
        <v>5</v>
      </c>
      <c r="FZ49" s="0" t="n">
        <v>4</v>
      </c>
      <c r="GA49" s="0" t="n">
        <v>0.036879143422903</v>
      </c>
      <c r="GB49" s="0" t="n">
        <v>50.7</v>
      </c>
      <c r="GC49" s="0" t="n">
        <v>56.8</v>
      </c>
      <c r="GD49" s="0" t="n">
        <v>54.8</v>
      </c>
      <c r="GE49" s="0" t="n">
        <v>432</v>
      </c>
      <c r="GF49" s="0" t="n">
        <v>484</v>
      </c>
      <c r="GG49" s="0" t="n">
        <v>138</v>
      </c>
      <c r="GH49" s="0" t="n">
        <v>142</v>
      </c>
      <c r="GI49" s="0" t="n">
        <v>138</v>
      </c>
      <c r="GJ49" s="0" t="n">
        <v>56</v>
      </c>
      <c r="GK49" s="0" t="n">
        <v>0.319</v>
      </c>
      <c r="GL49" s="0" t="n">
        <v>0.293</v>
      </c>
      <c r="GM49" s="0" t="n">
        <v>0.406</v>
      </c>
      <c r="GN49" s="0" t="n">
        <v>16.326</v>
      </c>
      <c r="GO49" s="0" t="n">
        <v>16.326</v>
      </c>
      <c r="GP49" s="0" t="n">
        <v>16.326</v>
      </c>
      <c r="GQ49" s="0" t="n">
        <v>0</v>
      </c>
      <c r="GR49" s="0" t="n">
        <v>8.286</v>
      </c>
      <c r="GS49" s="0" t="n">
        <v>58</v>
      </c>
      <c r="GT49" s="0" t="n">
        <v>1.97</v>
      </c>
      <c r="GU49" s="0" t="n">
        <v>0.282</v>
      </c>
      <c r="GY49" s="0" t="n">
        <v>4.793</v>
      </c>
      <c r="HC49" s="0" t="n">
        <v>0.034</v>
      </c>
      <c r="HD49" s="0" t="n">
        <v>0.03</v>
      </c>
      <c r="HG49" s="0" t="n">
        <v>49.78</v>
      </c>
      <c r="HH49" s="0" t="n">
        <v>14.77</v>
      </c>
      <c r="HI49" s="0" t="n">
        <v>27</v>
      </c>
      <c r="HJ49" s="0" t="n">
        <v>92</v>
      </c>
      <c r="HK49" s="0" t="s">
        <v>909</v>
      </c>
      <c r="HL49" s="0" t="n">
        <v>0</v>
      </c>
      <c r="HM49" s="0" t="n">
        <v>28</v>
      </c>
      <c r="HN49" s="0" t="n">
        <v>5</v>
      </c>
      <c r="HO49" s="0" t="n">
        <v>-1.015</v>
      </c>
      <c r="HP49" s="0" t="n">
        <v>17</v>
      </c>
      <c r="HQ49" s="0" t="n">
        <v>-0.533</v>
      </c>
      <c r="HR49" s="0" t="s">
        <v>165</v>
      </c>
    </row>
    <row r="50" customFormat="false" ht="15" hidden="false" customHeight="false" outlineLevel="0" collapsed="false">
      <c r="A50" s="0" t="s">
        <v>896</v>
      </c>
      <c r="B50" s="0" t="s">
        <v>897</v>
      </c>
      <c r="C50" s="0" t="s">
        <v>898</v>
      </c>
      <c r="D50" s="0" t="s">
        <v>230</v>
      </c>
      <c r="E50" s="0" t="n">
        <v>12123</v>
      </c>
      <c r="F50" s="0" t="s">
        <v>99</v>
      </c>
      <c r="G50" s="0" t="n">
        <v>50.67</v>
      </c>
      <c r="H50" s="0" t="n">
        <v>8.08</v>
      </c>
      <c r="I50" s="0" t="n">
        <v>36</v>
      </c>
      <c r="J50" s="0" t="n">
        <v>81</v>
      </c>
      <c r="L50" s="0" t="s">
        <v>1187</v>
      </c>
      <c r="O50" s="0" t="n">
        <v>96.1</v>
      </c>
      <c r="U50" s="0" t="n">
        <v>11</v>
      </c>
      <c r="V50" s="0" t="s">
        <v>230</v>
      </c>
      <c r="W50" s="0" t="s">
        <v>901</v>
      </c>
      <c r="X50" s="0" t="s">
        <v>109</v>
      </c>
      <c r="Y50" s="0" t="s">
        <v>1188</v>
      </c>
      <c r="Z50" s="0" t="n">
        <v>12123</v>
      </c>
      <c r="AA50" s="0" t="s">
        <v>1189</v>
      </c>
      <c r="AB50" s="0" t="s">
        <v>904</v>
      </c>
      <c r="AC50" s="0" t="s">
        <v>109</v>
      </c>
      <c r="AD50" s="0" t="s">
        <v>109</v>
      </c>
      <c r="AE50" s="0" t="s">
        <v>109</v>
      </c>
      <c r="AF50" s="0" t="s">
        <v>109</v>
      </c>
      <c r="AG50" s="0" t="s">
        <v>109</v>
      </c>
      <c r="AH50" s="0" t="s">
        <v>905</v>
      </c>
      <c r="AI50" s="0" t="n">
        <v>2</v>
      </c>
      <c r="AJ50" s="0" t="s">
        <v>99</v>
      </c>
      <c r="AK50" s="0" t="n">
        <v>49</v>
      </c>
      <c r="AL50" s="0" t="n">
        <v>24</v>
      </c>
      <c r="AM50" s="0" t="s">
        <v>231</v>
      </c>
      <c r="AN50" s="0" t="n">
        <v>0</v>
      </c>
      <c r="AO50" s="0" t="n">
        <v>0</v>
      </c>
      <c r="AP50" s="0" t="n">
        <v>0</v>
      </c>
      <c r="AQ50" s="0" t="n">
        <v>0</v>
      </c>
      <c r="AR50" s="0" t="n">
        <v>0</v>
      </c>
      <c r="AS50" s="0" t="n">
        <v>0</v>
      </c>
      <c r="AT50" s="0" t="n">
        <v>0</v>
      </c>
      <c r="AU50" s="0" t="n">
        <v>0</v>
      </c>
      <c r="AV50" s="0" t="n">
        <v>0</v>
      </c>
      <c r="AW50" s="0" t="n">
        <v>0</v>
      </c>
      <c r="AX50" s="0" t="n">
        <v>0</v>
      </c>
      <c r="AY50" s="0" t="n">
        <v>0</v>
      </c>
      <c r="AZ50" s="0" t="n">
        <v>0</v>
      </c>
      <c r="BA50" s="0" t="n">
        <v>0</v>
      </c>
      <c r="BB50" s="0" t="n">
        <v>0</v>
      </c>
      <c r="BC50" s="0" t="n">
        <v>60</v>
      </c>
      <c r="BD50" s="0" t="n">
        <v>114</v>
      </c>
      <c r="BE50" s="0" t="n">
        <v>789</v>
      </c>
      <c r="BF50" s="0" t="n">
        <v>14</v>
      </c>
      <c r="BG50" s="0" t="n">
        <v>1444</v>
      </c>
      <c r="BH50" s="0" t="n">
        <v>117</v>
      </c>
      <c r="BI50" s="0" t="n">
        <v>51</v>
      </c>
      <c r="BJ50" s="0" t="n">
        <v>27.0334416795942</v>
      </c>
      <c r="BK50" s="0" t="n">
        <v>0</v>
      </c>
      <c r="BL50" s="0" t="n">
        <v>0</v>
      </c>
      <c r="BM50" s="0" t="n">
        <v>162.9</v>
      </c>
      <c r="BN50" s="0" t="n">
        <v>222.9</v>
      </c>
      <c r="BO50" s="0" t="n">
        <v>14</v>
      </c>
      <c r="BP50" s="0" t="s">
        <v>109</v>
      </c>
      <c r="BQ50" s="0" t="n">
        <v>1</v>
      </c>
      <c r="BR50" s="0" t="n">
        <v>192.9</v>
      </c>
      <c r="BS50" s="0" t="n">
        <v>0.1962</v>
      </c>
      <c r="BT50" s="0" t="n">
        <v>0</v>
      </c>
      <c r="BU50" s="0" t="n">
        <v>0.2676</v>
      </c>
      <c r="BV50" s="0" t="n">
        <v>0.2478</v>
      </c>
      <c r="BW50" s="0" t="n">
        <v>0</v>
      </c>
      <c r="BX50" s="0" t="n">
        <v>0.3487</v>
      </c>
      <c r="BY50" s="0" t="n">
        <v>0.6158</v>
      </c>
      <c r="BZ50" s="0" t="n">
        <v>14</v>
      </c>
      <c r="CA50" s="0" t="n">
        <v>9.6</v>
      </c>
      <c r="CB50" s="0" t="n">
        <v>23.01</v>
      </c>
      <c r="CC50" s="0" t="n">
        <v>15.1</v>
      </c>
      <c r="CD50" s="0" t="n">
        <v>6.84</v>
      </c>
      <c r="CE50" s="0" t="n">
        <v>6</v>
      </c>
      <c r="CF50" s="0" t="n">
        <v>0</v>
      </c>
      <c r="CG50" s="0" t="n">
        <v>14</v>
      </c>
      <c r="CH50" s="0" t="n">
        <v>0.429</v>
      </c>
      <c r="CI50" s="0" t="n">
        <v>0</v>
      </c>
      <c r="CJ50" s="0" t="n">
        <v>0.453</v>
      </c>
      <c r="CK50" s="0" t="n">
        <v>32</v>
      </c>
      <c r="CL50" s="0" t="n">
        <v>23</v>
      </c>
      <c r="CM50" s="0" t="n">
        <v>16</v>
      </c>
      <c r="CN50" s="0" t="n">
        <v>14</v>
      </c>
      <c r="CO50" s="0" t="n">
        <v>12.575186793112</v>
      </c>
      <c r="CP50" s="0" t="n">
        <v>0</v>
      </c>
      <c r="CQ50" s="0" t="n">
        <v>0</v>
      </c>
      <c r="CR50" s="0" t="n">
        <v>0</v>
      </c>
      <c r="CS50" s="0" t="n">
        <v>0</v>
      </c>
      <c r="CT50" s="0" t="n">
        <v>0</v>
      </c>
      <c r="CU50" s="0" t="n">
        <v>32</v>
      </c>
      <c r="CV50" s="0" t="n">
        <v>23</v>
      </c>
      <c r="CW50" s="0" t="n">
        <v>16</v>
      </c>
      <c r="CX50" s="0" t="n">
        <v>14</v>
      </c>
      <c r="CY50" s="0" t="n">
        <v>12.58</v>
      </c>
      <c r="CZ50" s="0" t="n">
        <v>1.42</v>
      </c>
      <c r="DA50" s="0" t="n">
        <v>2.16740885275771</v>
      </c>
      <c r="DB50" s="0" t="n">
        <v>5.16159292035398</v>
      </c>
      <c r="DC50" s="0" t="n">
        <v>13.186052631579</v>
      </c>
      <c r="DD50" s="0" t="n">
        <v>28.4328912948493</v>
      </c>
      <c r="DE50" s="0" t="n">
        <v>-0.61022967545809</v>
      </c>
      <c r="DF50" s="0" t="n">
        <v>52.6315789473684</v>
      </c>
      <c r="DM50" s="0" t="s">
        <v>1190</v>
      </c>
      <c r="DS50" s="0" t="n">
        <v>114</v>
      </c>
      <c r="DT50" s="0" t="n">
        <v>0</v>
      </c>
      <c r="DU50" s="0" t="n">
        <v>5</v>
      </c>
      <c r="DV50" s="0" t="n">
        <v>11.2</v>
      </c>
      <c r="DW50" s="0" t="n">
        <v>1.95</v>
      </c>
      <c r="DX50" s="0" t="n">
        <v>12.6</v>
      </c>
      <c r="DY50" s="0" t="n">
        <v>0.0439</v>
      </c>
      <c r="DZ50" s="0" t="n">
        <v>635</v>
      </c>
      <c r="EA50" s="0" t="n">
        <v>0.714</v>
      </c>
      <c r="EB50" s="0" t="n">
        <v>14</v>
      </c>
      <c r="EC50" s="0" t="s">
        <v>1191</v>
      </c>
      <c r="ED50" s="0" t="n">
        <v>2014</v>
      </c>
      <c r="EE50" s="0" t="n">
        <v>2</v>
      </c>
      <c r="EF50" s="0" t="n">
        <v>53</v>
      </c>
      <c r="EG50" s="0" t="n">
        <v>2014</v>
      </c>
      <c r="EH50" s="0" t="n">
        <v>2026</v>
      </c>
      <c r="EI50" s="0" t="n">
        <v>13</v>
      </c>
      <c r="EJ50" s="0" t="n">
        <v>73</v>
      </c>
      <c r="EK50" s="0" t="n">
        <v>204</v>
      </c>
      <c r="EL50" s="0" t="s">
        <v>1192</v>
      </c>
      <c r="EM50" s="0" t="n">
        <v>33.6</v>
      </c>
      <c r="EN50" s="15" t="b">
        <f aca="false">FALSE()</f>
        <v>0</v>
      </c>
      <c r="EO50" s="0" t="n">
        <v>413</v>
      </c>
      <c r="EP50" s="0" t="n">
        <v>3.45544794188862</v>
      </c>
      <c r="EQ50" s="0" t="n">
        <v>0.123486682808717</v>
      </c>
      <c r="ER50" s="0" t="n">
        <v>1.50847457627119</v>
      </c>
      <c r="ES50" s="0" t="n">
        <v>0.711864406779661</v>
      </c>
      <c r="ET50" s="0" t="n">
        <v>47</v>
      </c>
      <c r="EU50" s="0" t="n">
        <v>30</v>
      </c>
      <c r="EV50" s="0" t="n">
        <v>4.94915254237288</v>
      </c>
      <c r="EW50" s="0" t="n">
        <v>0.638297872340426</v>
      </c>
      <c r="EX50" s="0" t="n">
        <v>2.94176720069723</v>
      </c>
      <c r="EY50" s="0" t="n">
        <v>3.462</v>
      </c>
      <c r="EZ50" s="0" t="n">
        <v>0.1266</v>
      </c>
      <c r="FA50" s="0" t="n">
        <v>2.811</v>
      </c>
      <c r="FB50" s="0" t="n">
        <v>1.817</v>
      </c>
      <c r="FC50" s="0" t="n">
        <v>35</v>
      </c>
      <c r="FD50" s="0" t="n">
        <v>624</v>
      </c>
      <c r="FE50" s="0" t="n">
        <v>0.0368589743589744</v>
      </c>
      <c r="FF50" s="0" t="n">
        <v>0.0424</v>
      </c>
      <c r="FG50" s="0" t="n">
        <v>0.194</v>
      </c>
      <c r="FH50" s="0" t="n">
        <v>2.396</v>
      </c>
      <c r="FI50" s="0" t="n">
        <v>1056</v>
      </c>
      <c r="FJ50" s="0" t="n">
        <v>0.584280303030303</v>
      </c>
      <c r="FK50" s="0" t="n">
        <v>17</v>
      </c>
      <c r="FL50" s="0" t="n">
        <v>62.12</v>
      </c>
      <c r="FM50" s="0" t="n">
        <v>0.6185</v>
      </c>
      <c r="FN50" s="0" t="n">
        <v>0.3815</v>
      </c>
      <c r="FO50" s="0" t="n">
        <v>0.0296</v>
      </c>
      <c r="FP50" s="0" t="n">
        <v>0.0262</v>
      </c>
      <c r="FQ50" s="0" t="n">
        <v>0.2292</v>
      </c>
      <c r="FR50" s="0" t="n">
        <v>37</v>
      </c>
      <c r="FS50" s="0" t="n">
        <v>76</v>
      </c>
      <c r="FT50" s="0" t="n">
        <v>4.47</v>
      </c>
      <c r="FU50" s="0" t="n">
        <v>30.5</v>
      </c>
      <c r="FV50" s="0" t="n">
        <v>5675</v>
      </c>
      <c r="FW50" s="0" t="n">
        <v>5129</v>
      </c>
      <c r="FX50" s="0" t="n">
        <v>0.904</v>
      </c>
      <c r="FY50" s="0" t="n">
        <v>5</v>
      </c>
      <c r="FZ50" s="0" t="n">
        <v>5</v>
      </c>
      <c r="GA50" s="0" t="n">
        <v>1.46228832359079</v>
      </c>
      <c r="GB50" s="0" t="n">
        <v>76.4</v>
      </c>
      <c r="GC50" s="0" t="n">
        <v>71.5</v>
      </c>
      <c r="GD50" s="0" t="n">
        <v>80.4</v>
      </c>
      <c r="GE50" s="0" t="n">
        <v>581</v>
      </c>
      <c r="GF50" s="0" t="n">
        <v>465</v>
      </c>
      <c r="GG50" s="0" t="n">
        <v>15</v>
      </c>
      <c r="GH50" s="0" t="n">
        <v>0</v>
      </c>
      <c r="GI50" s="0" t="n">
        <v>195</v>
      </c>
      <c r="GJ50" s="0" t="n">
        <v>1</v>
      </c>
      <c r="GK50" s="0" t="n">
        <v>0.026</v>
      </c>
      <c r="GL50" s="0" t="n">
        <v>0</v>
      </c>
      <c r="GM50" s="0" t="n">
        <v>0.005</v>
      </c>
      <c r="GN50" s="0" t="n">
        <v>15.921</v>
      </c>
      <c r="GO50" s="0" t="n">
        <v>13.779</v>
      </c>
      <c r="GP50" s="0" t="n">
        <v>11.636</v>
      </c>
      <c r="GQ50" s="0" t="n">
        <v>8.143</v>
      </c>
      <c r="GR50" s="0" t="n">
        <v>0</v>
      </c>
      <c r="GS50" s="0" t="n">
        <v>114</v>
      </c>
      <c r="GT50" s="0" t="n">
        <v>1.955</v>
      </c>
      <c r="GU50" s="0" t="n">
        <v>0.351</v>
      </c>
      <c r="GV50" s="0" t="n">
        <v>6.921</v>
      </c>
      <c r="GW50" s="0" t="n">
        <v>13.15</v>
      </c>
      <c r="GX50" s="0" t="n">
        <v>0.526</v>
      </c>
      <c r="GZ50" s="0" t="n">
        <v>12.667</v>
      </c>
      <c r="HA50" s="0" t="n">
        <v>1.95</v>
      </c>
      <c r="HB50" s="0" t="n">
        <v>0.546</v>
      </c>
      <c r="HC50" s="0" t="n">
        <v>0.123</v>
      </c>
      <c r="HE50" s="0" t="n">
        <v>0.237</v>
      </c>
      <c r="HG50" s="0" t="n">
        <v>50.67</v>
      </c>
      <c r="HH50" s="0" t="n">
        <v>8.08</v>
      </c>
      <c r="HI50" s="0" t="n">
        <v>36</v>
      </c>
      <c r="HJ50" s="0" t="n">
        <v>81</v>
      </c>
      <c r="HK50" s="0" t="s">
        <v>909</v>
      </c>
      <c r="HL50" s="0" t="n">
        <v>0</v>
      </c>
      <c r="HM50" s="0" t="n">
        <v>9</v>
      </c>
      <c r="HN50" s="0" t="n">
        <v>24</v>
      </c>
      <c r="HO50" s="0" t="n">
        <v>0.491</v>
      </c>
      <c r="HP50" s="0" t="n">
        <v>9</v>
      </c>
      <c r="HQ50" s="0" t="n">
        <v>0.49</v>
      </c>
      <c r="HR50" s="0" t="s">
        <v>232</v>
      </c>
    </row>
    <row r="51" customFormat="false" ht="15" hidden="false" customHeight="false" outlineLevel="0" collapsed="false">
      <c r="A51" s="0" t="s">
        <v>896</v>
      </c>
      <c r="B51" s="0" t="s">
        <v>897</v>
      </c>
      <c r="C51" s="0" t="s">
        <v>898</v>
      </c>
      <c r="D51" s="0" t="s">
        <v>233</v>
      </c>
      <c r="E51" s="0" t="n">
        <v>19231</v>
      </c>
      <c r="F51" s="0" t="s">
        <v>104</v>
      </c>
      <c r="G51" s="0" t="n">
        <v>50.99</v>
      </c>
      <c r="H51" s="0" t="n">
        <v>7.98</v>
      </c>
      <c r="I51" s="0" t="n">
        <v>34</v>
      </c>
      <c r="J51" s="0" t="n">
        <v>72</v>
      </c>
      <c r="L51" s="0" t="s">
        <v>1193</v>
      </c>
      <c r="O51" s="0" t="n">
        <v>95.9</v>
      </c>
      <c r="U51" s="0" t="n">
        <v>8</v>
      </c>
      <c r="V51" s="0" t="s">
        <v>1194</v>
      </c>
      <c r="W51" s="0" t="s">
        <v>901</v>
      </c>
      <c r="X51" s="0" t="s">
        <v>1021</v>
      </c>
      <c r="Y51" s="0" t="s">
        <v>1195</v>
      </c>
      <c r="Z51" s="0" t="n">
        <v>19231</v>
      </c>
      <c r="AA51" s="0" t="s">
        <v>1196</v>
      </c>
      <c r="AB51" s="0" t="s">
        <v>904</v>
      </c>
      <c r="AC51" s="0" t="s">
        <v>158</v>
      </c>
      <c r="AD51" s="0" t="s">
        <v>158</v>
      </c>
      <c r="AE51" s="0" t="s">
        <v>158</v>
      </c>
      <c r="AF51" s="0" t="s">
        <v>158</v>
      </c>
      <c r="AG51" s="0" t="s">
        <v>158</v>
      </c>
      <c r="AH51" s="0" t="s">
        <v>905</v>
      </c>
      <c r="AI51" s="0" t="n">
        <v>1</v>
      </c>
      <c r="AJ51" s="0" t="s">
        <v>104</v>
      </c>
      <c r="AK51" s="0" t="n">
        <v>50</v>
      </c>
      <c r="AL51" s="0" t="n">
        <v>18</v>
      </c>
      <c r="AM51" s="0" t="s">
        <v>234</v>
      </c>
      <c r="AN51" s="0" t="n">
        <v>0</v>
      </c>
      <c r="AO51" s="0" t="n">
        <v>0</v>
      </c>
      <c r="AP51" s="0" t="n">
        <v>0</v>
      </c>
      <c r="AQ51" s="0" t="n">
        <v>0</v>
      </c>
      <c r="AR51" s="0" t="n">
        <v>0</v>
      </c>
      <c r="AS51" s="0" t="n">
        <v>0</v>
      </c>
      <c r="AT51" s="0" t="n">
        <v>0</v>
      </c>
      <c r="AU51" s="0" t="n">
        <v>0</v>
      </c>
      <c r="AV51" s="0" t="n">
        <v>0</v>
      </c>
      <c r="AW51" s="0" t="n">
        <v>260</v>
      </c>
      <c r="AX51" s="0" t="n">
        <v>1107</v>
      </c>
      <c r="AY51" s="0" t="n">
        <v>7</v>
      </c>
      <c r="AZ51" s="0" t="n">
        <v>48</v>
      </c>
      <c r="BA51" s="0" t="n">
        <v>-18.9828439997652</v>
      </c>
      <c r="BB51" s="0" t="n">
        <v>0</v>
      </c>
      <c r="BC51" s="0" t="n">
        <v>36</v>
      </c>
      <c r="BD51" s="0" t="n">
        <v>52</v>
      </c>
      <c r="BE51" s="0" t="n">
        <v>292</v>
      </c>
      <c r="BF51" s="0" t="n">
        <v>6</v>
      </c>
      <c r="BG51" s="0" t="n">
        <v>-76</v>
      </c>
      <c r="BH51" s="0" t="n">
        <v>339</v>
      </c>
      <c r="BI51" s="0" t="n">
        <v>14</v>
      </c>
      <c r="BJ51" s="0" t="n">
        <v>9.14852294290904</v>
      </c>
      <c r="BK51" s="0" t="n">
        <v>0</v>
      </c>
      <c r="BL51" s="0" t="n">
        <v>0</v>
      </c>
      <c r="BM51" s="0" t="n">
        <v>217.9</v>
      </c>
      <c r="BN51" s="0" t="n">
        <v>253.9</v>
      </c>
      <c r="BO51" s="0" t="n">
        <v>17</v>
      </c>
      <c r="BP51" s="0" t="s">
        <v>235</v>
      </c>
      <c r="BQ51" s="0" t="n">
        <v>1</v>
      </c>
      <c r="BR51" s="0" t="n">
        <v>235.9</v>
      </c>
      <c r="BS51" s="0" t="n">
        <v>0.0951</v>
      </c>
      <c r="BT51" s="0" t="n">
        <v>0.5317</v>
      </c>
      <c r="BU51" s="0" t="n">
        <v>-0.0156</v>
      </c>
      <c r="BV51" s="0" t="n">
        <v>0.0951</v>
      </c>
      <c r="BW51" s="0" t="n">
        <v>0.5317</v>
      </c>
      <c r="BX51" s="0" t="n">
        <v>-0.0156</v>
      </c>
      <c r="BY51" s="0" t="n">
        <v>0.1317</v>
      </c>
      <c r="BZ51" s="0" t="n">
        <v>17</v>
      </c>
      <c r="CA51" s="0" t="n">
        <v>9.5</v>
      </c>
      <c r="CB51" s="0" t="n">
        <v>20.16</v>
      </c>
      <c r="CC51" s="0" t="n">
        <v>16.5</v>
      </c>
      <c r="CD51" s="0" t="n">
        <v>6.94</v>
      </c>
      <c r="CE51" s="0" t="n">
        <v>6</v>
      </c>
      <c r="CF51" s="0" t="n">
        <v>0</v>
      </c>
      <c r="CG51" s="0" t="n">
        <v>17</v>
      </c>
      <c r="CH51" s="0" t="n">
        <v>0.353</v>
      </c>
      <c r="CI51" s="0" t="n">
        <v>0</v>
      </c>
      <c r="CJ51" s="0" t="n">
        <v>0.421</v>
      </c>
      <c r="CK51" s="0" t="n">
        <v>10</v>
      </c>
      <c r="CL51" s="0" t="n">
        <v>6</v>
      </c>
      <c r="CM51" s="0" t="n">
        <v>1</v>
      </c>
      <c r="CN51" s="0" t="n">
        <v>6</v>
      </c>
      <c r="CO51" s="0" t="n">
        <v>3.14598660243897</v>
      </c>
      <c r="CP51" s="0" t="n">
        <v>54</v>
      </c>
      <c r="CQ51" s="0" t="n">
        <v>26</v>
      </c>
      <c r="CR51" s="0" t="n">
        <v>12</v>
      </c>
      <c r="CS51" s="0" t="n">
        <v>7</v>
      </c>
      <c r="CT51" s="0" t="n">
        <v>8.4907774016054</v>
      </c>
      <c r="CU51" s="0" t="n">
        <v>64</v>
      </c>
      <c r="CV51" s="0" t="n">
        <v>32</v>
      </c>
      <c r="CW51" s="0" t="n">
        <v>13</v>
      </c>
      <c r="CX51" s="0" t="n">
        <v>13</v>
      </c>
      <c r="CY51" s="0" t="n">
        <v>11.64</v>
      </c>
      <c r="CZ51" s="0" t="n">
        <v>1.36</v>
      </c>
      <c r="DG51" s="0" t="n">
        <v>3.91090334236676</v>
      </c>
      <c r="DH51" s="0" t="n">
        <v>22.6923076923077</v>
      </c>
      <c r="DI51" s="0" t="n">
        <v>2.87589743589744</v>
      </c>
      <c r="DJ51" s="0" t="n">
        <v>43.8769048676236</v>
      </c>
      <c r="DK51" s="0" t="n">
        <v>0.172743719951274</v>
      </c>
      <c r="DL51" s="0" t="n">
        <v>0.377952755905512</v>
      </c>
      <c r="DM51" s="0" t="s">
        <v>1197</v>
      </c>
      <c r="DN51" s="0" t="n">
        <v>260</v>
      </c>
      <c r="DO51" s="0" t="n">
        <v>10</v>
      </c>
      <c r="DP51" s="0" t="n">
        <v>2.162</v>
      </c>
      <c r="DQ51" s="0" t="n">
        <v>2.096</v>
      </c>
      <c r="DR51" s="0" t="n">
        <v>26</v>
      </c>
      <c r="DS51" s="0" t="n">
        <v>52</v>
      </c>
      <c r="DT51" s="0" t="n">
        <v>4</v>
      </c>
      <c r="DU51" s="0" t="n">
        <v>5</v>
      </c>
      <c r="DV51" s="0" t="n">
        <v>-1.306</v>
      </c>
      <c r="DW51" s="0" t="n">
        <v>9.417</v>
      </c>
      <c r="DX51" s="0" t="n">
        <v>-1.3</v>
      </c>
      <c r="DY51" s="0" t="n">
        <v>0.0962</v>
      </c>
      <c r="DZ51" s="0" t="n">
        <v>691</v>
      </c>
      <c r="EA51" s="0" t="n">
        <v>0.601</v>
      </c>
      <c r="EB51" s="0" t="n">
        <v>17</v>
      </c>
      <c r="EC51" s="0" t="s">
        <v>1198</v>
      </c>
      <c r="ED51" s="0" t="n">
        <v>2021</v>
      </c>
      <c r="EE51" s="0" t="n">
        <v>1</v>
      </c>
      <c r="EF51" s="0" t="n">
        <v>25</v>
      </c>
      <c r="EG51" s="0" t="n">
        <v>2021</v>
      </c>
      <c r="EH51" s="0" t="n">
        <v>2026</v>
      </c>
      <c r="EI51" s="0" t="n">
        <v>6</v>
      </c>
      <c r="EJ51" s="0" t="n">
        <v>70</v>
      </c>
      <c r="EK51" s="0" t="n">
        <v>215</v>
      </c>
      <c r="EL51" s="0" t="s">
        <v>1104</v>
      </c>
      <c r="EM51" s="0" t="n">
        <v>27.6</v>
      </c>
      <c r="EN51" s="15" t="b">
        <f aca="false">FALSE()</f>
        <v>0</v>
      </c>
      <c r="EO51" s="0" t="n">
        <v>300</v>
      </c>
      <c r="EP51" s="0" t="n">
        <v>2.89633333333333</v>
      </c>
      <c r="EQ51" s="0" t="n">
        <v>0.15</v>
      </c>
      <c r="ER51" s="0" t="n">
        <v>0.956666666666667</v>
      </c>
      <c r="ES51" s="0" t="n">
        <v>0.316666666666667</v>
      </c>
      <c r="ET51" s="0" t="n">
        <v>20</v>
      </c>
      <c r="EU51" s="0" t="n">
        <v>11</v>
      </c>
      <c r="EV51" s="0" t="n">
        <v>3.72</v>
      </c>
      <c r="EW51" s="0" t="n">
        <v>0.55</v>
      </c>
      <c r="EX51" s="0" t="n">
        <v>2.96200332598839</v>
      </c>
      <c r="EY51" s="0" t="n">
        <v>2.883</v>
      </c>
      <c r="EZ51" s="0" t="n">
        <v>0.1505</v>
      </c>
      <c r="FA51" s="0" t="n">
        <v>2.057</v>
      </c>
      <c r="FB51" s="0" t="n">
        <v>1.628</v>
      </c>
      <c r="FC51" s="0" t="n">
        <v>31</v>
      </c>
      <c r="FD51" s="0" t="n">
        <v>670</v>
      </c>
      <c r="FE51" s="0" t="n">
        <v>0.073134328358209</v>
      </c>
      <c r="FF51" s="0" t="n">
        <v>0.0763</v>
      </c>
      <c r="FG51" s="0" t="n">
        <v>0.2132</v>
      </c>
      <c r="FH51" s="0" t="n">
        <v>2.2</v>
      </c>
      <c r="FI51" s="0" t="n">
        <v>1064</v>
      </c>
      <c r="FJ51" s="0" t="n">
        <v>0.596804511278195</v>
      </c>
      <c r="FK51" s="0" t="n">
        <v>17</v>
      </c>
      <c r="FL51" s="0" t="n">
        <v>62.59</v>
      </c>
      <c r="FM51" s="0" t="n">
        <v>0.5383</v>
      </c>
      <c r="FN51" s="0" t="n">
        <v>0.4617</v>
      </c>
      <c r="FO51" s="0" t="n">
        <v>-0.0301</v>
      </c>
      <c r="FP51" s="0" t="n">
        <v>-0.1008</v>
      </c>
      <c r="FQ51" s="0" t="n">
        <v>-0.0795</v>
      </c>
      <c r="FR51" s="0" t="n">
        <v>35</v>
      </c>
      <c r="FS51" s="0" t="n">
        <v>48</v>
      </c>
      <c r="FT51" s="0" t="n">
        <v>2.82</v>
      </c>
      <c r="FU51" s="0" t="n">
        <v>18</v>
      </c>
      <c r="FV51" s="0" t="n">
        <v>5643</v>
      </c>
      <c r="FW51" s="0" t="n">
        <v>4426</v>
      </c>
      <c r="FX51" s="0" t="n">
        <v>0.784</v>
      </c>
      <c r="FY51" s="0" t="n">
        <v>5</v>
      </c>
      <c r="FZ51" s="0" t="n">
        <v>4</v>
      </c>
      <c r="GA51" s="0" t="n">
        <v>-0.421361894882305</v>
      </c>
      <c r="GB51" s="0" t="n">
        <v>42.4</v>
      </c>
      <c r="GC51" s="0" t="n">
        <v>44.9</v>
      </c>
      <c r="GD51" s="0" t="n">
        <v>41.9</v>
      </c>
      <c r="GE51" s="0" t="n">
        <v>565</v>
      </c>
      <c r="GF51" s="0" t="n">
        <v>435</v>
      </c>
      <c r="GG51" s="0" t="n">
        <v>127</v>
      </c>
      <c r="GH51" s="0" t="n">
        <v>21</v>
      </c>
      <c r="GI51" s="0" t="n">
        <v>113</v>
      </c>
      <c r="GJ51" s="0" t="n">
        <v>15</v>
      </c>
      <c r="GK51" s="0" t="n">
        <v>0.225</v>
      </c>
      <c r="GL51" s="0" t="n">
        <v>0.048</v>
      </c>
      <c r="GM51" s="0" t="n">
        <v>0.133</v>
      </c>
      <c r="GN51" s="0" t="n">
        <v>14.935</v>
      </c>
      <c r="GO51" s="0" t="n">
        <v>13.876</v>
      </c>
      <c r="GP51" s="0" t="n">
        <v>12.818</v>
      </c>
      <c r="GQ51" s="0" t="n">
        <v>3.059</v>
      </c>
      <c r="GR51" s="0" t="n">
        <v>15.294</v>
      </c>
      <c r="GS51" s="0" t="n">
        <v>312</v>
      </c>
      <c r="GT51" s="0" t="n">
        <v>0.814</v>
      </c>
      <c r="GU51" s="0" t="n">
        <v>0.367</v>
      </c>
      <c r="GV51" s="0" t="n">
        <v>5.615</v>
      </c>
      <c r="GW51" s="0" t="n">
        <v>8.111</v>
      </c>
      <c r="GX51" s="0" t="n">
        <v>0.692</v>
      </c>
      <c r="GY51" s="0" t="n">
        <v>4.258</v>
      </c>
      <c r="GZ51" s="0" t="n">
        <v>-1.462</v>
      </c>
      <c r="HA51" s="0" t="n">
        <v>9.417</v>
      </c>
      <c r="HB51" s="0" t="n">
        <v>-3.842</v>
      </c>
      <c r="HC51" s="0" t="n">
        <v>0.042</v>
      </c>
      <c r="HD51" s="0" t="n">
        <v>-0.073</v>
      </c>
      <c r="HE51" s="0" t="n">
        <v>0.176</v>
      </c>
      <c r="HG51" s="0" t="n">
        <v>50.99</v>
      </c>
      <c r="HH51" s="0" t="n">
        <v>7.98</v>
      </c>
      <c r="HI51" s="0" t="n">
        <v>34</v>
      </c>
      <c r="HJ51" s="0" t="n">
        <v>72</v>
      </c>
      <c r="HK51" s="0" t="s">
        <v>909</v>
      </c>
      <c r="HL51" s="0" t="n">
        <v>0</v>
      </c>
      <c r="HM51" s="0" t="n">
        <v>10</v>
      </c>
      <c r="HN51" s="0" t="n">
        <v>18</v>
      </c>
      <c r="HO51" s="0" t="n">
        <v>0.234</v>
      </c>
      <c r="HP51" s="0" t="n">
        <v>14</v>
      </c>
      <c r="HQ51" s="0" t="n">
        <v>0.059</v>
      </c>
      <c r="HR51" s="0" t="s">
        <v>102</v>
      </c>
    </row>
    <row r="52" customFormat="false" ht="15" hidden="false" customHeight="false" outlineLevel="0" collapsed="false">
      <c r="A52" s="0" t="s">
        <v>896</v>
      </c>
      <c r="B52" s="0" t="s">
        <v>897</v>
      </c>
      <c r="C52" s="0" t="s">
        <v>898</v>
      </c>
      <c r="D52" s="0" t="s">
        <v>236</v>
      </c>
      <c r="E52" s="0" t="n">
        <v>17265</v>
      </c>
      <c r="F52" s="0" t="s">
        <v>99</v>
      </c>
      <c r="G52" s="0" t="n">
        <v>52.14</v>
      </c>
      <c r="H52" s="0" t="n">
        <v>9.31</v>
      </c>
      <c r="I52" s="0" t="n">
        <v>28</v>
      </c>
      <c r="J52" s="0" t="n">
        <v>76</v>
      </c>
      <c r="L52" s="0" t="s">
        <v>1199</v>
      </c>
      <c r="O52" s="0" t="n">
        <v>92.5</v>
      </c>
      <c r="U52" s="0" t="n">
        <v>7</v>
      </c>
      <c r="V52" s="0" t="s">
        <v>236</v>
      </c>
      <c r="W52" s="0" t="s">
        <v>901</v>
      </c>
      <c r="X52" s="0" t="s">
        <v>147</v>
      </c>
      <c r="Y52" s="0" t="s">
        <v>1200</v>
      </c>
      <c r="Z52" s="0" t="n">
        <v>17265</v>
      </c>
      <c r="AA52" s="0" t="s">
        <v>1201</v>
      </c>
      <c r="AB52" s="0" t="s">
        <v>904</v>
      </c>
      <c r="AC52" s="0" t="s">
        <v>147</v>
      </c>
      <c r="AD52" s="0" t="s">
        <v>147</v>
      </c>
      <c r="AE52" s="0" t="s">
        <v>147</v>
      </c>
      <c r="AF52" s="0" t="s">
        <v>147</v>
      </c>
      <c r="AG52" s="0" t="s">
        <v>147</v>
      </c>
      <c r="AH52" s="0" t="s">
        <v>905</v>
      </c>
      <c r="AI52" s="0" t="n">
        <v>1</v>
      </c>
      <c r="AJ52" s="0" t="s">
        <v>99</v>
      </c>
      <c r="AK52" s="0" t="n">
        <v>51</v>
      </c>
      <c r="AL52" s="0" t="n">
        <v>25</v>
      </c>
      <c r="AM52" s="0" t="s">
        <v>237</v>
      </c>
      <c r="AN52" s="0" t="n">
        <v>1</v>
      </c>
      <c r="AO52" s="0" t="n">
        <v>1</v>
      </c>
      <c r="AP52" s="0" t="n">
        <v>2</v>
      </c>
      <c r="AQ52" s="0" t="n">
        <v>1</v>
      </c>
      <c r="AR52" s="0" t="n">
        <v>0</v>
      </c>
      <c r="AS52" s="0" t="n">
        <v>0</v>
      </c>
      <c r="AT52" s="0" t="n">
        <v>2</v>
      </c>
      <c r="AU52" s="0" t="n">
        <v>1</v>
      </c>
      <c r="AV52" s="0" t="n">
        <v>3.86819368979195</v>
      </c>
      <c r="AW52" s="0" t="n">
        <v>15</v>
      </c>
      <c r="AX52" s="0" t="n">
        <v>79</v>
      </c>
      <c r="AY52" s="0" t="n">
        <v>1</v>
      </c>
      <c r="AZ52" s="0" t="n">
        <v>5</v>
      </c>
      <c r="BA52" s="0" t="n">
        <v>4.17283228132874</v>
      </c>
      <c r="BB52" s="0" t="n">
        <v>0</v>
      </c>
      <c r="BC52" s="0" t="n">
        <v>50</v>
      </c>
      <c r="BD52" s="0" t="n">
        <v>85</v>
      </c>
      <c r="BE52" s="0" t="n">
        <v>682</v>
      </c>
      <c r="BF52" s="0" t="n">
        <v>6</v>
      </c>
      <c r="BG52" s="0" t="n">
        <v>988</v>
      </c>
      <c r="BH52" s="0" t="n">
        <v>222</v>
      </c>
      <c r="BI52" s="0" t="n">
        <v>32</v>
      </c>
      <c r="BJ52" s="0" t="n">
        <v>13.6231974924865</v>
      </c>
      <c r="BK52" s="0" t="n">
        <v>0</v>
      </c>
      <c r="BL52" s="0" t="n">
        <v>0</v>
      </c>
      <c r="BM52" s="0" t="n">
        <v>122.18</v>
      </c>
      <c r="BN52" s="0" t="n">
        <v>172.18</v>
      </c>
      <c r="BO52" s="0" t="n">
        <v>17</v>
      </c>
      <c r="BP52" s="0" t="s">
        <v>203</v>
      </c>
      <c r="BQ52" s="0" t="n">
        <v>1</v>
      </c>
      <c r="BR52" s="0" t="n">
        <v>147.18</v>
      </c>
      <c r="BS52" s="0" t="n">
        <v>0.1598</v>
      </c>
      <c r="BT52" s="0" t="n">
        <v>0.0297</v>
      </c>
      <c r="BU52" s="0" t="n">
        <v>0.2178</v>
      </c>
      <c r="BV52" s="0" t="n">
        <v>0.1598</v>
      </c>
      <c r="BW52" s="0" t="n">
        <v>0.0297</v>
      </c>
      <c r="BX52" s="0" t="n">
        <v>0.2178</v>
      </c>
      <c r="BY52" s="0" t="n">
        <v>0.3922</v>
      </c>
      <c r="BZ52" s="0" t="n">
        <v>17</v>
      </c>
      <c r="CA52" s="0" t="n">
        <v>3.1</v>
      </c>
      <c r="CB52" s="0" t="n">
        <v>22.5</v>
      </c>
      <c r="CC52" s="0" t="n">
        <v>8.2</v>
      </c>
      <c r="CD52" s="0" t="n">
        <v>8.19</v>
      </c>
      <c r="CE52" s="0" t="n">
        <v>4</v>
      </c>
      <c r="CF52" s="0" t="n">
        <v>3</v>
      </c>
      <c r="CG52" s="0" t="n">
        <v>17</v>
      </c>
      <c r="CH52" s="0" t="n">
        <v>0.235</v>
      </c>
      <c r="CI52" s="0" t="n">
        <v>0.176</v>
      </c>
      <c r="CJ52" s="0" t="n">
        <v>0.999</v>
      </c>
      <c r="CK52" s="0" t="n">
        <v>11</v>
      </c>
      <c r="CL52" s="0" t="n">
        <v>6</v>
      </c>
      <c r="CM52" s="0" t="n">
        <v>5</v>
      </c>
      <c r="CN52" s="0" t="n">
        <v>6</v>
      </c>
      <c r="CO52" s="0" t="n">
        <v>5.0902072789757</v>
      </c>
      <c r="CP52" s="0" t="n">
        <v>2</v>
      </c>
      <c r="CQ52" s="0" t="n">
        <v>1</v>
      </c>
      <c r="CR52" s="0" t="n">
        <v>0</v>
      </c>
      <c r="CS52" s="0" t="n">
        <v>1</v>
      </c>
      <c r="CT52" s="0" t="n">
        <v>0.287021138757452</v>
      </c>
      <c r="CU52" s="0" t="n">
        <v>13</v>
      </c>
      <c r="CV52" s="0" t="n">
        <v>7</v>
      </c>
      <c r="CW52" s="0" t="n">
        <v>5</v>
      </c>
      <c r="CX52" s="0" t="n">
        <v>7</v>
      </c>
      <c r="CY52" s="0" t="n">
        <v>5.38</v>
      </c>
      <c r="CZ52" s="0" t="n">
        <v>1.62</v>
      </c>
      <c r="DA52" s="0" t="n">
        <v>3.27176519102965</v>
      </c>
      <c r="DB52" s="0" t="n">
        <v>6.81285714285714</v>
      </c>
      <c r="DC52" s="0" t="n">
        <v>11.408</v>
      </c>
      <c r="DD52" s="0" t="n">
        <v>21.6530043967872</v>
      </c>
      <c r="DE52" s="0" t="n">
        <v>0.609919475583935</v>
      </c>
      <c r="DF52" s="0" t="n">
        <v>58.8235294117647</v>
      </c>
      <c r="DM52" s="0" t="s">
        <v>1202</v>
      </c>
      <c r="DN52" s="0" t="n">
        <v>15</v>
      </c>
      <c r="DO52" s="0" t="n">
        <v>2</v>
      </c>
      <c r="DS52" s="0" t="n">
        <v>85</v>
      </c>
      <c r="DT52" s="0" t="n">
        <v>4</v>
      </c>
      <c r="DU52" s="0" t="n">
        <v>3</v>
      </c>
      <c r="DV52" s="0" t="n">
        <v>9.2</v>
      </c>
      <c r="DW52" s="0" t="n">
        <v>4.44</v>
      </c>
      <c r="DX52" s="0" t="n">
        <v>11.5</v>
      </c>
      <c r="DY52" s="0" t="n">
        <v>0.0353</v>
      </c>
      <c r="DZ52" s="0" t="n">
        <v>979</v>
      </c>
      <c r="EA52" s="0" t="n">
        <v>0.848</v>
      </c>
      <c r="EB52" s="0" t="n">
        <v>17</v>
      </c>
      <c r="EC52" s="0" t="s">
        <v>1203</v>
      </c>
      <c r="ED52" s="0" t="n">
        <v>2018</v>
      </c>
      <c r="EE52" s="0" t="n">
        <v>1</v>
      </c>
      <c r="EF52" s="0" t="n">
        <v>24</v>
      </c>
      <c r="EG52" s="0" t="n">
        <v>2018</v>
      </c>
      <c r="EH52" s="0" t="n">
        <v>2026</v>
      </c>
      <c r="EI52" s="0" t="n">
        <v>9</v>
      </c>
      <c r="EJ52" s="0" t="n">
        <v>72</v>
      </c>
      <c r="EK52" s="0" t="n">
        <v>213</v>
      </c>
      <c r="EL52" s="0" t="s">
        <v>1204</v>
      </c>
      <c r="EM52" s="0" t="n">
        <v>29.3</v>
      </c>
      <c r="EN52" s="15" t="b">
        <f aca="false">FALSE()</f>
        <v>0</v>
      </c>
      <c r="EO52" s="0" t="n">
        <v>419</v>
      </c>
      <c r="EP52" s="0" t="n">
        <v>3.36658711217184</v>
      </c>
      <c r="EQ52" s="0" t="n">
        <v>0.126491646778043</v>
      </c>
      <c r="ER52" s="0" t="n">
        <v>1.44630071599045</v>
      </c>
      <c r="ES52" s="0" t="n">
        <v>0.897374701670644</v>
      </c>
      <c r="ET52" s="0" t="n">
        <v>37</v>
      </c>
      <c r="EU52" s="0" t="n">
        <v>20</v>
      </c>
      <c r="EV52" s="0" t="n">
        <v>5.01193317422434</v>
      </c>
      <c r="EW52" s="0" t="n">
        <v>0.540540540540541</v>
      </c>
      <c r="EX52" s="0" t="n">
        <v>2.91817960590113</v>
      </c>
      <c r="EY52" s="0" t="n">
        <v>3.397</v>
      </c>
      <c r="EZ52" s="0" t="n">
        <v>0.1265</v>
      </c>
      <c r="FA52" s="0" t="n">
        <v>2.905</v>
      </c>
      <c r="FB52" s="0" t="n">
        <v>2.057</v>
      </c>
      <c r="FC52" s="0" t="n">
        <v>35</v>
      </c>
      <c r="FD52" s="0" t="n">
        <v>584</v>
      </c>
      <c r="FE52" s="0" t="n">
        <v>0.0684931506849315</v>
      </c>
      <c r="FF52" s="0" t="n">
        <v>0.0702</v>
      </c>
      <c r="FG52" s="0" t="n">
        <v>0.2</v>
      </c>
      <c r="FH52" s="0" t="n">
        <v>2.507</v>
      </c>
      <c r="FI52" s="0" t="n">
        <v>1065</v>
      </c>
      <c r="FJ52" s="0" t="n">
        <v>0.509859154929578</v>
      </c>
      <c r="FK52" s="0" t="n">
        <v>17</v>
      </c>
      <c r="FL52" s="0" t="n">
        <v>62.65</v>
      </c>
      <c r="FM52" s="0" t="n">
        <v>0.5028</v>
      </c>
      <c r="FN52" s="0" t="n">
        <v>0.4972</v>
      </c>
      <c r="FO52" s="0" t="n">
        <v>-0.0352</v>
      </c>
      <c r="FP52" s="0" t="n">
        <v>0.1102</v>
      </c>
      <c r="FQ52" s="0" t="n">
        <v>0.1599</v>
      </c>
      <c r="FR52" s="0" t="n">
        <v>40</v>
      </c>
      <c r="FS52" s="0" t="n">
        <v>68</v>
      </c>
      <c r="FT52" s="0" t="n">
        <v>4</v>
      </c>
      <c r="FU52" s="0" t="n">
        <v>28.3</v>
      </c>
      <c r="FV52" s="0" t="n">
        <v>5677</v>
      </c>
      <c r="FW52" s="0" t="n">
        <v>4330</v>
      </c>
      <c r="FX52" s="0" t="n">
        <v>0.763</v>
      </c>
      <c r="FY52" s="0" t="n">
        <v>5</v>
      </c>
      <c r="FZ52" s="0" t="n">
        <v>4</v>
      </c>
      <c r="GA52" s="0" t="n">
        <v>1.26194193528219</v>
      </c>
      <c r="GB52" s="0" t="n">
        <v>72.8</v>
      </c>
      <c r="GC52" s="0" t="n">
        <v>64.4</v>
      </c>
      <c r="GD52" s="0" t="n">
        <v>73.6</v>
      </c>
      <c r="GE52" s="0" t="n">
        <v>479</v>
      </c>
      <c r="GF52" s="0" t="n">
        <v>547</v>
      </c>
      <c r="GG52" s="0" t="n">
        <v>19</v>
      </c>
      <c r="GH52" s="0" t="n">
        <v>17</v>
      </c>
      <c r="GI52" s="0" t="n">
        <v>180</v>
      </c>
      <c r="GJ52" s="0" t="n">
        <v>2</v>
      </c>
      <c r="GK52" s="0" t="n">
        <v>0.04</v>
      </c>
      <c r="GL52" s="0" t="n">
        <v>0.031</v>
      </c>
      <c r="GM52" s="0" t="n">
        <v>0.011</v>
      </c>
      <c r="GN52" s="0" t="n">
        <v>10.128</v>
      </c>
      <c r="GO52" s="0" t="n">
        <v>8.658</v>
      </c>
      <c r="GP52" s="0" t="n">
        <v>7.187</v>
      </c>
      <c r="GQ52" s="0" t="n">
        <v>5</v>
      </c>
      <c r="GR52" s="0" t="n">
        <v>0.882</v>
      </c>
      <c r="GS52" s="0" t="n">
        <v>100</v>
      </c>
      <c r="GT52" s="0" t="n">
        <v>1.722</v>
      </c>
      <c r="GU52" s="0" t="n">
        <v>0.176</v>
      </c>
      <c r="GV52" s="0" t="n">
        <v>8.024</v>
      </c>
      <c r="GW52" s="0" t="n">
        <v>13.64</v>
      </c>
      <c r="GX52" s="0" t="n">
        <v>0.588</v>
      </c>
      <c r="GZ52" s="0" t="n">
        <v>11.624</v>
      </c>
      <c r="HA52" s="0" t="n">
        <v>4.44</v>
      </c>
      <c r="HB52" s="0" t="n">
        <v>0.69</v>
      </c>
      <c r="HC52" s="0" t="n">
        <v>0.07</v>
      </c>
      <c r="HE52" s="0" t="n">
        <v>0.16</v>
      </c>
      <c r="HG52" s="0" t="n">
        <v>52.14</v>
      </c>
      <c r="HH52" s="0" t="n">
        <v>9.31</v>
      </c>
      <c r="HI52" s="0" t="n">
        <v>28</v>
      </c>
      <c r="HJ52" s="0" t="n">
        <v>76</v>
      </c>
      <c r="HK52" s="0" t="s">
        <v>909</v>
      </c>
      <c r="HL52" s="0" t="n">
        <v>0</v>
      </c>
      <c r="HM52" s="0" t="n">
        <v>34</v>
      </c>
      <c r="HN52" s="0" t="n">
        <v>25</v>
      </c>
      <c r="HO52" s="0" t="n">
        <v>-0.569</v>
      </c>
      <c r="HP52" s="0" t="n">
        <v>46</v>
      </c>
      <c r="HQ52" s="0" t="n">
        <v>-1.096</v>
      </c>
      <c r="HR52" s="0" t="s">
        <v>121</v>
      </c>
    </row>
    <row r="53" customFormat="false" ht="15" hidden="false" customHeight="false" outlineLevel="0" collapsed="false">
      <c r="A53" s="0" t="s">
        <v>896</v>
      </c>
      <c r="B53" s="0" t="s">
        <v>897</v>
      </c>
      <c r="C53" s="0" t="s">
        <v>898</v>
      </c>
      <c r="D53" s="0" t="s">
        <v>238</v>
      </c>
      <c r="E53" s="0" t="n">
        <v>26434</v>
      </c>
      <c r="F53" s="0" t="s">
        <v>149</v>
      </c>
      <c r="G53" s="0" t="n">
        <v>53.48</v>
      </c>
      <c r="H53" s="0" t="n">
        <v>10.41</v>
      </c>
      <c r="I53" s="0" t="n">
        <v>22</v>
      </c>
      <c r="J53" s="0" t="n">
        <v>87</v>
      </c>
      <c r="L53" s="0" t="s">
        <v>1205</v>
      </c>
      <c r="O53" s="0" t="n">
        <v>98.5</v>
      </c>
      <c r="U53" s="0" t="n">
        <v>13</v>
      </c>
      <c r="V53" s="0" t="s">
        <v>238</v>
      </c>
      <c r="W53" s="0" t="s">
        <v>901</v>
      </c>
      <c r="X53" s="0" t="s">
        <v>130</v>
      </c>
      <c r="Y53" s="0" t="s">
        <v>1206</v>
      </c>
      <c r="Z53" s="0" t="n">
        <v>26434</v>
      </c>
      <c r="AA53" s="0" t="s">
        <v>1207</v>
      </c>
      <c r="AB53" s="0" t="s">
        <v>904</v>
      </c>
      <c r="AC53" s="0" t="s">
        <v>130</v>
      </c>
      <c r="AD53" s="0" t="s">
        <v>130</v>
      </c>
      <c r="AE53" s="0" t="s">
        <v>130</v>
      </c>
      <c r="AF53" s="0" t="s">
        <v>130</v>
      </c>
      <c r="AG53" s="0" t="s">
        <v>130</v>
      </c>
      <c r="AH53" s="0" t="s">
        <v>905</v>
      </c>
      <c r="AI53" s="0" t="n">
        <v>1</v>
      </c>
      <c r="AJ53" s="0" t="s">
        <v>149</v>
      </c>
      <c r="AK53" s="0" t="n">
        <v>52</v>
      </c>
      <c r="AL53" s="0" t="n">
        <v>4</v>
      </c>
      <c r="AM53" s="0" t="s">
        <v>239</v>
      </c>
      <c r="AN53" s="0" t="n">
        <v>0</v>
      </c>
      <c r="AO53" s="0" t="n">
        <v>1</v>
      </c>
      <c r="AP53" s="0" t="n">
        <v>0</v>
      </c>
      <c r="AQ53" s="0" t="n">
        <v>0</v>
      </c>
      <c r="AR53" s="0" t="n">
        <v>0</v>
      </c>
      <c r="AS53" s="0" t="n">
        <v>0</v>
      </c>
      <c r="AT53" s="0" t="n">
        <v>11</v>
      </c>
      <c r="AU53" s="0" t="n">
        <v>0</v>
      </c>
      <c r="AV53" s="0" t="n">
        <v>-0.465327389014419</v>
      </c>
      <c r="AW53" s="0" t="n">
        <v>6</v>
      </c>
      <c r="AX53" s="0" t="n">
        <v>8</v>
      </c>
      <c r="AY53" s="0" t="n">
        <v>1</v>
      </c>
      <c r="AZ53" s="0" t="n">
        <v>3</v>
      </c>
      <c r="BA53" s="0" t="n">
        <v>-4.33735474609421</v>
      </c>
      <c r="BB53" s="0" t="n">
        <v>0</v>
      </c>
      <c r="BC53" s="0" t="n">
        <v>76</v>
      </c>
      <c r="BD53" s="0" t="n">
        <v>112</v>
      </c>
      <c r="BE53" s="0" t="n">
        <v>817</v>
      </c>
      <c r="BF53" s="0" t="n">
        <v>4</v>
      </c>
      <c r="BG53" s="0" t="n">
        <v>602</v>
      </c>
      <c r="BH53" s="0" t="n">
        <v>474</v>
      </c>
      <c r="BI53" s="0" t="n">
        <v>42</v>
      </c>
      <c r="BJ53" s="0" t="n">
        <v>15.7703691964545</v>
      </c>
      <c r="BK53" s="0" t="n">
        <v>0</v>
      </c>
      <c r="BL53" s="0" t="n">
        <v>0</v>
      </c>
      <c r="BM53" s="0" t="n">
        <v>112.5</v>
      </c>
      <c r="BN53" s="0" t="n">
        <v>188.5</v>
      </c>
      <c r="BO53" s="0" t="n">
        <v>17</v>
      </c>
      <c r="BP53" s="0" t="s">
        <v>130</v>
      </c>
      <c r="BQ53" s="0" t="n">
        <v>1</v>
      </c>
      <c r="BR53" s="0" t="n">
        <v>150.5</v>
      </c>
      <c r="BS53" s="0" t="n">
        <v>0.2113</v>
      </c>
      <c r="BT53" s="0" t="n">
        <v>0.0136</v>
      </c>
      <c r="BU53" s="0" t="n">
        <v>0.1408</v>
      </c>
      <c r="BV53" s="0" t="n">
        <v>0.2113</v>
      </c>
      <c r="BW53" s="0" t="n">
        <v>0.0136</v>
      </c>
      <c r="BX53" s="0" t="n">
        <v>0.1408</v>
      </c>
      <c r="BY53" s="0" t="n">
        <v>0.4155</v>
      </c>
      <c r="BZ53" s="0" t="n">
        <v>17</v>
      </c>
      <c r="CA53" s="0" t="n">
        <v>7.6</v>
      </c>
      <c r="CB53" s="0" t="n">
        <v>17.5</v>
      </c>
      <c r="CC53" s="0" t="n">
        <v>9.5</v>
      </c>
      <c r="CD53" s="0" t="n">
        <v>4.88</v>
      </c>
      <c r="CE53" s="0" t="n">
        <v>4</v>
      </c>
      <c r="CF53" s="0" t="n">
        <v>0</v>
      </c>
      <c r="CG53" s="0" t="n">
        <v>17</v>
      </c>
      <c r="CH53" s="0" t="n">
        <v>0.235</v>
      </c>
      <c r="CI53" s="0" t="n">
        <v>0</v>
      </c>
      <c r="CJ53" s="0" t="n">
        <v>0.514</v>
      </c>
      <c r="CK53" s="0" t="n">
        <v>21</v>
      </c>
      <c r="CL53" s="0" t="n">
        <v>11</v>
      </c>
      <c r="CM53" s="0" t="n">
        <v>4</v>
      </c>
      <c r="CN53" s="0" t="n">
        <v>4</v>
      </c>
      <c r="CO53" s="0" t="n">
        <v>7.2489352592502</v>
      </c>
      <c r="CP53" s="0" t="n">
        <v>4</v>
      </c>
      <c r="CQ53" s="0" t="n">
        <v>4</v>
      </c>
      <c r="CR53" s="0" t="n">
        <v>3</v>
      </c>
      <c r="CS53" s="0" t="n">
        <v>1</v>
      </c>
      <c r="CT53" s="0" t="n">
        <v>1.18643985707813</v>
      </c>
      <c r="CU53" s="0" t="n">
        <v>25</v>
      </c>
      <c r="CV53" s="0" t="n">
        <v>15</v>
      </c>
      <c r="CW53" s="0" t="n">
        <v>7</v>
      </c>
      <c r="CX53" s="0" t="n">
        <v>5</v>
      </c>
      <c r="CY53" s="0" t="n">
        <v>8.44</v>
      </c>
      <c r="CZ53" s="0" t="n">
        <v>-3.44</v>
      </c>
      <c r="DA53" s="0" t="n">
        <v>3.3098936455412</v>
      </c>
      <c r="DB53" s="0" t="n">
        <v>5.91195402298851</v>
      </c>
      <c r="DC53" s="0" t="n">
        <v>5.50982142857143</v>
      </c>
      <c r="DD53" s="0" t="n">
        <v>14.3935400504742</v>
      </c>
      <c r="DE53" s="0" t="n">
        <v>0.619173877050571</v>
      </c>
      <c r="DF53" s="0" t="n">
        <v>67.8571428571429</v>
      </c>
      <c r="DM53" s="0" t="s">
        <v>1208</v>
      </c>
      <c r="DN53" s="0" t="n">
        <v>6</v>
      </c>
      <c r="DO53" s="0" t="n">
        <v>0</v>
      </c>
      <c r="DS53" s="0" t="n">
        <v>112</v>
      </c>
      <c r="DT53" s="0" t="n">
        <v>4</v>
      </c>
      <c r="DU53" s="0" t="n">
        <v>2</v>
      </c>
      <c r="DV53" s="0" t="n">
        <v>4.513</v>
      </c>
      <c r="DW53" s="0" t="n">
        <v>6.237</v>
      </c>
      <c r="DX53" s="0" t="n">
        <v>5.4</v>
      </c>
      <c r="DY53" s="0" t="n">
        <v>0.0179</v>
      </c>
      <c r="DZ53" s="0" t="n">
        <v>899</v>
      </c>
      <c r="EA53" s="0" t="n">
        <v>0.838</v>
      </c>
      <c r="EB53" s="0" t="n">
        <v>17</v>
      </c>
      <c r="EC53" s="0" t="s">
        <v>1209</v>
      </c>
      <c r="ED53" s="0" t="n">
        <v>2025</v>
      </c>
      <c r="EE53" s="0" t="n">
        <v>1</v>
      </c>
      <c r="EF53" s="0" t="n">
        <v>14</v>
      </c>
      <c r="EG53" s="0" t="n">
        <v>2025</v>
      </c>
      <c r="EH53" s="0" t="n">
        <v>2026</v>
      </c>
      <c r="EI53" s="0" t="n">
        <v>2</v>
      </c>
      <c r="EJ53" s="0" t="n">
        <v>78</v>
      </c>
      <c r="EK53" s="0" t="n">
        <v>256</v>
      </c>
      <c r="EL53" s="0" t="s">
        <v>1063</v>
      </c>
      <c r="EM53" s="0" t="n">
        <v>24.2</v>
      </c>
      <c r="EN53" s="15" t="b">
        <f aca="false">FALSE()</f>
        <v>0</v>
      </c>
      <c r="EO53" s="0" t="n">
        <v>373</v>
      </c>
      <c r="EP53" s="0" t="n">
        <v>3.01769436997319</v>
      </c>
      <c r="EQ53" s="0" t="n">
        <v>0.152815013404826</v>
      </c>
      <c r="ER53" s="0" t="n">
        <v>1.2171581769437</v>
      </c>
      <c r="ES53" s="0" t="n">
        <v>1.07506702412869</v>
      </c>
      <c r="ET53" s="0" t="n">
        <v>32</v>
      </c>
      <c r="EU53" s="0" t="n">
        <v>22</v>
      </c>
      <c r="EV53" s="0" t="n">
        <v>4.73190348525469</v>
      </c>
      <c r="EW53" s="0" t="n">
        <v>0.6875</v>
      </c>
      <c r="EX53" s="0" t="n">
        <v>2.89403637630104</v>
      </c>
      <c r="EY53" s="0" t="n">
        <v>3.072</v>
      </c>
      <c r="EZ53" s="0" t="n">
        <v>0.1487</v>
      </c>
      <c r="FA53" s="0" t="n">
        <v>2.428</v>
      </c>
      <c r="FB53" s="0" t="n">
        <v>2.113</v>
      </c>
      <c r="FC53" s="0" t="n">
        <v>29</v>
      </c>
      <c r="FD53" s="0" t="n">
        <v>599</v>
      </c>
      <c r="FE53" s="0" t="n">
        <v>0.0484140233722872</v>
      </c>
      <c r="FF53" s="0" t="n">
        <v>0.047</v>
      </c>
      <c r="FG53" s="0" t="n">
        <v>0.2121</v>
      </c>
      <c r="FH53" s="0" t="n">
        <v>2.237</v>
      </c>
      <c r="FI53" s="0" t="n">
        <v>1011</v>
      </c>
      <c r="FJ53" s="0" t="n">
        <v>0.573689416419387</v>
      </c>
      <c r="FK53" s="0" t="n">
        <v>17</v>
      </c>
      <c r="FL53" s="0" t="n">
        <v>59.47</v>
      </c>
      <c r="FM53" s="0" t="n">
        <v>0.5637</v>
      </c>
      <c r="FN53" s="0" t="n">
        <v>0.4363</v>
      </c>
      <c r="FO53" s="0" t="n">
        <v>-0.0091</v>
      </c>
      <c r="FP53" s="0" t="n">
        <v>0.094</v>
      </c>
      <c r="FQ53" s="0" t="n">
        <v>0.0558</v>
      </c>
      <c r="FR53" s="0" t="n">
        <v>39</v>
      </c>
      <c r="FS53" s="0" t="n">
        <v>70</v>
      </c>
      <c r="FT53" s="0" t="n">
        <v>4.12</v>
      </c>
      <c r="FU53" s="0" t="n">
        <v>27.4</v>
      </c>
      <c r="FV53" s="0" t="n">
        <v>5369</v>
      </c>
      <c r="FW53" s="0" t="n">
        <v>4465</v>
      </c>
      <c r="FX53" s="0" t="n">
        <v>0.832</v>
      </c>
      <c r="FY53" s="0" t="n">
        <v>5</v>
      </c>
      <c r="FZ53" s="0" t="n">
        <v>5</v>
      </c>
      <c r="GA53" s="0" t="n">
        <v>0.42626114302074</v>
      </c>
      <c r="GB53" s="0" t="n">
        <v>57.7</v>
      </c>
      <c r="GC53" s="0" t="n">
        <v>58.5</v>
      </c>
      <c r="GD53" s="0" t="n">
        <v>60.3</v>
      </c>
      <c r="GE53" s="0" t="n">
        <v>530</v>
      </c>
      <c r="GF53" s="0" t="n">
        <v>442</v>
      </c>
      <c r="GG53" s="0" t="n">
        <v>147</v>
      </c>
      <c r="GH53" s="0" t="n">
        <v>24</v>
      </c>
      <c r="GI53" s="0" t="n">
        <v>179</v>
      </c>
      <c r="GJ53" s="0" t="n">
        <v>20</v>
      </c>
      <c r="GK53" s="0" t="n">
        <v>0.277</v>
      </c>
      <c r="GL53" s="0" t="n">
        <v>0.054</v>
      </c>
      <c r="GM53" s="0" t="n">
        <v>0.112</v>
      </c>
      <c r="GN53" s="0" t="n">
        <v>11.088</v>
      </c>
      <c r="GO53" s="0" t="n">
        <v>8.853</v>
      </c>
      <c r="GP53" s="0" t="n">
        <v>6.618</v>
      </c>
      <c r="GQ53" s="0" t="n">
        <v>6.588</v>
      </c>
      <c r="GR53" s="0" t="n">
        <v>0.353</v>
      </c>
      <c r="GS53" s="0" t="n">
        <v>118</v>
      </c>
      <c r="GT53" s="0" t="n">
        <v>1.597</v>
      </c>
      <c r="GU53" s="0" t="n">
        <v>0.21</v>
      </c>
      <c r="GV53" s="0" t="n">
        <v>7.295</v>
      </c>
      <c r="GW53" s="0" t="n">
        <v>10.75</v>
      </c>
      <c r="GX53" s="0" t="n">
        <v>0.679</v>
      </c>
      <c r="GZ53" s="0" t="n">
        <v>5.375</v>
      </c>
      <c r="HA53" s="0" t="n">
        <v>6.237</v>
      </c>
      <c r="HB53" s="0" t="n">
        <v>1.357</v>
      </c>
      <c r="HC53" s="0" t="n">
        <v>0.042</v>
      </c>
      <c r="HE53" s="0" t="n">
        <v>0.141</v>
      </c>
      <c r="HG53" s="0" t="n">
        <v>53.48</v>
      </c>
      <c r="HH53" s="0" t="n">
        <v>10.41</v>
      </c>
      <c r="HI53" s="0" t="n">
        <v>22</v>
      </c>
      <c r="HJ53" s="0" t="n">
        <v>87</v>
      </c>
      <c r="HK53" s="0" t="s">
        <v>909</v>
      </c>
      <c r="HL53" s="0" t="n">
        <v>0</v>
      </c>
      <c r="HM53" s="0" t="n">
        <v>4</v>
      </c>
      <c r="HN53" s="0" t="n">
        <v>4</v>
      </c>
      <c r="HO53" s="0" t="n">
        <v>0.002</v>
      </c>
      <c r="HP53" s="0" t="n">
        <v>10</v>
      </c>
      <c r="HQ53" s="0" t="n">
        <v>-0.262</v>
      </c>
      <c r="HR53" s="0" t="s">
        <v>102</v>
      </c>
    </row>
    <row r="54" customFormat="false" ht="15" hidden="false" customHeight="false" outlineLevel="0" collapsed="false">
      <c r="A54" s="0" t="s">
        <v>896</v>
      </c>
      <c r="B54" s="0" t="s">
        <v>897</v>
      </c>
      <c r="C54" s="0" t="s">
        <v>898</v>
      </c>
      <c r="D54" s="0" t="s">
        <v>240</v>
      </c>
      <c r="E54" s="0" t="n">
        <v>12119</v>
      </c>
      <c r="F54" s="0" t="s">
        <v>99</v>
      </c>
      <c r="G54" s="0" t="n">
        <v>54.06</v>
      </c>
      <c r="H54" s="0" t="n">
        <v>9.53</v>
      </c>
      <c r="I54" s="0" t="n">
        <v>38</v>
      </c>
      <c r="J54" s="0" t="n">
        <v>82</v>
      </c>
      <c r="L54" s="0" t="s">
        <v>1210</v>
      </c>
      <c r="O54" s="0" t="n">
        <v>90.6</v>
      </c>
      <c r="U54" s="0" t="n">
        <v>8</v>
      </c>
      <c r="V54" s="0" t="s">
        <v>240</v>
      </c>
      <c r="W54" s="0" t="s">
        <v>901</v>
      </c>
      <c r="X54" s="0" t="s">
        <v>948</v>
      </c>
      <c r="Y54" s="0" t="s">
        <v>1211</v>
      </c>
      <c r="Z54" s="0" t="n">
        <v>12119</v>
      </c>
      <c r="AA54" s="0" t="s">
        <v>1212</v>
      </c>
      <c r="AB54" s="0" t="s">
        <v>904</v>
      </c>
      <c r="AC54" s="0" t="s">
        <v>124</v>
      </c>
      <c r="AD54" s="0" t="s">
        <v>124</v>
      </c>
      <c r="AE54" s="0" t="s">
        <v>124</v>
      </c>
      <c r="AF54" s="0" t="s">
        <v>124</v>
      </c>
      <c r="AG54" s="0" t="s">
        <v>124</v>
      </c>
      <c r="AH54" s="0" t="s">
        <v>905</v>
      </c>
      <c r="AI54" s="0" t="n">
        <v>1</v>
      </c>
      <c r="AJ54" s="0" t="s">
        <v>99</v>
      </c>
      <c r="AK54" s="0" t="n">
        <v>53</v>
      </c>
      <c r="AL54" s="0" t="n">
        <v>26</v>
      </c>
      <c r="AM54" s="0" t="s">
        <v>241</v>
      </c>
      <c r="AN54" s="0" t="n">
        <v>0</v>
      </c>
      <c r="AO54" s="0" t="n">
        <v>0</v>
      </c>
      <c r="AP54" s="0" t="n">
        <v>0</v>
      </c>
      <c r="AQ54" s="0" t="n">
        <v>0</v>
      </c>
      <c r="AR54" s="0" t="n">
        <v>0</v>
      </c>
      <c r="AS54" s="0" t="n">
        <v>0</v>
      </c>
      <c r="AT54" s="0" t="n">
        <v>0</v>
      </c>
      <c r="AU54" s="0" t="n">
        <v>0</v>
      </c>
      <c r="AV54" s="0" t="n">
        <v>0</v>
      </c>
      <c r="AW54" s="0" t="n">
        <v>0</v>
      </c>
      <c r="AX54" s="0" t="n">
        <v>0</v>
      </c>
      <c r="AY54" s="0" t="n">
        <v>0</v>
      </c>
      <c r="AZ54" s="0" t="n">
        <v>0</v>
      </c>
      <c r="BA54" s="0" t="n">
        <v>0</v>
      </c>
      <c r="BB54" s="0" t="n">
        <v>0</v>
      </c>
      <c r="BC54" s="0" t="n">
        <v>30</v>
      </c>
      <c r="BD54" s="0" t="n">
        <v>62</v>
      </c>
      <c r="BE54" s="0" t="n">
        <v>368</v>
      </c>
      <c r="BF54" s="0" t="n">
        <v>3</v>
      </c>
      <c r="BG54" s="0" t="n">
        <v>824</v>
      </c>
      <c r="BH54" s="0" t="n">
        <v>37</v>
      </c>
      <c r="BI54" s="0" t="n">
        <v>23</v>
      </c>
      <c r="BJ54" s="0" t="n">
        <v>5.26632496287482</v>
      </c>
      <c r="BK54" s="0" t="n">
        <v>0</v>
      </c>
      <c r="BL54" s="0" t="n">
        <v>0</v>
      </c>
      <c r="BM54" s="0" t="n">
        <v>54.8</v>
      </c>
      <c r="BN54" s="0" t="n">
        <v>84.8</v>
      </c>
      <c r="BO54" s="0" t="n">
        <v>8</v>
      </c>
      <c r="BP54" s="0" t="s">
        <v>198</v>
      </c>
      <c r="BQ54" s="0" t="n">
        <v>1</v>
      </c>
      <c r="BR54" s="0" t="n">
        <v>69.8</v>
      </c>
      <c r="BS54" s="0" t="n">
        <v>0.1146</v>
      </c>
      <c r="BT54" s="0" t="n">
        <v>0</v>
      </c>
      <c r="BU54" s="0" t="n">
        <v>0.19</v>
      </c>
      <c r="BV54" s="0" t="n">
        <v>0.2313</v>
      </c>
      <c r="BW54" s="0" t="n">
        <v>0</v>
      </c>
      <c r="BX54" s="0" t="n">
        <v>0.3523</v>
      </c>
      <c r="BY54" s="0" t="n">
        <v>0.5936</v>
      </c>
      <c r="BZ54" s="0" t="n">
        <v>8</v>
      </c>
      <c r="CA54" s="0" t="n">
        <v>8.93</v>
      </c>
      <c r="CB54" s="0" t="n">
        <v>14.06</v>
      </c>
      <c r="CC54" s="0" t="n">
        <v>11.35</v>
      </c>
      <c r="CD54" s="0" t="n">
        <v>5.8</v>
      </c>
      <c r="CE54" s="0" t="n">
        <v>1</v>
      </c>
      <c r="CF54" s="0" t="n">
        <v>1</v>
      </c>
      <c r="CG54" s="0" t="n">
        <v>8</v>
      </c>
      <c r="CH54" s="0" t="n">
        <v>0.125</v>
      </c>
      <c r="CI54" s="0" t="n">
        <v>0.125</v>
      </c>
      <c r="CJ54" s="0" t="n">
        <v>0.511</v>
      </c>
      <c r="CK54" s="0" t="n">
        <v>9</v>
      </c>
      <c r="CL54" s="0" t="n">
        <v>5</v>
      </c>
      <c r="CM54" s="0" t="n">
        <v>5</v>
      </c>
      <c r="CN54" s="0" t="n">
        <v>3</v>
      </c>
      <c r="CO54" s="0" t="n">
        <v>3.99270462083611</v>
      </c>
      <c r="CP54" s="0" t="n">
        <v>0</v>
      </c>
      <c r="CQ54" s="0" t="n">
        <v>0</v>
      </c>
      <c r="CR54" s="0" t="n">
        <v>0</v>
      </c>
      <c r="CS54" s="0" t="n">
        <v>0</v>
      </c>
      <c r="CT54" s="0" t="n">
        <v>0</v>
      </c>
      <c r="CU54" s="0" t="n">
        <v>9</v>
      </c>
      <c r="CV54" s="0" t="n">
        <v>5</v>
      </c>
      <c r="CW54" s="0" t="n">
        <v>5</v>
      </c>
      <c r="CX54" s="0" t="n">
        <v>3</v>
      </c>
      <c r="CY54" s="0" t="n">
        <v>3.99</v>
      </c>
      <c r="CZ54" s="0" t="n">
        <v>-0.99</v>
      </c>
      <c r="DA54" s="0" t="n">
        <v>1.92025651621461</v>
      </c>
      <c r="DB54" s="0" t="n">
        <v>5.43129032258065</v>
      </c>
      <c r="DC54" s="0" t="n">
        <v>13.5979032258065</v>
      </c>
      <c r="DD54" s="0" t="n">
        <v>19.3225521069688</v>
      </c>
      <c r="DE54" s="0" t="n">
        <v>-0.618479592727009</v>
      </c>
      <c r="DF54" s="0" t="n">
        <v>48.3870967741936</v>
      </c>
      <c r="DM54" s="0" t="s">
        <v>1213</v>
      </c>
      <c r="DS54" s="0" t="n">
        <v>62</v>
      </c>
      <c r="DT54" s="0" t="n">
        <v>0</v>
      </c>
      <c r="DU54" s="0" t="n">
        <v>2</v>
      </c>
      <c r="DV54" s="0" t="n">
        <v>11.033</v>
      </c>
      <c r="DW54" s="0" t="n">
        <v>1.233</v>
      </c>
      <c r="DX54" s="0" t="n">
        <v>13.3</v>
      </c>
      <c r="DY54" s="0" t="n">
        <v>0.0323</v>
      </c>
      <c r="DZ54" s="0" t="n">
        <v>357</v>
      </c>
      <c r="EA54" s="0" t="n">
        <v>0.656</v>
      </c>
      <c r="EB54" s="0" t="n">
        <v>8</v>
      </c>
      <c r="EC54" s="0" t="s">
        <v>1214</v>
      </c>
      <c r="ED54" s="0" t="n">
        <v>2014</v>
      </c>
      <c r="EE54" s="0" t="n">
        <v>1</v>
      </c>
      <c r="EF54" s="0" t="n">
        <v>7</v>
      </c>
      <c r="EG54" s="0" t="n">
        <v>2014</v>
      </c>
      <c r="EH54" s="0" t="n">
        <v>2026</v>
      </c>
      <c r="EI54" s="0" t="n">
        <v>13</v>
      </c>
      <c r="EJ54" s="0" t="n">
        <v>77</v>
      </c>
      <c r="EK54" s="0" t="n">
        <v>231</v>
      </c>
      <c r="EL54" s="0" t="s">
        <v>1032</v>
      </c>
      <c r="EM54" s="0" t="n">
        <v>33</v>
      </c>
      <c r="EN54" s="15" t="b">
        <f aca="false">FALSE()</f>
        <v>0</v>
      </c>
      <c r="EO54" s="0" t="n">
        <v>405</v>
      </c>
      <c r="EP54" s="0" t="n">
        <v>2.91456790123457</v>
      </c>
      <c r="EQ54" s="0" t="n">
        <v>0.180246913580247</v>
      </c>
      <c r="ER54" s="0" t="n">
        <v>1.17530864197531</v>
      </c>
      <c r="ES54" s="0" t="n">
        <v>0.402469135802469</v>
      </c>
      <c r="ET54" s="0" t="n">
        <v>29</v>
      </c>
      <c r="EU54" s="0" t="n">
        <v>19</v>
      </c>
      <c r="EV54" s="0" t="n">
        <v>3.94814814814815</v>
      </c>
      <c r="EW54" s="0" t="n">
        <v>0.655172413793103</v>
      </c>
      <c r="EX54" s="0" t="n">
        <v>2.9571088201075</v>
      </c>
      <c r="EY54" s="0" t="n">
        <v>2.906</v>
      </c>
      <c r="EZ54" s="0" t="n">
        <v>0.1848</v>
      </c>
      <c r="FA54" s="0" t="n">
        <v>2.349</v>
      </c>
      <c r="FB54" s="0" t="n">
        <v>1.428</v>
      </c>
      <c r="FC54" s="0" t="n">
        <v>23</v>
      </c>
      <c r="FD54" s="0" t="n">
        <v>624</v>
      </c>
      <c r="FE54" s="0" t="n">
        <v>0.0432692307692308</v>
      </c>
      <c r="FF54" s="0" t="n">
        <v>0.0428</v>
      </c>
      <c r="FG54" s="0" t="n">
        <v>0.2125</v>
      </c>
      <c r="FH54" s="0" t="n">
        <v>2.547</v>
      </c>
      <c r="FI54" s="0" t="n">
        <v>1065</v>
      </c>
      <c r="FJ54" s="0" t="n">
        <v>0.566197183098592</v>
      </c>
      <c r="FK54" s="0" t="n">
        <v>17</v>
      </c>
      <c r="FL54" s="0" t="n">
        <v>62.65</v>
      </c>
      <c r="FM54" s="0" t="n">
        <v>0.5521</v>
      </c>
      <c r="FN54" s="0" t="n">
        <v>0.4479</v>
      </c>
      <c r="FO54" s="0" t="n">
        <v>-0.0088</v>
      </c>
      <c r="FP54" s="0" t="n">
        <v>-0.0044</v>
      </c>
      <c r="FQ54" s="0" t="n">
        <v>0.1587</v>
      </c>
      <c r="FR54" s="0" t="n">
        <v>38</v>
      </c>
      <c r="FS54" s="0" t="n">
        <v>66</v>
      </c>
      <c r="FT54" s="0" t="n">
        <v>3.88</v>
      </c>
      <c r="FU54" s="0" t="n">
        <v>25.7</v>
      </c>
      <c r="FV54" s="0" t="n">
        <v>5615</v>
      </c>
      <c r="FW54" s="0" t="n">
        <v>4784</v>
      </c>
      <c r="FX54" s="0" t="n">
        <v>0.852</v>
      </c>
      <c r="FY54" s="0" t="n">
        <v>5</v>
      </c>
      <c r="FZ54" s="0" t="n">
        <v>4</v>
      </c>
      <c r="GA54" s="0" t="n">
        <v>-0.196965652614142</v>
      </c>
      <c r="GB54" s="0" t="n">
        <v>46.4</v>
      </c>
      <c r="GC54" s="0" t="n">
        <v>74.5</v>
      </c>
      <c r="GD54" s="0" t="n">
        <v>63.3</v>
      </c>
      <c r="GE54" s="0" t="n">
        <v>550</v>
      </c>
      <c r="GF54" s="0" t="n">
        <v>481</v>
      </c>
      <c r="GG54" s="0" t="n">
        <v>170</v>
      </c>
      <c r="GH54" s="0" t="n">
        <v>94</v>
      </c>
      <c r="GI54" s="0" t="n">
        <v>185</v>
      </c>
      <c r="GJ54" s="0" t="n">
        <v>38</v>
      </c>
      <c r="GK54" s="0" t="n">
        <v>0.309</v>
      </c>
      <c r="GL54" s="0" t="n">
        <v>0.195</v>
      </c>
      <c r="GM54" s="0" t="n">
        <v>0.205</v>
      </c>
      <c r="GN54" s="0" t="n">
        <v>10.6</v>
      </c>
      <c r="GO54" s="0" t="n">
        <v>8.725</v>
      </c>
      <c r="GP54" s="0" t="n">
        <v>6.85</v>
      </c>
      <c r="GQ54" s="0" t="n">
        <v>7.75</v>
      </c>
      <c r="GR54" s="0" t="n">
        <v>0</v>
      </c>
      <c r="GS54" s="0" t="n">
        <v>62</v>
      </c>
      <c r="GT54" s="0" t="n">
        <v>1.368</v>
      </c>
      <c r="GU54" s="0" t="n">
        <v>0.238</v>
      </c>
      <c r="GV54" s="0" t="n">
        <v>5.935</v>
      </c>
      <c r="GW54" s="0" t="n">
        <v>12.267</v>
      </c>
      <c r="GX54" s="0" t="n">
        <v>0.484</v>
      </c>
      <c r="GZ54" s="0" t="n">
        <v>13.29</v>
      </c>
      <c r="HA54" s="0" t="n">
        <v>1.233</v>
      </c>
      <c r="HB54" s="0" t="n">
        <v>0.447</v>
      </c>
      <c r="HC54" s="0" t="n">
        <v>0.048</v>
      </c>
      <c r="HE54" s="0" t="n">
        <v>0.085</v>
      </c>
      <c r="HG54" s="0" t="n">
        <v>54.06</v>
      </c>
      <c r="HH54" s="0" t="n">
        <v>9.53</v>
      </c>
      <c r="HI54" s="0" t="n">
        <v>38</v>
      </c>
      <c r="HJ54" s="0" t="n">
        <v>82</v>
      </c>
      <c r="HK54" s="0" t="s">
        <v>909</v>
      </c>
      <c r="HL54" s="0" t="n">
        <v>0</v>
      </c>
      <c r="HM54" s="0" t="n">
        <v>66</v>
      </c>
      <c r="HN54" s="0" t="n">
        <v>26</v>
      </c>
      <c r="HO54" s="0" t="n">
        <v>-1.936</v>
      </c>
      <c r="HP54" s="0" t="n">
        <v>42</v>
      </c>
      <c r="HQ54" s="0" t="n">
        <v>-0.885</v>
      </c>
      <c r="HR54" s="0" t="s">
        <v>165</v>
      </c>
    </row>
    <row r="55" customFormat="false" ht="15" hidden="false" customHeight="false" outlineLevel="0" collapsed="false">
      <c r="A55" s="0" t="s">
        <v>896</v>
      </c>
      <c r="B55" s="0" t="s">
        <v>897</v>
      </c>
      <c r="C55" s="0" t="s">
        <v>898</v>
      </c>
      <c r="D55" s="0" t="s">
        <v>242</v>
      </c>
      <c r="E55" s="0" t="n">
        <v>27166</v>
      </c>
      <c r="F55" s="0" t="s">
        <v>104</v>
      </c>
      <c r="G55" s="0" t="n">
        <v>54.84</v>
      </c>
      <c r="H55" s="0" t="n">
        <v>8.9</v>
      </c>
      <c r="I55" s="0" t="n">
        <v>39</v>
      </c>
      <c r="J55" s="0" t="n">
        <v>86</v>
      </c>
      <c r="L55" s="0" t="s">
        <v>1215</v>
      </c>
      <c r="O55" s="0" t="n">
        <v>96.8</v>
      </c>
      <c r="U55" s="0" t="n">
        <v>8</v>
      </c>
      <c r="V55" s="0" t="s">
        <v>242</v>
      </c>
      <c r="W55" s="0" t="s">
        <v>901</v>
      </c>
      <c r="X55" s="0" t="s">
        <v>178</v>
      </c>
      <c r="Y55" s="0" t="s">
        <v>1216</v>
      </c>
      <c r="Z55" s="0" t="n">
        <v>27166</v>
      </c>
      <c r="AA55" s="0" t="s">
        <v>1217</v>
      </c>
      <c r="AB55" s="0" t="s">
        <v>904</v>
      </c>
      <c r="AC55" s="0" t="s">
        <v>178</v>
      </c>
      <c r="AD55" s="0" t="s">
        <v>178</v>
      </c>
      <c r="AE55" s="0" t="s">
        <v>178</v>
      </c>
      <c r="AF55" s="0" t="s">
        <v>178</v>
      </c>
      <c r="AG55" s="0" t="s">
        <v>178</v>
      </c>
      <c r="AH55" s="0" t="s">
        <v>905</v>
      </c>
      <c r="AI55" s="0" t="n">
        <v>1</v>
      </c>
      <c r="AJ55" s="0" t="s">
        <v>104</v>
      </c>
      <c r="AK55" s="0" t="n">
        <v>54</v>
      </c>
      <c r="AL55" s="0" t="n">
        <v>19</v>
      </c>
      <c r="AM55" s="0" t="s">
        <v>243</v>
      </c>
      <c r="AN55" s="0" t="n">
        <v>0</v>
      </c>
      <c r="AO55" s="0" t="n">
        <v>0</v>
      </c>
      <c r="AP55" s="0" t="n">
        <v>0</v>
      </c>
      <c r="AQ55" s="0" t="n">
        <v>0</v>
      </c>
      <c r="AR55" s="0" t="n">
        <v>0</v>
      </c>
      <c r="AS55" s="0" t="n">
        <v>0</v>
      </c>
      <c r="AT55" s="0" t="n">
        <v>0</v>
      </c>
      <c r="AU55" s="0" t="n">
        <v>0</v>
      </c>
      <c r="AV55" s="0" t="n">
        <v>0</v>
      </c>
      <c r="AW55" s="0" t="n">
        <v>101</v>
      </c>
      <c r="AX55" s="0" t="n">
        <v>410</v>
      </c>
      <c r="AY55" s="0" t="n">
        <v>5</v>
      </c>
      <c r="AZ55" s="0" t="n">
        <v>27</v>
      </c>
      <c r="BA55" s="0" t="n">
        <v>-12.0968266515383</v>
      </c>
      <c r="BB55" s="0" t="n">
        <v>1</v>
      </c>
      <c r="BC55" s="0" t="n">
        <v>24</v>
      </c>
      <c r="BD55" s="0" t="n">
        <v>32</v>
      </c>
      <c r="BE55" s="0" t="n">
        <v>207</v>
      </c>
      <c r="BF55" s="0" t="n">
        <v>2</v>
      </c>
      <c r="BG55" s="0" t="n">
        <v>-5</v>
      </c>
      <c r="BH55" s="0" t="n">
        <v>209</v>
      </c>
      <c r="BI55" s="0" t="n">
        <v>11</v>
      </c>
      <c r="BJ55" s="0" t="n">
        <v>3.35835579392733</v>
      </c>
      <c r="BK55" s="0" t="n">
        <v>0</v>
      </c>
      <c r="BL55" s="0" t="n">
        <v>0</v>
      </c>
      <c r="BM55" s="0" t="n">
        <v>103.7</v>
      </c>
      <c r="BN55" s="0" t="n">
        <v>127.7</v>
      </c>
      <c r="BO55" s="0" t="n">
        <v>8</v>
      </c>
      <c r="BP55" s="0" t="s">
        <v>178</v>
      </c>
      <c r="BQ55" s="0" t="n">
        <v>1</v>
      </c>
      <c r="BR55" s="0" t="n">
        <v>115.7</v>
      </c>
      <c r="BS55" s="0" t="n">
        <v>0.0636</v>
      </c>
      <c r="BT55" s="0" t="n">
        <v>0.1977</v>
      </c>
      <c r="BU55" s="0" t="n">
        <v>-0.0012</v>
      </c>
      <c r="BV55" s="0" t="n">
        <v>0.1322</v>
      </c>
      <c r="BW55" s="0" t="n">
        <v>0.4316</v>
      </c>
      <c r="BX55" s="0" t="n">
        <v>-0.0022</v>
      </c>
      <c r="BY55" s="0" t="n">
        <v>0.1968</v>
      </c>
      <c r="BZ55" s="0" t="n">
        <v>8</v>
      </c>
      <c r="CA55" s="0" t="n">
        <v>12.25</v>
      </c>
      <c r="CB55" s="0" t="n">
        <v>23.82</v>
      </c>
      <c r="CC55" s="0" t="n">
        <v>14.15</v>
      </c>
      <c r="CD55" s="0" t="n">
        <v>8.62</v>
      </c>
      <c r="CE55" s="0" t="n">
        <v>3</v>
      </c>
      <c r="CF55" s="0" t="n">
        <v>0</v>
      </c>
      <c r="CG55" s="0" t="n">
        <v>8</v>
      </c>
      <c r="CH55" s="0" t="n">
        <v>0.375</v>
      </c>
      <c r="CI55" s="0" t="n">
        <v>0</v>
      </c>
      <c r="CJ55" s="0" t="n">
        <v>0.609</v>
      </c>
      <c r="CK55" s="0" t="n">
        <v>4</v>
      </c>
      <c r="CL55" s="0" t="n">
        <v>1</v>
      </c>
      <c r="CM55" s="0" t="n">
        <v>0</v>
      </c>
      <c r="CN55" s="0" t="n">
        <v>2</v>
      </c>
      <c r="CO55" s="0" t="n">
        <v>1.1881269502858</v>
      </c>
      <c r="CP55" s="0" t="n">
        <v>23</v>
      </c>
      <c r="CQ55" s="0" t="n">
        <v>12</v>
      </c>
      <c r="CR55" s="0" t="n">
        <v>9</v>
      </c>
      <c r="CS55" s="0" t="n">
        <v>5</v>
      </c>
      <c r="CT55" s="0" t="n">
        <v>4.97731754094711</v>
      </c>
      <c r="CU55" s="0" t="n">
        <v>27</v>
      </c>
      <c r="CV55" s="0" t="n">
        <v>13</v>
      </c>
      <c r="CW55" s="0" t="n">
        <v>9</v>
      </c>
      <c r="CX55" s="0" t="n">
        <v>7</v>
      </c>
      <c r="CY55" s="0" t="n">
        <v>6.17</v>
      </c>
      <c r="CZ55" s="0" t="n">
        <v>0.83</v>
      </c>
      <c r="DG55" s="0" t="n">
        <v>3.73960975609756</v>
      </c>
      <c r="DH55" s="0" t="n">
        <v>23.7623762376238</v>
      </c>
      <c r="DI55" s="0" t="n">
        <v>2.56624731182796</v>
      </c>
      <c r="DJ55" s="0" t="n">
        <v>43.0127827917362</v>
      </c>
      <c r="DK55" s="0" t="n">
        <v>0.430127827917362</v>
      </c>
      <c r="DL55" s="0" t="n">
        <v>0.46</v>
      </c>
      <c r="DM55" s="0" t="s">
        <v>1218</v>
      </c>
      <c r="DN55" s="0" t="n">
        <v>101</v>
      </c>
      <c r="DO55" s="0" t="n">
        <v>7</v>
      </c>
      <c r="DP55" s="0" t="n">
        <v>2.158</v>
      </c>
      <c r="DQ55" s="0" t="n">
        <v>1.901</v>
      </c>
      <c r="DR55" s="0" t="n">
        <v>14.43</v>
      </c>
      <c r="DS55" s="0" t="n">
        <v>32</v>
      </c>
      <c r="DT55" s="0" t="n">
        <v>4</v>
      </c>
      <c r="DU55" s="0" t="n">
        <v>0</v>
      </c>
      <c r="DV55" s="0" t="n">
        <v>-0.083</v>
      </c>
      <c r="DW55" s="0" t="n">
        <v>8.708</v>
      </c>
      <c r="DX55" s="0" t="n">
        <v>-0.2</v>
      </c>
      <c r="DY55" s="0" t="n">
        <v>0</v>
      </c>
      <c r="DZ55" s="0" t="n">
        <v>295</v>
      </c>
      <c r="EA55" s="0" t="n">
        <v>0.522</v>
      </c>
      <c r="EB55" s="0" t="n">
        <v>8</v>
      </c>
      <c r="EC55" s="0" t="s">
        <v>1219</v>
      </c>
      <c r="ED55" s="0" t="n">
        <v>2025</v>
      </c>
      <c r="EE55" s="0" t="n">
        <v>4</v>
      </c>
      <c r="EF55" s="0" t="n">
        <v>105</v>
      </c>
      <c r="EG55" s="0" t="n">
        <v>2025</v>
      </c>
      <c r="EH55" s="0" t="n">
        <v>2026</v>
      </c>
      <c r="EI55" s="0" t="n">
        <v>2</v>
      </c>
      <c r="EJ55" s="0" t="n">
        <v>71</v>
      </c>
      <c r="EK55" s="0" t="n">
        <v>215</v>
      </c>
      <c r="EL55" s="0" t="s">
        <v>1220</v>
      </c>
      <c r="EM55" s="0" t="n">
        <v>24.5</v>
      </c>
      <c r="EN55" s="15" t="b">
        <f aca="false">FALSE()</f>
        <v>0</v>
      </c>
      <c r="EO55" s="0" t="n">
        <v>396</v>
      </c>
      <c r="EP55" s="0" t="n">
        <v>2.99646464646465</v>
      </c>
      <c r="EQ55" s="0" t="n">
        <v>0.146464646464647</v>
      </c>
      <c r="ER55" s="0" t="n">
        <v>1.08080808080808</v>
      </c>
      <c r="ES55" s="0" t="n">
        <v>0.441919191919192</v>
      </c>
      <c r="ET55" s="0" t="n">
        <v>24</v>
      </c>
      <c r="EU55" s="0" t="n">
        <v>15</v>
      </c>
      <c r="EV55" s="0" t="n">
        <v>4.00757575757576</v>
      </c>
      <c r="EW55" s="0" t="n">
        <v>0.625</v>
      </c>
      <c r="EX55" s="0" t="n">
        <v>2.97085160992848</v>
      </c>
      <c r="EY55" s="0" t="n">
        <v>2.974</v>
      </c>
      <c r="EZ55" s="0" t="n">
        <v>0.1475</v>
      </c>
      <c r="FA55" s="0" t="n">
        <v>2.714</v>
      </c>
      <c r="FB55" s="0" t="n">
        <v>1.581</v>
      </c>
      <c r="FC55" s="0" t="n">
        <v>16</v>
      </c>
      <c r="FD55" s="0" t="n">
        <v>624</v>
      </c>
      <c r="FE55" s="0" t="n">
        <v>0.0769230769230769</v>
      </c>
      <c r="FF55" s="0" t="n">
        <v>0.076</v>
      </c>
      <c r="FG55" s="0" t="n">
        <v>0.2947</v>
      </c>
      <c r="FH55" s="0" t="n">
        <v>2.388</v>
      </c>
      <c r="FI55" s="0" t="n">
        <v>1079</v>
      </c>
      <c r="FJ55" s="0" t="n">
        <v>0.533827618164968</v>
      </c>
      <c r="FK55" s="0" t="n">
        <v>17</v>
      </c>
      <c r="FL55" s="0" t="n">
        <v>63.47</v>
      </c>
      <c r="FM55" s="0" t="n">
        <v>0.494</v>
      </c>
      <c r="FN55" s="0" t="n">
        <v>0.506</v>
      </c>
      <c r="FO55" s="0" t="n">
        <v>-0.0466</v>
      </c>
      <c r="FP55" s="0" t="n">
        <v>0.0356</v>
      </c>
      <c r="FQ55" s="0" t="n">
        <v>-0.008</v>
      </c>
      <c r="FR55" s="0" t="n">
        <v>36</v>
      </c>
      <c r="FS55" s="0" t="n">
        <v>61</v>
      </c>
      <c r="FT55" s="0" t="n">
        <v>3.59</v>
      </c>
      <c r="FU55" s="0" t="n">
        <v>22.4</v>
      </c>
      <c r="FV55" s="0" t="n">
        <v>5756</v>
      </c>
      <c r="FW55" s="0" t="n">
        <v>4159</v>
      </c>
      <c r="FX55" s="0" t="n">
        <v>0.723</v>
      </c>
      <c r="FY55" s="0" t="n">
        <v>5</v>
      </c>
      <c r="FZ55" s="0" t="n">
        <v>4</v>
      </c>
      <c r="GA55" s="0" t="n">
        <v>0.375872277758655</v>
      </c>
      <c r="GB55" s="0" t="n">
        <v>56.8</v>
      </c>
      <c r="GC55" s="0" t="n">
        <v>36.8</v>
      </c>
      <c r="GD55" s="0" t="n">
        <v>45.9</v>
      </c>
      <c r="GE55" s="0" t="n">
        <v>503</v>
      </c>
      <c r="GF55" s="0" t="n">
        <v>511</v>
      </c>
      <c r="GG55" s="0" t="n">
        <v>177</v>
      </c>
      <c r="GH55" s="0" t="n">
        <v>3</v>
      </c>
      <c r="GI55" s="0" t="n">
        <v>162</v>
      </c>
      <c r="GJ55" s="0" t="n">
        <v>21</v>
      </c>
      <c r="GK55" s="0" t="n">
        <v>0.352</v>
      </c>
      <c r="GL55" s="0" t="n">
        <v>0.006</v>
      </c>
      <c r="GM55" s="0" t="n">
        <v>0.13</v>
      </c>
      <c r="GN55" s="0" t="n">
        <v>15.962</v>
      </c>
      <c r="GO55" s="0" t="n">
        <v>14.462</v>
      </c>
      <c r="GP55" s="0" t="n">
        <v>12.962</v>
      </c>
      <c r="GQ55" s="0" t="n">
        <v>4</v>
      </c>
      <c r="GR55" s="0" t="n">
        <v>12.625</v>
      </c>
      <c r="GS55" s="0" t="n">
        <v>133</v>
      </c>
      <c r="GT55" s="0" t="n">
        <v>0.96</v>
      </c>
      <c r="GU55" s="0" t="n">
        <v>0.433</v>
      </c>
      <c r="GV55" s="0" t="n">
        <v>6.469</v>
      </c>
      <c r="GW55" s="0" t="n">
        <v>8.625</v>
      </c>
      <c r="GX55" s="0" t="n">
        <v>0.75</v>
      </c>
      <c r="GY55" s="0" t="n">
        <v>4.059</v>
      </c>
      <c r="GZ55" s="0" t="n">
        <v>-0.156</v>
      </c>
      <c r="HA55" s="0" t="n">
        <v>8.708</v>
      </c>
      <c r="HB55" s="0" t="n">
        <v>-41.4</v>
      </c>
      <c r="HC55" s="0" t="n">
        <v>0.053</v>
      </c>
      <c r="HD55" s="0" t="n">
        <v>-0.12</v>
      </c>
      <c r="HE55" s="0" t="n">
        <v>0.105</v>
      </c>
      <c r="HG55" s="0" t="n">
        <v>54.84</v>
      </c>
      <c r="HH55" s="0" t="n">
        <v>8.9</v>
      </c>
      <c r="HI55" s="0" t="n">
        <v>39</v>
      </c>
      <c r="HJ55" s="0" t="n">
        <v>86</v>
      </c>
      <c r="HK55" s="0" t="s">
        <v>909</v>
      </c>
      <c r="HL55" s="0" t="n">
        <v>0</v>
      </c>
      <c r="HM55" s="0" t="n">
        <v>36</v>
      </c>
      <c r="HN55" s="0" t="n">
        <v>19</v>
      </c>
      <c r="HO55" s="0" t="n">
        <v>-0.87</v>
      </c>
      <c r="HP55" s="0" t="n">
        <v>9</v>
      </c>
      <c r="HQ55" s="0" t="n">
        <v>0.313</v>
      </c>
      <c r="HR55" s="0" t="s">
        <v>121</v>
      </c>
    </row>
    <row r="56" customFormat="false" ht="15" hidden="false" customHeight="false" outlineLevel="0" collapsed="false">
      <c r="A56" s="0" t="s">
        <v>896</v>
      </c>
      <c r="B56" s="0" t="s">
        <v>897</v>
      </c>
      <c r="C56" s="0" t="s">
        <v>898</v>
      </c>
      <c r="D56" s="0" t="s">
        <v>244</v>
      </c>
      <c r="E56" s="0" t="n">
        <v>23677</v>
      </c>
      <c r="F56" s="0" t="s">
        <v>99</v>
      </c>
      <c r="G56" s="0" t="n">
        <v>56.01</v>
      </c>
      <c r="H56" s="0" t="n">
        <v>9.85</v>
      </c>
      <c r="I56" s="0" t="n">
        <v>42</v>
      </c>
      <c r="J56" s="0" t="n">
        <v>100</v>
      </c>
      <c r="L56" s="0" t="s">
        <v>1221</v>
      </c>
      <c r="O56" s="0" t="n">
        <v>93.5</v>
      </c>
      <c r="U56" s="0" t="n">
        <v>6</v>
      </c>
      <c r="V56" s="0" t="s">
        <v>244</v>
      </c>
      <c r="W56" s="0" t="s">
        <v>901</v>
      </c>
      <c r="X56" s="0" t="s">
        <v>106</v>
      </c>
      <c r="Y56" s="0" t="s">
        <v>1222</v>
      </c>
      <c r="Z56" s="0" t="n">
        <v>23677</v>
      </c>
      <c r="AA56" s="0" t="s">
        <v>1223</v>
      </c>
      <c r="AB56" s="0" t="s">
        <v>904</v>
      </c>
      <c r="AC56" s="0" t="s">
        <v>106</v>
      </c>
      <c r="AD56" s="0" t="s">
        <v>106</v>
      </c>
      <c r="AE56" s="0" t="s">
        <v>106</v>
      </c>
      <c r="AF56" s="0" t="s">
        <v>106</v>
      </c>
      <c r="AG56" s="0" t="s">
        <v>106</v>
      </c>
      <c r="AH56" s="0" t="s">
        <v>905</v>
      </c>
      <c r="AI56" s="0" t="n">
        <v>2</v>
      </c>
      <c r="AJ56" s="0" t="s">
        <v>99</v>
      </c>
      <c r="AK56" s="0" t="n">
        <v>55</v>
      </c>
      <c r="AL56" s="0" t="n">
        <v>27</v>
      </c>
      <c r="AM56" s="0" t="s">
        <v>245</v>
      </c>
      <c r="AN56" s="0" t="n">
        <v>0</v>
      </c>
      <c r="AO56" s="0" t="n">
        <v>0</v>
      </c>
      <c r="AP56" s="0" t="n">
        <v>0</v>
      </c>
      <c r="AQ56" s="0" t="n">
        <v>0</v>
      </c>
      <c r="AR56" s="0" t="n">
        <v>0</v>
      </c>
      <c r="AS56" s="0" t="n">
        <v>0</v>
      </c>
      <c r="AT56" s="0" t="n">
        <v>0</v>
      </c>
      <c r="AU56" s="0" t="n">
        <v>0</v>
      </c>
      <c r="AV56" s="0" t="n">
        <v>0</v>
      </c>
      <c r="AW56" s="0" t="n">
        <v>6</v>
      </c>
      <c r="AX56" s="0" t="n">
        <v>12</v>
      </c>
      <c r="AY56" s="0" t="n">
        <v>0</v>
      </c>
      <c r="AZ56" s="0" t="n">
        <v>0</v>
      </c>
      <c r="BA56" s="0" t="n">
        <v>-1.42571196315112</v>
      </c>
      <c r="BB56" s="0" t="n">
        <v>0</v>
      </c>
      <c r="BC56" s="0" t="n">
        <v>65</v>
      </c>
      <c r="BD56" s="0" t="n">
        <v>102</v>
      </c>
      <c r="BE56" s="0" t="n">
        <v>1117</v>
      </c>
      <c r="BF56" s="0" t="n">
        <v>7</v>
      </c>
      <c r="BG56" s="0" t="n">
        <v>1289</v>
      </c>
      <c r="BH56" s="0" t="n">
        <v>441</v>
      </c>
      <c r="BI56" s="0" t="n">
        <v>49</v>
      </c>
      <c r="BJ56" s="0" t="n">
        <v>56.1684345240439</v>
      </c>
      <c r="BK56" s="0" t="n">
        <v>0</v>
      </c>
      <c r="BL56" s="0" t="n">
        <v>0</v>
      </c>
      <c r="BM56" s="0" t="n">
        <v>154.9</v>
      </c>
      <c r="BN56" s="0" t="n">
        <v>219.9</v>
      </c>
      <c r="BO56" s="0" t="n">
        <v>17</v>
      </c>
      <c r="BP56" s="0" t="s">
        <v>106</v>
      </c>
      <c r="BQ56" s="0" t="n">
        <v>1</v>
      </c>
      <c r="BR56" s="0" t="n">
        <v>187.4</v>
      </c>
      <c r="BS56" s="0" t="n">
        <v>0.1855</v>
      </c>
      <c r="BT56" s="0" t="n">
        <v>0.0136</v>
      </c>
      <c r="BU56" s="0" t="n">
        <v>0.3509</v>
      </c>
      <c r="BV56" s="0" t="n">
        <v>0.1855</v>
      </c>
      <c r="BW56" s="0" t="n">
        <v>0.0136</v>
      </c>
      <c r="BX56" s="0" t="n">
        <v>0.3509</v>
      </c>
      <c r="BY56" s="0" t="n">
        <v>0.5239</v>
      </c>
      <c r="BZ56" s="0" t="n">
        <v>17</v>
      </c>
      <c r="CA56" s="0" t="n">
        <v>5.7</v>
      </c>
      <c r="CB56" s="0" t="n">
        <v>22.22</v>
      </c>
      <c r="CC56" s="0" t="n">
        <v>13.4</v>
      </c>
      <c r="CD56" s="0" t="n">
        <v>8.96</v>
      </c>
      <c r="CE56" s="0" t="n">
        <v>7</v>
      </c>
      <c r="CF56" s="0" t="n">
        <v>3</v>
      </c>
      <c r="CG56" s="0" t="n">
        <v>17</v>
      </c>
      <c r="CH56" s="0" t="n">
        <v>0.412</v>
      </c>
      <c r="CI56" s="0" t="n">
        <v>0.176</v>
      </c>
      <c r="CJ56" s="0" t="n">
        <v>0.669</v>
      </c>
      <c r="CK56" s="0" t="n">
        <v>9</v>
      </c>
      <c r="CL56" s="0" t="n">
        <v>4</v>
      </c>
      <c r="CM56" s="0" t="n">
        <v>1</v>
      </c>
      <c r="CN56" s="0" t="n">
        <v>7</v>
      </c>
      <c r="CO56" s="0" t="n">
        <v>3.99297419148684</v>
      </c>
      <c r="CP56" s="0" t="n">
        <v>1</v>
      </c>
      <c r="CQ56" s="0" t="n">
        <v>1</v>
      </c>
      <c r="CR56" s="0" t="n">
        <v>0</v>
      </c>
      <c r="CS56" s="0" t="n">
        <v>0</v>
      </c>
      <c r="CT56" s="0" t="n">
        <v>0.171552617511861</v>
      </c>
      <c r="CU56" s="0" t="n">
        <v>10</v>
      </c>
      <c r="CV56" s="0" t="n">
        <v>5</v>
      </c>
      <c r="CW56" s="0" t="n">
        <v>1</v>
      </c>
      <c r="CX56" s="0" t="n">
        <v>7</v>
      </c>
      <c r="CY56" s="0" t="n">
        <v>4.16</v>
      </c>
      <c r="CZ56" s="0" t="n">
        <v>2.84</v>
      </c>
      <c r="DA56" s="0" t="n">
        <v>3.18467772579633</v>
      </c>
      <c r="DB56" s="0" t="n">
        <v>6.05530612244898</v>
      </c>
      <c r="DC56" s="0" t="n">
        <v>12.3792156862745</v>
      </c>
      <c r="DD56" s="0" t="n">
        <v>33.7961067082065</v>
      </c>
      <c r="DE56" s="0" t="n">
        <v>1.8409826626013</v>
      </c>
      <c r="DF56" s="0" t="n">
        <v>63.7254901960784</v>
      </c>
      <c r="DM56" s="0" t="s">
        <v>1224</v>
      </c>
      <c r="DN56" s="0" t="n">
        <v>6</v>
      </c>
      <c r="DO56" s="0" t="n">
        <v>1</v>
      </c>
      <c r="DS56" s="0" t="n">
        <v>102</v>
      </c>
      <c r="DT56" s="0" t="n">
        <v>4</v>
      </c>
      <c r="DU56" s="0" t="n">
        <v>12</v>
      </c>
      <c r="DV56" s="0" t="n">
        <v>10.4</v>
      </c>
      <c r="DW56" s="0" t="n">
        <v>6.785</v>
      </c>
      <c r="DX56" s="0" t="n">
        <v>12.6</v>
      </c>
      <c r="DY56" s="0" t="n">
        <v>0.1176</v>
      </c>
      <c r="DZ56" s="0" t="n">
        <v>992</v>
      </c>
      <c r="EA56" s="0" t="n">
        <v>0.902</v>
      </c>
      <c r="EB56" s="0" t="n">
        <v>17</v>
      </c>
      <c r="EC56" s="0" t="s">
        <v>1225</v>
      </c>
      <c r="ED56" s="0" t="n">
        <v>2022</v>
      </c>
      <c r="EE56" s="0" t="n">
        <v>1</v>
      </c>
      <c r="EF56" s="0" t="n">
        <v>12</v>
      </c>
      <c r="EG56" s="0" t="n">
        <v>2022</v>
      </c>
      <c r="EH56" s="0" t="n">
        <v>2026</v>
      </c>
      <c r="EI56" s="0" t="n">
        <v>5</v>
      </c>
      <c r="EJ56" s="0" t="n">
        <v>73</v>
      </c>
      <c r="EK56" s="0" t="n">
        <v>184</v>
      </c>
      <c r="EL56" s="0" t="s">
        <v>1226</v>
      </c>
      <c r="EM56" s="0" t="n">
        <v>25.4</v>
      </c>
      <c r="EN56" s="15" t="b">
        <f aca="false">FALSE()</f>
        <v>0</v>
      </c>
      <c r="EO56" s="0" t="n">
        <v>407</v>
      </c>
      <c r="EP56" s="0" t="n">
        <v>2.84496314496315</v>
      </c>
      <c r="EQ56" s="0" t="n">
        <v>0.174447174447174</v>
      </c>
      <c r="ER56" s="0" t="n">
        <v>1.23095823095823</v>
      </c>
      <c r="ES56" s="0" t="n">
        <v>1.3022113022113</v>
      </c>
      <c r="ET56" s="0" t="n">
        <v>31</v>
      </c>
      <c r="EU56" s="0" t="n">
        <v>20</v>
      </c>
      <c r="EV56" s="0" t="n">
        <v>4.81081081081081</v>
      </c>
      <c r="EW56" s="0" t="n">
        <v>0.645161290322581</v>
      </c>
      <c r="EX56" s="0" t="n">
        <v>2.99714515277148</v>
      </c>
      <c r="EY56" s="0" t="n">
        <v>2.796</v>
      </c>
      <c r="EZ56" s="0" t="n">
        <v>0.1795</v>
      </c>
      <c r="FA56" s="0" t="n">
        <v>2.844</v>
      </c>
      <c r="FB56" s="0" t="n">
        <v>1.774</v>
      </c>
      <c r="FC56" s="0" t="n">
        <v>23</v>
      </c>
      <c r="FD56" s="0" t="n">
        <v>624</v>
      </c>
      <c r="FE56" s="0" t="n">
        <v>0.0625</v>
      </c>
      <c r="FF56" s="0" t="n">
        <v>0.0608</v>
      </c>
      <c r="FG56" s="0" t="n">
        <v>0.2646</v>
      </c>
      <c r="FH56" s="0" t="n">
        <v>2.297</v>
      </c>
      <c r="FI56" s="0" t="n">
        <v>1051</v>
      </c>
      <c r="FJ56" s="0" t="n">
        <v>0.588962892483349</v>
      </c>
      <c r="FK56" s="0" t="n">
        <v>17</v>
      </c>
      <c r="FL56" s="0" t="n">
        <v>61.82</v>
      </c>
      <c r="FM56" s="0" t="n">
        <v>0.5469</v>
      </c>
      <c r="FN56" s="0" t="n">
        <v>0.4531</v>
      </c>
      <c r="FO56" s="0" t="n">
        <v>-0.0456</v>
      </c>
      <c r="FP56" s="0" t="n">
        <v>-0.0408</v>
      </c>
      <c r="FQ56" s="0" t="n">
        <v>0.1681</v>
      </c>
      <c r="FR56" s="0" t="n">
        <v>38</v>
      </c>
      <c r="FS56" s="0" t="n">
        <v>65</v>
      </c>
      <c r="FT56" s="0" t="n">
        <v>3.82</v>
      </c>
      <c r="FU56" s="0" t="n">
        <v>28.3</v>
      </c>
      <c r="FV56" s="0" t="n">
        <v>5583</v>
      </c>
      <c r="FW56" s="0" t="n">
        <v>2910</v>
      </c>
      <c r="FX56" s="0" t="n">
        <v>0.521</v>
      </c>
      <c r="FY56" s="0" t="n">
        <v>5</v>
      </c>
      <c r="FZ56" s="0" t="n">
        <v>3</v>
      </c>
      <c r="GA56" s="0" t="n">
        <v>-0.00159357402837607</v>
      </c>
      <c r="GB56" s="0" t="n">
        <v>50</v>
      </c>
      <c r="GC56" s="0" t="n">
        <v>44.8</v>
      </c>
      <c r="GD56" s="0" t="n">
        <v>46.7</v>
      </c>
      <c r="GE56" s="0" t="n">
        <v>550</v>
      </c>
      <c r="GF56" s="0" t="n">
        <v>442</v>
      </c>
      <c r="GG56" s="0" t="n">
        <v>79</v>
      </c>
      <c r="GH56" s="0" t="n">
        <v>167</v>
      </c>
      <c r="GI56" s="0" t="n">
        <v>179</v>
      </c>
      <c r="GJ56" s="0" t="n">
        <v>45</v>
      </c>
      <c r="GK56" s="0" t="n">
        <v>0.144</v>
      </c>
      <c r="GL56" s="0" t="n">
        <v>0.378</v>
      </c>
      <c r="GM56" s="0" t="n">
        <v>0.251</v>
      </c>
      <c r="GN56" s="0" t="n">
        <v>12.935</v>
      </c>
      <c r="GO56" s="0" t="n">
        <v>11.024</v>
      </c>
      <c r="GP56" s="0" t="n">
        <v>9.112</v>
      </c>
      <c r="GQ56" s="0" t="n">
        <v>6</v>
      </c>
      <c r="GR56" s="0" t="n">
        <v>0.353</v>
      </c>
      <c r="GS56" s="0" t="n">
        <v>108</v>
      </c>
      <c r="GT56" s="0" t="n">
        <v>2.036</v>
      </c>
      <c r="GU56" s="0" t="n">
        <v>0.222</v>
      </c>
      <c r="GV56" s="0" t="n">
        <v>10.951</v>
      </c>
      <c r="GW56" s="0" t="n">
        <v>17.185</v>
      </c>
      <c r="GX56" s="0" t="n">
        <v>0.637</v>
      </c>
      <c r="GZ56" s="0" t="n">
        <v>12.637</v>
      </c>
      <c r="HA56" s="0" t="n">
        <v>6.785</v>
      </c>
      <c r="HB56" s="0" t="n">
        <v>0.867</v>
      </c>
      <c r="HC56" s="0" t="n">
        <v>0.065</v>
      </c>
      <c r="HE56" s="0" t="n">
        <v>0.551</v>
      </c>
      <c r="HG56" s="0" t="n">
        <v>56.01</v>
      </c>
      <c r="HH56" s="0" t="n">
        <v>9.85</v>
      </c>
      <c r="HI56" s="0" t="n">
        <v>42</v>
      </c>
      <c r="HJ56" s="0" t="n">
        <v>100</v>
      </c>
      <c r="HK56" s="0" t="s">
        <v>909</v>
      </c>
      <c r="HL56" s="0" t="n">
        <v>0</v>
      </c>
      <c r="HM56" s="0" t="n">
        <v>12</v>
      </c>
      <c r="HN56" s="0" t="n">
        <v>27</v>
      </c>
      <c r="HO56" s="0" t="n">
        <v>0.466</v>
      </c>
      <c r="HP56" s="0" t="n">
        <v>22</v>
      </c>
      <c r="HQ56" s="0" t="n">
        <v>0.027</v>
      </c>
      <c r="HR56" s="0" t="s">
        <v>232</v>
      </c>
    </row>
    <row r="57" customFormat="false" ht="15" hidden="false" customHeight="false" outlineLevel="0" collapsed="false">
      <c r="A57" s="0" t="s">
        <v>896</v>
      </c>
      <c r="B57" s="0" t="s">
        <v>897</v>
      </c>
      <c r="C57" s="0" t="s">
        <v>898</v>
      </c>
      <c r="D57" s="0" t="s">
        <v>246</v>
      </c>
      <c r="E57" s="0" t="n">
        <v>23886</v>
      </c>
      <c r="F57" s="0" t="s">
        <v>99</v>
      </c>
      <c r="G57" s="0" t="n">
        <v>56.57</v>
      </c>
      <c r="H57" s="0" t="n">
        <v>12.34</v>
      </c>
      <c r="I57" s="0" t="n">
        <v>40</v>
      </c>
      <c r="J57" s="0" t="n">
        <v>115</v>
      </c>
      <c r="L57" s="0" t="s">
        <v>1227</v>
      </c>
      <c r="O57" s="0" t="n">
        <v>88.9</v>
      </c>
      <c r="U57" s="0" t="n">
        <v>11</v>
      </c>
      <c r="V57" s="0" t="s">
        <v>246</v>
      </c>
      <c r="W57" s="0" t="s">
        <v>901</v>
      </c>
      <c r="X57" s="0" t="s">
        <v>1153</v>
      </c>
      <c r="Y57" s="0" t="s">
        <v>1228</v>
      </c>
      <c r="Z57" s="0" t="n">
        <v>23886</v>
      </c>
      <c r="AA57" s="0" t="s">
        <v>1229</v>
      </c>
      <c r="AB57" s="0" t="s">
        <v>904</v>
      </c>
      <c r="AC57" s="0" t="s">
        <v>218</v>
      </c>
      <c r="AD57" s="0" t="s">
        <v>218</v>
      </c>
      <c r="AE57" s="0" t="s">
        <v>218</v>
      </c>
      <c r="AF57" s="0" t="s">
        <v>218</v>
      </c>
      <c r="AG57" s="0" t="s">
        <v>218</v>
      </c>
      <c r="AH57" s="0" t="s">
        <v>905</v>
      </c>
      <c r="AI57" s="0" t="n">
        <v>1</v>
      </c>
      <c r="AJ57" s="0" t="s">
        <v>99</v>
      </c>
      <c r="AK57" s="0" t="n">
        <v>56</v>
      </c>
      <c r="AL57" s="0" t="n">
        <v>28</v>
      </c>
      <c r="AM57" s="0" t="s">
        <v>247</v>
      </c>
      <c r="AN57" s="0" t="n">
        <v>0</v>
      </c>
      <c r="AO57" s="0" t="n">
        <v>0</v>
      </c>
      <c r="AP57" s="0" t="n">
        <v>0</v>
      </c>
      <c r="AQ57" s="0" t="n">
        <v>0</v>
      </c>
      <c r="AR57" s="0" t="n">
        <v>0</v>
      </c>
      <c r="AS57" s="0" t="n">
        <v>0</v>
      </c>
      <c r="AT57" s="0" t="n">
        <v>0</v>
      </c>
      <c r="AU57" s="0" t="n">
        <v>0</v>
      </c>
      <c r="AV57" s="0" t="n">
        <v>0</v>
      </c>
      <c r="AW57" s="0" t="n">
        <v>1</v>
      </c>
      <c r="AX57" s="0" t="n">
        <v>3</v>
      </c>
      <c r="AY57" s="0" t="n">
        <v>0</v>
      </c>
      <c r="AZ57" s="0" t="n">
        <v>0</v>
      </c>
      <c r="BA57" s="0" t="n">
        <v>-0.185090861283243</v>
      </c>
      <c r="BB57" s="0" t="n">
        <v>0</v>
      </c>
      <c r="BC57" s="0" t="n">
        <v>35</v>
      </c>
      <c r="BD57" s="0" t="n">
        <v>55</v>
      </c>
      <c r="BE57" s="0" t="n">
        <v>611</v>
      </c>
      <c r="BF57" s="0" t="n">
        <v>6</v>
      </c>
      <c r="BG57" s="0" t="n">
        <v>977</v>
      </c>
      <c r="BH57" s="0" t="n">
        <v>118</v>
      </c>
      <c r="BI57" s="0" t="n">
        <v>28</v>
      </c>
      <c r="BJ57" s="0" t="n">
        <v>32.2728339785639</v>
      </c>
      <c r="BK57" s="0" t="n">
        <v>0</v>
      </c>
      <c r="BL57" s="0" t="n">
        <v>0</v>
      </c>
      <c r="BM57" s="0" t="n">
        <v>97.4</v>
      </c>
      <c r="BN57" s="0" t="n">
        <v>132.4</v>
      </c>
      <c r="BO57" s="0" t="n">
        <v>10</v>
      </c>
      <c r="BP57" s="0" t="s">
        <v>218</v>
      </c>
      <c r="BQ57" s="0" t="n">
        <v>1</v>
      </c>
      <c r="BR57" s="0" t="n">
        <v>114.9</v>
      </c>
      <c r="BS57" s="0" t="n">
        <v>0.1196</v>
      </c>
      <c r="BT57" s="0" t="n">
        <v>0.002</v>
      </c>
      <c r="BU57" s="0" t="n">
        <v>0.239</v>
      </c>
      <c r="BV57" s="0" t="n">
        <v>0.1923</v>
      </c>
      <c r="BW57" s="0" t="n">
        <v>0.0036</v>
      </c>
      <c r="BX57" s="0" t="n">
        <v>0.358</v>
      </c>
      <c r="BY57" s="0" t="n">
        <v>0.539</v>
      </c>
      <c r="BZ57" s="0" t="n">
        <v>10</v>
      </c>
      <c r="CA57" s="0" t="n">
        <v>6.82</v>
      </c>
      <c r="CB57" s="0" t="n">
        <v>21.7</v>
      </c>
      <c r="CC57" s="0" t="n">
        <v>11.2</v>
      </c>
      <c r="CD57" s="0" t="n">
        <v>7.67</v>
      </c>
      <c r="CE57" s="0" t="n">
        <v>4</v>
      </c>
      <c r="CF57" s="0" t="n">
        <v>0</v>
      </c>
      <c r="CG57" s="0" t="n">
        <v>10</v>
      </c>
      <c r="CH57" s="0" t="n">
        <v>0.4</v>
      </c>
      <c r="CI57" s="0" t="n">
        <v>0</v>
      </c>
      <c r="CJ57" s="0" t="n">
        <v>0.685</v>
      </c>
      <c r="CK57" s="0" t="n">
        <v>6</v>
      </c>
      <c r="CL57" s="0" t="n">
        <v>4</v>
      </c>
      <c r="CM57" s="0" t="n">
        <v>2</v>
      </c>
      <c r="CN57" s="0" t="n">
        <v>6</v>
      </c>
      <c r="CO57" s="0" t="n">
        <v>2.49209388669462</v>
      </c>
      <c r="CP57" s="0" t="n">
        <v>1</v>
      </c>
      <c r="CQ57" s="0" t="n">
        <v>0</v>
      </c>
      <c r="CR57" s="0" t="n">
        <v>0</v>
      </c>
      <c r="CS57" s="0" t="n">
        <v>0</v>
      </c>
      <c r="CT57" s="0" t="n">
        <v>0.0446791226645004</v>
      </c>
      <c r="CU57" s="0" t="n">
        <v>7</v>
      </c>
      <c r="CV57" s="0" t="n">
        <v>4</v>
      </c>
      <c r="CW57" s="0" t="n">
        <v>2</v>
      </c>
      <c r="CX57" s="0" t="n">
        <v>6</v>
      </c>
      <c r="CY57" s="0" t="n">
        <v>2.54</v>
      </c>
      <c r="CZ57" s="0" t="n">
        <v>3.46</v>
      </c>
      <c r="DA57" s="0" t="n">
        <v>2.00446053806061</v>
      </c>
      <c r="DB57" s="0" t="n">
        <v>6.37927272727273</v>
      </c>
      <c r="DC57" s="0" t="n">
        <v>17.6325454545455</v>
      </c>
      <c r="DD57" s="0" t="n">
        <v>24.1210092226876</v>
      </c>
      <c r="DE57" s="0" t="n">
        <v>0.744969567726137</v>
      </c>
      <c r="DF57" s="0" t="n">
        <v>63.6363636363636</v>
      </c>
      <c r="DM57" s="0" t="s">
        <v>1230</v>
      </c>
      <c r="DN57" s="0" t="n">
        <v>1</v>
      </c>
      <c r="DO57" s="0" t="n">
        <v>0</v>
      </c>
      <c r="DS57" s="0" t="n">
        <v>55</v>
      </c>
      <c r="DT57" s="0" t="n">
        <v>0</v>
      </c>
      <c r="DU57" s="0" t="n">
        <v>1</v>
      </c>
      <c r="DV57" s="0" t="n">
        <v>14.086</v>
      </c>
      <c r="DW57" s="0" t="n">
        <v>3.371</v>
      </c>
      <c r="DX57" s="0" t="n">
        <v>17.8</v>
      </c>
      <c r="DY57" s="0" t="n">
        <v>0.0182</v>
      </c>
      <c r="DZ57" s="0" t="n">
        <v>418</v>
      </c>
      <c r="EA57" s="0" t="n">
        <v>0.677</v>
      </c>
      <c r="EB57" s="0" t="n">
        <v>10</v>
      </c>
      <c r="EC57" s="0" t="s">
        <v>1231</v>
      </c>
      <c r="ED57" s="0" t="n">
        <v>2022</v>
      </c>
      <c r="EE57" s="0" t="n">
        <v>2</v>
      </c>
      <c r="EF57" s="0" t="n">
        <v>34</v>
      </c>
      <c r="EG57" s="0" t="n">
        <v>2022</v>
      </c>
      <c r="EH57" s="0" t="n">
        <v>2026</v>
      </c>
      <c r="EI57" s="0" t="n">
        <v>5</v>
      </c>
      <c r="EJ57" s="0" t="n">
        <v>76</v>
      </c>
      <c r="EK57" s="0" t="n">
        <v>215</v>
      </c>
      <c r="EL57" s="0" t="s">
        <v>1232</v>
      </c>
      <c r="EM57" s="0" t="n">
        <v>27.3</v>
      </c>
      <c r="EN57" s="15" t="b">
        <f aca="false">FALSE()</f>
        <v>0</v>
      </c>
      <c r="EO57" s="0" t="n">
        <v>386</v>
      </c>
      <c r="EP57" s="0" t="n">
        <v>2.97227979274611</v>
      </c>
      <c r="EQ57" s="0" t="n">
        <v>0.155440414507772</v>
      </c>
      <c r="ER57" s="0" t="n">
        <v>1.12694300518135</v>
      </c>
      <c r="ES57" s="0" t="n">
        <v>0.39119170984456</v>
      </c>
      <c r="ET57" s="0" t="n">
        <v>43</v>
      </c>
      <c r="EU57" s="0" t="n">
        <v>26</v>
      </c>
      <c r="EV57" s="0" t="n">
        <v>3.96632124352332</v>
      </c>
      <c r="EW57" s="0" t="n">
        <v>0.604651162790698</v>
      </c>
      <c r="EX57" s="0" t="n">
        <v>3.01595136627878</v>
      </c>
      <c r="EY57" s="0" t="n">
        <v>2.905</v>
      </c>
      <c r="EZ57" s="0" t="n">
        <v>0.1629</v>
      </c>
      <c r="FA57" s="0" t="n">
        <v>2.199</v>
      </c>
      <c r="FB57" s="0" t="n">
        <v>1.941</v>
      </c>
      <c r="FC57" s="0" t="n">
        <v>30</v>
      </c>
      <c r="FD57" s="0" t="n">
        <v>552</v>
      </c>
      <c r="FE57" s="0" t="n">
        <v>0.052536231884058</v>
      </c>
      <c r="FF57" s="0" t="n">
        <v>0.0493</v>
      </c>
      <c r="FG57" s="0" t="n">
        <v>0.2454</v>
      </c>
      <c r="FH57" s="0" t="n">
        <v>2.41</v>
      </c>
      <c r="FI57" s="0" t="n">
        <v>993</v>
      </c>
      <c r="FJ57" s="0" t="n">
        <v>0.522658610271903</v>
      </c>
      <c r="FK57" s="0" t="n">
        <v>17</v>
      </c>
      <c r="FL57" s="0" t="n">
        <v>58.41</v>
      </c>
      <c r="FM57" s="0" t="n">
        <v>0.5063</v>
      </c>
      <c r="FN57" s="0" t="n">
        <v>0.4937</v>
      </c>
      <c r="FO57" s="0" t="n">
        <v>-0.0441</v>
      </c>
      <c r="FP57" s="0" t="n">
        <v>-0.0102</v>
      </c>
      <c r="FQ57" s="0" t="n">
        <v>0.229</v>
      </c>
      <c r="FR57" s="0" t="n">
        <v>39</v>
      </c>
      <c r="FS57" s="0" t="n">
        <v>59</v>
      </c>
      <c r="FT57" s="0" t="n">
        <v>3.47</v>
      </c>
      <c r="FU57" s="0" t="n">
        <v>23</v>
      </c>
      <c r="FV57" s="0" t="n">
        <v>5321</v>
      </c>
      <c r="FW57" s="0" t="n">
        <v>3745</v>
      </c>
      <c r="FX57" s="0" t="n">
        <v>0.704</v>
      </c>
      <c r="FY57" s="0" t="n">
        <v>5</v>
      </c>
      <c r="FZ57" s="0" t="n">
        <v>4</v>
      </c>
      <c r="GA57" s="0" t="n">
        <v>-0.261697082182323</v>
      </c>
      <c r="GB57" s="0" t="n">
        <v>45.3</v>
      </c>
      <c r="GC57" s="0" t="n">
        <v>58.7</v>
      </c>
      <c r="GD57" s="0" t="n">
        <v>52.5</v>
      </c>
      <c r="GE57" s="0" t="n">
        <v>460</v>
      </c>
      <c r="GF57" s="0" t="n">
        <v>492</v>
      </c>
      <c r="GG57" s="0" t="n">
        <v>155</v>
      </c>
      <c r="GH57" s="0" t="n">
        <v>148</v>
      </c>
      <c r="GI57" s="0" t="n">
        <v>161</v>
      </c>
      <c r="GJ57" s="0" t="n">
        <v>52</v>
      </c>
      <c r="GK57" s="0" t="n">
        <v>0.337</v>
      </c>
      <c r="GL57" s="0" t="n">
        <v>0.301</v>
      </c>
      <c r="GM57" s="0" t="n">
        <v>0.323</v>
      </c>
      <c r="GN57" s="0" t="n">
        <v>13.24</v>
      </c>
      <c r="GO57" s="0" t="n">
        <v>11.49</v>
      </c>
      <c r="GP57" s="0" t="n">
        <v>9.74</v>
      </c>
      <c r="GQ57" s="0" t="n">
        <v>5.5</v>
      </c>
      <c r="GR57" s="0" t="n">
        <v>0.1</v>
      </c>
      <c r="GS57" s="0" t="n">
        <v>56</v>
      </c>
      <c r="GT57" s="0" t="n">
        <v>2.364</v>
      </c>
      <c r="GU57" s="0" t="n">
        <v>0.317</v>
      </c>
      <c r="GV57" s="0" t="n">
        <v>11.109</v>
      </c>
      <c r="GW57" s="0" t="n">
        <v>17.457</v>
      </c>
      <c r="GX57" s="0" t="n">
        <v>0.636</v>
      </c>
      <c r="GZ57" s="0" t="n">
        <v>17.764</v>
      </c>
      <c r="HA57" s="0" t="n">
        <v>3.371</v>
      </c>
      <c r="HB57" s="0" t="n">
        <v>0.625</v>
      </c>
      <c r="HC57" s="0" t="n">
        <v>0.107</v>
      </c>
      <c r="HE57" s="0" t="n">
        <v>0.587</v>
      </c>
      <c r="HG57" s="0" t="n">
        <v>56.57</v>
      </c>
      <c r="HH57" s="0" t="n">
        <v>12.34</v>
      </c>
      <c r="HI57" s="0" t="n">
        <v>40</v>
      </c>
      <c r="HJ57" s="0" t="n">
        <v>115</v>
      </c>
      <c r="HK57" s="0" t="s">
        <v>909</v>
      </c>
      <c r="HL57" s="0" t="n">
        <v>0</v>
      </c>
      <c r="HM57" s="0" t="n">
        <v>45</v>
      </c>
      <c r="HN57" s="0" t="n">
        <v>28</v>
      </c>
      <c r="HO57" s="0" t="n">
        <v>-0.945</v>
      </c>
      <c r="HP57" s="0" t="n">
        <v>19</v>
      </c>
      <c r="HQ57" s="0" t="n">
        <v>0.194</v>
      </c>
      <c r="HR57" s="0" t="s">
        <v>121</v>
      </c>
    </row>
    <row r="58" customFormat="false" ht="15" hidden="false" customHeight="false" outlineLevel="0" collapsed="false">
      <c r="A58" s="0" t="s">
        <v>896</v>
      </c>
      <c r="B58" s="0" t="s">
        <v>897</v>
      </c>
      <c r="C58" s="0" t="s">
        <v>898</v>
      </c>
      <c r="D58" s="0" t="s">
        <v>248</v>
      </c>
      <c r="E58" s="0" t="n">
        <v>19275</v>
      </c>
      <c r="F58" s="0" t="s">
        <v>172</v>
      </c>
      <c r="G58" s="0" t="n">
        <v>56.94</v>
      </c>
      <c r="H58" s="0" t="n">
        <v>11.02</v>
      </c>
      <c r="I58" s="0" t="n">
        <v>27</v>
      </c>
      <c r="J58" s="0" t="n">
        <v>79</v>
      </c>
      <c r="L58" s="0" t="s">
        <v>1233</v>
      </c>
      <c r="O58" s="0" t="n">
        <v>97.1</v>
      </c>
      <c r="U58" s="0" t="n">
        <v>10</v>
      </c>
      <c r="V58" s="0" t="s">
        <v>248</v>
      </c>
      <c r="W58" s="0" t="s">
        <v>901</v>
      </c>
      <c r="X58" s="0" t="s">
        <v>136</v>
      </c>
      <c r="Y58" s="0" t="s">
        <v>1234</v>
      </c>
      <c r="Z58" s="0" t="n">
        <v>19275</v>
      </c>
      <c r="AA58" s="0" t="s">
        <v>1235</v>
      </c>
      <c r="AB58" s="0" t="s">
        <v>904</v>
      </c>
      <c r="AC58" s="0" t="s">
        <v>136</v>
      </c>
      <c r="AD58" s="0" t="s">
        <v>136</v>
      </c>
      <c r="AE58" s="0" t="s">
        <v>136</v>
      </c>
      <c r="AF58" s="0" t="s">
        <v>136</v>
      </c>
      <c r="AG58" s="0" t="s">
        <v>136</v>
      </c>
      <c r="AH58" s="0" t="s">
        <v>905</v>
      </c>
      <c r="AI58" s="0" t="n">
        <v>1</v>
      </c>
      <c r="AJ58" s="0" t="s">
        <v>172</v>
      </c>
      <c r="AK58" s="0" t="n">
        <v>57</v>
      </c>
      <c r="AL58" s="0" t="n">
        <v>6</v>
      </c>
      <c r="AM58" s="0" t="s">
        <v>249</v>
      </c>
      <c r="AN58" s="0" t="n">
        <v>294</v>
      </c>
      <c r="AO58" s="0" t="n">
        <v>454</v>
      </c>
      <c r="AP58" s="0" t="n">
        <v>3224</v>
      </c>
      <c r="AQ58" s="0" t="n">
        <v>25</v>
      </c>
      <c r="AR58" s="0" t="n">
        <v>6</v>
      </c>
      <c r="AS58" s="0" t="n">
        <v>32</v>
      </c>
      <c r="AT58" s="0" t="n">
        <v>4072</v>
      </c>
      <c r="AU58" s="0" t="n">
        <v>150</v>
      </c>
      <c r="AV58" s="0" t="n">
        <v>34.3144432765787</v>
      </c>
      <c r="AW58" s="0" t="n">
        <v>105</v>
      </c>
      <c r="AX58" s="0" t="n">
        <v>421</v>
      </c>
      <c r="AY58" s="0" t="n">
        <v>8</v>
      </c>
      <c r="AZ58" s="0" t="n">
        <v>40</v>
      </c>
      <c r="BA58" s="0" t="n">
        <v>16.6811417014105</v>
      </c>
      <c r="BB58" s="0" t="n">
        <v>2</v>
      </c>
      <c r="BC58" s="0" t="n">
        <v>0</v>
      </c>
      <c r="BD58" s="0" t="n">
        <v>0</v>
      </c>
      <c r="BE58" s="0" t="n">
        <v>0</v>
      </c>
      <c r="BF58" s="0" t="n">
        <v>0</v>
      </c>
      <c r="BG58" s="0" t="n">
        <v>0</v>
      </c>
      <c r="BH58" s="0" t="n">
        <v>0</v>
      </c>
      <c r="BI58" s="0" t="n">
        <v>0</v>
      </c>
      <c r="BJ58" s="0" t="n">
        <v>0</v>
      </c>
      <c r="BK58" s="0" t="n">
        <v>0</v>
      </c>
      <c r="BL58" s="0" t="n">
        <v>0</v>
      </c>
      <c r="BM58" s="0" t="n">
        <v>301.06</v>
      </c>
      <c r="BN58" s="0" t="n">
        <v>301.06</v>
      </c>
      <c r="BO58" s="0" t="n">
        <v>16</v>
      </c>
      <c r="BP58" s="0" t="s">
        <v>136</v>
      </c>
      <c r="BQ58" s="0" t="n">
        <v>1</v>
      </c>
      <c r="BR58" s="0" t="n">
        <v>301.06</v>
      </c>
      <c r="BS58" s="0" t="n">
        <v>0</v>
      </c>
      <c r="BT58" s="0" t="n">
        <v>0.2197</v>
      </c>
      <c r="BU58" s="0" t="n">
        <v>0</v>
      </c>
      <c r="BV58" s="0" t="n">
        <v>0</v>
      </c>
      <c r="BW58" s="0" t="n">
        <v>0.2288</v>
      </c>
      <c r="BX58" s="0" t="n">
        <v>0</v>
      </c>
      <c r="BY58" s="0" t="n">
        <v>0</v>
      </c>
      <c r="BZ58" s="0" t="n">
        <v>16</v>
      </c>
      <c r="CA58" s="0" t="n">
        <v>13.88</v>
      </c>
      <c r="CB58" s="0" t="n">
        <v>25.09</v>
      </c>
      <c r="CC58" s="0" t="n">
        <v>19.45</v>
      </c>
      <c r="CD58" s="0" t="n">
        <v>7.58</v>
      </c>
      <c r="CE58" s="0" t="n">
        <v>10</v>
      </c>
      <c r="CF58" s="0" t="n">
        <v>1</v>
      </c>
      <c r="CG58" s="0" t="n">
        <v>16</v>
      </c>
      <c r="CH58" s="0" t="n">
        <v>0.625</v>
      </c>
      <c r="CI58" s="0" t="n">
        <v>0.062</v>
      </c>
      <c r="CJ58" s="0" t="n">
        <v>0.39</v>
      </c>
      <c r="CK58" s="0" t="n">
        <v>0</v>
      </c>
      <c r="CL58" s="0" t="n">
        <v>0</v>
      </c>
      <c r="CM58" s="0" t="n">
        <v>0</v>
      </c>
      <c r="CN58" s="0" t="n">
        <v>0</v>
      </c>
      <c r="CO58" s="0" t="n">
        <v>0</v>
      </c>
      <c r="CP58" s="0" t="n">
        <v>27</v>
      </c>
      <c r="CQ58" s="0" t="n">
        <v>15</v>
      </c>
      <c r="CR58" s="0" t="n">
        <v>12</v>
      </c>
      <c r="CS58" s="0" t="n">
        <v>8</v>
      </c>
      <c r="CT58" s="0" t="n">
        <v>6.67955445336818</v>
      </c>
      <c r="CU58" s="0" t="n">
        <v>27</v>
      </c>
      <c r="CV58" s="0" t="n">
        <v>15</v>
      </c>
      <c r="CW58" s="0" t="n">
        <v>12</v>
      </c>
      <c r="CX58" s="0" t="n">
        <v>8</v>
      </c>
      <c r="CY58" s="0" t="n">
        <v>6.68</v>
      </c>
      <c r="CZ58" s="0" t="n">
        <v>1.32</v>
      </c>
      <c r="DM58" s="0" t="s">
        <v>1236</v>
      </c>
      <c r="DN58" s="0" t="n">
        <v>105</v>
      </c>
      <c r="DO58" s="0" t="n">
        <v>3</v>
      </c>
      <c r="DP58" s="0" t="n">
        <v>3.305</v>
      </c>
      <c r="DQ58" s="0" t="n">
        <v>0.705</v>
      </c>
      <c r="DR58" s="0" t="n">
        <v>35</v>
      </c>
      <c r="DZ58" s="0" t="n">
        <v>965</v>
      </c>
      <c r="EA58" s="0" t="n">
        <v>0.976</v>
      </c>
      <c r="EB58" s="0" t="n">
        <v>16</v>
      </c>
      <c r="EC58" s="0" t="s">
        <v>1237</v>
      </c>
      <c r="ED58" s="0" t="n">
        <v>2020</v>
      </c>
      <c r="EE58" s="0" t="n">
        <v>2</v>
      </c>
      <c r="EF58" s="0" t="n">
        <v>53</v>
      </c>
      <c r="EG58" s="0" t="n">
        <v>2020</v>
      </c>
      <c r="EH58" s="0" t="n">
        <v>2026</v>
      </c>
      <c r="EI58" s="0" t="n">
        <v>7</v>
      </c>
      <c r="EJ58" s="0" t="n">
        <v>73</v>
      </c>
      <c r="EK58" s="0" t="n">
        <v>223</v>
      </c>
      <c r="EL58" s="0" t="s">
        <v>1238</v>
      </c>
      <c r="EM58" s="0" t="n">
        <v>28</v>
      </c>
      <c r="EN58" s="15" t="b">
        <f aca="false">FALSE()</f>
        <v>0</v>
      </c>
      <c r="EO58" s="0" t="n">
        <v>364</v>
      </c>
      <c r="EP58" s="0" t="n">
        <v>2.7760989010989</v>
      </c>
      <c r="EQ58" s="0" t="n">
        <v>0.222527472527473</v>
      </c>
      <c r="ER58" s="0" t="n">
        <v>1.3489010989011</v>
      </c>
      <c r="ES58" s="0" t="n">
        <v>0.862637362637363</v>
      </c>
      <c r="ET58" s="0" t="n">
        <v>15</v>
      </c>
      <c r="EU58" s="0" t="n">
        <v>7</v>
      </c>
      <c r="EV58" s="0" t="n">
        <v>4.37637362637363</v>
      </c>
      <c r="EW58" s="0" t="n">
        <v>0.466666666666667</v>
      </c>
      <c r="EX58" s="0" t="n">
        <v>2.97533830221885</v>
      </c>
      <c r="EY58" s="0" t="n">
        <v>2.749</v>
      </c>
      <c r="EZ58" s="0" t="n">
        <v>0.2192</v>
      </c>
      <c r="FA58" s="0" t="n">
        <v>2.6</v>
      </c>
      <c r="FB58" s="0" t="n">
        <v>1.559</v>
      </c>
      <c r="FC58" s="0" t="n">
        <v>33</v>
      </c>
      <c r="FD58" s="0" t="n">
        <v>573</v>
      </c>
      <c r="FE58" s="0" t="n">
        <v>0.0610820244328098</v>
      </c>
      <c r="FF58" s="0" t="n">
        <v>0.0577</v>
      </c>
      <c r="FG58" s="0" t="n">
        <v>0.2334</v>
      </c>
      <c r="FH58" s="0" t="n">
        <v>2.491</v>
      </c>
      <c r="FI58" s="0" t="n">
        <v>995</v>
      </c>
      <c r="FJ58" s="0" t="n">
        <v>0.534673366834171</v>
      </c>
      <c r="FK58" s="0" t="n">
        <v>17</v>
      </c>
      <c r="FL58" s="0" t="n">
        <v>58.53</v>
      </c>
      <c r="FM58" s="0" t="n">
        <v>0.5347</v>
      </c>
      <c r="FN58" s="0" t="n">
        <v>0.4653</v>
      </c>
      <c r="FO58" s="0" t="n">
        <v>-0.0248</v>
      </c>
      <c r="FP58" s="0" t="n">
        <v>0.0054</v>
      </c>
      <c r="FQ58" s="0" t="n">
        <v>0.0436</v>
      </c>
      <c r="FR58" s="0" t="n">
        <v>39</v>
      </c>
      <c r="FS58" s="0" t="n">
        <v>47</v>
      </c>
      <c r="FT58" s="0" t="n">
        <v>2.76</v>
      </c>
      <c r="FU58" s="0" t="n">
        <v>22.3</v>
      </c>
      <c r="FV58" s="0" t="n">
        <v>5320</v>
      </c>
      <c r="FW58" s="0" t="n">
        <v>4835</v>
      </c>
      <c r="FX58" s="0" t="n">
        <v>0.909</v>
      </c>
      <c r="FY58" s="0" t="n">
        <v>5</v>
      </c>
      <c r="FZ58" s="0" t="n">
        <v>5</v>
      </c>
      <c r="GA58" s="0" t="n">
        <v>-0.79459899751177</v>
      </c>
      <c r="GB58" s="0" t="n">
        <v>35.6</v>
      </c>
      <c r="GC58" s="0" t="n">
        <v>61.6</v>
      </c>
      <c r="GD58" s="0" t="n">
        <v>48.2</v>
      </c>
      <c r="GE58" s="0" t="n">
        <v>464</v>
      </c>
      <c r="GF58" s="0" t="n">
        <v>478</v>
      </c>
      <c r="GG58" s="0" t="n">
        <v>175</v>
      </c>
      <c r="GH58" s="0" t="n">
        <v>12</v>
      </c>
      <c r="GI58" s="0" t="n">
        <v>148</v>
      </c>
      <c r="GJ58" s="0" t="n">
        <v>23</v>
      </c>
      <c r="GK58" s="0" t="n">
        <v>0.377</v>
      </c>
      <c r="GL58" s="0" t="n">
        <v>0.025</v>
      </c>
      <c r="GM58" s="0" t="n">
        <v>0.155</v>
      </c>
      <c r="GN58" s="0" t="n">
        <v>18.816</v>
      </c>
      <c r="GO58" s="0" t="n">
        <v>18.816</v>
      </c>
      <c r="GP58" s="0" t="n">
        <v>18.816</v>
      </c>
      <c r="GQ58" s="0" t="n">
        <v>0</v>
      </c>
      <c r="GR58" s="0" t="n">
        <v>6.562</v>
      </c>
      <c r="GS58" s="0" t="n">
        <v>105</v>
      </c>
      <c r="GT58" s="0" t="n">
        <v>2.867</v>
      </c>
      <c r="GU58" s="0" t="n">
        <v>0.312</v>
      </c>
      <c r="GY58" s="0" t="n">
        <v>4.01</v>
      </c>
      <c r="HC58" s="0" t="n">
        <v>0.076</v>
      </c>
      <c r="HD58" s="0" t="n">
        <v>0.159</v>
      </c>
      <c r="HG58" s="0" t="n">
        <v>56.94</v>
      </c>
      <c r="HH58" s="0" t="n">
        <v>11.02</v>
      </c>
      <c r="HI58" s="0" t="n">
        <v>27</v>
      </c>
      <c r="HJ58" s="0" t="n">
        <v>79</v>
      </c>
      <c r="HK58" s="0" t="s">
        <v>909</v>
      </c>
      <c r="HL58" s="0" t="n">
        <v>0</v>
      </c>
      <c r="HM58" s="0" t="n">
        <v>8</v>
      </c>
      <c r="HN58" s="0" t="n">
        <v>6</v>
      </c>
      <c r="HO58" s="0" t="n">
        <v>-0.103</v>
      </c>
      <c r="HP58" s="0" t="n">
        <v>7</v>
      </c>
      <c r="HQ58" s="0" t="n">
        <v>-0.059</v>
      </c>
      <c r="HR58" s="0" t="s">
        <v>102</v>
      </c>
    </row>
    <row r="59" customFormat="false" ht="15" hidden="false" customHeight="false" outlineLevel="0" collapsed="false">
      <c r="A59" s="0" t="s">
        <v>896</v>
      </c>
      <c r="B59" s="0" t="s">
        <v>897</v>
      </c>
      <c r="C59" s="0" t="s">
        <v>898</v>
      </c>
      <c r="D59" s="0" t="s">
        <v>250</v>
      </c>
      <c r="E59" s="0" t="n">
        <v>25981</v>
      </c>
      <c r="F59" s="0" t="s">
        <v>104</v>
      </c>
      <c r="G59" s="0" t="n">
        <v>57.86</v>
      </c>
      <c r="H59" s="0" t="n">
        <v>8.33</v>
      </c>
      <c r="I59" s="0" t="n">
        <v>33</v>
      </c>
      <c r="J59" s="0" t="n">
        <v>77</v>
      </c>
      <c r="L59" s="0" t="s">
        <v>1239</v>
      </c>
      <c r="O59" s="0" t="n">
        <v>95.1</v>
      </c>
      <c r="U59" s="0" t="n">
        <v>10</v>
      </c>
      <c r="V59" s="0" t="s">
        <v>250</v>
      </c>
      <c r="W59" s="0" t="s">
        <v>901</v>
      </c>
      <c r="X59" s="0" t="s">
        <v>1111</v>
      </c>
      <c r="Y59" s="0" t="s">
        <v>1240</v>
      </c>
      <c r="Z59" s="0" t="n">
        <v>25981</v>
      </c>
      <c r="AA59" s="0" t="s">
        <v>1241</v>
      </c>
      <c r="AB59" s="0" t="s">
        <v>904</v>
      </c>
      <c r="AC59" s="0" t="s">
        <v>198</v>
      </c>
      <c r="AD59" s="0" t="s">
        <v>198</v>
      </c>
      <c r="AE59" s="0" t="s">
        <v>198</v>
      </c>
      <c r="AF59" s="0" t="s">
        <v>198</v>
      </c>
      <c r="AG59" s="0" t="s">
        <v>198</v>
      </c>
      <c r="AH59" s="0" t="s">
        <v>905</v>
      </c>
      <c r="AI59" s="0" t="n">
        <v>1</v>
      </c>
      <c r="AJ59" s="0" t="s">
        <v>104</v>
      </c>
      <c r="AK59" s="0" t="n">
        <v>58</v>
      </c>
      <c r="AL59" s="0" t="n">
        <v>20</v>
      </c>
      <c r="AM59" s="0" t="s">
        <v>251</v>
      </c>
      <c r="AN59" s="0" t="n">
        <v>0</v>
      </c>
      <c r="AO59" s="0" t="n">
        <v>0</v>
      </c>
      <c r="AP59" s="0" t="n">
        <v>0</v>
      </c>
      <c r="AQ59" s="0" t="n">
        <v>0</v>
      </c>
      <c r="AR59" s="0" t="n">
        <v>0</v>
      </c>
      <c r="AS59" s="0" t="n">
        <v>0</v>
      </c>
      <c r="AT59" s="0" t="n">
        <v>0</v>
      </c>
      <c r="AU59" s="0" t="n">
        <v>0</v>
      </c>
      <c r="AV59" s="0" t="n">
        <v>0</v>
      </c>
      <c r="AW59" s="0" t="n">
        <v>173</v>
      </c>
      <c r="AX59" s="0" t="n">
        <v>588</v>
      </c>
      <c r="AY59" s="0" t="n">
        <v>1</v>
      </c>
      <c r="AZ59" s="0" t="n">
        <v>27</v>
      </c>
      <c r="BA59" s="0" t="n">
        <v>-35.5774122046528</v>
      </c>
      <c r="BB59" s="0" t="n">
        <v>1</v>
      </c>
      <c r="BC59" s="0" t="n">
        <v>30</v>
      </c>
      <c r="BD59" s="0" t="n">
        <v>35</v>
      </c>
      <c r="BE59" s="0" t="n">
        <v>277</v>
      </c>
      <c r="BF59" s="0" t="n">
        <v>3</v>
      </c>
      <c r="BG59" s="0" t="n">
        <v>-56</v>
      </c>
      <c r="BH59" s="0" t="n">
        <v>360</v>
      </c>
      <c r="BI59" s="0" t="n">
        <v>11</v>
      </c>
      <c r="BJ59" s="0" t="n">
        <v>8.81237619422609</v>
      </c>
      <c r="BK59" s="0" t="n">
        <v>0</v>
      </c>
      <c r="BL59" s="0" t="n">
        <v>0</v>
      </c>
      <c r="BM59" s="0" t="n">
        <v>108.5</v>
      </c>
      <c r="BN59" s="0" t="n">
        <v>138.5</v>
      </c>
      <c r="BO59" s="0" t="n">
        <v>10</v>
      </c>
      <c r="BP59" s="0" t="s">
        <v>198</v>
      </c>
      <c r="BQ59" s="0" t="n">
        <v>1</v>
      </c>
      <c r="BR59" s="0" t="n">
        <v>123.5</v>
      </c>
      <c r="BS59" s="0" t="n">
        <v>0.0647</v>
      </c>
      <c r="BT59" s="0" t="n">
        <v>0.3665</v>
      </c>
      <c r="BU59" s="0" t="n">
        <v>-0.0129</v>
      </c>
      <c r="BV59" s="0" t="n">
        <v>0.1125</v>
      </c>
      <c r="BW59" s="0" t="n">
        <v>0.5925</v>
      </c>
      <c r="BX59" s="0" t="n">
        <v>-0.0219</v>
      </c>
      <c r="BY59" s="0" t="n">
        <v>0.1534</v>
      </c>
      <c r="BZ59" s="0" t="n">
        <v>10</v>
      </c>
      <c r="CA59" s="0" t="n">
        <v>8.93</v>
      </c>
      <c r="CB59" s="0" t="n">
        <v>17.4</v>
      </c>
      <c r="CC59" s="0" t="n">
        <v>14.2</v>
      </c>
      <c r="CD59" s="0" t="n">
        <v>5.61</v>
      </c>
      <c r="CE59" s="0" t="n">
        <v>2</v>
      </c>
      <c r="CF59" s="0" t="n">
        <v>0</v>
      </c>
      <c r="CG59" s="0" t="n">
        <v>10</v>
      </c>
      <c r="CH59" s="0" t="n">
        <v>0.2</v>
      </c>
      <c r="CI59" s="0" t="n">
        <v>0</v>
      </c>
      <c r="CJ59" s="0" t="n">
        <v>0.395</v>
      </c>
      <c r="CK59" s="0" t="n">
        <v>4</v>
      </c>
      <c r="CL59" s="0" t="n">
        <v>1</v>
      </c>
      <c r="CM59" s="0" t="n">
        <v>0</v>
      </c>
      <c r="CN59" s="0" t="n">
        <v>3</v>
      </c>
      <c r="CO59" s="0" t="n">
        <v>1.05690342300605</v>
      </c>
      <c r="CP59" s="0" t="n">
        <v>18</v>
      </c>
      <c r="CQ59" s="0" t="n">
        <v>6</v>
      </c>
      <c r="CR59" s="0" t="n">
        <v>0</v>
      </c>
      <c r="CS59" s="0" t="n">
        <v>1</v>
      </c>
      <c r="CT59" s="0" t="n">
        <v>2.45020551180635</v>
      </c>
      <c r="CU59" s="0" t="n">
        <v>22</v>
      </c>
      <c r="CV59" s="0" t="n">
        <v>7</v>
      </c>
      <c r="CW59" s="0" t="n">
        <v>0</v>
      </c>
      <c r="CX59" s="0" t="n">
        <v>4</v>
      </c>
      <c r="CY59" s="0" t="n">
        <v>3.51</v>
      </c>
      <c r="CZ59" s="0" t="n">
        <v>0.49</v>
      </c>
      <c r="DG59" s="0" t="n">
        <v>4.43295918367347</v>
      </c>
      <c r="DH59" s="0" t="n">
        <v>17.3410404624278</v>
      </c>
      <c r="DI59" s="0" t="n">
        <v>2.68263157894737</v>
      </c>
      <c r="DJ59" s="0" t="n">
        <v>-126.046258601796</v>
      </c>
      <c r="DK59" s="0" t="n">
        <v>-0.741448580010564</v>
      </c>
      <c r="DL59" s="0" t="n">
        <v>0.370588235294118</v>
      </c>
      <c r="DM59" s="0" t="s">
        <v>1242</v>
      </c>
      <c r="DN59" s="0" t="n">
        <v>173</v>
      </c>
      <c r="DO59" s="0" t="n">
        <v>10</v>
      </c>
      <c r="DP59" s="0" t="n">
        <v>1.763</v>
      </c>
      <c r="DQ59" s="0" t="n">
        <v>1.636</v>
      </c>
      <c r="DR59" s="0" t="n">
        <v>17.3</v>
      </c>
      <c r="DS59" s="0" t="n">
        <v>35</v>
      </c>
      <c r="DT59" s="0" t="n">
        <v>6</v>
      </c>
      <c r="DU59" s="0" t="n">
        <v>0</v>
      </c>
      <c r="DV59" s="0" t="n">
        <v>-2.767</v>
      </c>
      <c r="DW59" s="0" t="n">
        <v>12</v>
      </c>
      <c r="DX59" s="0" t="n">
        <v>-1.6</v>
      </c>
      <c r="DY59" s="0" t="n">
        <v>0</v>
      </c>
      <c r="DZ59" s="0" t="n">
        <v>421</v>
      </c>
      <c r="EA59" s="0" t="n">
        <v>0.616</v>
      </c>
      <c r="EB59" s="0" t="n">
        <v>10</v>
      </c>
      <c r="EC59" s="0" t="s">
        <v>1243</v>
      </c>
      <c r="ED59" s="0" t="n">
        <v>2024</v>
      </c>
      <c r="EE59" s="0" t="n">
        <v>4</v>
      </c>
      <c r="EF59" s="0" t="n">
        <v>125</v>
      </c>
      <c r="EG59" s="0" t="n">
        <v>2024</v>
      </c>
      <c r="EH59" s="0" t="n">
        <v>2026</v>
      </c>
      <c r="EI59" s="0" t="n">
        <v>3</v>
      </c>
      <c r="EJ59" s="0" t="n">
        <v>70</v>
      </c>
      <c r="EK59" s="0" t="n">
        <v>194</v>
      </c>
      <c r="EL59" s="0" t="s">
        <v>1244</v>
      </c>
      <c r="EM59" s="0" t="n">
        <v>24</v>
      </c>
      <c r="EN59" s="15" t="b">
        <f aca="false">FALSE()</f>
        <v>0</v>
      </c>
      <c r="EO59" s="0" t="n">
        <v>398</v>
      </c>
      <c r="EP59" s="0" t="n">
        <v>2.76407035175879</v>
      </c>
      <c r="EQ59" s="0" t="n">
        <v>0.183417085427136</v>
      </c>
      <c r="ER59" s="0" t="n">
        <v>1.05276381909548</v>
      </c>
      <c r="ES59" s="0" t="n">
        <v>0.42462311557789</v>
      </c>
      <c r="ET59" s="0" t="n">
        <v>48</v>
      </c>
      <c r="EU59" s="0" t="n">
        <v>34</v>
      </c>
      <c r="EV59" s="0" t="n">
        <v>3.76130653266332</v>
      </c>
      <c r="EW59" s="0" t="n">
        <v>0.708333333333333</v>
      </c>
      <c r="EX59" s="0" t="n">
        <v>2.97696363334511</v>
      </c>
      <c r="EY59" s="0" t="n">
        <v>2.736</v>
      </c>
      <c r="EZ59" s="0" t="n">
        <v>0.1938</v>
      </c>
      <c r="FA59" s="0" t="n">
        <v>2.699</v>
      </c>
      <c r="FB59" s="0" t="n">
        <v>1.426</v>
      </c>
      <c r="FC59" s="0" t="n">
        <v>31</v>
      </c>
      <c r="FD59" s="0" t="n">
        <v>638</v>
      </c>
      <c r="FE59" s="0" t="n">
        <v>0.0595611285266458</v>
      </c>
      <c r="FF59" s="0" t="n">
        <v>0.0571</v>
      </c>
      <c r="FG59" s="0" t="n">
        <v>0.172</v>
      </c>
      <c r="FH59" s="0" t="n">
        <v>2.292</v>
      </c>
      <c r="FI59" s="0" t="n">
        <v>1065</v>
      </c>
      <c r="FJ59" s="0" t="n">
        <v>0.564319248826291</v>
      </c>
      <c r="FK59" s="0" t="n">
        <v>17</v>
      </c>
      <c r="FL59" s="0" t="n">
        <v>62.65</v>
      </c>
      <c r="FM59" s="0" t="n">
        <v>0.5148</v>
      </c>
      <c r="FN59" s="0" t="n">
        <v>0.4852</v>
      </c>
      <c r="FO59" s="0" t="n">
        <v>-0.0347</v>
      </c>
      <c r="FP59" s="0" t="n">
        <v>0.0138</v>
      </c>
      <c r="FQ59" s="0" t="n">
        <v>-0.0264</v>
      </c>
      <c r="FR59" s="0" t="n">
        <v>41</v>
      </c>
      <c r="FS59" s="0" t="n">
        <v>53</v>
      </c>
      <c r="FT59" s="0" t="n">
        <v>3.12</v>
      </c>
      <c r="FU59" s="0" t="n">
        <v>22.4</v>
      </c>
      <c r="FV59" s="0" t="n">
        <v>5692</v>
      </c>
      <c r="FW59" s="0" t="n">
        <v>4502</v>
      </c>
      <c r="FX59" s="0" t="n">
        <v>0.791</v>
      </c>
      <c r="FY59" s="0" t="n">
        <v>5</v>
      </c>
      <c r="FZ59" s="0" t="n">
        <v>4</v>
      </c>
      <c r="GA59" s="0" t="n">
        <v>-0.202503543001561</v>
      </c>
      <c r="GB59" s="0" t="n">
        <v>46.3</v>
      </c>
      <c r="GC59" s="0" t="n">
        <v>65.4</v>
      </c>
      <c r="GD59" s="0" t="n">
        <v>57.4</v>
      </c>
      <c r="GE59" s="0" t="n">
        <v>541</v>
      </c>
      <c r="GF59" s="0" t="n">
        <v>472</v>
      </c>
      <c r="GG59" s="0" t="n">
        <v>111</v>
      </c>
      <c r="GH59" s="0" t="n">
        <v>138</v>
      </c>
      <c r="GI59" s="0" t="n">
        <v>136</v>
      </c>
      <c r="GJ59" s="0" t="n">
        <v>38</v>
      </c>
      <c r="GK59" s="0" t="n">
        <v>0.205</v>
      </c>
      <c r="GL59" s="0" t="n">
        <v>0.292</v>
      </c>
      <c r="GM59" s="0" t="n">
        <v>0.279</v>
      </c>
      <c r="GN59" s="0" t="n">
        <v>13.85</v>
      </c>
      <c r="GO59" s="0" t="n">
        <v>12.35</v>
      </c>
      <c r="GP59" s="0" t="n">
        <v>10.85</v>
      </c>
      <c r="GQ59" s="0" t="n">
        <v>3.5</v>
      </c>
      <c r="GR59" s="0" t="n">
        <v>17.3</v>
      </c>
      <c r="GS59" s="0" t="n">
        <v>208</v>
      </c>
      <c r="GT59" s="0" t="n">
        <v>0.666</v>
      </c>
      <c r="GU59" s="0" t="n">
        <v>0.329</v>
      </c>
      <c r="GV59" s="0" t="n">
        <v>7.914</v>
      </c>
      <c r="GW59" s="0" t="n">
        <v>9.233</v>
      </c>
      <c r="GX59" s="0" t="n">
        <v>0.857</v>
      </c>
      <c r="GY59" s="0" t="n">
        <v>3.399</v>
      </c>
      <c r="GZ59" s="0" t="n">
        <v>-1.6</v>
      </c>
      <c r="HA59" s="0" t="n">
        <v>12</v>
      </c>
      <c r="HB59" s="0" t="n">
        <v>-4.946</v>
      </c>
      <c r="HC59" s="0" t="n">
        <v>0.019</v>
      </c>
      <c r="HD59" s="0" t="n">
        <v>-0.206</v>
      </c>
      <c r="HE59" s="0" t="n">
        <v>0.252</v>
      </c>
      <c r="HG59" s="0" t="n">
        <v>57.86</v>
      </c>
      <c r="HH59" s="0" t="n">
        <v>8.33</v>
      </c>
      <c r="HI59" s="0" t="n">
        <v>33</v>
      </c>
      <c r="HJ59" s="0" t="n">
        <v>77</v>
      </c>
      <c r="HK59" s="0" t="s">
        <v>909</v>
      </c>
      <c r="HL59" s="0" t="n">
        <v>0</v>
      </c>
      <c r="HM59" s="0" t="n">
        <v>33</v>
      </c>
      <c r="HN59" s="0" t="n">
        <v>20</v>
      </c>
      <c r="HO59" s="0" t="n">
        <v>-0.703</v>
      </c>
      <c r="HP59" s="0" t="n">
        <v>18</v>
      </c>
      <c r="HQ59" s="0" t="n">
        <v>-0.046</v>
      </c>
      <c r="HR59" s="0" t="s">
        <v>121</v>
      </c>
    </row>
    <row r="60" customFormat="false" ht="15" hidden="false" customHeight="false" outlineLevel="0" collapsed="false">
      <c r="A60" s="0" t="s">
        <v>896</v>
      </c>
      <c r="B60" s="0" t="s">
        <v>897</v>
      </c>
      <c r="C60" s="0" t="s">
        <v>898</v>
      </c>
      <c r="D60" s="0" t="s">
        <v>252</v>
      </c>
      <c r="E60" s="0" t="n">
        <v>25411</v>
      </c>
      <c r="F60" s="0" t="s">
        <v>99</v>
      </c>
      <c r="G60" s="0" t="n">
        <v>59.12</v>
      </c>
      <c r="H60" s="0" t="n">
        <v>8.06</v>
      </c>
      <c r="I60" s="0" t="n">
        <v>42</v>
      </c>
      <c r="J60" s="0" t="n">
        <v>82</v>
      </c>
      <c r="L60" s="0" t="s">
        <v>1245</v>
      </c>
      <c r="O60" s="0" t="n">
        <v>91.9</v>
      </c>
      <c r="U60" s="0" t="n">
        <v>10</v>
      </c>
      <c r="V60" s="0" t="s">
        <v>252</v>
      </c>
      <c r="W60" s="0" t="s">
        <v>901</v>
      </c>
      <c r="X60" s="0" t="s">
        <v>203</v>
      </c>
      <c r="Y60" s="0" t="s">
        <v>1246</v>
      </c>
      <c r="Z60" s="0" t="n">
        <v>25411</v>
      </c>
      <c r="AA60" s="0" t="s">
        <v>1247</v>
      </c>
      <c r="AB60" s="0" t="s">
        <v>904</v>
      </c>
      <c r="AC60" s="0" t="s">
        <v>203</v>
      </c>
      <c r="AD60" s="0" t="s">
        <v>203</v>
      </c>
      <c r="AE60" s="0" t="s">
        <v>203</v>
      </c>
      <c r="AF60" s="0" t="s">
        <v>203</v>
      </c>
      <c r="AG60" s="0" t="s">
        <v>203</v>
      </c>
      <c r="AH60" s="0" t="s">
        <v>905</v>
      </c>
      <c r="AI60" s="0" t="n">
        <v>1</v>
      </c>
      <c r="AJ60" s="0" t="s">
        <v>99</v>
      </c>
      <c r="AK60" s="0" t="n">
        <v>59</v>
      </c>
      <c r="AL60" s="0" t="n">
        <v>29</v>
      </c>
      <c r="AM60" s="0" t="s">
        <v>253</v>
      </c>
      <c r="AN60" s="0" t="n">
        <v>0</v>
      </c>
      <c r="AO60" s="0" t="n">
        <v>0</v>
      </c>
      <c r="AP60" s="0" t="n">
        <v>0</v>
      </c>
      <c r="AQ60" s="0" t="n">
        <v>0</v>
      </c>
      <c r="AR60" s="0" t="n">
        <v>0</v>
      </c>
      <c r="AS60" s="0" t="n">
        <v>0</v>
      </c>
      <c r="AT60" s="0" t="n">
        <v>0</v>
      </c>
      <c r="AU60" s="0" t="n">
        <v>0</v>
      </c>
      <c r="AV60" s="0" t="n">
        <v>0</v>
      </c>
      <c r="AW60" s="0" t="n">
        <v>0</v>
      </c>
      <c r="AX60" s="0" t="n">
        <v>0</v>
      </c>
      <c r="AY60" s="0" t="n">
        <v>0</v>
      </c>
      <c r="AZ60" s="0" t="n">
        <v>0</v>
      </c>
      <c r="BA60" s="0" t="n">
        <v>0</v>
      </c>
      <c r="BB60" s="0" t="n">
        <v>0</v>
      </c>
      <c r="BC60" s="0" t="n">
        <v>44</v>
      </c>
      <c r="BD60" s="0" t="n">
        <v>90</v>
      </c>
      <c r="BE60" s="0" t="n">
        <v>661</v>
      </c>
      <c r="BF60" s="0" t="n">
        <v>6</v>
      </c>
      <c r="BG60" s="0" t="n">
        <v>1252</v>
      </c>
      <c r="BH60" s="0" t="n">
        <v>214</v>
      </c>
      <c r="BI60" s="0" t="n">
        <v>37</v>
      </c>
      <c r="BJ60" s="0" t="n">
        <v>20.8927210828104</v>
      </c>
      <c r="BK60" s="0" t="n">
        <v>0</v>
      </c>
      <c r="BL60" s="0" t="n">
        <v>0</v>
      </c>
      <c r="BM60" s="0" t="n">
        <v>102.1</v>
      </c>
      <c r="BN60" s="0" t="n">
        <v>146.1</v>
      </c>
      <c r="BO60" s="0" t="n">
        <v>12</v>
      </c>
      <c r="BP60" s="0" t="s">
        <v>203</v>
      </c>
      <c r="BQ60" s="0" t="n">
        <v>1</v>
      </c>
      <c r="BR60" s="0" t="n">
        <v>124.1</v>
      </c>
      <c r="BS60" s="0" t="n">
        <v>0.1692</v>
      </c>
      <c r="BT60" s="0" t="n">
        <v>0</v>
      </c>
      <c r="BU60" s="0" t="n">
        <v>0.276</v>
      </c>
      <c r="BV60" s="0" t="n">
        <v>0.2368</v>
      </c>
      <c r="BW60" s="0" t="n">
        <v>0</v>
      </c>
      <c r="BX60" s="0" t="n">
        <v>0.3818</v>
      </c>
      <c r="BY60" s="0" t="n">
        <v>0.6225</v>
      </c>
      <c r="BZ60" s="0" t="n">
        <v>12</v>
      </c>
      <c r="CA60" s="0" t="n">
        <v>5.18</v>
      </c>
      <c r="CB60" s="0" t="n">
        <v>19.17</v>
      </c>
      <c r="CC60" s="0" t="n">
        <v>11.75</v>
      </c>
      <c r="CD60" s="0" t="n">
        <v>9.17</v>
      </c>
      <c r="CE60" s="0" t="n">
        <v>3</v>
      </c>
      <c r="CF60" s="0" t="n">
        <v>1</v>
      </c>
      <c r="CG60" s="0" t="n">
        <v>12</v>
      </c>
      <c r="CH60" s="0" t="n">
        <v>0.25</v>
      </c>
      <c r="CI60" s="0" t="n">
        <v>0.083</v>
      </c>
      <c r="CJ60" s="0" t="n">
        <v>0.781</v>
      </c>
      <c r="CK60" s="0" t="n">
        <v>12</v>
      </c>
      <c r="CL60" s="0" t="n">
        <v>5</v>
      </c>
      <c r="CM60" s="0" t="n">
        <v>4</v>
      </c>
      <c r="CN60" s="0" t="n">
        <v>6</v>
      </c>
      <c r="CO60" s="0" t="n">
        <v>4.77968476715904</v>
      </c>
      <c r="CP60" s="0" t="n">
        <v>0</v>
      </c>
      <c r="CQ60" s="0" t="n">
        <v>0</v>
      </c>
      <c r="CR60" s="0" t="n">
        <v>0</v>
      </c>
      <c r="CS60" s="0" t="n">
        <v>0</v>
      </c>
      <c r="CT60" s="0" t="n">
        <v>0</v>
      </c>
      <c r="CU60" s="0" t="n">
        <v>12</v>
      </c>
      <c r="CV60" s="0" t="n">
        <v>5</v>
      </c>
      <c r="CW60" s="0" t="n">
        <v>4</v>
      </c>
      <c r="CX60" s="0" t="n">
        <v>6</v>
      </c>
      <c r="CY60" s="0" t="n">
        <v>4.78</v>
      </c>
      <c r="CZ60" s="0" t="n">
        <v>1.22</v>
      </c>
      <c r="DA60" s="0" t="n">
        <v>2.98158031007651</v>
      </c>
      <c r="DB60" s="0" t="n">
        <v>6.43952941176471</v>
      </c>
      <c r="DC60" s="0" t="n">
        <v>14.0783333333333</v>
      </c>
      <c r="DD60" s="0" t="n">
        <v>28.2932918292108</v>
      </c>
      <c r="DE60" s="0" t="n">
        <v>0.974928948980017</v>
      </c>
      <c r="DF60" s="0" t="n">
        <v>48.8888888888889</v>
      </c>
      <c r="DM60" s="0" t="s">
        <v>1248</v>
      </c>
      <c r="DS60" s="0" t="n">
        <v>90</v>
      </c>
      <c r="DT60" s="0" t="n">
        <v>1</v>
      </c>
      <c r="DU60" s="0" t="n">
        <v>2</v>
      </c>
      <c r="DV60" s="0" t="n">
        <v>10.159</v>
      </c>
      <c r="DW60" s="0" t="n">
        <v>4.864</v>
      </c>
      <c r="DX60" s="0" t="n">
        <v>13.9</v>
      </c>
      <c r="DY60" s="0" t="n">
        <v>0.0222</v>
      </c>
      <c r="DZ60" s="0" t="n">
        <v>733</v>
      </c>
      <c r="EA60" s="0" t="n">
        <v>0.881</v>
      </c>
      <c r="EB60" s="0" t="n">
        <v>12</v>
      </c>
      <c r="EC60" s="0" t="s">
        <v>1249</v>
      </c>
      <c r="ED60" s="0" t="n">
        <v>2024</v>
      </c>
      <c r="EE60" s="0" t="n">
        <v>1</v>
      </c>
      <c r="EF60" s="0" t="n">
        <v>9</v>
      </c>
      <c r="EG60" s="0" t="n">
        <v>2024</v>
      </c>
      <c r="EH60" s="0" t="n">
        <v>2026</v>
      </c>
      <c r="EI60" s="0" t="n">
        <v>3</v>
      </c>
      <c r="EJ60" s="0" t="n">
        <v>75</v>
      </c>
      <c r="EK60" s="0" t="n">
        <v>215</v>
      </c>
      <c r="EL60" s="0" t="s">
        <v>1250</v>
      </c>
      <c r="EM60" s="0" t="n">
        <v>24.2</v>
      </c>
      <c r="EN60" s="15" t="b">
        <f aca="false">FALSE()</f>
        <v>0</v>
      </c>
      <c r="EO60" s="0" t="n">
        <v>400</v>
      </c>
      <c r="EP60" s="0" t="n">
        <v>3.37625</v>
      </c>
      <c r="EQ60" s="0" t="n">
        <v>0.13</v>
      </c>
      <c r="ER60" s="0" t="n">
        <v>1.5225</v>
      </c>
      <c r="ES60" s="0" t="n">
        <v>0.63</v>
      </c>
      <c r="ET60" s="0" t="n">
        <v>34</v>
      </c>
      <c r="EU60" s="0" t="n">
        <v>27</v>
      </c>
      <c r="EV60" s="0" t="n">
        <v>4.805</v>
      </c>
      <c r="EW60" s="0" t="n">
        <v>0.794117647058824</v>
      </c>
      <c r="EX60" s="0" t="n">
        <v>2.98769008642548</v>
      </c>
      <c r="EY60" s="0" t="n">
        <v>3.337</v>
      </c>
      <c r="EZ60" s="0" t="n">
        <v>0.1354</v>
      </c>
      <c r="FA60" s="0" t="n">
        <v>3.125</v>
      </c>
      <c r="FB60" s="0" t="n">
        <v>1.739</v>
      </c>
      <c r="FC60" s="0" t="n">
        <v>26</v>
      </c>
      <c r="FD60" s="0" t="n">
        <v>640</v>
      </c>
      <c r="FE60" s="0" t="n">
        <v>0.0375</v>
      </c>
      <c r="FF60" s="0" t="n">
        <v>0.0358</v>
      </c>
      <c r="FG60" s="0" t="n">
        <v>0.2787</v>
      </c>
      <c r="FH60" s="0" t="n">
        <v>2.496</v>
      </c>
      <c r="FI60" s="0" t="n">
        <v>1096</v>
      </c>
      <c r="FJ60" s="0" t="n">
        <v>0.547445255474453</v>
      </c>
      <c r="FK60" s="0" t="n">
        <v>17</v>
      </c>
      <c r="FL60" s="0" t="n">
        <v>64.47</v>
      </c>
      <c r="FM60" s="0" t="n">
        <v>0.5233</v>
      </c>
      <c r="FN60" s="0" t="n">
        <v>0.4767</v>
      </c>
      <c r="FO60" s="0" t="n">
        <v>-0.039</v>
      </c>
      <c r="FP60" s="0" t="n">
        <v>0.0786</v>
      </c>
      <c r="FQ60" s="0" t="n">
        <v>0.0802</v>
      </c>
      <c r="FR60" s="0" t="n">
        <v>37</v>
      </c>
      <c r="FS60" s="0" t="n">
        <v>58</v>
      </c>
      <c r="FT60" s="0" t="n">
        <v>3.41</v>
      </c>
      <c r="FU60" s="0" t="n">
        <v>25.9</v>
      </c>
      <c r="FV60" s="0" t="n">
        <v>5814</v>
      </c>
      <c r="FW60" s="0" t="n">
        <v>4660</v>
      </c>
      <c r="FX60" s="0" t="n">
        <v>0.802</v>
      </c>
      <c r="FY60" s="0" t="n">
        <v>5</v>
      </c>
      <c r="FZ60" s="0" t="n">
        <v>4</v>
      </c>
      <c r="GA60" s="0" t="n">
        <v>1.67518100810579</v>
      </c>
      <c r="GB60" s="0" t="n">
        <v>80.3</v>
      </c>
      <c r="GC60" s="0" t="n">
        <v>61.1</v>
      </c>
      <c r="GD60" s="0" t="n">
        <v>76.3</v>
      </c>
      <c r="GE60" s="0" t="n">
        <v>532</v>
      </c>
      <c r="GF60" s="0" t="n">
        <v>505</v>
      </c>
      <c r="GG60" s="0" t="n">
        <v>161</v>
      </c>
      <c r="GH60" s="0" t="n">
        <v>20</v>
      </c>
      <c r="GI60" s="0" t="n">
        <v>163</v>
      </c>
      <c r="GJ60" s="0" t="n">
        <v>26</v>
      </c>
      <c r="GK60" s="0" t="n">
        <v>0.303</v>
      </c>
      <c r="GL60" s="0" t="n">
        <v>0.04</v>
      </c>
      <c r="GM60" s="0" t="n">
        <v>0.16</v>
      </c>
      <c r="GN60" s="0" t="n">
        <v>12.175</v>
      </c>
      <c r="GO60" s="0" t="n">
        <v>10.342</v>
      </c>
      <c r="GP60" s="0" t="n">
        <v>8.508</v>
      </c>
      <c r="GQ60" s="0" t="n">
        <v>7.5</v>
      </c>
      <c r="GR60" s="0" t="n">
        <v>0</v>
      </c>
      <c r="GS60" s="0" t="n">
        <v>90</v>
      </c>
      <c r="GT60" s="0" t="n">
        <v>1.623</v>
      </c>
      <c r="GU60" s="0" t="n">
        <v>0.199</v>
      </c>
      <c r="GV60" s="0" t="n">
        <v>7.344</v>
      </c>
      <c r="GW60" s="0" t="n">
        <v>15.023</v>
      </c>
      <c r="GX60" s="0" t="n">
        <v>0.489</v>
      </c>
      <c r="GZ60" s="0" t="n">
        <v>13.911</v>
      </c>
      <c r="HA60" s="0" t="n">
        <v>4.864</v>
      </c>
      <c r="HB60" s="0" t="n">
        <v>0.528</v>
      </c>
      <c r="HC60" s="0" t="n">
        <v>0.067</v>
      </c>
      <c r="HE60" s="0" t="n">
        <v>0.232</v>
      </c>
      <c r="HG60" s="0" t="n">
        <v>59.12</v>
      </c>
      <c r="HH60" s="0" t="n">
        <v>8.06</v>
      </c>
      <c r="HI60" s="0" t="n">
        <v>42</v>
      </c>
      <c r="HJ60" s="0" t="n">
        <v>82</v>
      </c>
      <c r="HK60" s="0" t="s">
        <v>909</v>
      </c>
      <c r="HL60" s="0" t="n">
        <v>0</v>
      </c>
      <c r="HM60" s="0" t="n">
        <v>41</v>
      </c>
      <c r="HN60" s="0" t="n">
        <v>29</v>
      </c>
      <c r="HO60" s="0" t="n">
        <v>-0.734</v>
      </c>
      <c r="HP60" s="0" t="n">
        <v>28</v>
      </c>
      <c r="HQ60" s="0" t="n">
        <v>-0.165</v>
      </c>
      <c r="HR60" s="0" t="s">
        <v>121</v>
      </c>
    </row>
    <row r="61" customFormat="false" ht="15" hidden="false" customHeight="false" outlineLevel="0" collapsed="false">
      <c r="A61" s="0" t="s">
        <v>896</v>
      </c>
      <c r="B61" s="0" t="s">
        <v>897</v>
      </c>
      <c r="C61" s="0" t="s">
        <v>898</v>
      </c>
      <c r="D61" s="0" t="s">
        <v>254</v>
      </c>
      <c r="E61" s="0" t="n">
        <v>19210</v>
      </c>
      <c r="F61" s="0" t="s">
        <v>104</v>
      </c>
      <c r="G61" s="0" t="n">
        <v>59.55</v>
      </c>
      <c r="H61" s="0" t="n">
        <v>7.42</v>
      </c>
      <c r="I61" s="0" t="n">
        <v>43</v>
      </c>
      <c r="J61" s="0" t="n">
        <v>80</v>
      </c>
      <c r="L61" s="0" t="s">
        <v>1251</v>
      </c>
      <c r="O61" s="0" t="n">
        <v>92.3</v>
      </c>
      <c r="U61" s="0" t="n">
        <v>10</v>
      </c>
      <c r="V61" s="0" t="s">
        <v>1252</v>
      </c>
      <c r="W61" s="0" t="s">
        <v>901</v>
      </c>
      <c r="X61" s="0" t="s">
        <v>203</v>
      </c>
      <c r="Y61" s="0" t="s">
        <v>1253</v>
      </c>
      <c r="Z61" s="0" t="n">
        <v>19210</v>
      </c>
      <c r="AA61" s="0" t="s">
        <v>1254</v>
      </c>
      <c r="AB61" s="0" t="s">
        <v>904</v>
      </c>
      <c r="AC61" s="0" t="s">
        <v>203</v>
      </c>
      <c r="AD61" s="0" t="s">
        <v>203</v>
      </c>
      <c r="AE61" s="0" t="s">
        <v>203</v>
      </c>
      <c r="AF61" s="0" t="s">
        <v>203</v>
      </c>
      <c r="AG61" s="0" t="s">
        <v>203</v>
      </c>
      <c r="AH61" s="0" t="s">
        <v>905</v>
      </c>
      <c r="AI61" s="0" t="n">
        <v>1</v>
      </c>
      <c r="AJ61" s="0" t="s">
        <v>104</v>
      </c>
      <c r="AK61" s="0" t="n">
        <v>60</v>
      </c>
      <c r="AL61" s="0" t="n">
        <v>21</v>
      </c>
      <c r="AM61" s="0" t="s">
        <v>255</v>
      </c>
      <c r="AN61" s="0" t="n">
        <v>0</v>
      </c>
      <c r="AO61" s="0" t="n">
        <v>0</v>
      </c>
      <c r="AP61" s="0" t="n">
        <v>0</v>
      </c>
      <c r="AQ61" s="0" t="n">
        <v>0</v>
      </c>
      <c r="AR61" s="0" t="n">
        <v>0</v>
      </c>
      <c r="AS61" s="0" t="n">
        <v>0</v>
      </c>
      <c r="AT61" s="0" t="n">
        <v>0</v>
      </c>
      <c r="AU61" s="0" t="n">
        <v>0</v>
      </c>
      <c r="AV61" s="0" t="n">
        <v>0</v>
      </c>
      <c r="AW61" s="0" t="n">
        <v>223</v>
      </c>
      <c r="AX61" s="0" t="n">
        <v>1087</v>
      </c>
      <c r="AY61" s="0" t="n">
        <v>9</v>
      </c>
      <c r="AZ61" s="0" t="n">
        <v>62</v>
      </c>
      <c r="BA61" s="0" t="n">
        <v>15.4491434813192</v>
      </c>
      <c r="BB61" s="0" t="n">
        <v>2</v>
      </c>
      <c r="BC61" s="0" t="n">
        <v>34</v>
      </c>
      <c r="BD61" s="0" t="n">
        <v>48</v>
      </c>
      <c r="BE61" s="0" t="n">
        <v>299</v>
      </c>
      <c r="BF61" s="0" t="n">
        <v>1</v>
      </c>
      <c r="BG61" s="0" t="n">
        <v>-25</v>
      </c>
      <c r="BH61" s="0" t="n">
        <v>357</v>
      </c>
      <c r="BI61" s="0" t="n">
        <v>11</v>
      </c>
      <c r="BJ61" s="0" t="n">
        <v>-1.56785017754861</v>
      </c>
      <c r="BK61" s="0" t="n">
        <v>0</v>
      </c>
      <c r="BL61" s="0" t="n">
        <v>0</v>
      </c>
      <c r="BM61" s="0" t="n">
        <v>194.6</v>
      </c>
      <c r="BN61" s="0" t="n">
        <v>228.6</v>
      </c>
      <c r="BO61" s="0" t="n">
        <v>16</v>
      </c>
      <c r="BP61" s="0" t="s">
        <v>203</v>
      </c>
      <c r="BQ61" s="0" t="n">
        <v>1</v>
      </c>
      <c r="BR61" s="0" t="n">
        <v>211.6</v>
      </c>
      <c r="BS61" s="0" t="n">
        <v>0.0902</v>
      </c>
      <c r="BT61" s="0" t="n">
        <v>0.4416</v>
      </c>
      <c r="BU61" s="0" t="n">
        <v>-0.0055</v>
      </c>
      <c r="BV61" s="0" t="n">
        <v>0.0964</v>
      </c>
      <c r="BW61" s="0" t="n">
        <v>0.4765</v>
      </c>
      <c r="BX61" s="0" t="n">
        <v>-0.0058</v>
      </c>
      <c r="BY61" s="0" t="n">
        <v>0.1405</v>
      </c>
      <c r="BZ61" s="0" t="n">
        <v>16</v>
      </c>
      <c r="CA61" s="0" t="n">
        <v>9.38</v>
      </c>
      <c r="CB61" s="0" t="n">
        <v>21.62</v>
      </c>
      <c r="CC61" s="0" t="n">
        <v>14.35</v>
      </c>
      <c r="CD61" s="0" t="n">
        <v>6.67</v>
      </c>
      <c r="CE61" s="0" t="n">
        <v>5</v>
      </c>
      <c r="CF61" s="0" t="n">
        <v>1</v>
      </c>
      <c r="CG61" s="0" t="n">
        <v>16</v>
      </c>
      <c r="CH61" s="0" t="n">
        <v>0.312</v>
      </c>
      <c r="CI61" s="0" t="n">
        <v>0.062</v>
      </c>
      <c r="CJ61" s="0" t="n">
        <v>0.465</v>
      </c>
      <c r="CK61" s="0" t="n">
        <v>1</v>
      </c>
      <c r="CL61" s="0" t="n">
        <v>0</v>
      </c>
      <c r="CM61" s="0" t="n">
        <v>0</v>
      </c>
      <c r="CN61" s="0" t="n">
        <v>1</v>
      </c>
      <c r="CO61" s="0" t="n">
        <v>0.823437717501684</v>
      </c>
      <c r="CP61" s="0" t="n">
        <v>40</v>
      </c>
      <c r="CQ61" s="0" t="n">
        <v>24</v>
      </c>
      <c r="CR61" s="0" t="n">
        <v>14</v>
      </c>
      <c r="CS61" s="0" t="n">
        <v>9</v>
      </c>
      <c r="CT61" s="0" t="n">
        <v>8.31312273135163</v>
      </c>
      <c r="CU61" s="0" t="n">
        <v>41</v>
      </c>
      <c r="CV61" s="0" t="n">
        <v>24</v>
      </c>
      <c r="CW61" s="0" t="n">
        <v>14</v>
      </c>
      <c r="CX61" s="0" t="n">
        <v>10</v>
      </c>
      <c r="CY61" s="0" t="n">
        <v>9.14</v>
      </c>
      <c r="CZ61" s="0" t="n">
        <v>0.86</v>
      </c>
      <c r="DG61" s="0" t="n">
        <v>3.64673413063478</v>
      </c>
      <c r="DH61" s="0" t="n">
        <v>20.627802690583</v>
      </c>
      <c r="DI61" s="0" t="n">
        <v>2.84337320574163</v>
      </c>
      <c r="DJ61" s="0" t="n">
        <v>128.215761919601</v>
      </c>
      <c r="DK61" s="0" t="n">
        <v>0.582798917816368</v>
      </c>
      <c r="DL61" s="0" t="n">
        <v>0.486363636363636</v>
      </c>
      <c r="DM61" s="0" t="s">
        <v>1255</v>
      </c>
      <c r="DN61" s="0" t="n">
        <v>223</v>
      </c>
      <c r="DO61" s="0" t="n">
        <v>11</v>
      </c>
      <c r="DP61" s="0" t="n">
        <v>2.987</v>
      </c>
      <c r="DQ61" s="0" t="n">
        <v>1.888</v>
      </c>
      <c r="DR61" s="0" t="n">
        <v>20.27</v>
      </c>
      <c r="DS61" s="0" t="n">
        <v>48</v>
      </c>
      <c r="DT61" s="0" t="n">
        <v>1</v>
      </c>
      <c r="DU61" s="0" t="n">
        <v>4</v>
      </c>
      <c r="DV61" s="0" t="n">
        <v>-1.706</v>
      </c>
      <c r="DW61" s="0" t="n">
        <v>10.5</v>
      </c>
      <c r="DX61" s="0" t="n">
        <v>-0.6</v>
      </c>
      <c r="DY61" s="0" t="n">
        <v>0.0833</v>
      </c>
      <c r="DZ61" s="0" t="n">
        <v>621</v>
      </c>
      <c r="EA61" s="0" t="n">
        <v>0.579</v>
      </c>
      <c r="EB61" s="0" t="n">
        <v>16</v>
      </c>
      <c r="EC61" s="0" t="s">
        <v>1256</v>
      </c>
      <c r="ED61" s="0" t="n">
        <v>2020</v>
      </c>
      <c r="EE61" s="0" t="n">
        <v>2</v>
      </c>
      <c r="EF61" s="0" t="n">
        <v>35</v>
      </c>
      <c r="EG61" s="0" t="n">
        <v>2020</v>
      </c>
      <c r="EH61" s="0" t="n">
        <v>2026</v>
      </c>
      <c r="EI61" s="0" t="n">
        <v>7</v>
      </c>
      <c r="EJ61" s="0" t="n">
        <v>68</v>
      </c>
      <c r="EK61" s="0" t="n">
        <v>204</v>
      </c>
      <c r="EL61" s="0" t="s">
        <v>1003</v>
      </c>
      <c r="EM61" s="0" t="n">
        <v>27.6</v>
      </c>
      <c r="EN61" s="15" t="b">
        <f aca="false">FALSE()</f>
        <v>0</v>
      </c>
      <c r="EO61" s="0" t="n">
        <v>400</v>
      </c>
      <c r="EP61" s="0" t="n">
        <v>3.37625</v>
      </c>
      <c r="EQ61" s="0" t="n">
        <v>0.13</v>
      </c>
      <c r="ER61" s="0" t="n">
        <v>1.5225</v>
      </c>
      <c r="ES61" s="0" t="n">
        <v>0.63</v>
      </c>
      <c r="ET61" s="0" t="n">
        <v>34</v>
      </c>
      <c r="EU61" s="0" t="n">
        <v>27</v>
      </c>
      <c r="EV61" s="0" t="n">
        <v>4.805</v>
      </c>
      <c r="EW61" s="0" t="n">
        <v>0.794117647058824</v>
      </c>
      <c r="EX61" s="0" t="n">
        <v>2.98769008642548</v>
      </c>
      <c r="EY61" s="0" t="n">
        <v>3.337</v>
      </c>
      <c r="EZ61" s="0" t="n">
        <v>0.1354</v>
      </c>
      <c r="FA61" s="0" t="n">
        <v>3.125</v>
      </c>
      <c r="FB61" s="0" t="n">
        <v>1.739</v>
      </c>
      <c r="FC61" s="0" t="n">
        <v>26</v>
      </c>
      <c r="FD61" s="0" t="n">
        <v>640</v>
      </c>
      <c r="FE61" s="0" t="n">
        <v>0.0375</v>
      </c>
      <c r="FF61" s="0" t="n">
        <v>0.0358</v>
      </c>
      <c r="FG61" s="0" t="n">
        <v>0.2787</v>
      </c>
      <c r="FH61" s="0" t="n">
        <v>2.496</v>
      </c>
      <c r="FI61" s="0" t="n">
        <v>1096</v>
      </c>
      <c r="FJ61" s="0" t="n">
        <v>0.547445255474453</v>
      </c>
      <c r="FK61" s="0" t="n">
        <v>17</v>
      </c>
      <c r="FL61" s="0" t="n">
        <v>64.47</v>
      </c>
      <c r="FM61" s="0" t="n">
        <v>0.5233</v>
      </c>
      <c r="FN61" s="0" t="n">
        <v>0.4767</v>
      </c>
      <c r="FO61" s="0" t="n">
        <v>-0.039</v>
      </c>
      <c r="FP61" s="0" t="n">
        <v>0.0786</v>
      </c>
      <c r="FQ61" s="0" t="n">
        <v>0.0802</v>
      </c>
      <c r="FR61" s="0" t="n">
        <v>37</v>
      </c>
      <c r="FS61" s="0" t="n">
        <v>58</v>
      </c>
      <c r="FT61" s="0" t="n">
        <v>3.41</v>
      </c>
      <c r="FU61" s="0" t="n">
        <v>25.9</v>
      </c>
      <c r="FV61" s="0" t="n">
        <v>5814</v>
      </c>
      <c r="FW61" s="0" t="n">
        <v>4660</v>
      </c>
      <c r="FX61" s="0" t="n">
        <v>0.802</v>
      </c>
      <c r="FY61" s="0" t="n">
        <v>5</v>
      </c>
      <c r="FZ61" s="0" t="n">
        <v>4</v>
      </c>
      <c r="GA61" s="0" t="n">
        <v>1.67518100810579</v>
      </c>
      <c r="GB61" s="0" t="n">
        <v>80.3</v>
      </c>
      <c r="GC61" s="0" t="n">
        <v>61.1</v>
      </c>
      <c r="GD61" s="0" t="n">
        <v>76.3</v>
      </c>
      <c r="GE61" s="0" t="n">
        <v>532</v>
      </c>
      <c r="GF61" s="0" t="n">
        <v>505</v>
      </c>
      <c r="GG61" s="0" t="n">
        <v>161</v>
      </c>
      <c r="GH61" s="0" t="n">
        <v>20</v>
      </c>
      <c r="GI61" s="0" t="n">
        <v>163</v>
      </c>
      <c r="GJ61" s="0" t="n">
        <v>26</v>
      </c>
      <c r="GK61" s="0" t="n">
        <v>0.303</v>
      </c>
      <c r="GL61" s="0" t="n">
        <v>0.04</v>
      </c>
      <c r="GM61" s="0" t="n">
        <v>0.16</v>
      </c>
      <c r="GN61" s="0" t="n">
        <v>14.288</v>
      </c>
      <c r="GO61" s="0" t="n">
        <v>13.225</v>
      </c>
      <c r="GP61" s="0" t="n">
        <v>12.163</v>
      </c>
      <c r="GQ61" s="0" t="n">
        <v>3</v>
      </c>
      <c r="GR61" s="0" t="n">
        <v>13.938</v>
      </c>
      <c r="GS61" s="0" t="n">
        <v>271</v>
      </c>
      <c r="GT61" s="0" t="n">
        <v>0.844</v>
      </c>
      <c r="GU61" s="0" t="n">
        <v>0.368</v>
      </c>
      <c r="GV61" s="0" t="n">
        <v>6.229</v>
      </c>
      <c r="GW61" s="0" t="n">
        <v>8.794</v>
      </c>
      <c r="GX61" s="0" t="n">
        <v>0.708</v>
      </c>
      <c r="GY61" s="0" t="n">
        <v>4.874</v>
      </c>
      <c r="GZ61" s="0" t="n">
        <v>-0.521</v>
      </c>
      <c r="HA61" s="0" t="n">
        <v>10.5</v>
      </c>
      <c r="HB61" s="0" t="n">
        <v>-11.96</v>
      </c>
      <c r="HC61" s="0" t="n">
        <v>0.037</v>
      </c>
      <c r="HD61" s="0" t="n">
        <v>0.069</v>
      </c>
      <c r="HE61" s="0" t="n">
        <v>-0.033</v>
      </c>
      <c r="HG61" s="0" t="n">
        <v>59.55</v>
      </c>
      <c r="HH61" s="0" t="n">
        <v>7.42</v>
      </c>
      <c r="HI61" s="0" t="n">
        <v>43</v>
      </c>
      <c r="HJ61" s="0" t="n">
        <v>80</v>
      </c>
      <c r="HK61" s="0" t="s">
        <v>909</v>
      </c>
      <c r="HL61" s="0" t="n">
        <v>0</v>
      </c>
      <c r="HM61" s="0" t="n">
        <v>15</v>
      </c>
      <c r="HN61" s="0" t="n">
        <v>21</v>
      </c>
      <c r="HO61" s="0" t="n">
        <v>0.122</v>
      </c>
      <c r="HP61" s="0" t="n">
        <v>17</v>
      </c>
      <c r="HQ61" s="0" t="n">
        <v>0.034</v>
      </c>
      <c r="HR61" s="0" t="s">
        <v>102</v>
      </c>
    </row>
    <row r="62" customFormat="false" ht="15" hidden="false" customHeight="false" outlineLevel="0" collapsed="false">
      <c r="A62" s="0" t="s">
        <v>896</v>
      </c>
      <c r="B62" s="0" t="s">
        <v>897</v>
      </c>
      <c r="C62" s="0" t="s">
        <v>898</v>
      </c>
      <c r="D62" s="0" t="s">
        <v>256</v>
      </c>
      <c r="E62" s="0" t="n">
        <v>25391</v>
      </c>
      <c r="F62" s="0" t="s">
        <v>104</v>
      </c>
      <c r="G62" s="0" t="n">
        <v>60.99</v>
      </c>
      <c r="H62" s="0" t="n">
        <v>8.96</v>
      </c>
      <c r="I62" s="0" t="n">
        <v>41</v>
      </c>
      <c r="J62" s="0" t="n">
        <v>78</v>
      </c>
      <c r="L62" s="0" t="s">
        <v>1257</v>
      </c>
      <c r="O62" s="0" t="n">
        <v>93.8</v>
      </c>
      <c r="U62" s="0" t="n">
        <v>11</v>
      </c>
      <c r="V62" s="0" t="s">
        <v>256</v>
      </c>
      <c r="W62" s="0" t="s">
        <v>901</v>
      </c>
      <c r="X62" s="0" t="s">
        <v>258</v>
      </c>
      <c r="Y62" s="0" t="s">
        <v>1258</v>
      </c>
      <c r="Z62" s="0" t="n">
        <v>25391</v>
      </c>
      <c r="AA62" s="0" t="s">
        <v>1259</v>
      </c>
      <c r="AB62" s="0" t="s">
        <v>904</v>
      </c>
      <c r="AC62" s="0" t="s">
        <v>258</v>
      </c>
      <c r="AD62" s="0" t="s">
        <v>258</v>
      </c>
      <c r="AE62" s="0" t="s">
        <v>258</v>
      </c>
      <c r="AF62" s="0" t="s">
        <v>258</v>
      </c>
      <c r="AG62" s="0" t="s">
        <v>258</v>
      </c>
      <c r="AH62" s="0" t="s">
        <v>905</v>
      </c>
      <c r="AI62" s="0" t="n">
        <v>1</v>
      </c>
      <c r="AJ62" s="0" t="s">
        <v>104</v>
      </c>
      <c r="AK62" s="0" t="n">
        <v>61</v>
      </c>
      <c r="AL62" s="0" t="n">
        <v>22</v>
      </c>
      <c r="AM62" s="0" t="s">
        <v>257</v>
      </c>
      <c r="AN62" s="0" t="n">
        <v>0</v>
      </c>
      <c r="AO62" s="0" t="n">
        <v>0</v>
      </c>
      <c r="AP62" s="0" t="n">
        <v>0</v>
      </c>
      <c r="AQ62" s="0" t="n">
        <v>0</v>
      </c>
      <c r="AR62" s="0" t="n">
        <v>0</v>
      </c>
      <c r="AS62" s="0" t="n">
        <v>0</v>
      </c>
      <c r="AT62" s="0" t="n">
        <v>0</v>
      </c>
      <c r="AU62" s="0" t="n">
        <v>0</v>
      </c>
      <c r="AV62" s="0" t="n">
        <v>-0.947</v>
      </c>
      <c r="AW62" s="0" t="n">
        <v>230</v>
      </c>
      <c r="AX62" s="0" t="n">
        <v>827</v>
      </c>
      <c r="AY62" s="0" t="n">
        <v>7</v>
      </c>
      <c r="AZ62" s="0" t="n">
        <v>50</v>
      </c>
      <c r="BA62" s="0" t="n">
        <v>-25.1028709285018</v>
      </c>
      <c r="BB62" s="0" t="n">
        <v>0</v>
      </c>
      <c r="BC62" s="0" t="n">
        <v>26</v>
      </c>
      <c r="BD62" s="0" t="n">
        <v>36</v>
      </c>
      <c r="BE62" s="0" t="n">
        <v>171</v>
      </c>
      <c r="BF62" s="0" t="n">
        <v>0</v>
      </c>
      <c r="BG62" s="0" t="n">
        <v>-15</v>
      </c>
      <c r="BH62" s="0" t="n">
        <v>194</v>
      </c>
      <c r="BI62" s="0" t="n">
        <v>7</v>
      </c>
      <c r="BJ62" s="0" t="n">
        <v>-7.29197703843238</v>
      </c>
      <c r="BK62" s="0" t="n">
        <v>0</v>
      </c>
      <c r="BL62" s="0" t="n">
        <v>0</v>
      </c>
      <c r="BM62" s="0" t="n">
        <v>143.8</v>
      </c>
      <c r="BN62" s="0" t="n">
        <v>169.8</v>
      </c>
      <c r="BO62" s="0" t="n">
        <v>14</v>
      </c>
      <c r="BP62" s="0" t="s">
        <v>258</v>
      </c>
      <c r="BQ62" s="0" t="n">
        <v>1</v>
      </c>
      <c r="BR62" s="0" t="n">
        <v>156.8</v>
      </c>
      <c r="BS62" s="0" t="n">
        <v>0.069</v>
      </c>
      <c r="BT62" s="0" t="n">
        <v>0.5463</v>
      </c>
      <c r="BU62" s="0" t="n">
        <v>-0.0042</v>
      </c>
      <c r="BV62" s="0" t="n">
        <v>0.0826</v>
      </c>
      <c r="BW62" s="0" t="n">
        <v>0.6609</v>
      </c>
      <c r="BX62" s="0" t="n">
        <v>-0.0051</v>
      </c>
      <c r="BY62" s="0" t="n">
        <v>0.1203</v>
      </c>
      <c r="BZ62" s="0" t="n">
        <v>14</v>
      </c>
      <c r="CA62" s="0" t="n">
        <v>6.78</v>
      </c>
      <c r="CB62" s="0" t="n">
        <v>16.94</v>
      </c>
      <c r="CC62" s="0" t="n">
        <v>10.3</v>
      </c>
      <c r="CD62" s="0" t="n">
        <v>6.73</v>
      </c>
      <c r="CE62" s="0" t="n">
        <v>4</v>
      </c>
      <c r="CF62" s="0" t="n">
        <v>0</v>
      </c>
      <c r="CG62" s="0" t="n">
        <v>14</v>
      </c>
      <c r="CH62" s="0" t="n">
        <v>0.286</v>
      </c>
      <c r="CI62" s="0" t="n">
        <v>0</v>
      </c>
      <c r="CJ62" s="0" t="n">
        <v>0.653</v>
      </c>
      <c r="CK62" s="0" t="n">
        <v>1</v>
      </c>
      <c r="CL62" s="0" t="n">
        <v>0</v>
      </c>
      <c r="CM62" s="0" t="n">
        <v>0</v>
      </c>
      <c r="CN62" s="0" t="n">
        <v>0</v>
      </c>
      <c r="CO62" s="0" t="n">
        <v>0.443007133157361</v>
      </c>
      <c r="CP62" s="0" t="n">
        <v>32</v>
      </c>
      <c r="CQ62" s="0" t="n">
        <v>18</v>
      </c>
      <c r="CR62" s="0" t="n">
        <v>11</v>
      </c>
      <c r="CS62" s="0" t="n">
        <v>7</v>
      </c>
      <c r="CT62" s="0" t="n">
        <v>7.03198906323285</v>
      </c>
      <c r="CU62" s="0" t="n">
        <v>33</v>
      </c>
      <c r="CV62" s="0" t="n">
        <v>18</v>
      </c>
      <c r="CW62" s="0" t="n">
        <v>11</v>
      </c>
      <c r="CX62" s="0" t="n">
        <v>7</v>
      </c>
      <c r="CY62" s="0" t="n">
        <v>7.47</v>
      </c>
      <c r="CZ62" s="0" t="n">
        <v>-0.47</v>
      </c>
      <c r="DG62" s="0" t="n">
        <v>4.18108827085852</v>
      </c>
      <c r="DH62" s="0" t="n">
        <v>45.2173913043478</v>
      </c>
      <c r="DI62" s="0" t="n">
        <v>2.99386893203884</v>
      </c>
      <c r="DJ62" s="0" t="n">
        <v>68.6821889581412</v>
      </c>
      <c r="DK62" s="0" t="n">
        <v>0.303903490965227</v>
      </c>
      <c r="DL62" s="0" t="n">
        <v>0.384955752212389</v>
      </c>
      <c r="DM62" s="0" t="s">
        <v>1260</v>
      </c>
      <c r="DN62" s="0" t="n">
        <v>230</v>
      </c>
      <c r="DO62" s="0" t="n">
        <v>11</v>
      </c>
      <c r="DP62" s="0" t="n">
        <v>1.4</v>
      </c>
      <c r="DQ62" s="0" t="n">
        <v>2.196</v>
      </c>
      <c r="DR62" s="0" t="n">
        <v>20.91</v>
      </c>
      <c r="DS62" s="0" t="n">
        <v>36</v>
      </c>
      <c r="DT62" s="0" t="n">
        <v>0</v>
      </c>
      <c r="DU62" s="0" t="n">
        <v>1</v>
      </c>
      <c r="DV62" s="0" t="n">
        <v>-0.885</v>
      </c>
      <c r="DW62" s="0" t="n">
        <v>7.462</v>
      </c>
      <c r="DX62" s="0" t="n">
        <v>-0.5</v>
      </c>
      <c r="DY62" s="0" t="n">
        <v>0.0278</v>
      </c>
      <c r="DZ62" s="0" t="n">
        <v>452</v>
      </c>
      <c r="EA62" s="0" t="n">
        <v>0.505</v>
      </c>
      <c r="EB62" s="0" t="n">
        <v>14</v>
      </c>
      <c r="EC62" s="0" t="s">
        <v>1261</v>
      </c>
      <c r="ED62" s="0" t="n">
        <v>2025</v>
      </c>
      <c r="EE62" s="0" t="n">
        <v>2</v>
      </c>
      <c r="EF62" s="0" t="n">
        <v>36</v>
      </c>
      <c r="EG62" s="0" t="n">
        <v>2025</v>
      </c>
      <c r="EH62" s="0" t="n">
        <v>2026</v>
      </c>
      <c r="EI62" s="0" t="n">
        <v>2</v>
      </c>
      <c r="EJ62" s="0" t="n">
        <v>72</v>
      </c>
      <c r="EK62" s="0" t="n">
        <v>221</v>
      </c>
      <c r="EL62" s="0" t="s">
        <v>1262</v>
      </c>
      <c r="EM62" s="0" t="n">
        <v>22.8</v>
      </c>
      <c r="EN62" s="15" t="b">
        <f aca="false">FALSE()</f>
        <v>0</v>
      </c>
      <c r="EO62" s="0" t="n">
        <v>353</v>
      </c>
      <c r="EP62" s="0" t="n">
        <v>2.40311614730878</v>
      </c>
      <c r="EQ62" s="0" t="n">
        <v>0.223796033994334</v>
      </c>
      <c r="ER62" s="0" t="n">
        <v>0.875354107648725</v>
      </c>
      <c r="ES62" s="0" t="n">
        <v>0.521246458923513</v>
      </c>
      <c r="ET62" s="0" t="n">
        <v>42</v>
      </c>
      <c r="EU62" s="0" t="n">
        <v>28</v>
      </c>
      <c r="EV62" s="0" t="n">
        <v>3.41076487252125</v>
      </c>
      <c r="EW62" s="0" t="n">
        <v>0.666666666666667</v>
      </c>
      <c r="EX62" s="0" t="n">
        <v>2.95974106155856</v>
      </c>
      <c r="EY62" s="0" t="n">
        <v>2.392</v>
      </c>
      <c r="EZ62" s="0" t="n">
        <v>0.225</v>
      </c>
      <c r="FA62" s="0" t="n">
        <v>1.808</v>
      </c>
      <c r="FB62" s="0" t="n">
        <v>2.109</v>
      </c>
      <c r="FC62" s="0" t="n">
        <v>31</v>
      </c>
      <c r="FD62" s="0" t="n">
        <v>639</v>
      </c>
      <c r="FE62" s="0" t="n">
        <v>0.07981220657277</v>
      </c>
      <c r="FF62" s="0" t="n">
        <v>0.0842</v>
      </c>
      <c r="FG62" s="0" t="n">
        <v>0.3405</v>
      </c>
      <c r="FH62" s="0" t="n">
        <v>2.444</v>
      </c>
      <c r="FI62" s="0" t="n">
        <v>1028</v>
      </c>
      <c r="FJ62" s="0" t="n">
        <v>0.592412451361868</v>
      </c>
      <c r="FK62" s="0" t="n">
        <v>17</v>
      </c>
      <c r="FL62" s="0" t="n">
        <v>60.47</v>
      </c>
      <c r="FM62" s="0" t="n">
        <v>0.5161</v>
      </c>
      <c r="FN62" s="0" t="n">
        <v>0.4839</v>
      </c>
      <c r="FO62" s="0" t="n">
        <v>-0.0372</v>
      </c>
      <c r="FP62" s="0" t="n">
        <v>-0.0478</v>
      </c>
      <c r="FQ62" s="0" t="n">
        <v>-0.2882</v>
      </c>
      <c r="FR62" s="0" t="n">
        <v>39</v>
      </c>
      <c r="FS62" s="0" t="n">
        <v>42</v>
      </c>
      <c r="FT62" s="0" t="n">
        <v>2.47</v>
      </c>
      <c r="FU62" s="0" t="n">
        <v>16.4</v>
      </c>
      <c r="FV62" s="0" t="n">
        <v>5503</v>
      </c>
      <c r="FW62" s="0" t="n">
        <v>1435</v>
      </c>
      <c r="FX62" s="0" t="n">
        <v>0.261</v>
      </c>
      <c r="FY62" s="0" t="n">
        <v>5</v>
      </c>
      <c r="FZ62" s="0" t="n">
        <v>1</v>
      </c>
      <c r="GA62" s="0" t="n">
        <v>-1.74193649230018</v>
      </c>
      <c r="GB62" s="0" t="n">
        <v>18.5</v>
      </c>
      <c r="GC62" s="0" t="n">
        <v>26.5</v>
      </c>
      <c r="GD62" s="0" t="n">
        <v>15.1</v>
      </c>
      <c r="GE62" s="0" t="n">
        <v>522</v>
      </c>
      <c r="GF62" s="0" t="n">
        <v>421</v>
      </c>
      <c r="GG62" s="0" t="n">
        <v>88</v>
      </c>
      <c r="GH62" s="0" t="n">
        <v>37</v>
      </c>
      <c r="GI62" s="0" t="n">
        <v>114</v>
      </c>
      <c r="GJ62" s="0" t="n">
        <v>23</v>
      </c>
      <c r="GK62" s="0" t="n">
        <v>0.169</v>
      </c>
      <c r="GL62" s="0" t="n">
        <v>0.088</v>
      </c>
      <c r="GM62" s="0" t="n">
        <v>0.202</v>
      </c>
      <c r="GN62" s="0" t="n">
        <v>12.129</v>
      </c>
      <c r="GO62" s="0" t="n">
        <v>11.2</v>
      </c>
      <c r="GP62" s="0" t="n">
        <v>10.271</v>
      </c>
      <c r="GQ62" s="0" t="n">
        <v>2.571</v>
      </c>
      <c r="GR62" s="0" t="n">
        <v>16.429</v>
      </c>
      <c r="GS62" s="0" t="n">
        <v>266</v>
      </c>
      <c r="GT62" s="0" t="n">
        <v>0.638</v>
      </c>
      <c r="GU62" s="0" t="n">
        <v>0.376</v>
      </c>
      <c r="GV62" s="0" t="n">
        <v>4.75</v>
      </c>
      <c r="GW62" s="0" t="n">
        <v>6.577</v>
      </c>
      <c r="GX62" s="0" t="n">
        <v>0.722</v>
      </c>
      <c r="GY62" s="0" t="n">
        <v>3.596</v>
      </c>
      <c r="GZ62" s="0" t="n">
        <v>-0.417</v>
      </c>
      <c r="HA62" s="0" t="n">
        <v>7.462</v>
      </c>
      <c r="HB62" s="0" t="n">
        <v>-11.4</v>
      </c>
      <c r="HC62" s="0" t="n">
        <v>0.026</v>
      </c>
      <c r="HD62" s="0" t="n">
        <v>-0.109</v>
      </c>
      <c r="HE62" s="0" t="n">
        <v>-0.203</v>
      </c>
      <c r="HG62" s="0" t="n">
        <v>60.99</v>
      </c>
      <c r="HH62" s="0" t="n">
        <v>8.96</v>
      </c>
      <c r="HI62" s="0" t="n">
        <v>41</v>
      </c>
      <c r="HJ62" s="0" t="n">
        <v>78</v>
      </c>
      <c r="HK62" s="0" t="s">
        <v>909</v>
      </c>
      <c r="HL62" s="0" t="n">
        <v>0</v>
      </c>
      <c r="HM62" s="0" t="n">
        <v>26</v>
      </c>
      <c r="HN62" s="0" t="n">
        <v>22</v>
      </c>
      <c r="HO62" s="0" t="n">
        <v>-0.325</v>
      </c>
      <c r="HP62" s="0" t="n">
        <v>25</v>
      </c>
      <c r="HQ62" s="0" t="n">
        <v>-0.282</v>
      </c>
      <c r="HR62" s="0" t="s">
        <v>102</v>
      </c>
    </row>
    <row r="63" customFormat="false" ht="15" hidden="false" customHeight="false" outlineLevel="0" collapsed="false">
      <c r="A63" s="0" t="s">
        <v>896</v>
      </c>
      <c r="B63" s="0" t="s">
        <v>897</v>
      </c>
      <c r="C63" s="0" t="s">
        <v>898</v>
      </c>
      <c r="D63" s="0" t="s">
        <v>259</v>
      </c>
      <c r="E63" s="0" t="n">
        <v>18239</v>
      </c>
      <c r="F63" s="0" t="s">
        <v>104</v>
      </c>
      <c r="G63" s="0" t="n">
        <v>61.73</v>
      </c>
      <c r="H63" s="0" t="n">
        <v>9.12</v>
      </c>
      <c r="I63" s="0" t="n">
        <v>42</v>
      </c>
      <c r="J63" s="0" t="n">
        <v>84</v>
      </c>
      <c r="L63" s="0" t="s">
        <v>1263</v>
      </c>
      <c r="O63" s="0" t="n">
        <v>92.6</v>
      </c>
      <c r="U63" s="0" t="n">
        <v>8</v>
      </c>
      <c r="V63" s="0" t="s">
        <v>259</v>
      </c>
      <c r="W63" s="0" t="s">
        <v>901</v>
      </c>
      <c r="X63" s="0" t="s">
        <v>139</v>
      </c>
      <c r="Y63" s="0" t="s">
        <v>1264</v>
      </c>
      <c r="Z63" s="0" t="n">
        <v>18239</v>
      </c>
      <c r="AA63" s="0" t="s">
        <v>1265</v>
      </c>
      <c r="AB63" s="0" t="s">
        <v>904</v>
      </c>
      <c r="AC63" s="0" t="s">
        <v>139</v>
      </c>
      <c r="AD63" s="0" t="s">
        <v>139</v>
      </c>
      <c r="AE63" s="0" t="s">
        <v>139</v>
      </c>
      <c r="AF63" s="0" t="s">
        <v>139</v>
      </c>
      <c r="AG63" s="0" t="s">
        <v>139</v>
      </c>
      <c r="AH63" s="0" t="s">
        <v>905</v>
      </c>
      <c r="AI63" s="0" t="n">
        <v>1</v>
      </c>
      <c r="AJ63" s="0" t="s">
        <v>104</v>
      </c>
      <c r="AK63" s="0" t="n">
        <v>62</v>
      </c>
      <c r="AL63" s="0" t="n">
        <v>23</v>
      </c>
      <c r="AM63" s="0" t="s">
        <v>260</v>
      </c>
      <c r="AN63" s="0" t="n">
        <v>1</v>
      </c>
      <c r="AO63" s="0" t="n">
        <v>2</v>
      </c>
      <c r="AP63" s="0" t="n">
        <v>3</v>
      </c>
      <c r="AQ63" s="0" t="n">
        <v>1</v>
      </c>
      <c r="AR63" s="0" t="n">
        <v>0</v>
      </c>
      <c r="AS63" s="0" t="n">
        <v>1</v>
      </c>
      <c r="AT63" s="0" t="n">
        <v>7</v>
      </c>
      <c r="AU63" s="0" t="n">
        <v>1</v>
      </c>
      <c r="AV63" s="0" t="n">
        <v>-1.74486921925563</v>
      </c>
      <c r="AW63" s="0" t="n">
        <v>158</v>
      </c>
      <c r="AX63" s="0" t="n">
        <v>716</v>
      </c>
      <c r="AY63" s="0" t="n">
        <v>8</v>
      </c>
      <c r="AZ63" s="0" t="n">
        <v>41</v>
      </c>
      <c r="BA63" s="0" t="n">
        <v>0.471996797350701</v>
      </c>
      <c r="BB63" s="0" t="n">
        <v>1</v>
      </c>
      <c r="BC63" s="0" t="n">
        <v>24</v>
      </c>
      <c r="BD63" s="0" t="n">
        <v>29</v>
      </c>
      <c r="BE63" s="0" t="n">
        <v>192</v>
      </c>
      <c r="BF63" s="0" t="n">
        <v>0</v>
      </c>
      <c r="BG63" s="0" t="n">
        <v>12</v>
      </c>
      <c r="BH63" s="0" t="n">
        <v>199</v>
      </c>
      <c r="BI63" s="0" t="n">
        <v>11</v>
      </c>
      <c r="BJ63" s="0" t="n">
        <v>3.12993177498293</v>
      </c>
      <c r="BK63" s="0" t="n">
        <v>0</v>
      </c>
      <c r="BL63" s="0" t="n">
        <v>0</v>
      </c>
      <c r="BM63" s="0" t="n">
        <v>142.92</v>
      </c>
      <c r="BN63" s="0" t="n">
        <v>166.92</v>
      </c>
      <c r="BO63" s="0" t="n">
        <v>17</v>
      </c>
      <c r="BP63" s="0" t="s">
        <v>106</v>
      </c>
      <c r="BQ63" s="0" t="n">
        <v>1</v>
      </c>
      <c r="BR63" s="0" t="n">
        <v>154.92</v>
      </c>
      <c r="BS63" s="0" t="n">
        <v>0.0527</v>
      </c>
      <c r="BT63" s="0" t="n">
        <v>0.3575</v>
      </c>
      <c r="BU63" s="0" t="n">
        <v>0.0033</v>
      </c>
      <c r="BV63" s="0" t="n">
        <v>0.0527</v>
      </c>
      <c r="BW63" s="0" t="n">
        <v>0.3575</v>
      </c>
      <c r="BX63" s="0" t="n">
        <v>0.0033</v>
      </c>
      <c r="BY63" s="0" t="n">
        <v>0.0814</v>
      </c>
      <c r="BZ63" s="0" t="n">
        <v>17</v>
      </c>
      <c r="CA63" s="0" t="n">
        <v>6</v>
      </c>
      <c r="CB63" s="0" t="n">
        <v>13.82</v>
      </c>
      <c r="CC63" s="0" t="n">
        <v>8.3</v>
      </c>
      <c r="CD63" s="0" t="n">
        <v>6.72</v>
      </c>
      <c r="CE63" s="0" t="n">
        <v>2</v>
      </c>
      <c r="CF63" s="0" t="n">
        <v>2</v>
      </c>
      <c r="CG63" s="0" t="n">
        <v>17</v>
      </c>
      <c r="CH63" s="0" t="n">
        <v>0.118</v>
      </c>
      <c r="CI63" s="0" t="n">
        <v>0.118</v>
      </c>
      <c r="CJ63" s="0" t="n">
        <v>0.81</v>
      </c>
      <c r="CK63" s="0" t="n">
        <v>2</v>
      </c>
      <c r="CL63" s="0" t="n">
        <v>0</v>
      </c>
      <c r="CM63" s="0" t="n">
        <v>0</v>
      </c>
      <c r="CN63" s="0" t="n">
        <v>0</v>
      </c>
      <c r="CO63" s="0" t="n">
        <v>0.789841668181375</v>
      </c>
      <c r="CP63" s="0" t="n">
        <v>34</v>
      </c>
      <c r="CQ63" s="0" t="n">
        <v>24</v>
      </c>
      <c r="CR63" s="0" t="n">
        <v>16</v>
      </c>
      <c r="CS63" s="0" t="n">
        <v>8</v>
      </c>
      <c r="CT63" s="0" t="n">
        <v>8.96810157002267</v>
      </c>
      <c r="CU63" s="0" t="n">
        <v>36</v>
      </c>
      <c r="CV63" s="0" t="n">
        <v>24</v>
      </c>
      <c r="CW63" s="0" t="n">
        <v>16</v>
      </c>
      <c r="CX63" s="0" t="n">
        <v>8</v>
      </c>
      <c r="CY63" s="0" t="n">
        <v>9.76</v>
      </c>
      <c r="CZ63" s="0" t="n">
        <v>-1.76</v>
      </c>
      <c r="DG63" s="0" t="n">
        <v>3.53347765363129</v>
      </c>
      <c r="DH63" s="0" t="n">
        <v>34.1772151898734</v>
      </c>
      <c r="DI63" s="0" t="n">
        <v>2.67080689655173</v>
      </c>
      <c r="DJ63" s="0" t="n">
        <v>125.453591905423</v>
      </c>
      <c r="DK63" s="0" t="n">
        <v>0.799067464365751</v>
      </c>
      <c r="DL63" s="0" t="n">
        <v>0.375796178343949</v>
      </c>
      <c r="DM63" s="0" t="s">
        <v>1266</v>
      </c>
      <c r="DN63" s="0" t="n">
        <v>158</v>
      </c>
      <c r="DO63" s="0" t="n">
        <v>3</v>
      </c>
      <c r="DP63" s="0" t="n">
        <v>2.342</v>
      </c>
      <c r="DQ63" s="0" t="n">
        <v>2.19</v>
      </c>
      <c r="DR63" s="0" t="n">
        <v>52.67</v>
      </c>
      <c r="DS63" s="0" t="n">
        <v>29</v>
      </c>
      <c r="DT63" s="0" t="n">
        <v>0</v>
      </c>
      <c r="DU63" s="0" t="n">
        <v>0</v>
      </c>
      <c r="DV63" s="0" t="n">
        <v>-0.292</v>
      </c>
      <c r="DW63" s="0" t="n">
        <v>8.292</v>
      </c>
      <c r="DX63" s="0" t="n">
        <v>0.5</v>
      </c>
      <c r="DY63" s="0" t="n">
        <v>0</v>
      </c>
      <c r="DZ63" s="0" t="n">
        <v>408</v>
      </c>
      <c r="EA63" s="0" t="n">
        <v>0.371</v>
      </c>
      <c r="EB63" s="0" t="n">
        <v>17</v>
      </c>
      <c r="EC63" s="0" t="s">
        <v>1267</v>
      </c>
      <c r="ED63" s="0" t="n">
        <v>2019</v>
      </c>
      <c r="EE63" s="0" t="n">
        <v>3</v>
      </c>
      <c r="EF63" s="0" t="n">
        <v>73</v>
      </c>
      <c r="EG63" s="0" t="n">
        <v>2019</v>
      </c>
      <c r="EH63" s="0" t="n">
        <v>2026</v>
      </c>
      <c r="EI63" s="0" t="n">
        <v>8</v>
      </c>
      <c r="EJ63" s="0" t="n">
        <v>71</v>
      </c>
      <c r="EK63" s="0" t="n">
        <v>230</v>
      </c>
      <c r="EL63" s="0" t="s">
        <v>1146</v>
      </c>
      <c r="EM63" s="0" t="n">
        <v>29.2</v>
      </c>
      <c r="EN63" s="15" t="b">
        <f aca="false">FALSE()</f>
        <v>0</v>
      </c>
      <c r="EO63" s="0" t="n">
        <v>399</v>
      </c>
      <c r="EP63" s="0" t="n">
        <v>2.7453634085213</v>
      </c>
      <c r="EQ63" s="0" t="n">
        <v>0.203007518796993</v>
      </c>
      <c r="ER63" s="0" t="n">
        <v>1.1077694235589</v>
      </c>
      <c r="ES63" s="0" t="n">
        <v>0.496240601503759</v>
      </c>
      <c r="ET63" s="0" t="n">
        <v>35</v>
      </c>
      <c r="EU63" s="0" t="n">
        <v>17</v>
      </c>
      <c r="EV63" s="0" t="n">
        <v>3.83709273182957</v>
      </c>
      <c r="EW63" s="0" t="n">
        <v>0.485714285714286</v>
      </c>
      <c r="EX63" s="0" t="n">
        <v>2.88168562194261</v>
      </c>
      <c r="EY63" s="0" t="n">
        <v>2.812</v>
      </c>
      <c r="EZ63" s="0" t="n">
        <v>0.1937</v>
      </c>
      <c r="FA63" s="0" t="n">
        <v>2.099</v>
      </c>
      <c r="FB63" s="0" t="n">
        <v>1.8</v>
      </c>
      <c r="FC63" s="0" t="n">
        <v>23</v>
      </c>
      <c r="FD63" s="0" t="n">
        <v>643</v>
      </c>
      <c r="FE63" s="0" t="n">
        <v>0.0482115085536547</v>
      </c>
      <c r="FF63" s="0" t="n">
        <v>0.0526</v>
      </c>
      <c r="FG63" s="0" t="n">
        <v>0.2216</v>
      </c>
      <c r="FH63" s="0" t="n">
        <v>2.345</v>
      </c>
      <c r="FI63" s="0" t="n">
        <v>1078</v>
      </c>
      <c r="FJ63" s="0" t="n">
        <v>0.570500927643785</v>
      </c>
      <c r="FK63" s="0" t="n">
        <v>17</v>
      </c>
      <c r="FL63" s="0" t="n">
        <v>63.41</v>
      </c>
      <c r="FM63" s="0" t="n">
        <v>0.5638</v>
      </c>
      <c r="FN63" s="0" t="n">
        <v>0.4362</v>
      </c>
      <c r="FO63" s="0" t="n">
        <v>-0.0098</v>
      </c>
      <c r="FP63" s="0" t="n">
        <v>-0.0779</v>
      </c>
      <c r="FQ63" s="0" t="n">
        <v>0.036</v>
      </c>
      <c r="FR63" s="0" t="n">
        <v>38</v>
      </c>
      <c r="FS63" s="0" t="n">
        <v>58</v>
      </c>
      <c r="FT63" s="0" t="n">
        <v>3.41</v>
      </c>
      <c r="FU63" s="0" t="n">
        <v>23.8</v>
      </c>
      <c r="FV63" s="0" t="n">
        <v>6010</v>
      </c>
      <c r="FW63" s="0" t="n">
        <v>4286</v>
      </c>
      <c r="FX63" s="0" t="n">
        <v>0.713</v>
      </c>
      <c r="FY63" s="0" t="n">
        <v>5</v>
      </c>
      <c r="FZ63" s="0" t="n">
        <v>2</v>
      </c>
      <c r="GA63" s="0" t="n">
        <v>-0.878307115745538</v>
      </c>
      <c r="GB63" s="0" t="n">
        <v>34.1</v>
      </c>
      <c r="GC63" s="0" t="n">
        <v>59.3</v>
      </c>
      <c r="GD63" s="0" t="n">
        <v>45.8</v>
      </c>
      <c r="GE63" s="0" t="n">
        <v>553</v>
      </c>
      <c r="GF63" s="0" t="n">
        <v>475</v>
      </c>
      <c r="GG63" s="0" t="n">
        <v>82</v>
      </c>
      <c r="GH63" s="0" t="n">
        <v>21</v>
      </c>
      <c r="GI63" s="0" t="n">
        <v>150</v>
      </c>
      <c r="GJ63" s="0" t="n">
        <v>18</v>
      </c>
      <c r="GK63" s="0" t="n">
        <v>0.148</v>
      </c>
      <c r="GL63" s="0" t="n">
        <v>0.044</v>
      </c>
      <c r="GM63" s="0" t="n">
        <v>0.12</v>
      </c>
      <c r="GN63" s="0" t="n">
        <v>9.819</v>
      </c>
      <c r="GO63" s="0" t="n">
        <v>9.113</v>
      </c>
      <c r="GP63" s="0" t="n">
        <v>8.407</v>
      </c>
      <c r="GQ63" s="0" t="n">
        <v>1.706</v>
      </c>
      <c r="GR63" s="0" t="n">
        <v>9.294</v>
      </c>
      <c r="GS63" s="0" t="n">
        <v>187</v>
      </c>
      <c r="GT63" s="0" t="n">
        <v>0.893</v>
      </c>
      <c r="GU63" s="0" t="n">
        <v>0.409</v>
      </c>
      <c r="GV63" s="0" t="n">
        <v>6.621</v>
      </c>
      <c r="GW63" s="0" t="n">
        <v>8</v>
      </c>
      <c r="GX63" s="0" t="n">
        <v>0.828</v>
      </c>
      <c r="GY63" s="0" t="n">
        <v>4.532</v>
      </c>
      <c r="GZ63" s="0" t="n">
        <v>0.414</v>
      </c>
      <c r="HA63" s="0" t="n">
        <v>8.292</v>
      </c>
      <c r="HB63" s="0" t="n">
        <v>16</v>
      </c>
      <c r="HC63" s="0" t="n">
        <v>0.043</v>
      </c>
      <c r="HD63" s="0" t="n">
        <v>0.003</v>
      </c>
      <c r="HE63" s="0" t="n">
        <v>0.108</v>
      </c>
      <c r="HG63" s="0" t="n">
        <v>61.73</v>
      </c>
      <c r="HH63" s="0" t="n">
        <v>9.12</v>
      </c>
      <c r="HI63" s="0" t="n">
        <v>42</v>
      </c>
      <c r="HJ63" s="0" t="n">
        <v>84</v>
      </c>
      <c r="HK63" s="0" t="s">
        <v>909</v>
      </c>
      <c r="HL63" s="0" t="n">
        <v>0</v>
      </c>
      <c r="HM63" s="0" t="n">
        <v>27</v>
      </c>
      <c r="HN63" s="0" t="n">
        <v>23</v>
      </c>
      <c r="HO63" s="0" t="n">
        <v>-0.333</v>
      </c>
      <c r="HP63" s="0" t="n">
        <v>34</v>
      </c>
      <c r="HQ63" s="0" t="n">
        <v>-0.641</v>
      </c>
      <c r="HR63" s="0" t="s">
        <v>102</v>
      </c>
    </row>
    <row r="64" customFormat="false" ht="15" hidden="false" customHeight="false" outlineLevel="0" collapsed="false">
      <c r="A64" s="0" t="s">
        <v>896</v>
      </c>
      <c r="B64" s="0" t="s">
        <v>897</v>
      </c>
      <c r="C64" s="0" t="s">
        <v>898</v>
      </c>
      <c r="D64" s="0" t="s">
        <v>261</v>
      </c>
      <c r="E64" s="0" t="n">
        <v>23065</v>
      </c>
      <c r="F64" s="0" t="s">
        <v>104</v>
      </c>
      <c r="G64" s="0" t="n">
        <v>64.21</v>
      </c>
      <c r="H64" s="0" t="n">
        <v>9.84</v>
      </c>
      <c r="I64" s="0" t="n">
        <v>41</v>
      </c>
      <c r="J64" s="0" t="n">
        <v>89</v>
      </c>
      <c r="L64" s="0" t="s">
        <v>1268</v>
      </c>
      <c r="O64" s="0" t="n">
        <v>92.9</v>
      </c>
      <c r="U64" s="0" t="n">
        <v>11</v>
      </c>
      <c r="V64" s="0" t="s">
        <v>261</v>
      </c>
      <c r="W64" s="0" t="s">
        <v>901</v>
      </c>
      <c r="X64" s="0" t="s">
        <v>972</v>
      </c>
      <c r="Y64" s="0" t="s">
        <v>1269</v>
      </c>
      <c r="Z64" s="0" t="n">
        <v>23065</v>
      </c>
      <c r="AA64" s="0" t="s">
        <v>1270</v>
      </c>
      <c r="AB64" s="0" t="s">
        <v>904</v>
      </c>
      <c r="AC64" s="0" t="s">
        <v>135</v>
      </c>
      <c r="AD64" s="0" t="s">
        <v>135</v>
      </c>
      <c r="AE64" s="0" t="s">
        <v>135</v>
      </c>
      <c r="AF64" s="0" t="s">
        <v>135</v>
      </c>
      <c r="AG64" s="0" t="s">
        <v>135</v>
      </c>
      <c r="AH64" s="0" t="s">
        <v>905</v>
      </c>
      <c r="AI64" s="0" t="n">
        <v>2</v>
      </c>
      <c r="AJ64" s="0" t="s">
        <v>104</v>
      </c>
      <c r="AK64" s="0" t="n">
        <v>63</v>
      </c>
      <c r="AL64" s="0" t="n">
        <v>24</v>
      </c>
      <c r="AM64" s="0" t="s">
        <v>262</v>
      </c>
      <c r="AN64" s="0" t="n">
        <v>0</v>
      </c>
      <c r="AO64" s="0" t="n">
        <v>0</v>
      </c>
      <c r="AP64" s="0" t="n">
        <v>0</v>
      </c>
      <c r="AQ64" s="0" t="n">
        <v>0</v>
      </c>
      <c r="AR64" s="0" t="n">
        <v>0</v>
      </c>
      <c r="AS64" s="0" t="n">
        <v>0</v>
      </c>
      <c r="AT64" s="0" t="n">
        <v>0</v>
      </c>
      <c r="AU64" s="0" t="n">
        <v>0</v>
      </c>
      <c r="AV64" s="0" t="n">
        <v>0</v>
      </c>
      <c r="AW64" s="0" t="n">
        <v>180</v>
      </c>
      <c r="AX64" s="0" t="n">
        <v>911</v>
      </c>
      <c r="AY64" s="0" t="n">
        <v>9</v>
      </c>
      <c r="AZ64" s="0" t="n">
        <v>45</v>
      </c>
      <c r="BA64" s="0" t="n">
        <v>8.43433479718594</v>
      </c>
      <c r="BB64" s="0" t="n">
        <v>1</v>
      </c>
      <c r="BC64" s="0" t="n">
        <v>35</v>
      </c>
      <c r="BD64" s="0" t="n">
        <v>42</v>
      </c>
      <c r="BE64" s="0" t="n">
        <v>221</v>
      </c>
      <c r="BF64" s="0" t="n">
        <v>1</v>
      </c>
      <c r="BG64" s="0" t="n">
        <v>-1</v>
      </c>
      <c r="BH64" s="0" t="n">
        <v>244</v>
      </c>
      <c r="BI64" s="0" t="n">
        <v>7</v>
      </c>
      <c r="BJ64" s="0" t="n">
        <v>2.67896822448924</v>
      </c>
      <c r="BK64" s="0" t="n">
        <v>0</v>
      </c>
      <c r="BL64" s="0" t="n">
        <v>0</v>
      </c>
      <c r="BM64" s="0" t="n">
        <v>171.2</v>
      </c>
      <c r="BN64" s="0" t="n">
        <v>206.2</v>
      </c>
      <c r="BO64" s="0" t="n">
        <v>17</v>
      </c>
      <c r="BP64" s="0" t="s">
        <v>135</v>
      </c>
      <c r="BQ64" s="0" t="n">
        <v>1</v>
      </c>
      <c r="BR64" s="0" t="n">
        <v>188.7</v>
      </c>
      <c r="BS64" s="0" t="n">
        <v>0.0871</v>
      </c>
      <c r="BT64" s="0" t="n">
        <v>0.3644</v>
      </c>
      <c r="BU64" s="0" t="n">
        <v>-0.0002</v>
      </c>
      <c r="BV64" s="0" t="n">
        <v>0.0871</v>
      </c>
      <c r="BW64" s="0" t="n">
        <v>0.3644</v>
      </c>
      <c r="BX64" s="0" t="n">
        <v>-0.0002</v>
      </c>
      <c r="BY64" s="0" t="n">
        <v>0.1305</v>
      </c>
      <c r="BZ64" s="0" t="n">
        <v>17</v>
      </c>
      <c r="CA64" s="0" t="n">
        <v>5.5</v>
      </c>
      <c r="CB64" s="0" t="n">
        <v>23.72</v>
      </c>
      <c r="CC64" s="0" t="n">
        <v>11.1</v>
      </c>
      <c r="CD64" s="0" t="n">
        <v>9.6</v>
      </c>
      <c r="CE64" s="0" t="n">
        <v>4</v>
      </c>
      <c r="CF64" s="0" t="n">
        <v>2</v>
      </c>
      <c r="CG64" s="0" t="n">
        <v>17</v>
      </c>
      <c r="CH64" s="0" t="n">
        <v>0.235</v>
      </c>
      <c r="CI64" s="0" t="n">
        <v>0.118</v>
      </c>
      <c r="CJ64" s="0" t="n">
        <v>0.865</v>
      </c>
      <c r="CK64" s="0" t="n">
        <v>4</v>
      </c>
      <c r="CL64" s="0" t="n">
        <v>3</v>
      </c>
      <c r="CM64" s="0" t="n">
        <v>1</v>
      </c>
      <c r="CN64" s="0" t="n">
        <v>1</v>
      </c>
      <c r="CO64" s="0" t="n">
        <v>1.81804801464175</v>
      </c>
      <c r="CP64" s="0" t="n">
        <v>36</v>
      </c>
      <c r="CQ64" s="0" t="n">
        <v>21</v>
      </c>
      <c r="CR64" s="0" t="n">
        <v>8</v>
      </c>
      <c r="CS64" s="0" t="n">
        <v>9</v>
      </c>
      <c r="CT64" s="0" t="n">
        <v>6.50047835914284</v>
      </c>
      <c r="CU64" s="0" t="n">
        <v>40</v>
      </c>
      <c r="CV64" s="0" t="n">
        <v>24</v>
      </c>
      <c r="CW64" s="0" t="n">
        <v>9</v>
      </c>
      <c r="CX64" s="0" t="n">
        <v>10</v>
      </c>
      <c r="CY64" s="0" t="n">
        <v>8.32</v>
      </c>
      <c r="CZ64" s="0" t="n">
        <v>1.68</v>
      </c>
      <c r="DG64" s="0" t="n">
        <v>3.48935236004391</v>
      </c>
      <c r="DH64" s="0" t="n">
        <v>30.5555555555556</v>
      </c>
      <c r="DI64" s="0" t="n">
        <v>2.92112422360248</v>
      </c>
      <c r="DJ64" s="0" t="n">
        <v>148.956062209099</v>
      </c>
      <c r="DK64" s="0" t="n">
        <v>0.846341262551697</v>
      </c>
      <c r="DL64" s="0" t="n">
        <v>0.397727272727273</v>
      </c>
      <c r="DM64" s="0" t="s">
        <v>1271</v>
      </c>
      <c r="DN64" s="0" t="n">
        <v>180</v>
      </c>
      <c r="DO64" s="0" t="n">
        <v>11</v>
      </c>
      <c r="DP64" s="0" t="n">
        <v>3.05</v>
      </c>
      <c r="DQ64" s="0" t="n">
        <v>2.011</v>
      </c>
      <c r="DR64" s="0" t="n">
        <v>16.36</v>
      </c>
      <c r="DS64" s="0" t="n">
        <v>42</v>
      </c>
      <c r="DT64" s="0" t="n">
        <v>3</v>
      </c>
      <c r="DU64" s="0" t="n">
        <v>2</v>
      </c>
      <c r="DV64" s="0" t="n">
        <v>-0.657</v>
      </c>
      <c r="DW64" s="0" t="n">
        <v>6.971</v>
      </c>
      <c r="DX64" s="0" t="n">
        <v>0</v>
      </c>
      <c r="DY64" s="0" t="n">
        <v>0.0476</v>
      </c>
      <c r="DZ64" s="0" t="n">
        <v>501</v>
      </c>
      <c r="EA64" s="0" t="n">
        <v>0.459</v>
      </c>
      <c r="EB64" s="0" t="n">
        <v>17</v>
      </c>
      <c r="EC64" s="0" t="s">
        <v>1272</v>
      </c>
      <c r="ED64" s="0" t="n">
        <v>2025</v>
      </c>
      <c r="EE64" s="0" t="n">
        <v>2</v>
      </c>
      <c r="EF64" s="0" t="n">
        <v>38</v>
      </c>
      <c r="EG64" s="0" t="n">
        <v>2025</v>
      </c>
      <c r="EH64" s="0" t="n">
        <v>2026</v>
      </c>
      <c r="EI64" s="0" t="n">
        <v>2</v>
      </c>
      <c r="EJ64" s="0" t="n">
        <v>70</v>
      </c>
      <c r="EK64" s="0" t="n">
        <v>202</v>
      </c>
      <c r="EL64" s="0" t="s">
        <v>933</v>
      </c>
      <c r="EM64" s="0" t="n">
        <v>23.8</v>
      </c>
      <c r="EN64" s="15" t="b">
        <f aca="false">FALSE()</f>
        <v>0</v>
      </c>
      <c r="EO64" s="0" t="n">
        <v>371</v>
      </c>
      <c r="EP64" s="0" t="n">
        <v>2.77951482479784</v>
      </c>
      <c r="EQ64" s="0" t="n">
        <v>0.194070080862534</v>
      </c>
      <c r="ER64" s="0" t="n">
        <v>1.19676549865229</v>
      </c>
      <c r="ES64" s="0" t="n">
        <v>1.20485175202156</v>
      </c>
      <c r="ET64" s="0" t="n">
        <v>33</v>
      </c>
      <c r="EU64" s="0" t="n">
        <v>19</v>
      </c>
      <c r="EV64" s="0" t="n">
        <v>4.63072776280323</v>
      </c>
      <c r="EW64" s="0" t="n">
        <v>0.575757575757576</v>
      </c>
      <c r="EX64" s="0" t="n">
        <v>2.9254952414656</v>
      </c>
      <c r="EY64" s="0" t="n">
        <v>2.802</v>
      </c>
      <c r="EZ64" s="0" t="n">
        <v>0.1883</v>
      </c>
      <c r="FA64" s="0" t="n">
        <v>2.561</v>
      </c>
      <c r="FB64" s="0" t="n">
        <v>1.874</v>
      </c>
      <c r="FC64" s="0" t="n">
        <v>33</v>
      </c>
      <c r="FD64" s="0" t="n">
        <v>613</v>
      </c>
      <c r="FE64" s="0" t="n">
        <v>0.0783034257748776</v>
      </c>
      <c r="FF64" s="0" t="n">
        <v>0.0789</v>
      </c>
      <c r="FG64" s="0" t="n">
        <v>0.261</v>
      </c>
      <c r="FH64" s="0" t="n">
        <v>2.406</v>
      </c>
      <c r="FI64" s="0" t="n">
        <v>1017</v>
      </c>
      <c r="FJ64" s="0" t="n">
        <v>0.541789577187807</v>
      </c>
      <c r="FK64" s="0" t="n">
        <v>17</v>
      </c>
      <c r="FL64" s="0" t="n">
        <v>59.82</v>
      </c>
      <c r="FM64" s="0" t="n">
        <v>0.5691</v>
      </c>
      <c r="FN64" s="0" t="n">
        <v>0.4309</v>
      </c>
      <c r="FO64" s="0" t="n">
        <v>0.0242</v>
      </c>
      <c r="FP64" s="0" t="n">
        <v>0.0077</v>
      </c>
      <c r="FQ64" s="0" t="n">
        <v>0.2873</v>
      </c>
      <c r="FR64" s="0" t="n">
        <v>38</v>
      </c>
      <c r="FS64" s="0" t="n">
        <v>64</v>
      </c>
      <c r="FT64" s="0" t="n">
        <v>3.76</v>
      </c>
      <c r="FU64" s="0" t="n">
        <v>28.8</v>
      </c>
      <c r="FV64" s="0" t="n">
        <v>5553</v>
      </c>
      <c r="FW64" s="0" t="n">
        <v>2959</v>
      </c>
      <c r="FX64" s="0" t="n">
        <v>0.533</v>
      </c>
      <c r="FY64" s="0" t="n">
        <v>5</v>
      </c>
      <c r="FZ64" s="0" t="n">
        <v>3</v>
      </c>
      <c r="GA64" s="0" t="n">
        <v>-0.369404903105602</v>
      </c>
      <c r="GB64" s="0" t="n">
        <v>43.3</v>
      </c>
      <c r="GC64" s="0" t="n">
        <v>43.5</v>
      </c>
      <c r="GD64" s="0" t="n">
        <v>41.6</v>
      </c>
      <c r="GE64" s="0" t="n">
        <v>482</v>
      </c>
      <c r="GF64" s="0" t="n">
        <v>494</v>
      </c>
      <c r="GG64" s="0" t="n">
        <v>128</v>
      </c>
      <c r="GH64" s="0" t="n">
        <v>10</v>
      </c>
      <c r="GI64" s="0" t="n">
        <v>154</v>
      </c>
      <c r="GJ64" s="0" t="n">
        <v>17</v>
      </c>
      <c r="GK64" s="0" t="n">
        <v>0.266</v>
      </c>
      <c r="GL64" s="0" t="n">
        <v>0.02</v>
      </c>
      <c r="GM64" s="0" t="n">
        <v>0.11</v>
      </c>
      <c r="GN64" s="0" t="n">
        <v>12.129</v>
      </c>
      <c r="GO64" s="0" t="n">
        <v>11.1</v>
      </c>
      <c r="GP64" s="0" t="n">
        <v>10.071</v>
      </c>
      <c r="GQ64" s="0" t="n">
        <v>2.471</v>
      </c>
      <c r="GR64" s="0" t="n">
        <v>10.588</v>
      </c>
      <c r="GS64" s="0" t="n">
        <v>222</v>
      </c>
      <c r="GT64" s="0" t="n">
        <v>0.929</v>
      </c>
      <c r="GU64" s="0" t="n">
        <v>0.412</v>
      </c>
      <c r="GV64" s="0" t="n">
        <v>5.262</v>
      </c>
      <c r="GW64" s="0" t="n">
        <v>6.314</v>
      </c>
      <c r="GX64" s="0" t="n">
        <v>0.833</v>
      </c>
      <c r="GY64" s="0" t="n">
        <v>5.061</v>
      </c>
      <c r="GZ64" s="0" t="n">
        <v>-0.024</v>
      </c>
      <c r="HA64" s="0" t="n">
        <v>6.971</v>
      </c>
      <c r="HB64" s="0" t="n">
        <v>-221</v>
      </c>
      <c r="HC64" s="0" t="n">
        <v>0.045</v>
      </c>
      <c r="HD64" s="0" t="n">
        <v>0.047</v>
      </c>
      <c r="HE64" s="0" t="n">
        <v>0.064</v>
      </c>
      <c r="HG64" s="0" t="n">
        <v>64.21</v>
      </c>
      <c r="HH64" s="0" t="n">
        <v>9.84</v>
      </c>
      <c r="HI64" s="0" t="n">
        <v>41</v>
      </c>
      <c r="HJ64" s="0" t="n">
        <v>89</v>
      </c>
      <c r="HK64" s="0" t="s">
        <v>909</v>
      </c>
      <c r="HL64" s="0" t="n">
        <v>0</v>
      </c>
      <c r="HM64" s="0" t="n">
        <v>21</v>
      </c>
      <c r="HN64" s="0" t="n">
        <v>24</v>
      </c>
      <c r="HO64" s="0" t="n">
        <v>-0.035</v>
      </c>
      <c r="HP64" s="0" t="n">
        <v>25</v>
      </c>
      <c r="HQ64" s="0" t="n">
        <v>-0.211</v>
      </c>
      <c r="HR64" s="0" t="s">
        <v>102</v>
      </c>
    </row>
    <row r="65" customFormat="false" ht="15" hidden="false" customHeight="false" outlineLevel="0" collapsed="false">
      <c r="A65" s="0" t="s">
        <v>896</v>
      </c>
      <c r="B65" s="0" t="s">
        <v>897</v>
      </c>
      <c r="C65" s="0" t="s">
        <v>898</v>
      </c>
      <c r="D65" s="0" t="s">
        <v>263</v>
      </c>
      <c r="E65" s="0" t="n">
        <v>26009</v>
      </c>
      <c r="F65" s="0" t="s">
        <v>99</v>
      </c>
      <c r="G65" s="0" t="n">
        <v>65.44</v>
      </c>
      <c r="H65" s="0" t="n">
        <v>18.21</v>
      </c>
      <c r="I65" s="0" t="n">
        <v>45</v>
      </c>
      <c r="J65" s="0" t="n">
        <v>176</v>
      </c>
      <c r="L65" s="0" t="s">
        <v>1273</v>
      </c>
      <c r="O65" s="0" t="n">
        <v>91.9</v>
      </c>
      <c r="U65" s="0" t="n">
        <v>9</v>
      </c>
      <c r="V65" s="0" t="s">
        <v>263</v>
      </c>
      <c r="W65" s="0" t="s">
        <v>901</v>
      </c>
      <c r="X65" s="0" t="s">
        <v>265</v>
      </c>
      <c r="Y65" s="0" t="s">
        <v>1274</v>
      </c>
      <c r="Z65" s="0" t="n">
        <v>26009</v>
      </c>
      <c r="AA65" s="0" t="s">
        <v>1275</v>
      </c>
      <c r="AB65" s="0" t="s">
        <v>904</v>
      </c>
      <c r="AC65" s="0" t="s">
        <v>265</v>
      </c>
      <c r="AD65" s="0" t="s">
        <v>265</v>
      </c>
      <c r="AE65" s="0" t="s">
        <v>265</v>
      </c>
      <c r="AF65" s="0" t="s">
        <v>265</v>
      </c>
      <c r="AG65" s="0" t="s">
        <v>265</v>
      </c>
      <c r="AH65" s="0" t="s">
        <v>905</v>
      </c>
      <c r="AI65" s="0" t="n">
        <v>1</v>
      </c>
      <c r="AJ65" s="0" t="s">
        <v>99</v>
      </c>
      <c r="AK65" s="0" t="n">
        <v>64</v>
      </c>
      <c r="AL65" s="0" t="n">
        <v>30</v>
      </c>
      <c r="AM65" s="0" t="s">
        <v>264</v>
      </c>
      <c r="EC65" s="0" t="s">
        <v>1276</v>
      </c>
      <c r="EG65" s="0" t="n">
        <v>2026</v>
      </c>
      <c r="EH65" s="0" t="n">
        <v>2026</v>
      </c>
      <c r="EI65" s="0" t="n">
        <v>0</v>
      </c>
      <c r="EJ65" s="0" t="n">
        <v>74</v>
      </c>
      <c r="EK65" s="0" t="n">
        <v>192</v>
      </c>
      <c r="EL65" s="0" t="s">
        <v>933</v>
      </c>
      <c r="EM65" s="0" t="n">
        <v>21.6</v>
      </c>
      <c r="EN65" s="15" t="b">
        <f aca="false">TRUE()</f>
        <v>1</v>
      </c>
      <c r="EO65" s="0" t="n">
        <v>328</v>
      </c>
      <c r="EP65" s="0" t="n">
        <v>3.01463414634146</v>
      </c>
      <c r="EQ65" s="0" t="n">
        <v>0.161585365853659</v>
      </c>
      <c r="ER65" s="0" t="n">
        <v>1.14634146341463</v>
      </c>
      <c r="ES65" s="0" t="n">
        <v>0.692073170731707</v>
      </c>
      <c r="ET65" s="0" t="n">
        <v>30</v>
      </c>
      <c r="EU65" s="0" t="n">
        <v>20</v>
      </c>
      <c r="EV65" s="0" t="n">
        <v>4.30487804878049</v>
      </c>
      <c r="EW65" s="0" t="n">
        <v>0.666666666666667</v>
      </c>
      <c r="EX65" s="0" t="n">
        <v>2.87769409187475</v>
      </c>
      <c r="EY65" s="0" t="n">
        <v>3.085</v>
      </c>
      <c r="EZ65" s="0" t="n">
        <v>0.1549</v>
      </c>
      <c r="FA65" s="0" t="n">
        <v>2.54</v>
      </c>
      <c r="FB65" s="0" t="n">
        <v>1.664</v>
      </c>
      <c r="FC65" s="0" t="n">
        <v>24</v>
      </c>
      <c r="FD65" s="0" t="n">
        <v>646</v>
      </c>
      <c r="FE65" s="0" t="n">
        <v>0.086687306501548</v>
      </c>
      <c r="FF65" s="0" t="n">
        <v>0.0872</v>
      </c>
      <c r="FG65" s="0" t="n">
        <v>0.3175</v>
      </c>
      <c r="FH65" s="0" t="n">
        <v>2.389</v>
      </c>
      <c r="FI65" s="0" t="n">
        <v>995</v>
      </c>
      <c r="FJ65" s="0" t="n">
        <v>0.626130653266332</v>
      </c>
      <c r="FK65" s="0" t="n">
        <v>17</v>
      </c>
      <c r="FL65" s="0" t="n">
        <v>58.53</v>
      </c>
      <c r="FM65" s="0" t="n">
        <v>0.5401</v>
      </c>
      <c r="FN65" s="0" t="n">
        <v>0.4599</v>
      </c>
      <c r="FO65" s="0" t="n">
        <v>-0.0385</v>
      </c>
      <c r="FP65" s="0" t="n">
        <v>-0.0573</v>
      </c>
      <c r="FQ65" s="0" t="n">
        <v>-0.2208</v>
      </c>
      <c r="FR65" s="0" t="n">
        <v>40</v>
      </c>
      <c r="FS65" s="0" t="n">
        <v>35</v>
      </c>
      <c r="FT65" s="0" t="n">
        <v>2.06</v>
      </c>
      <c r="FU65" s="0" t="n">
        <v>16.7</v>
      </c>
      <c r="FV65" s="0" t="n">
        <v>5402</v>
      </c>
      <c r="FW65" s="0" t="n">
        <v>2848</v>
      </c>
      <c r="FX65" s="0" t="n">
        <v>0.527</v>
      </c>
      <c r="FY65" s="0" t="n">
        <v>5</v>
      </c>
      <c r="FZ65" s="0" t="n">
        <v>3</v>
      </c>
      <c r="GA65" s="0" t="n">
        <v>0.463456652097505</v>
      </c>
      <c r="GB65" s="0" t="n">
        <v>58.4</v>
      </c>
      <c r="GC65" s="0" t="n">
        <v>27.6</v>
      </c>
      <c r="GD65" s="0" t="n">
        <v>41.1</v>
      </c>
      <c r="GE65" s="0" t="n">
        <v>530</v>
      </c>
      <c r="GF65" s="0" t="n">
        <v>378</v>
      </c>
      <c r="GG65" s="0" t="n">
        <v>152</v>
      </c>
      <c r="GH65" s="0" t="n">
        <v>0</v>
      </c>
      <c r="GI65" s="0" t="n">
        <v>93</v>
      </c>
      <c r="GJ65" s="0" t="n">
        <v>8</v>
      </c>
      <c r="GK65" s="0" t="n">
        <v>0.287</v>
      </c>
      <c r="GL65" s="0" t="n">
        <v>0</v>
      </c>
      <c r="GM65" s="0" t="n">
        <v>0.086</v>
      </c>
      <c r="HF65" s="0" t="s">
        <v>206</v>
      </c>
      <c r="HG65" s="0" t="n">
        <v>65.44</v>
      </c>
      <c r="HH65" s="0" t="n">
        <v>18.21</v>
      </c>
      <c r="HI65" s="0" t="n">
        <v>45</v>
      </c>
      <c r="HJ65" s="0" t="n">
        <v>176</v>
      </c>
      <c r="HK65" s="0" t="s">
        <v>909</v>
      </c>
      <c r="HL65" s="0" t="n">
        <v>0</v>
      </c>
      <c r="HN65" s="0" t="n">
        <v>30</v>
      </c>
    </row>
    <row r="66" customFormat="false" ht="15" hidden="false" customHeight="false" outlineLevel="0" collapsed="false">
      <c r="A66" s="0" t="s">
        <v>896</v>
      </c>
      <c r="B66" s="0" t="s">
        <v>897</v>
      </c>
      <c r="C66" s="0" t="s">
        <v>898</v>
      </c>
      <c r="D66" s="0" t="s">
        <v>266</v>
      </c>
      <c r="E66" s="0" t="n">
        <v>23084</v>
      </c>
      <c r="F66" s="0" t="s">
        <v>172</v>
      </c>
      <c r="G66" s="0" t="n">
        <v>68.07</v>
      </c>
      <c r="H66" s="0" t="n">
        <v>10.9</v>
      </c>
      <c r="I66" s="0" t="n">
        <v>37</v>
      </c>
      <c r="J66" s="0" t="n">
        <v>98</v>
      </c>
      <c r="L66" s="0" t="s">
        <v>1277</v>
      </c>
      <c r="O66" s="0" t="n">
        <v>93</v>
      </c>
      <c r="U66" s="0" t="n">
        <v>10</v>
      </c>
      <c r="V66" s="0" t="s">
        <v>266</v>
      </c>
      <c r="W66" s="0" t="s">
        <v>901</v>
      </c>
      <c r="X66" s="0" t="s">
        <v>203</v>
      </c>
      <c r="Y66" s="0" t="s">
        <v>1278</v>
      </c>
      <c r="Z66" s="0" t="n">
        <v>23084</v>
      </c>
      <c r="AA66" s="0" t="s">
        <v>1279</v>
      </c>
      <c r="AB66" s="0" t="s">
        <v>904</v>
      </c>
      <c r="AC66" s="0" t="s">
        <v>203</v>
      </c>
      <c r="AD66" s="0" t="s">
        <v>203</v>
      </c>
      <c r="AE66" s="0" t="s">
        <v>203</v>
      </c>
      <c r="AF66" s="0" t="s">
        <v>203</v>
      </c>
      <c r="AG66" s="0" t="s">
        <v>203</v>
      </c>
      <c r="AH66" s="0" t="s">
        <v>905</v>
      </c>
      <c r="AI66" s="0" t="n">
        <v>1</v>
      </c>
      <c r="AJ66" s="0" t="s">
        <v>172</v>
      </c>
      <c r="AK66" s="0" t="n">
        <v>65</v>
      </c>
      <c r="AL66" s="0" t="n">
        <v>7</v>
      </c>
      <c r="AM66" s="0" t="s">
        <v>267</v>
      </c>
      <c r="AN66" s="0" t="n">
        <v>330</v>
      </c>
      <c r="AO66" s="0" t="n">
        <v>568</v>
      </c>
      <c r="AP66" s="0" t="n">
        <v>3942</v>
      </c>
      <c r="AQ66" s="0" t="n">
        <v>27</v>
      </c>
      <c r="AR66" s="0" t="n">
        <v>7</v>
      </c>
      <c r="AS66" s="0" t="n">
        <v>24</v>
      </c>
      <c r="AT66" s="0" t="n">
        <v>4899</v>
      </c>
      <c r="AU66" s="0" t="n">
        <v>187</v>
      </c>
      <c r="AV66" s="0" t="n">
        <v>42.2173957579903</v>
      </c>
      <c r="AW66" s="0" t="n">
        <v>77</v>
      </c>
      <c r="AX66" s="0" t="n">
        <v>388</v>
      </c>
      <c r="AY66" s="0" t="n">
        <v>3</v>
      </c>
      <c r="AZ66" s="0" t="n">
        <v>28</v>
      </c>
      <c r="BA66" s="0" t="n">
        <v>5.39883143406452</v>
      </c>
      <c r="BB66" s="0" t="n">
        <v>0</v>
      </c>
      <c r="BC66" s="0" t="n">
        <v>2</v>
      </c>
      <c r="BD66" s="0" t="n">
        <v>2</v>
      </c>
      <c r="BE66" s="0" t="n">
        <v>22</v>
      </c>
      <c r="BF66" s="0" t="n">
        <v>1</v>
      </c>
      <c r="BG66" s="0" t="n">
        <v>-3</v>
      </c>
      <c r="BH66" s="0" t="n">
        <v>25</v>
      </c>
      <c r="BI66" s="0" t="n">
        <v>2</v>
      </c>
      <c r="BJ66" s="0" t="n">
        <v>5.27700967562851</v>
      </c>
      <c r="BK66" s="0" t="n">
        <v>0</v>
      </c>
      <c r="BL66" s="0" t="n">
        <v>0</v>
      </c>
      <c r="BM66" s="0" t="n">
        <v>316.68</v>
      </c>
      <c r="BN66" s="0" t="n">
        <v>318.68</v>
      </c>
      <c r="BO66" s="0" t="n">
        <v>17</v>
      </c>
      <c r="BP66" s="0" t="s">
        <v>203</v>
      </c>
      <c r="BQ66" s="0" t="n">
        <v>1</v>
      </c>
      <c r="BR66" s="0" t="n">
        <v>317.68</v>
      </c>
      <c r="BS66" s="0" t="n">
        <v>0.0038</v>
      </c>
      <c r="BT66" s="0" t="n">
        <v>0.1525</v>
      </c>
      <c r="BU66" s="0" t="n">
        <v>-0.0007</v>
      </c>
      <c r="BV66" s="0" t="n">
        <v>0.0038</v>
      </c>
      <c r="BW66" s="0" t="n">
        <v>0.1525</v>
      </c>
      <c r="BX66" s="0" t="n">
        <v>-0.0007</v>
      </c>
      <c r="BY66" s="0" t="n">
        <v>0.0052</v>
      </c>
      <c r="BZ66" s="0" t="n">
        <v>17</v>
      </c>
      <c r="CA66" s="0" t="n">
        <v>11.8</v>
      </c>
      <c r="CB66" s="0" t="n">
        <v>24.74</v>
      </c>
      <c r="CC66" s="0" t="n">
        <v>18.98</v>
      </c>
      <c r="CD66" s="0" t="n">
        <v>8.23</v>
      </c>
      <c r="CE66" s="0" t="n">
        <v>9</v>
      </c>
      <c r="CF66" s="0" t="n">
        <v>1</v>
      </c>
      <c r="CG66" s="0" t="n">
        <v>17</v>
      </c>
      <c r="CH66" s="0" t="n">
        <v>0.529</v>
      </c>
      <c r="CI66" s="0" t="n">
        <v>0.059</v>
      </c>
      <c r="CJ66" s="0" t="n">
        <v>0.434</v>
      </c>
      <c r="CK66" s="0" t="n">
        <v>1</v>
      </c>
      <c r="CL66" s="0" t="n">
        <v>1</v>
      </c>
      <c r="CM66" s="0" t="n">
        <v>1</v>
      </c>
      <c r="CN66" s="0" t="n">
        <v>1</v>
      </c>
      <c r="CO66" s="0" t="n">
        <v>0.580259222333001</v>
      </c>
      <c r="CP66" s="0" t="n">
        <v>17</v>
      </c>
      <c r="CQ66" s="0" t="n">
        <v>7</v>
      </c>
      <c r="CR66" s="0" t="n">
        <v>2</v>
      </c>
      <c r="CS66" s="0" t="n">
        <v>3</v>
      </c>
      <c r="CT66" s="0" t="n">
        <v>2.49291255785102</v>
      </c>
      <c r="CU66" s="0" t="n">
        <v>18</v>
      </c>
      <c r="CV66" s="0" t="n">
        <v>8</v>
      </c>
      <c r="CW66" s="0" t="n">
        <v>3</v>
      </c>
      <c r="CX66" s="0" t="n">
        <v>4</v>
      </c>
      <c r="CY66" s="0" t="n">
        <v>3.07</v>
      </c>
      <c r="CZ66" s="0" t="n">
        <v>0.93</v>
      </c>
      <c r="DM66" s="0" t="s">
        <v>1280</v>
      </c>
      <c r="DN66" s="0" t="n">
        <v>77</v>
      </c>
      <c r="DO66" s="0" t="n">
        <v>5</v>
      </c>
      <c r="DP66" s="0" t="n">
        <v>4.26</v>
      </c>
      <c r="DQ66" s="0" t="n">
        <v>0.779</v>
      </c>
      <c r="DR66" s="0" t="n">
        <v>15.4</v>
      </c>
      <c r="DS66" s="0" t="n">
        <v>2</v>
      </c>
      <c r="DT66" s="0" t="n">
        <v>0</v>
      </c>
      <c r="DU66" s="0" t="n">
        <v>0</v>
      </c>
      <c r="DZ66" s="0" t="n">
        <v>1143</v>
      </c>
      <c r="EA66" s="0" t="n">
        <v>0.991</v>
      </c>
      <c r="EB66" s="0" t="n">
        <v>17</v>
      </c>
      <c r="EC66" s="0" t="s">
        <v>1281</v>
      </c>
      <c r="ED66" s="0" t="n">
        <v>2024</v>
      </c>
      <c r="EE66" s="0" t="n">
        <v>1</v>
      </c>
      <c r="EF66" s="0" t="n">
        <v>1</v>
      </c>
      <c r="EG66" s="0" t="n">
        <v>2024</v>
      </c>
      <c r="EH66" s="0" t="n">
        <v>2026</v>
      </c>
      <c r="EI66" s="0" t="n">
        <v>3</v>
      </c>
      <c r="EJ66" s="0" t="n">
        <v>73</v>
      </c>
      <c r="EK66" s="0" t="n">
        <v>226</v>
      </c>
      <c r="EL66" s="0" t="s">
        <v>1282</v>
      </c>
      <c r="EM66" s="0" t="n">
        <v>24.7</v>
      </c>
      <c r="EN66" s="15" t="b">
        <f aca="false">FALSE()</f>
        <v>0</v>
      </c>
      <c r="EO66" s="0" t="n">
        <v>400</v>
      </c>
      <c r="EP66" s="0" t="n">
        <v>3.37625</v>
      </c>
      <c r="EQ66" s="0" t="n">
        <v>0.13</v>
      </c>
      <c r="ER66" s="0" t="n">
        <v>1.5225</v>
      </c>
      <c r="ES66" s="0" t="n">
        <v>0.63</v>
      </c>
      <c r="ET66" s="0" t="n">
        <v>34</v>
      </c>
      <c r="EU66" s="0" t="n">
        <v>27</v>
      </c>
      <c r="EV66" s="0" t="n">
        <v>4.805</v>
      </c>
      <c r="EW66" s="0" t="n">
        <v>0.794117647058824</v>
      </c>
      <c r="EX66" s="0" t="n">
        <v>2.98769008642548</v>
      </c>
      <c r="EY66" s="0" t="n">
        <v>3.337</v>
      </c>
      <c r="EZ66" s="0" t="n">
        <v>0.1354</v>
      </c>
      <c r="FA66" s="0" t="n">
        <v>3.125</v>
      </c>
      <c r="FB66" s="0" t="n">
        <v>1.739</v>
      </c>
      <c r="FC66" s="0" t="n">
        <v>26</v>
      </c>
      <c r="FD66" s="0" t="n">
        <v>640</v>
      </c>
      <c r="FE66" s="0" t="n">
        <v>0.0375</v>
      </c>
      <c r="FF66" s="0" t="n">
        <v>0.0358</v>
      </c>
      <c r="FG66" s="0" t="n">
        <v>0.2787</v>
      </c>
      <c r="FH66" s="0" t="n">
        <v>2.496</v>
      </c>
      <c r="FI66" s="0" t="n">
        <v>1096</v>
      </c>
      <c r="FJ66" s="0" t="n">
        <v>0.547445255474453</v>
      </c>
      <c r="FK66" s="0" t="n">
        <v>17</v>
      </c>
      <c r="FL66" s="0" t="n">
        <v>64.47</v>
      </c>
      <c r="FM66" s="0" t="n">
        <v>0.5233</v>
      </c>
      <c r="FN66" s="0" t="n">
        <v>0.4767</v>
      </c>
      <c r="FO66" s="0" t="n">
        <v>-0.039</v>
      </c>
      <c r="FP66" s="0" t="n">
        <v>0.0786</v>
      </c>
      <c r="FQ66" s="0" t="n">
        <v>0.0802</v>
      </c>
      <c r="FR66" s="0" t="n">
        <v>37</v>
      </c>
      <c r="FS66" s="0" t="n">
        <v>58</v>
      </c>
      <c r="FT66" s="0" t="n">
        <v>3.41</v>
      </c>
      <c r="FU66" s="0" t="n">
        <v>25.9</v>
      </c>
      <c r="FV66" s="0" t="n">
        <v>5814</v>
      </c>
      <c r="FW66" s="0" t="n">
        <v>4660</v>
      </c>
      <c r="FX66" s="0" t="n">
        <v>0.802</v>
      </c>
      <c r="FY66" s="0" t="n">
        <v>5</v>
      </c>
      <c r="FZ66" s="0" t="n">
        <v>4</v>
      </c>
      <c r="GA66" s="0" t="n">
        <v>1.67518100810579</v>
      </c>
      <c r="GB66" s="0" t="n">
        <v>80.3</v>
      </c>
      <c r="GC66" s="0" t="n">
        <v>61.1</v>
      </c>
      <c r="GD66" s="0" t="n">
        <v>76.3</v>
      </c>
      <c r="GE66" s="0" t="n">
        <v>532</v>
      </c>
      <c r="GF66" s="0" t="n">
        <v>505</v>
      </c>
      <c r="GG66" s="0" t="n">
        <v>161</v>
      </c>
      <c r="GH66" s="0" t="n">
        <v>20</v>
      </c>
      <c r="GI66" s="0" t="n">
        <v>163</v>
      </c>
      <c r="GJ66" s="0" t="n">
        <v>26</v>
      </c>
      <c r="GK66" s="0" t="n">
        <v>0.303</v>
      </c>
      <c r="GL66" s="0" t="n">
        <v>0.04</v>
      </c>
      <c r="GM66" s="0" t="n">
        <v>0.16</v>
      </c>
      <c r="GN66" s="0" t="n">
        <v>18.746</v>
      </c>
      <c r="GO66" s="0" t="n">
        <v>18.687</v>
      </c>
      <c r="GP66" s="0" t="n">
        <v>18.628</v>
      </c>
      <c r="GQ66" s="0" t="n">
        <v>0.118</v>
      </c>
      <c r="GR66" s="0" t="n">
        <v>4.529</v>
      </c>
      <c r="GS66" s="0" t="n">
        <v>79</v>
      </c>
      <c r="GT66" s="0" t="n">
        <v>4.034</v>
      </c>
      <c r="GU66" s="0" t="n">
        <v>0.279</v>
      </c>
      <c r="GY66" s="0" t="n">
        <v>5.039</v>
      </c>
      <c r="HC66" s="0" t="n">
        <v>0.051</v>
      </c>
      <c r="HD66" s="0" t="n">
        <v>0.07</v>
      </c>
      <c r="HE66" s="0" t="n">
        <v>2.639</v>
      </c>
      <c r="HG66" s="0" t="n">
        <v>68.07</v>
      </c>
      <c r="HH66" s="0" t="n">
        <v>10.9</v>
      </c>
      <c r="HI66" s="0" t="n">
        <v>37</v>
      </c>
      <c r="HJ66" s="0" t="n">
        <v>98</v>
      </c>
      <c r="HK66" s="0" t="s">
        <v>909</v>
      </c>
      <c r="HL66" s="0" t="n">
        <v>0</v>
      </c>
      <c r="HM66" s="0" t="n">
        <v>5</v>
      </c>
      <c r="HN66" s="0" t="n">
        <v>7</v>
      </c>
      <c r="HO66" s="0" t="n">
        <v>0.064</v>
      </c>
      <c r="HP66" s="0" t="n">
        <v>8</v>
      </c>
      <c r="HQ66" s="0" t="n">
        <v>-0.068</v>
      </c>
      <c r="HR66" s="0" t="s">
        <v>102</v>
      </c>
    </row>
    <row r="67" customFormat="false" ht="15" hidden="false" customHeight="false" outlineLevel="0" collapsed="false">
      <c r="A67" s="0" t="s">
        <v>896</v>
      </c>
      <c r="B67" s="0" t="s">
        <v>897</v>
      </c>
      <c r="C67" s="0" t="s">
        <v>898</v>
      </c>
      <c r="D67" s="0" t="s">
        <v>268</v>
      </c>
      <c r="E67" s="0" t="n">
        <v>23106</v>
      </c>
      <c r="F67" s="0" t="s">
        <v>99</v>
      </c>
      <c r="G67" s="0" t="n">
        <v>69.78</v>
      </c>
      <c r="H67" s="0" t="n">
        <v>18.03</v>
      </c>
      <c r="I67" s="0" t="n">
        <v>45</v>
      </c>
      <c r="J67" s="0" t="n">
        <v>126</v>
      </c>
      <c r="L67" s="0" t="s">
        <v>1283</v>
      </c>
      <c r="O67" s="0" t="n">
        <v>85.6</v>
      </c>
      <c r="U67" s="0" t="n">
        <v>7</v>
      </c>
      <c r="V67" s="0" t="s">
        <v>268</v>
      </c>
      <c r="W67" s="0" t="s">
        <v>901</v>
      </c>
      <c r="X67" s="0" t="s">
        <v>1284</v>
      </c>
      <c r="Y67" s="0" t="s">
        <v>1285</v>
      </c>
      <c r="Z67" s="0" t="n">
        <v>23106</v>
      </c>
      <c r="AA67" s="0" t="s">
        <v>1286</v>
      </c>
      <c r="AB67" s="0" t="s">
        <v>904</v>
      </c>
      <c r="AC67" s="0" t="s">
        <v>235</v>
      </c>
      <c r="AD67" s="0" t="s">
        <v>235</v>
      </c>
      <c r="AE67" s="0" t="s">
        <v>235</v>
      </c>
      <c r="AF67" s="0" t="s">
        <v>235</v>
      </c>
      <c r="AG67" s="0" t="s">
        <v>235</v>
      </c>
      <c r="AH67" s="0" t="s">
        <v>905</v>
      </c>
      <c r="AI67" s="0" t="n">
        <v>1</v>
      </c>
      <c r="AJ67" s="0" t="s">
        <v>270</v>
      </c>
      <c r="AK67" s="0" t="n">
        <v>66</v>
      </c>
      <c r="AL67" s="0" t="n">
        <v>31</v>
      </c>
      <c r="AM67" s="0" t="s">
        <v>269</v>
      </c>
      <c r="AN67" s="0" t="n">
        <v>0</v>
      </c>
      <c r="AO67" s="0" t="n">
        <v>0</v>
      </c>
      <c r="AP67" s="0" t="n">
        <v>0</v>
      </c>
      <c r="AQ67" s="0" t="n">
        <v>0</v>
      </c>
      <c r="AR67" s="0" t="n">
        <v>0</v>
      </c>
      <c r="AS67" s="0" t="n">
        <v>0</v>
      </c>
      <c r="AT67" s="0" t="n">
        <v>0</v>
      </c>
      <c r="AU67" s="0" t="n">
        <v>0</v>
      </c>
      <c r="AV67" s="0" t="n">
        <v>0</v>
      </c>
      <c r="AW67" s="0" t="n">
        <v>7</v>
      </c>
      <c r="AX67" s="0" t="n">
        <v>0</v>
      </c>
      <c r="AY67" s="0" t="n">
        <v>0</v>
      </c>
      <c r="AZ67" s="0" t="n">
        <v>1</v>
      </c>
      <c r="BA67" s="0" t="n">
        <v>-1.42254256390802</v>
      </c>
      <c r="BB67" s="0" t="n">
        <v>0</v>
      </c>
      <c r="BC67" s="0" t="n">
        <v>58</v>
      </c>
      <c r="BD67" s="0" t="n">
        <v>95</v>
      </c>
      <c r="BE67" s="0" t="n">
        <v>847</v>
      </c>
      <c r="BF67" s="0" t="n">
        <v>5</v>
      </c>
      <c r="BG67" s="0" t="n">
        <v>1187</v>
      </c>
      <c r="BH67" s="0" t="n">
        <v>265</v>
      </c>
      <c r="BI67" s="0" t="n">
        <v>37</v>
      </c>
      <c r="BJ67" s="0" t="n">
        <v>29.7183817705908</v>
      </c>
      <c r="BK67" s="0" t="n">
        <v>0</v>
      </c>
      <c r="BL67" s="0" t="n">
        <v>2</v>
      </c>
      <c r="BM67" s="0" t="n">
        <v>126.7</v>
      </c>
      <c r="BN67" s="0" t="n">
        <v>184.7</v>
      </c>
      <c r="BO67" s="0" t="n">
        <v>16</v>
      </c>
      <c r="BP67" s="0" t="s">
        <v>235</v>
      </c>
      <c r="BQ67" s="0" t="n">
        <v>1</v>
      </c>
      <c r="BR67" s="0" t="n">
        <v>155.7</v>
      </c>
      <c r="BS67" s="0" t="n">
        <v>0.1737</v>
      </c>
      <c r="BT67" s="0" t="n">
        <v>0.0143</v>
      </c>
      <c r="BU67" s="0" t="n">
        <v>0.2433</v>
      </c>
      <c r="BV67" s="0" t="n">
        <v>0.1841</v>
      </c>
      <c r="BW67" s="0" t="n">
        <v>0.0153</v>
      </c>
      <c r="BX67" s="0" t="n">
        <v>0.2611</v>
      </c>
      <c r="BY67" s="0" t="n">
        <v>0.4589</v>
      </c>
      <c r="BZ67" s="0" t="n">
        <v>16</v>
      </c>
      <c r="CA67" s="0" t="n">
        <v>5.65</v>
      </c>
      <c r="CB67" s="0" t="n">
        <v>18.77</v>
      </c>
      <c r="CC67" s="0" t="n">
        <v>9.9</v>
      </c>
      <c r="CD67" s="0" t="n">
        <v>7.41</v>
      </c>
      <c r="CE67" s="0" t="n">
        <v>4</v>
      </c>
      <c r="CF67" s="0" t="n">
        <v>1</v>
      </c>
      <c r="CG67" s="0" t="n">
        <v>16</v>
      </c>
      <c r="CH67" s="0" t="n">
        <v>0.25</v>
      </c>
      <c r="CI67" s="0" t="n">
        <v>0.062</v>
      </c>
      <c r="CJ67" s="0" t="n">
        <v>0.748</v>
      </c>
      <c r="CK67" s="0" t="n">
        <v>14</v>
      </c>
      <c r="CL67" s="0" t="n">
        <v>4</v>
      </c>
      <c r="CM67" s="0" t="n">
        <v>1</v>
      </c>
      <c r="CN67" s="0" t="n">
        <v>5</v>
      </c>
      <c r="CO67" s="0" t="n">
        <v>4.0635522604479</v>
      </c>
      <c r="CP67" s="0" t="n">
        <v>1</v>
      </c>
      <c r="CQ67" s="0" t="n">
        <v>1</v>
      </c>
      <c r="CR67" s="0" t="n">
        <v>1</v>
      </c>
      <c r="CS67" s="0" t="n">
        <v>0</v>
      </c>
      <c r="CT67" s="0" t="n">
        <v>0.314054580044037</v>
      </c>
      <c r="CU67" s="0" t="n">
        <v>15</v>
      </c>
      <c r="CV67" s="0" t="n">
        <v>5</v>
      </c>
      <c r="CW67" s="0" t="n">
        <v>2</v>
      </c>
      <c r="CX67" s="0" t="n">
        <v>5</v>
      </c>
      <c r="CY67" s="0" t="n">
        <v>4.38</v>
      </c>
      <c r="CZ67" s="0" t="n">
        <v>0.62</v>
      </c>
      <c r="DA67" s="0" t="n">
        <v>2.39095224318154</v>
      </c>
      <c r="DB67" s="0" t="n">
        <v>6.4245652173913</v>
      </c>
      <c r="DC67" s="0" t="n">
        <v>12.6073684210526</v>
      </c>
      <c r="DD67" s="0" t="n">
        <v>24.5503777769579</v>
      </c>
      <c r="DE67" s="0" t="n">
        <v>1.73018754269504</v>
      </c>
      <c r="DF67" s="0" t="n">
        <v>61.0526315789474</v>
      </c>
      <c r="DM67" s="0" t="s">
        <v>1287</v>
      </c>
      <c r="DN67" s="0" t="n">
        <v>7</v>
      </c>
      <c r="DO67" s="0" t="n">
        <v>0</v>
      </c>
      <c r="DS67" s="0" t="n">
        <v>95</v>
      </c>
      <c r="DT67" s="0" t="n">
        <v>5</v>
      </c>
      <c r="DU67" s="0" t="n">
        <v>7</v>
      </c>
      <c r="DV67" s="0" t="n">
        <v>10.034</v>
      </c>
      <c r="DW67" s="0" t="n">
        <v>4.569</v>
      </c>
      <c r="DX67" s="0" t="n">
        <v>12.5</v>
      </c>
      <c r="DY67" s="0" t="n">
        <v>0.0737</v>
      </c>
      <c r="DZ67" s="0" t="n">
        <v>672</v>
      </c>
      <c r="EA67" s="0" t="n">
        <v>0.614</v>
      </c>
      <c r="EB67" s="0" t="n">
        <v>16</v>
      </c>
      <c r="EC67" s="0" t="s">
        <v>1288</v>
      </c>
      <c r="ED67" s="0" t="n">
        <v>2023</v>
      </c>
      <c r="EE67" s="0" t="n">
        <v>6</v>
      </c>
      <c r="EF67" s="0" t="n">
        <v>185</v>
      </c>
      <c r="EG67" s="0" t="n">
        <v>2023</v>
      </c>
      <c r="EH67" s="0" t="n">
        <v>2026</v>
      </c>
      <c r="EI67" s="0" t="n">
        <v>4</v>
      </c>
      <c r="EJ67" s="0" t="n">
        <v>70</v>
      </c>
      <c r="EK67" s="0" t="n">
        <v>204</v>
      </c>
      <c r="EL67" s="0" t="s">
        <v>1063</v>
      </c>
      <c r="EM67" s="0" t="n">
        <v>24.4</v>
      </c>
      <c r="EN67" s="15" t="b">
        <f aca="false">FALSE()</f>
        <v>0</v>
      </c>
      <c r="EO67" s="0" t="n">
        <v>373</v>
      </c>
      <c r="EP67" s="0" t="n">
        <v>2.85254691689008</v>
      </c>
      <c r="EQ67" s="0" t="n">
        <v>0.184986595174263</v>
      </c>
      <c r="ER67" s="0" t="n">
        <v>1.10991957104558</v>
      </c>
      <c r="ES67" s="0" t="n">
        <v>0.683646112600536</v>
      </c>
      <c r="ET67" s="0" t="n">
        <v>30</v>
      </c>
      <c r="EU67" s="0" t="n">
        <v>15</v>
      </c>
      <c r="EV67" s="0" t="n">
        <v>4.1313672922252</v>
      </c>
      <c r="EW67" s="0" t="n">
        <v>0.5</v>
      </c>
      <c r="EX67" s="0" t="n">
        <v>2.91568836248392</v>
      </c>
      <c r="EY67" s="0" t="n">
        <v>2.885</v>
      </c>
      <c r="EZ67" s="0" t="n">
        <v>0.1784</v>
      </c>
      <c r="FA67" s="0" t="n">
        <v>2.219</v>
      </c>
      <c r="FB67" s="0" t="n">
        <v>1.781</v>
      </c>
      <c r="FC67" s="0" t="n">
        <v>22</v>
      </c>
      <c r="FD67" s="0" t="n">
        <v>644</v>
      </c>
      <c r="FE67" s="0" t="n">
        <v>0.0636645962732919</v>
      </c>
      <c r="FF67" s="0" t="n">
        <v>0.0647</v>
      </c>
      <c r="FG67" s="0" t="n">
        <v>0.2504</v>
      </c>
      <c r="FH67" s="0" t="n">
        <v>2.395</v>
      </c>
      <c r="FI67" s="0" t="n">
        <v>1074</v>
      </c>
      <c r="FJ67" s="0" t="n">
        <v>0.56145251396648</v>
      </c>
      <c r="FK67" s="0" t="n">
        <v>17</v>
      </c>
      <c r="FL67" s="0" t="n">
        <v>63.18</v>
      </c>
      <c r="FM67" s="0" t="n">
        <v>0.5756</v>
      </c>
      <c r="FN67" s="0" t="n">
        <v>0.4244</v>
      </c>
      <c r="FO67" s="0" t="n">
        <v>0.0164</v>
      </c>
      <c r="FP67" s="0" t="n">
        <v>-0.0041</v>
      </c>
      <c r="FQ67" s="0" t="n">
        <v>0.0592</v>
      </c>
      <c r="FR67" s="0" t="n">
        <v>40</v>
      </c>
      <c r="FS67" s="0" t="n">
        <v>72</v>
      </c>
      <c r="FT67" s="0" t="n">
        <v>4.24</v>
      </c>
      <c r="FU67" s="0" t="n">
        <v>27.9</v>
      </c>
      <c r="FV67" s="0" t="n">
        <v>5856</v>
      </c>
      <c r="FW67" s="0" t="n">
        <v>5856</v>
      </c>
      <c r="FX67" s="0" t="n">
        <v>1</v>
      </c>
      <c r="FY67" s="0" t="n">
        <v>5</v>
      </c>
      <c r="FZ67" s="0" t="n">
        <v>5</v>
      </c>
      <c r="GA67" s="0" t="n">
        <v>-0.543031520615496</v>
      </c>
      <c r="GB67" s="0" t="n">
        <v>40.2</v>
      </c>
      <c r="GC67" s="0" t="n">
        <v>50.8</v>
      </c>
      <c r="GD67" s="0" t="n">
        <v>44.3</v>
      </c>
      <c r="GE67" s="0" t="n">
        <v>547</v>
      </c>
      <c r="GF67" s="0" t="n">
        <v>489</v>
      </c>
      <c r="GG67" s="0" t="n">
        <v>132</v>
      </c>
      <c r="GH67" s="0" t="n">
        <v>271</v>
      </c>
      <c r="GI67" s="0" t="n">
        <v>198</v>
      </c>
      <c r="GJ67" s="0" t="n">
        <v>85</v>
      </c>
      <c r="GK67" s="0" t="n">
        <v>0.241</v>
      </c>
      <c r="GL67" s="0" t="n">
        <v>0.554</v>
      </c>
      <c r="GM67" s="0" t="n">
        <v>0.429</v>
      </c>
      <c r="GN67" s="0" t="n">
        <v>11.544</v>
      </c>
      <c r="GO67" s="0" t="n">
        <v>9.731</v>
      </c>
      <c r="GP67" s="0" t="n">
        <v>7.919</v>
      </c>
      <c r="GQ67" s="0" t="n">
        <v>5.938</v>
      </c>
      <c r="GR67" s="0" t="n">
        <v>0.438</v>
      </c>
      <c r="GS67" s="0" t="n">
        <v>102</v>
      </c>
      <c r="GT67" s="0" t="n">
        <v>1.811</v>
      </c>
      <c r="GU67" s="0" t="n">
        <v>0.275</v>
      </c>
      <c r="GV67" s="0" t="n">
        <v>8.916</v>
      </c>
      <c r="GW67" s="0" t="n">
        <v>14.603</v>
      </c>
      <c r="GX67" s="0" t="n">
        <v>0.611</v>
      </c>
      <c r="GZ67" s="0" t="n">
        <v>12.495</v>
      </c>
      <c r="HA67" s="0" t="n">
        <v>4.569</v>
      </c>
      <c r="HB67" s="0" t="n">
        <v>0.714</v>
      </c>
      <c r="HC67" s="0" t="n">
        <v>0.049</v>
      </c>
      <c r="HE67" s="0" t="n">
        <v>0.313</v>
      </c>
      <c r="HG67" s="0" t="n">
        <v>69.78</v>
      </c>
      <c r="HH67" s="0" t="n">
        <v>18.03</v>
      </c>
      <c r="HI67" s="0" t="n">
        <v>45</v>
      </c>
      <c r="HJ67" s="0" t="n">
        <v>126</v>
      </c>
      <c r="HK67" s="0" t="s">
        <v>909</v>
      </c>
      <c r="HL67" s="0" t="n">
        <v>0</v>
      </c>
      <c r="HM67" s="0" t="n">
        <v>27</v>
      </c>
      <c r="HN67" s="0" t="n">
        <v>31</v>
      </c>
      <c r="HO67" s="0" t="n">
        <v>-0.05</v>
      </c>
      <c r="HP67" s="0" t="n">
        <v>35</v>
      </c>
      <c r="HQ67" s="0" t="n">
        <v>-0.401</v>
      </c>
      <c r="HR67" s="0" t="s">
        <v>102</v>
      </c>
    </row>
    <row r="68" customFormat="false" ht="15" hidden="false" customHeight="false" outlineLevel="0" collapsed="false">
      <c r="A68" s="0" t="s">
        <v>896</v>
      </c>
      <c r="B68" s="0" t="s">
        <v>897</v>
      </c>
      <c r="C68" s="0" t="s">
        <v>898</v>
      </c>
      <c r="D68" s="0" t="s">
        <v>271</v>
      </c>
      <c r="E68" s="0" t="n">
        <v>23064</v>
      </c>
      <c r="F68" s="0" t="s">
        <v>99</v>
      </c>
      <c r="G68" s="0" t="n">
        <v>69.8</v>
      </c>
      <c r="H68" s="0" t="n">
        <v>11.64</v>
      </c>
      <c r="I68" s="0" t="n">
        <v>45</v>
      </c>
      <c r="J68" s="0" t="n">
        <v>100</v>
      </c>
      <c r="L68" s="0" t="s">
        <v>1289</v>
      </c>
      <c r="O68" s="0" t="n">
        <v>88.2</v>
      </c>
      <c r="U68" s="0" t="n">
        <v>14</v>
      </c>
      <c r="V68" s="0" t="s">
        <v>1290</v>
      </c>
      <c r="W68" s="0" t="s">
        <v>901</v>
      </c>
      <c r="X68" s="0" t="s">
        <v>151</v>
      </c>
      <c r="Y68" s="0" t="s">
        <v>1291</v>
      </c>
      <c r="Z68" s="0" t="n">
        <v>23064</v>
      </c>
      <c r="AA68" s="0" t="s">
        <v>1292</v>
      </c>
      <c r="AB68" s="0" t="s">
        <v>904</v>
      </c>
      <c r="AC68" s="0" t="s">
        <v>151</v>
      </c>
      <c r="AD68" s="0" t="s">
        <v>151</v>
      </c>
      <c r="AE68" s="0" t="s">
        <v>151</v>
      </c>
      <c r="AF68" s="0" t="s">
        <v>151</v>
      </c>
      <c r="AG68" s="0" t="s">
        <v>151</v>
      </c>
      <c r="AH68" s="0" t="s">
        <v>905</v>
      </c>
      <c r="AI68" s="0" t="n">
        <v>1</v>
      </c>
      <c r="AJ68" s="0" t="s">
        <v>99</v>
      </c>
      <c r="AK68" s="0" t="n">
        <v>67</v>
      </c>
      <c r="AL68" s="0" t="n">
        <v>32</v>
      </c>
      <c r="AM68" s="0" t="s">
        <v>272</v>
      </c>
      <c r="AN68" s="0" t="n">
        <v>0</v>
      </c>
      <c r="AO68" s="0" t="n">
        <v>0</v>
      </c>
      <c r="AP68" s="0" t="n">
        <v>0</v>
      </c>
      <c r="AQ68" s="0" t="n">
        <v>0</v>
      </c>
      <c r="AR68" s="0" t="n">
        <v>0</v>
      </c>
      <c r="AS68" s="0" t="n">
        <v>0</v>
      </c>
      <c r="AT68" s="0" t="n">
        <v>0</v>
      </c>
      <c r="AU68" s="0" t="n">
        <v>0</v>
      </c>
      <c r="AV68" s="0" t="n">
        <v>0</v>
      </c>
      <c r="AW68" s="0" t="n">
        <v>0</v>
      </c>
      <c r="AX68" s="0" t="n">
        <v>0</v>
      </c>
      <c r="AY68" s="0" t="n">
        <v>0</v>
      </c>
      <c r="AZ68" s="0" t="n">
        <v>0</v>
      </c>
      <c r="BA68" s="0" t="n">
        <v>0</v>
      </c>
      <c r="BB68" s="0" t="n">
        <v>0</v>
      </c>
      <c r="BC68" s="0" t="n">
        <v>41</v>
      </c>
      <c r="BD68" s="0" t="n">
        <v>73</v>
      </c>
      <c r="BE68" s="0" t="n">
        <v>608</v>
      </c>
      <c r="BF68" s="0" t="n">
        <v>4</v>
      </c>
      <c r="BG68" s="0" t="n">
        <v>946</v>
      </c>
      <c r="BH68" s="0" t="n">
        <v>119</v>
      </c>
      <c r="BI68" s="0" t="n">
        <v>30</v>
      </c>
      <c r="BJ68" s="0" t="n">
        <v>31.1147574754555</v>
      </c>
      <c r="BK68" s="0" t="n">
        <v>0</v>
      </c>
      <c r="BL68" s="0" t="n">
        <v>0</v>
      </c>
      <c r="BM68" s="0" t="n">
        <v>86.8</v>
      </c>
      <c r="BN68" s="0" t="n">
        <v>127.8</v>
      </c>
      <c r="BO68" s="0" t="n">
        <v>12</v>
      </c>
      <c r="BP68" s="0" t="s">
        <v>151</v>
      </c>
      <c r="BQ68" s="0" t="n">
        <v>1</v>
      </c>
      <c r="BR68" s="0" t="n">
        <v>107.3</v>
      </c>
      <c r="BS68" s="0" t="n">
        <v>0.1183</v>
      </c>
      <c r="BT68" s="0" t="n">
        <v>0</v>
      </c>
      <c r="BU68" s="0" t="n">
        <v>0.2126</v>
      </c>
      <c r="BV68" s="0" t="n">
        <v>0.1802</v>
      </c>
      <c r="BW68" s="0" t="n">
        <v>0</v>
      </c>
      <c r="BX68" s="0" t="n">
        <v>0.3254</v>
      </c>
      <c r="BY68" s="0" t="n">
        <v>0.4981</v>
      </c>
      <c r="BZ68" s="0" t="n">
        <v>12</v>
      </c>
      <c r="CA68" s="0" t="n">
        <v>5.08</v>
      </c>
      <c r="CB68" s="0" t="n">
        <v>18.28</v>
      </c>
      <c r="CC68" s="0" t="n">
        <v>10.35</v>
      </c>
      <c r="CD68" s="0" t="n">
        <v>7.1</v>
      </c>
      <c r="CE68" s="0" t="n">
        <v>2</v>
      </c>
      <c r="CF68" s="0" t="n">
        <v>1</v>
      </c>
      <c r="CG68" s="0" t="n">
        <v>12</v>
      </c>
      <c r="CH68" s="0" t="n">
        <v>0.167</v>
      </c>
      <c r="CI68" s="0" t="n">
        <v>0.083</v>
      </c>
      <c r="CJ68" s="0" t="n">
        <v>0.686</v>
      </c>
      <c r="CK68" s="0" t="n">
        <v>10</v>
      </c>
      <c r="CL68" s="0" t="n">
        <v>5</v>
      </c>
      <c r="CM68" s="0" t="n">
        <v>3</v>
      </c>
      <c r="CN68" s="0" t="n">
        <v>4</v>
      </c>
      <c r="CO68" s="0" t="n">
        <v>3.92572772512979</v>
      </c>
      <c r="CP68" s="0" t="n">
        <v>0</v>
      </c>
      <c r="CQ68" s="0" t="n">
        <v>0</v>
      </c>
      <c r="CR68" s="0" t="n">
        <v>0</v>
      </c>
      <c r="CS68" s="0" t="n">
        <v>0</v>
      </c>
      <c r="CT68" s="0" t="n">
        <v>0</v>
      </c>
      <c r="CU68" s="0" t="n">
        <v>10</v>
      </c>
      <c r="CV68" s="0" t="n">
        <v>5</v>
      </c>
      <c r="CW68" s="0" t="n">
        <v>3</v>
      </c>
      <c r="CX68" s="0" t="n">
        <v>4</v>
      </c>
      <c r="CY68" s="0" t="n">
        <v>3.93</v>
      </c>
      <c r="CZ68" s="0" t="n">
        <v>0.07</v>
      </c>
      <c r="DA68" s="0" t="n">
        <v>2.4199826142948</v>
      </c>
      <c r="DB68" s="0" t="n">
        <v>4.94194444444444</v>
      </c>
      <c r="DC68" s="0" t="n">
        <v>13.5504109589041</v>
      </c>
      <c r="DD68" s="0" t="n">
        <v>21.9846113499073</v>
      </c>
      <c r="DE68" s="0" t="n">
        <v>0.637288525822476</v>
      </c>
      <c r="DF68" s="0" t="n">
        <v>56.1643835616438</v>
      </c>
      <c r="DM68" s="0" t="s">
        <v>1293</v>
      </c>
      <c r="DS68" s="0" t="n">
        <v>73</v>
      </c>
      <c r="DT68" s="0" t="n">
        <v>3</v>
      </c>
      <c r="DU68" s="0" t="n">
        <v>4</v>
      </c>
      <c r="DV68" s="0" t="n">
        <v>11.927</v>
      </c>
      <c r="DW68" s="0" t="n">
        <v>2.902</v>
      </c>
      <c r="DX68" s="0" t="n">
        <v>12.9</v>
      </c>
      <c r="DY68" s="0" t="n">
        <v>0.0548</v>
      </c>
      <c r="DZ68" s="0" t="n">
        <v>566</v>
      </c>
      <c r="EA68" s="0" t="n">
        <v>0.712</v>
      </c>
      <c r="EB68" s="0" t="n">
        <v>12</v>
      </c>
      <c r="EC68" s="0" t="s">
        <v>1294</v>
      </c>
      <c r="ED68" s="0" t="n">
        <v>2024</v>
      </c>
      <c r="EE68" s="0" t="n">
        <v>1</v>
      </c>
      <c r="EF68" s="0" t="n">
        <v>4</v>
      </c>
      <c r="EG68" s="0" t="n">
        <v>2024</v>
      </c>
      <c r="EH68" s="0" t="n">
        <v>2026</v>
      </c>
      <c r="EI68" s="0" t="n">
        <v>3</v>
      </c>
      <c r="EJ68" s="0" t="n">
        <v>75</v>
      </c>
      <c r="EK68" s="0" t="n">
        <v>220</v>
      </c>
      <c r="EL68" s="0" t="s">
        <v>933</v>
      </c>
      <c r="EM68" s="0" t="n">
        <v>24</v>
      </c>
      <c r="EN68" s="15" t="b">
        <f aca="false">FALSE()</f>
        <v>0</v>
      </c>
      <c r="EO68" s="0" t="n">
        <v>292</v>
      </c>
      <c r="EP68" s="0" t="n">
        <v>2.76198630136986</v>
      </c>
      <c r="EQ68" s="0" t="n">
        <v>0.198630136986301</v>
      </c>
      <c r="ER68" s="0" t="n">
        <v>1.1472602739726</v>
      </c>
      <c r="ES68" s="0" t="n">
        <v>0.828767123287671</v>
      </c>
      <c r="ET68" s="0" t="n">
        <v>32</v>
      </c>
      <c r="EU68" s="0" t="n">
        <v>21</v>
      </c>
      <c r="EV68" s="0" t="n">
        <v>4.20205479452055</v>
      </c>
      <c r="EW68" s="0" t="n">
        <v>0.65625</v>
      </c>
      <c r="EX68" s="0" t="n">
        <v>2.93895253186521</v>
      </c>
      <c r="EY68" s="0" t="n">
        <v>2.771</v>
      </c>
      <c r="EZ68" s="0" t="n">
        <v>0.2005</v>
      </c>
      <c r="FA68" s="0" t="n">
        <v>2.593</v>
      </c>
      <c r="FB68" s="0" t="n">
        <v>1.732</v>
      </c>
      <c r="FC68" s="0" t="n">
        <v>22</v>
      </c>
      <c r="FD68" s="0" t="n">
        <v>745</v>
      </c>
      <c r="FE68" s="0" t="n">
        <v>0.0791946308724832</v>
      </c>
      <c r="FF68" s="0" t="n">
        <v>0.0839</v>
      </c>
      <c r="FG68" s="0" t="n">
        <v>0.282</v>
      </c>
      <c r="FH68" s="0" t="n">
        <v>2.373</v>
      </c>
      <c r="FI68" s="0" t="n">
        <v>1074</v>
      </c>
      <c r="FJ68" s="0" t="n">
        <v>0.661080074487896</v>
      </c>
      <c r="FK68" s="0" t="n">
        <v>17</v>
      </c>
      <c r="FL68" s="0" t="n">
        <v>63.18</v>
      </c>
      <c r="FM68" s="0" t="n">
        <v>0.6204</v>
      </c>
      <c r="FN68" s="0" t="n">
        <v>0.3796</v>
      </c>
      <c r="FO68" s="0" t="n">
        <v>0.0399</v>
      </c>
      <c r="FP68" s="0" t="n">
        <v>-0.0591</v>
      </c>
      <c r="FQ68" s="0" t="n">
        <v>0.0023</v>
      </c>
      <c r="FR68" s="0" t="n">
        <v>39</v>
      </c>
      <c r="FS68" s="0" t="n">
        <v>61</v>
      </c>
      <c r="FT68" s="0" t="n">
        <v>3.59</v>
      </c>
      <c r="FU68" s="0" t="n">
        <v>20.9</v>
      </c>
      <c r="FV68" s="0" t="n">
        <v>5838</v>
      </c>
      <c r="FW68" s="0" t="n">
        <v>4005</v>
      </c>
      <c r="FX68" s="0" t="n">
        <v>0.686</v>
      </c>
      <c r="FY68" s="0" t="n">
        <v>5</v>
      </c>
      <c r="FZ68" s="0" t="n">
        <v>3</v>
      </c>
      <c r="GA68" s="0" t="n">
        <v>-0.344439654226007</v>
      </c>
      <c r="GB68" s="0" t="n">
        <v>43.8</v>
      </c>
      <c r="GC68" s="0" t="n">
        <v>35.6</v>
      </c>
      <c r="GD68" s="0" t="n">
        <v>36.9</v>
      </c>
      <c r="GE68" s="0" t="n">
        <v>617</v>
      </c>
      <c r="GF68" s="0" t="n">
        <v>366</v>
      </c>
      <c r="GG68" s="0" t="n">
        <v>106</v>
      </c>
      <c r="GH68" s="0" t="n">
        <v>173</v>
      </c>
      <c r="GI68" s="0" t="n">
        <v>153</v>
      </c>
      <c r="GJ68" s="0" t="n">
        <v>41</v>
      </c>
      <c r="GK68" s="0" t="n">
        <v>0.172</v>
      </c>
      <c r="GL68" s="0" t="n">
        <v>0.473</v>
      </c>
      <c r="GM68" s="0" t="n">
        <v>0.268</v>
      </c>
      <c r="GN68" s="0" t="n">
        <v>10.65</v>
      </c>
      <c r="GO68" s="0" t="n">
        <v>8.942</v>
      </c>
      <c r="GP68" s="0" t="n">
        <v>7.233</v>
      </c>
      <c r="GQ68" s="0" t="n">
        <v>6.083</v>
      </c>
      <c r="GR68" s="0" t="n">
        <v>0</v>
      </c>
      <c r="GS68" s="0" t="n">
        <v>73</v>
      </c>
      <c r="GT68" s="0" t="n">
        <v>1.751</v>
      </c>
      <c r="GU68" s="0" t="n">
        <v>0.226</v>
      </c>
      <c r="GV68" s="0" t="n">
        <v>8.329</v>
      </c>
      <c r="GW68" s="0" t="n">
        <v>14.829</v>
      </c>
      <c r="GX68" s="0" t="n">
        <v>0.562</v>
      </c>
      <c r="GZ68" s="0" t="n">
        <v>12.959</v>
      </c>
      <c r="HA68" s="0" t="n">
        <v>2.902</v>
      </c>
      <c r="HB68" s="0" t="n">
        <v>0.643</v>
      </c>
      <c r="HC68" s="0" t="n">
        <v>0.055</v>
      </c>
      <c r="HE68" s="0" t="n">
        <v>0.426</v>
      </c>
      <c r="HG68" s="0" t="n">
        <v>69.8</v>
      </c>
      <c r="HH68" s="0" t="n">
        <v>11.64</v>
      </c>
      <c r="HI68" s="0" t="n">
        <v>45</v>
      </c>
      <c r="HJ68" s="0" t="n">
        <v>100</v>
      </c>
      <c r="HK68" s="0" t="s">
        <v>909</v>
      </c>
      <c r="HL68" s="0" t="n">
        <v>0</v>
      </c>
      <c r="HM68" s="0" t="n">
        <v>49</v>
      </c>
      <c r="HN68" s="0" t="n">
        <v>32</v>
      </c>
      <c r="HO68" s="0" t="n">
        <v>-0.979</v>
      </c>
      <c r="HP68" s="0" t="n">
        <v>41</v>
      </c>
      <c r="HQ68" s="0" t="n">
        <v>-0.629</v>
      </c>
      <c r="HR68" s="0" t="s">
        <v>121</v>
      </c>
    </row>
    <row r="69" customFormat="false" ht="15" hidden="false" customHeight="false" outlineLevel="0" collapsed="false">
      <c r="A69" s="0" t="s">
        <v>896</v>
      </c>
      <c r="B69" s="0" t="s">
        <v>897</v>
      </c>
      <c r="C69" s="0" t="s">
        <v>898</v>
      </c>
      <c r="D69" s="0" t="s">
        <v>273</v>
      </c>
      <c r="E69" s="0" t="n">
        <v>18635</v>
      </c>
      <c r="F69" s="0" t="s">
        <v>172</v>
      </c>
      <c r="G69" s="0" t="n">
        <v>70</v>
      </c>
      <c r="H69" s="0" t="n">
        <v>11.18</v>
      </c>
      <c r="I69" s="0" t="n">
        <v>37</v>
      </c>
      <c r="J69" s="0" t="n">
        <v>101</v>
      </c>
      <c r="L69" s="0" t="s">
        <v>1295</v>
      </c>
      <c r="O69" s="0" t="n">
        <v>91.1</v>
      </c>
      <c r="U69" s="0" t="n">
        <v>7</v>
      </c>
      <c r="V69" s="0" t="s">
        <v>273</v>
      </c>
      <c r="W69" s="0" t="s">
        <v>901</v>
      </c>
      <c r="X69" s="0" t="s">
        <v>170</v>
      </c>
      <c r="Y69" s="0" t="s">
        <v>1296</v>
      </c>
      <c r="Z69" s="0" t="n">
        <v>18635</v>
      </c>
      <c r="AA69" s="0" t="s">
        <v>1297</v>
      </c>
      <c r="AB69" s="0" t="s">
        <v>904</v>
      </c>
      <c r="AC69" s="0" t="s">
        <v>170</v>
      </c>
      <c r="AD69" s="0" t="s">
        <v>170</v>
      </c>
      <c r="AE69" s="0" t="s">
        <v>170</v>
      </c>
      <c r="AF69" s="0" t="s">
        <v>170</v>
      </c>
      <c r="AG69" s="0" t="s">
        <v>170</v>
      </c>
      <c r="AH69" s="0" t="s">
        <v>905</v>
      </c>
      <c r="AI69" s="0" t="n">
        <v>1</v>
      </c>
      <c r="AJ69" s="0" t="s">
        <v>172</v>
      </c>
      <c r="AK69" s="0" t="n">
        <v>68</v>
      </c>
      <c r="AL69" s="0" t="n">
        <v>8</v>
      </c>
      <c r="AM69" s="0" t="s">
        <v>274</v>
      </c>
      <c r="AN69" s="0" t="n">
        <v>340</v>
      </c>
      <c r="AO69" s="0" t="n">
        <v>512</v>
      </c>
      <c r="AP69" s="0" t="n">
        <v>3727</v>
      </c>
      <c r="AQ69" s="0" t="n">
        <v>26</v>
      </c>
      <c r="AR69" s="0" t="n">
        <v>13</v>
      </c>
      <c r="AS69" s="0" t="n">
        <v>54</v>
      </c>
      <c r="AT69" s="0" t="n">
        <v>4011</v>
      </c>
      <c r="AU69" s="0" t="n">
        <v>175</v>
      </c>
      <c r="AV69" s="0" t="n">
        <v>16.1146135014785</v>
      </c>
      <c r="AW69" s="0" t="n">
        <v>83</v>
      </c>
      <c r="AX69" s="0" t="n">
        <v>498</v>
      </c>
      <c r="AY69" s="0" t="n">
        <v>2</v>
      </c>
      <c r="AZ69" s="0" t="n">
        <v>34</v>
      </c>
      <c r="BA69" s="0" t="n">
        <v>15.8963105870139</v>
      </c>
      <c r="BB69" s="0" t="n">
        <v>1</v>
      </c>
      <c r="BC69" s="0" t="n">
        <v>0</v>
      </c>
      <c r="BD69" s="0" t="n">
        <v>0</v>
      </c>
      <c r="BE69" s="0" t="n">
        <v>0</v>
      </c>
      <c r="BF69" s="0" t="n">
        <v>0</v>
      </c>
      <c r="BG69" s="0" t="n">
        <v>0</v>
      </c>
      <c r="BH69" s="0" t="n">
        <v>0</v>
      </c>
      <c r="BI69" s="0" t="n">
        <v>0</v>
      </c>
      <c r="BJ69" s="0" t="n">
        <v>0</v>
      </c>
      <c r="BK69" s="0" t="n">
        <v>0</v>
      </c>
      <c r="BL69" s="0" t="n">
        <v>0</v>
      </c>
      <c r="BM69" s="0" t="n">
        <v>286.88</v>
      </c>
      <c r="BN69" s="0" t="n">
        <v>286.88</v>
      </c>
      <c r="BO69" s="0" t="n">
        <v>16</v>
      </c>
      <c r="BP69" s="0" t="s">
        <v>170</v>
      </c>
      <c r="BQ69" s="0" t="n">
        <v>1</v>
      </c>
      <c r="BR69" s="0" t="n">
        <v>286.88</v>
      </c>
      <c r="BS69" s="0" t="n">
        <v>0</v>
      </c>
      <c r="BT69" s="0" t="n">
        <v>0.1781</v>
      </c>
      <c r="BU69" s="0" t="n">
        <v>0</v>
      </c>
      <c r="BV69" s="0" t="n">
        <v>0</v>
      </c>
      <c r="BW69" s="0" t="n">
        <v>0.1865</v>
      </c>
      <c r="BX69" s="0" t="n">
        <v>0</v>
      </c>
      <c r="BY69" s="0" t="n">
        <v>0</v>
      </c>
      <c r="BZ69" s="0" t="n">
        <v>16</v>
      </c>
      <c r="CA69" s="0" t="n">
        <v>12.76</v>
      </c>
      <c r="CB69" s="0" t="n">
        <v>27.85</v>
      </c>
      <c r="CC69" s="0" t="n">
        <v>14.92</v>
      </c>
      <c r="CD69" s="0" t="n">
        <v>7.74</v>
      </c>
      <c r="CE69" s="0" t="n">
        <v>5</v>
      </c>
      <c r="CF69" s="0" t="n">
        <v>1</v>
      </c>
      <c r="CG69" s="0" t="n">
        <v>16</v>
      </c>
      <c r="CH69" s="0" t="n">
        <v>0.312</v>
      </c>
      <c r="CI69" s="0" t="n">
        <v>0.062</v>
      </c>
      <c r="CJ69" s="0" t="n">
        <v>0.519</v>
      </c>
      <c r="CK69" s="0" t="n">
        <v>0</v>
      </c>
      <c r="CL69" s="0" t="n">
        <v>0</v>
      </c>
      <c r="CM69" s="0" t="n">
        <v>0</v>
      </c>
      <c r="CN69" s="0" t="n">
        <v>0</v>
      </c>
      <c r="CO69" s="0" t="n">
        <v>0</v>
      </c>
      <c r="CP69" s="0" t="n">
        <v>11</v>
      </c>
      <c r="CQ69" s="0" t="n">
        <v>6</v>
      </c>
      <c r="CR69" s="0" t="n">
        <v>3</v>
      </c>
      <c r="CS69" s="0" t="n">
        <v>2</v>
      </c>
      <c r="CT69" s="0" t="n">
        <v>2.38324627497678</v>
      </c>
      <c r="CU69" s="0" t="n">
        <v>11</v>
      </c>
      <c r="CV69" s="0" t="n">
        <v>6</v>
      </c>
      <c r="CW69" s="0" t="n">
        <v>3</v>
      </c>
      <c r="CX69" s="0" t="n">
        <v>2</v>
      </c>
      <c r="CY69" s="0" t="n">
        <v>2.38</v>
      </c>
      <c r="CZ69" s="0" t="n">
        <v>-0.38</v>
      </c>
      <c r="DM69" s="0" t="s">
        <v>1298</v>
      </c>
      <c r="DN69" s="0" t="n">
        <v>83</v>
      </c>
      <c r="DO69" s="0" t="n">
        <v>3</v>
      </c>
      <c r="DP69" s="0" t="n">
        <v>4.904</v>
      </c>
      <c r="DQ69" s="0" t="n">
        <v>1.096</v>
      </c>
      <c r="DR69" s="0" t="n">
        <v>27.67</v>
      </c>
      <c r="DZ69" s="0" t="n">
        <v>1043</v>
      </c>
      <c r="EA69" s="0" t="n">
        <v>0.968</v>
      </c>
      <c r="EB69" s="0" t="n">
        <v>16</v>
      </c>
      <c r="EC69" s="0" t="s">
        <v>1299</v>
      </c>
      <c r="ED69" s="0" t="n">
        <v>2020</v>
      </c>
      <c r="EE69" s="0" t="n">
        <v>1</v>
      </c>
      <c r="EF69" s="0" t="n">
        <v>6</v>
      </c>
      <c r="EG69" s="0" t="n">
        <v>2020</v>
      </c>
      <c r="EH69" s="0" t="n">
        <v>2026</v>
      </c>
      <c r="EI69" s="0" t="n">
        <v>7</v>
      </c>
      <c r="EJ69" s="0" t="n">
        <v>78</v>
      </c>
      <c r="EK69" s="0" t="n">
        <v>236</v>
      </c>
      <c r="EL69" s="0" t="s">
        <v>1300</v>
      </c>
      <c r="EM69" s="0" t="n">
        <v>28.4</v>
      </c>
      <c r="EN69" s="15" t="b">
        <f aca="false">FALSE()</f>
        <v>0</v>
      </c>
      <c r="EO69" s="0" t="n">
        <v>359</v>
      </c>
      <c r="EP69" s="0" t="n">
        <v>2.71309192200557</v>
      </c>
      <c r="EQ69" s="0" t="n">
        <v>0.22841225626741</v>
      </c>
      <c r="ER69" s="0" t="n">
        <v>1.12534818941504</v>
      </c>
      <c r="ES69" s="0" t="n">
        <v>0.746518105849582</v>
      </c>
      <c r="ET69" s="0" t="n">
        <v>36</v>
      </c>
      <c r="EU69" s="0" t="n">
        <v>22</v>
      </c>
      <c r="EV69" s="0" t="n">
        <v>4.06685236768802</v>
      </c>
      <c r="EW69" s="0" t="n">
        <v>0.611111111111111</v>
      </c>
      <c r="EX69" s="0" t="n">
        <v>2.89104964249176</v>
      </c>
      <c r="EY69" s="0" t="n">
        <v>2.77</v>
      </c>
      <c r="EZ69" s="0" t="n">
        <v>0.2195</v>
      </c>
      <c r="FA69" s="0" t="n">
        <v>2.614</v>
      </c>
      <c r="FB69" s="0" t="n">
        <v>1.822</v>
      </c>
      <c r="FC69" s="0" t="n">
        <v>24</v>
      </c>
      <c r="FD69" s="0" t="n">
        <v>681</v>
      </c>
      <c r="FE69" s="0" t="n">
        <v>0.0881057268722467</v>
      </c>
      <c r="FF69" s="0" t="n">
        <v>0.0832</v>
      </c>
      <c r="FG69" s="0" t="n">
        <v>0.3427</v>
      </c>
      <c r="FH69" s="0" t="n">
        <v>2.37</v>
      </c>
      <c r="FI69" s="0" t="n">
        <v>1080</v>
      </c>
      <c r="FJ69" s="0" t="n">
        <v>0.578703703703704</v>
      </c>
      <c r="FK69" s="0" t="n">
        <v>17</v>
      </c>
      <c r="FL69" s="0" t="n">
        <v>63.53</v>
      </c>
      <c r="FM69" s="0" t="n">
        <v>0.579</v>
      </c>
      <c r="FN69" s="0" t="n">
        <v>0.421</v>
      </c>
      <c r="FO69" s="0" t="n">
        <v>0.0064</v>
      </c>
      <c r="FP69" s="0" t="n">
        <v>0.0187</v>
      </c>
      <c r="FQ69" s="0" t="n">
        <v>-0.0542</v>
      </c>
      <c r="FR69" s="0" t="n">
        <v>39</v>
      </c>
      <c r="FS69" s="0" t="n">
        <v>59</v>
      </c>
      <c r="FT69" s="0" t="n">
        <v>3.47</v>
      </c>
      <c r="FU69" s="0" t="n">
        <v>21.6</v>
      </c>
      <c r="FV69" s="0" t="n">
        <v>5784</v>
      </c>
      <c r="FW69" s="0" t="n">
        <v>1183</v>
      </c>
      <c r="FX69" s="0" t="n">
        <v>0.205</v>
      </c>
      <c r="FY69" s="0" t="n">
        <v>5</v>
      </c>
      <c r="FZ69" s="0" t="n">
        <v>1</v>
      </c>
      <c r="GA69" s="0" t="n">
        <v>-0.516900207039375</v>
      </c>
      <c r="GB69" s="0" t="n">
        <v>40.7</v>
      </c>
      <c r="GC69" s="0" t="n">
        <v>23</v>
      </c>
      <c r="GD69" s="0" t="n">
        <v>26.9</v>
      </c>
      <c r="GE69" s="0" t="n">
        <v>544</v>
      </c>
      <c r="GF69" s="0" t="n">
        <v>466</v>
      </c>
      <c r="GG69" s="0" t="n">
        <v>15</v>
      </c>
      <c r="GH69" s="0" t="n">
        <v>23</v>
      </c>
      <c r="GI69" s="0" t="n">
        <v>152</v>
      </c>
      <c r="GJ69" s="0" t="n">
        <v>2</v>
      </c>
      <c r="GK69" s="0" t="n">
        <v>0.028</v>
      </c>
      <c r="GL69" s="0" t="n">
        <v>0.049</v>
      </c>
      <c r="GM69" s="0" t="n">
        <v>0.013</v>
      </c>
      <c r="GN69" s="0" t="n">
        <v>17.93</v>
      </c>
      <c r="GO69" s="0" t="n">
        <v>17.93</v>
      </c>
      <c r="GP69" s="0" t="n">
        <v>17.93</v>
      </c>
      <c r="GQ69" s="0" t="n">
        <v>0</v>
      </c>
      <c r="GR69" s="0" t="n">
        <v>5.188</v>
      </c>
      <c r="GS69" s="0" t="n">
        <v>83</v>
      </c>
      <c r="GT69" s="0" t="n">
        <v>3.456</v>
      </c>
      <c r="GU69" s="0" t="n">
        <v>0.275</v>
      </c>
      <c r="GY69" s="0" t="n">
        <v>6</v>
      </c>
      <c r="HC69" s="0" t="n">
        <v>0.024</v>
      </c>
      <c r="HD69" s="0" t="n">
        <v>0.192</v>
      </c>
      <c r="HG69" s="0" t="n">
        <v>70</v>
      </c>
      <c r="HH69" s="0" t="n">
        <v>11.18</v>
      </c>
      <c r="HI69" s="0" t="n">
        <v>37</v>
      </c>
      <c r="HJ69" s="0" t="n">
        <v>101</v>
      </c>
      <c r="HK69" s="0" t="s">
        <v>909</v>
      </c>
      <c r="HL69" s="0" t="n">
        <v>0</v>
      </c>
      <c r="HM69" s="0" t="n">
        <v>10</v>
      </c>
      <c r="HN69" s="0" t="n">
        <v>8</v>
      </c>
      <c r="HO69" s="0" t="n">
        <v>-0.12</v>
      </c>
      <c r="HP69" s="0" t="n">
        <v>11</v>
      </c>
      <c r="HQ69" s="0" t="n">
        <v>-0.164</v>
      </c>
      <c r="HR69" s="0" t="s">
        <v>102</v>
      </c>
    </row>
    <row r="70" customFormat="false" ht="15" hidden="false" customHeight="false" outlineLevel="0" collapsed="false">
      <c r="A70" s="0" t="s">
        <v>896</v>
      </c>
      <c r="B70" s="0" t="s">
        <v>897</v>
      </c>
      <c r="C70" s="0" t="s">
        <v>898</v>
      </c>
      <c r="D70" s="0" t="s">
        <v>275</v>
      </c>
      <c r="E70" s="0" t="n">
        <v>27297</v>
      </c>
      <c r="F70" s="0" t="s">
        <v>104</v>
      </c>
      <c r="G70" s="0" t="n">
        <v>70.03</v>
      </c>
      <c r="H70" s="0" t="n">
        <v>10.68</v>
      </c>
      <c r="I70" s="0" t="n">
        <v>47</v>
      </c>
      <c r="J70" s="0" t="n">
        <v>99</v>
      </c>
      <c r="L70" s="0" t="s">
        <v>1301</v>
      </c>
      <c r="O70" s="0" t="n">
        <v>90.1</v>
      </c>
      <c r="U70" s="0" t="n">
        <v>7</v>
      </c>
      <c r="V70" s="0" t="s">
        <v>275</v>
      </c>
      <c r="W70" s="0" t="s">
        <v>901</v>
      </c>
      <c r="X70" s="0" t="s">
        <v>1284</v>
      </c>
      <c r="Y70" s="0" t="s">
        <v>1302</v>
      </c>
      <c r="Z70" s="0" t="n">
        <v>27297</v>
      </c>
      <c r="AA70" s="0" t="s">
        <v>1303</v>
      </c>
      <c r="AB70" s="0" t="s">
        <v>904</v>
      </c>
      <c r="AC70" s="0" t="s">
        <v>235</v>
      </c>
      <c r="AD70" s="0" t="s">
        <v>235</v>
      </c>
      <c r="AE70" s="0" t="s">
        <v>235</v>
      </c>
      <c r="AF70" s="0" t="s">
        <v>235</v>
      </c>
      <c r="AG70" s="0" t="s">
        <v>235</v>
      </c>
      <c r="AH70" s="0" t="s">
        <v>905</v>
      </c>
      <c r="AI70" s="0" t="n">
        <v>1</v>
      </c>
      <c r="AJ70" s="0" t="s">
        <v>104</v>
      </c>
      <c r="AK70" s="0" t="n">
        <v>69</v>
      </c>
      <c r="AL70" s="0" t="n">
        <v>25</v>
      </c>
      <c r="AM70" s="0" t="s">
        <v>276</v>
      </c>
      <c r="AN70" s="0" t="n">
        <v>0</v>
      </c>
      <c r="AO70" s="0" t="n">
        <v>0</v>
      </c>
      <c r="AP70" s="0" t="n">
        <v>0</v>
      </c>
      <c r="AQ70" s="0" t="n">
        <v>0</v>
      </c>
      <c r="AR70" s="0" t="n">
        <v>0</v>
      </c>
      <c r="AS70" s="0" t="n">
        <v>0</v>
      </c>
      <c r="AT70" s="0" t="n">
        <v>0</v>
      </c>
      <c r="AU70" s="0" t="n">
        <v>0</v>
      </c>
      <c r="AV70" s="0" t="n">
        <v>0</v>
      </c>
      <c r="AW70" s="0" t="n">
        <v>83</v>
      </c>
      <c r="AX70" s="0" t="n">
        <v>307</v>
      </c>
      <c r="AY70" s="0" t="n">
        <v>5</v>
      </c>
      <c r="AZ70" s="0" t="n">
        <v>23</v>
      </c>
      <c r="BA70" s="0" t="n">
        <v>-10.1883283992512</v>
      </c>
      <c r="BB70" s="0" t="n">
        <v>1</v>
      </c>
      <c r="BC70" s="0" t="n">
        <v>10</v>
      </c>
      <c r="BD70" s="0" t="n">
        <v>14</v>
      </c>
      <c r="BE70" s="0" t="n">
        <v>79</v>
      </c>
      <c r="BF70" s="0" t="n">
        <v>2</v>
      </c>
      <c r="BG70" s="0" t="n">
        <v>8</v>
      </c>
      <c r="BH70" s="0" t="n">
        <v>80</v>
      </c>
      <c r="BI70" s="0" t="n">
        <v>3</v>
      </c>
      <c r="BJ70" s="0" t="n">
        <v>5.49541598546784</v>
      </c>
      <c r="BK70" s="0" t="n">
        <v>0</v>
      </c>
      <c r="BL70" s="0" t="n">
        <v>0</v>
      </c>
      <c r="BM70" s="0" t="n">
        <v>78.6</v>
      </c>
      <c r="BN70" s="0" t="n">
        <v>88.6</v>
      </c>
      <c r="BO70" s="0" t="n">
        <v>15</v>
      </c>
      <c r="BP70" s="0" t="s">
        <v>235</v>
      </c>
      <c r="BQ70" s="0" t="n">
        <v>1</v>
      </c>
      <c r="BR70" s="0" t="n">
        <v>83.6</v>
      </c>
      <c r="BS70" s="0" t="n">
        <v>0.0256</v>
      </c>
      <c r="BT70" s="0" t="n">
        <v>0.1697</v>
      </c>
      <c r="BU70" s="0" t="n">
        <v>0.0016</v>
      </c>
      <c r="BV70" s="0" t="n">
        <v>0.0295</v>
      </c>
      <c r="BW70" s="0" t="n">
        <v>0.1917</v>
      </c>
      <c r="BX70" s="0" t="n">
        <v>0.0019</v>
      </c>
      <c r="BY70" s="0" t="n">
        <v>0.0456</v>
      </c>
      <c r="BZ70" s="0" t="n">
        <v>15</v>
      </c>
      <c r="CA70" s="0" t="n">
        <v>2.05</v>
      </c>
      <c r="CB70" s="0" t="n">
        <v>9.57</v>
      </c>
      <c r="CC70" s="0" t="n">
        <v>4.8</v>
      </c>
      <c r="CD70" s="0" t="n">
        <v>4.92</v>
      </c>
      <c r="CE70" s="0" t="n">
        <v>0</v>
      </c>
      <c r="CF70" s="0" t="n">
        <v>5</v>
      </c>
      <c r="CG70" s="0" t="n">
        <v>15</v>
      </c>
      <c r="CH70" s="0" t="n">
        <v>0</v>
      </c>
      <c r="CI70" s="0" t="n">
        <v>0.333</v>
      </c>
      <c r="CJ70" s="0" t="n">
        <v>1.025</v>
      </c>
      <c r="CK70" s="0" t="n">
        <v>2</v>
      </c>
      <c r="CL70" s="0" t="n">
        <v>1</v>
      </c>
      <c r="CM70" s="0" t="n">
        <v>0</v>
      </c>
      <c r="CN70" s="0" t="n">
        <v>2</v>
      </c>
      <c r="CO70" s="0" t="n">
        <v>0.550009126210485</v>
      </c>
      <c r="CP70" s="0" t="n">
        <v>25</v>
      </c>
      <c r="CQ70" s="0" t="n">
        <v>8</v>
      </c>
      <c r="CR70" s="0" t="n">
        <v>7</v>
      </c>
      <c r="CS70" s="0" t="n">
        <v>5</v>
      </c>
      <c r="CT70" s="0" t="n">
        <v>4.20564905810068</v>
      </c>
      <c r="CU70" s="0" t="n">
        <v>27</v>
      </c>
      <c r="CV70" s="0" t="n">
        <v>9</v>
      </c>
      <c r="CW70" s="0" t="n">
        <v>7</v>
      </c>
      <c r="CX70" s="0" t="n">
        <v>7</v>
      </c>
      <c r="CY70" s="0" t="n">
        <v>4.76</v>
      </c>
      <c r="CZ70" s="0" t="n">
        <v>2.24</v>
      </c>
      <c r="DM70" s="0" t="s">
        <v>1304</v>
      </c>
      <c r="DN70" s="0" t="n">
        <v>83</v>
      </c>
      <c r="DO70" s="0" t="n">
        <v>5</v>
      </c>
      <c r="DP70" s="0" t="n">
        <v>1.651</v>
      </c>
      <c r="DQ70" s="0" t="n">
        <v>2.048</v>
      </c>
      <c r="DR70" s="0" t="n">
        <v>16.6</v>
      </c>
      <c r="DS70" s="0" t="n">
        <v>14</v>
      </c>
      <c r="DT70" s="0" t="n">
        <v>1</v>
      </c>
      <c r="DU70" s="0" t="n">
        <v>0</v>
      </c>
      <c r="DV70" s="0" t="n">
        <v>-0.1</v>
      </c>
      <c r="DW70" s="0" t="n">
        <v>8</v>
      </c>
      <c r="DX70" s="0" t="n">
        <v>0.6</v>
      </c>
      <c r="DY70" s="0" t="n">
        <v>0</v>
      </c>
      <c r="DZ70" s="0" t="n">
        <v>215</v>
      </c>
      <c r="EA70" s="0" t="n">
        <v>0.211</v>
      </c>
      <c r="EB70" s="0" t="n">
        <v>15</v>
      </c>
      <c r="EC70" s="0" t="s">
        <v>932</v>
      </c>
      <c r="ED70" s="0" t="n">
        <v>2025</v>
      </c>
      <c r="EE70" s="0" t="n">
        <v>4</v>
      </c>
      <c r="EF70" s="0" t="n">
        <v>104</v>
      </c>
      <c r="EG70" s="0" t="n">
        <v>2025</v>
      </c>
      <c r="EH70" s="0" t="n">
        <v>2026</v>
      </c>
      <c r="EI70" s="0" t="n">
        <v>2</v>
      </c>
      <c r="EJ70" s="0" t="n">
        <v>69</v>
      </c>
      <c r="EK70" s="0" t="n">
        <v>209</v>
      </c>
      <c r="EL70" s="0" t="s">
        <v>1305</v>
      </c>
      <c r="EM70" s="0" t="n">
        <v>24.5</v>
      </c>
      <c r="EN70" s="15" t="b">
        <f aca="false">FALSE()</f>
        <v>0</v>
      </c>
      <c r="EO70" s="0" t="n">
        <v>373</v>
      </c>
      <c r="EP70" s="0" t="n">
        <v>2.85254691689008</v>
      </c>
      <c r="EQ70" s="0" t="n">
        <v>0.184986595174263</v>
      </c>
      <c r="ER70" s="0" t="n">
        <v>1.10991957104558</v>
      </c>
      <c r="ES70" s="0" t="n">
        <v>0.683646112600536</v>
      </c>
      <c r="ET70" s="0" t="n">
        <v>30</v>
      </c>
      <c r="EU70" s="0" t="n">
        <v>15</v>
      </c>
      <c r="EV70" s="0" t="n">
        <v>4.1313672922252</v>
      </c>
      <c r="EW70" s="0" t="n">
        <v>0.5</v>
      </c>
      <c r="EX70" s="0" t="n">
        <v>2.91568836248392</v>
      </c>
      <c r="EY70" s="0" t="n">
        <v>2.885</v>
      </c>
      <c r="EZ70" s="0" t="n">
        <v>0.1784</v>
      </c>
      <c r="FA70" s="0" t="n">
        <v>2.219</v>
      </c>
      <c r="FB70" s="0" t="n">
        <v>1.781</v>
      </c>
      <c r="FC70" s="0" t="n">
        <v>22</v>
      </c>
      <c r="FD70" s="0" t="n">
        <v>644</v>
      </c>
      <c r="FE70" s="0" t="n">
        <v>0.0636645962732919</v>
      </c>
      <c r="FF70" s="0" t="n">
        <v>0.0647</v>
      </c>
      <c r="FG70" s="0" t="n">
        <v>0.2504</v>
      </c>
      <c r="FH70" s="0" t="n">
        <v>2.395</v>
      </c>
      <c r="FI70" s="0" t="n">
        <v>1074</v>
      </c>
      <c r="FJ70" s="0" t="n">
        <v>0.56145251396648</v>
      </c>
      <c r="FK70" s="0" t="n">
        <v>17</v>
      </c>
      <c r="FL70" s="0" t="n">
        <v>63.18</v>
      </c>
      <c r="FM70" s="0" t="n">
        <v>0.5756</v>
      </c>
      <c r="FN70" s="0" t="n">
        <v>0.4244</v>
      </c>
      <c r="FO70" s="0" t="n">
        <v>0.0164</v>
      </c>
      <c r="FP70" s="0" t="n">
        <v>-0.0041</v>
      </c>
      <c r="FQ70" s="0" t="n">
        <v>0.0592</v>
      </c>
      <c r="FR70" s="0" t="n">
        <v>40</v>
      </c>
      <c r="FS70" s="0" t="n">
        <v>72</v>
      </c>
      <c r="FT70" s="0" t="n">
        <v>4.24</v>
      </c>
      <c r="FU70" s="0" t="n">
        <v>27.9</v>
      </c>
      <c r="FV70" s="0" t="n">
        <v>5856</v>
      </c>
      <c r="FW70" s="0" t="n">
        <v>5856</v>
      </c>
      <c r="FX70" s="0" t="n">
        <v>1</v>
      </c>
      <c r="FY70" s="0" t="n">
        <v>5</v>
      </c>
      <c r="FZ70" s="0" t="n">
        <v>5</v>
      </c>
      <c r="GA70" s="0" t="n">
        <v>-0.543031520615496</v>
      </c>
      <c r="GB70" s="0" t="n">
        <v>40.2</v>
      </c>
      <c r="GC70" s="0" t="n">
        <v>50.8</v>
      </c>
      <c r="GD70" s="0" t="n">
        <v>44.3</v>
      </c>
      <c r="GE70" s="0" t="n">
        <v>547</v>
      </c>
      <c r="GF70" s="0" t="n">
        <v>489</v>
      </c>
      <c r="GG70" s="0" t="n">
        <v>132</v>
      </c>
      <c r="GH70" s="0" t="n">
        <v>271</v>
      </c>
      <c r="GI70" s="0" t="n">
        <v>198</v>
      </c>
      <c r="GJ70" s="0" t="n">
        <v>85</v>
      </c>
      <c r="GK70" s="0" t="n">
        <v>0.241</v>
      </c>
      <c r="GL70" s="0" t="n">
        <v>0.554</v>
      </c>
      <c r="GM70" s="0" t="n">
        <v>0.429</v>
      </c>
      <c r="GN70" s="0" t="n">
        <v>5.907</v>
      </c>
      <c r="GO70" s="0" t="n">
        <v>5.573</v>
      </c>
      <c r="GP70" s="0" t="n">
        <v>5.24</v>
      </c>
      <c r="GQ70" s="0" t="n">
        <v>0.933</v>
      </c>
      <c r="GR70" s="0" t="n">
        <v>5.533</v>
      </c>
      <c r="GS70" s="0" t="n">
        <v>97</v>
      </c>
      <c r="GT70" s="0" t="n">
        <v>0.913</v>
      </c>
      <c r="GU70" s="0" t="n">
        <v>0.412</v>
      </c>
      <c r="GV70" s="0" t="n">
        <v>5.643</v>
      </c>
      <c r="GW70" s="0" t="n">
        <v>7.9</v>
      </c>
      <c r="GX70" s="0" t="n">
        <v>0.714</v>
      </c>
      <c r="GY70" s="0" t="n">
        <v>3.699</v>
      </c>
      <c r="GZ70" s="0" t="n">
        <v>0.571</v>
      </c>
      <c r="HA70" s="0" t="n">
        <v>8</v>
      </c>
      <c r="HB70" s="0" t="n">
        <v>9.875</v>
      </c>
      <c r="HC70" s="0" t="n">
        <v>0.072</v>
      </c>
      <c r="HD70" s="0" t="n">
        <v>-0.123</v>
      </c>
      <c r="HE70" s="0" t="n">
        <v>0.393</v>
      </c>
      <c r="HG70" s="0" t="n">
        <v>70.03</v>
      </c>
      <c r="HH70" s="0" t="n">
        <v>10.68</v>
      </c>
      <c r="HI70" s="0" t="n">
        <v>47</v>
      </c>
      <c r="HJ70" s="0" t="n">
        <v>99</v>
      </c>
      <c r="HK70" s="0" t="s">
        <v>909</v>
      </c>
      <c r="HL70" s="0" t="n">
        <v>0</v>
      </c>
      <c r="HM70" s="0" t="n">
        <v>49</v>
      </c>
      <c r="HN70" s="0" t="n">
        <v>25</v>
      </c>
      <c r="HO70" s="0" t="n">
        <v>-1.227</v>
      </c>
      <c r="HP70" s="0" t="n">
        <v>50</v>
      </c>
      <c r="HQ70" s="0" t="n">
        <v>-1.271</v>
      </c>
      <c r="HR70" s="0" t="s">
        <v>165</v>
      </c>
    </row>
    <row r="71" customFormat="false" ht="15" hidden="false" customHeight="false" outlineLevel="0" collapsed="false">
      <c r="A71" s="0" t="s">
        <v>896</v>
      </c>
      <c r="B71" s="0" t="s">
        <v>897</v>
      </c>
      <c r="C71" s="0" t="s">
        <v>898</v>
      </c>
      <c r="D71" s="0" t="s">
        <v>277</v>
      </c>
      <c r="E71" s="0" t="n">
        <v>25298</v>
      </c>
      <c r="F71" s="0" t="s">
        <v>149</v>
      </c>
      <c r="G71" s="0" t="n">
        <v>72.87</v>
      </c>
      <c r="H71" s="0" t="n">
        <v>12.62</v>
      </c>
      <c r="I71" s="0" t="n">
        <v>32</v>
      </c>
      <c r="J71" s="0" t="n">
        <v>111</v>
      </c>
      <c r="L71" s="0" t="s">
        <v>1306</v>
      </c>
      <c r="O71" s="0" t="n">
        <v>92.5</v>
      </c>
      <c r="U71" s="0" t="n">
        <v>11</v>
      </c>
      <c r="V71" s="0" t="s">
        <v>277</v>
      </c>
      <c r="W71" s="0" t="s">
        <v>901</v>
      </c>
      <c r="X71" s="0" t="s">
        <v>1153</v>
      </c>
      <c r="Y71" s="0" t="s">
        <v>1307</v>
      </c>
      <c r="Z71" s="0" t="n">
        <v>25298</v>
      </c>
      <c r="AA71" s="0" t="s">
        <v>1308</v>
      </c>
      <c r="AB71" s="0" t="s">
        <v>904</v>
      </c>
      <c r="AC71" s="0" t="s">
        <v>218</v>
      </c>
      <c r="AD71" s="0" t="s">
        <v>218</v>
      </c>
      <c r="AE71" s="0" t="s">
        <v>218</v>
      </c>
      <c r="AF71" s="0" t="s">
        <v>218</v>
      </c>
      <c r="AG71" s="0" t="s">
        <v>218</v>
      </c>
      <c r="AH71" s="0" t="s">
        <v>905</v>
      </c>
      <c r="AI71" s="0" t="n">
        <v>1</v>
      </c>
      <c r="AJ71" s="0" t="s">
        <v>149</v>
      </c>
      <c r="AK71" s="0" t="n">
        <v>70</v>
      </c>
      <c r="AL71" s="0" t="n">
        <v>5</v>
      </c>
      <c r="AM71" s="0" t="s">
        <v>278</v>
      </c>
      <c r="AN71" s="0" t="n">
        <v>0</v>
      </c>
      <c r="AO71" s="0" t="n">
        <v>0</v>
      </c>
      <c r="AP71" s="0" t="n">
        <v>0</v>
      </c>
      <c r="AQ71" s="0" t="n">
        <v>0</v>
      </c>
      <c r="AR71" s="0" t="n">
        <v>0</v>
      </c>
      <c r="AS71" s="0" t="n">
        <v>0</v>
      </c>
      <c r="AT71" s="0" t="n">
        <v>0</v>
      </c>
      <c r="AU71" s="0" t="n">
        <v>0</v>
      </c>
      <c r="AV71" s="0" t="n">
        <v>0</v>
      </c>
      <c r="AW71" s="0" t="n">
        <v>1</v>
      </c>
      <c r="AX71" s="0" t="n">
        <v>3</v>
      </c>
      <c r="AY71" s="0" t="n">
        <v>0</v>
      </c>
      <c r="AZ71" s="0" t="n">
        <v>0</v>
      </c>
      <c r="BA71" s="0" t="n">
        <v>-0.6811154326424</v>
      </c>
      <c r="BB71" s="0" t="n">
        <v>0</v>
      </c>
      <c r="BC71" s="0" t="n">
        <v>32</v>
      </c>
      <c r="BD71" s="0" t="n">
        <v>44</v>
      </c>
      <c r="BE71" s="0" t="n">
        <v>489</v>
      </c>
      <c r="BF71" s="0" t="n">
        <v>6</v>
      </c>
      <c r="BG71" s="0" t="n">
        <v>201</v>
      </c>
      <c r="BH71" s="0" t="n">
        <v>344</v>
      </c>
      <c r="BI71" s="0" t="n">
        <v>22</v>
      </c>
      <c r="BJ71" s="0" t="n">
        <v>39.1238768305339</v>
      </c>
      <c r="BK71" s="0" t="n">
        <v>0</v>
      </c>
      <c r="BL71" s="0" t="n">
        <v>0</v>
      </c>
      <c r="BM71" s="0" t="n">
        <v>85.2</v>
      </c>
      <c r="BN71" s="0" t="n">
        <v>117.2</v>
      </c>
      <c r="BO71" s="0" t="n">
        <v>8</v>
      </c>
      <c r="BP71" s="0" t="s">
        <v>218</v>
      </c>
      <c r="BQ71" s="0" t="n">
        <v>1</v>
      </c>
      <c r="BR71" s="0" t="n">
        <v>101.2</v>
      </c>
      <c r="BS71" s="0" t="n">
        <v>0.0957</v>
      </c>
      <c r="BT71" s="0" t="n">
        <v>0.002</v>
      </c>
      <c r="BU71" s="0" t="n">
        <v>0.0492</v>
      </c>
      <c r="BV71" s="0" t="n">
        <v>0.188</v>
      </c>
      <c r="BW71" s="0" t="n">
        <v>0.0044</v>
      </c>
      <c r="BX71" s="0" t="n">
        <v>0.1089</v>
      </c>
      <c r="BY71" s="0" t="n">
        <v>0.3582</v>
      </c>
      <c r="BZ71" s="0" t="n">
        <v>8</v>
      </c>
      <c r="CA71" s="0" t="n">
        <v>8.9</v>
      </c>
      <c r="CB71" s="0" t="n">
        <v>24.02</v>
      </c>
      <c r="CC71" s="0" t="n">
        <v>11.45</v>
      </c>
      <c r="CD71" s="0" t="n">
        <v>9.87</v>
      </c>
      <c r="CE71" s="0" t="n">
        <v>2</v>
      </c>
      <c r="CF71" s="0" t="n">
        <v>0</v>
      </c>
      <c r="CG71" s="0" t="n">
        <v>8</v>
      </c>
      <c r="CH71" s="0" t="n">
        <v>0.25</v>
      </c>
      <c r="CI71" s="0" t="n">
        <v>0</v>
      </c>
      <c r="CJ71" s="0" t="n">
        <v>0.862</v>
      </c>
      <c r="CK71" s="0" t="n">
        <v>12</v>
      </c>
      <c r="CL71" s="0" t="n">
        <v>3</v>
      </c>
      <c r="CM71" s="0" t="n">
        <v>0</v>
      </c>
      <c r="CN71" s="0" t="n">
        <v>6</v>
      </c>
      <c r="CO71" s="0" t="n">
        <v>2.85432152062769</v>
      </c>
      <c r="CP71" s="0" t="n">
        <v>0</v>
      </c>
      <c r="CQ71" s="0" t="n">
        <v>0</v>
      </c>
      <c r="CR71" s="0" t="n">
        <v>0</v>
      </c>
      <c r="CS71" s="0" t="n">
        <v>0</v>
      </c>
      <c r="CT71" s="0" t="n">
        <v>0.00357091844022283</v>
      </c>
      <c r="CU71" s="0" t="n">
        <v>12</v>
      </c>
      <c r="CV71" s="0" t="n">
        <v>3</v>
      </c>
      <c r="CW71" s="0" t="n">
        <v>0</v>
      </c>
      <c r="CX71" s="0" t="n">
        <v>6</v>
      </c>
      <c r="CY71" s="0" t="n">
        <v>2.86</v>
      </c>
      <c r="CZ71" s="0" t="n">
        <v>3.14</v>
      </c>
      <c r="DM71" s="0" t="s">
        <v>1309</v>
      </c>
      <c r="DN71" s="0" t="n">
        <v>1</v>
      </c>
      <c r="DO71" s="0" t="n">
        <v>0</v>
      </c>
      <c r="DS71" s="0" t="n">
        <v>44</v>
      </c>
      <c r="DT71" s="0" t="n">
        <v>6</v>
      </c>
      <c r="DU71" s="0" t="n">
        <v>3</v>
      </c>
      <c r="DV71" s="0" t="n">
        <v>4.531</v>
      </c>
      <c r="DW71" s="0" t="n">
        <v>10.75</v>
      </c>
      <c r="DX71" s="0" t="n">
        <v>4.7</v>
      </c>
      <c r="DY71" s="0" t="n">
        <v>0.0682</v>
      </c>
      <c r="DZ71" s="0" t="n">
        <v>439</v>
      </c>
      <c r="EA71" s="0" t="n">
        <v>0.86</v>
      </c>
      <c r="EB71" s="0" t="n">
        <v>8</v>
      </c>
      <c r="EC71" s="0" t="s">
        <v>1310</v>
      </c>
      <c r="ED71" s="0" t="n">
        <v>2023</v>
      </c>
      <c r="EE71" s="0" t="n">
        <v>3</v>
      </c>
      <c r="EF71" s="0" t="n">
        <v>78</v>
      </c>
      <c r="EG71" s="0" t="n">
        <v>2023</v>
      </c>
      <c r="EH71" s="0" t="n">
        <v>2026</v>
      </c>
      <c r="EI71" s="0" t="n">
        <v>4</v>
      </c>
      <c r="EJ71" s="0" t="n">
        <v>77</v>
      </c>
      <c r="EK71" s="0" t="n">
        <v>259</v>
      </c>
      <c r="EL71" s="0" t="s">
        <v>1311</v>
      </c>
      <c r="EM71" s="0" t="n">
        <v>25.8</v>
      </c>
      <c r="EN71" s="15" t="b">
        <f aca="false">FALSE()</f>
        <v>0</v>
      </c>
      <c r="EO71" s="0" t="n">
        <v>386</v>
      </c>
      <c r="EP71" s="0" t="n">
        <v>2.97227979274611</v>
      </c>
      <c r="EQ71" s="0" t="n">
        <v>0.155440414507772</v>
      </c>
      <c r="ER71" s="0" t="n">
        <v>1.12694300518135</v>
      </c>
      <c r="ES71" s="0" t="n">
        <v>0.39119170984456</v>
      </c>
      <c r="ET71" s="0" t="n">
        <v>43</v>
      </c>
      <c r="EU71" s="0" t="n">
        <v>26</v>
      </c>
      <c r="EV71" s="0" t="n">
        <v>3.96632124352332</v>
      </c>
      <c r="EW71" s="0" t="n">
        <v>0.604651162790698</v>
      </c>
      <c r="EX71" s="0" t="n">
        <v>3.01595136627878</v>
      </c>
      <c r="EY71" s="0" t="n">
        <v>2.905</v>
      </c>
      <c r="EZ71" s="0" t="n">
        <v>0.1629</v>
      </c>
      <c r="FA71" s="0" t="n">
        <v>2.199</v>
      </c>
      <c r="FB71" s="0" t="n">
        <v>1.941</v>
      </c>
      <c r="FC71" s="0" t="n">
        <v>30</v>
      </c>
      <c r="FD71" s="0" t="n">
        <v>552</v>
      </c>
      <c r="FE71" s="0" t="n">
        <v>0.052536231884058</v>
      </c>
      <c r="FF71" s="0" t="n">
        <v>0.0493</v>
      </c>
      <c r="FG71" s="0" t="n">
        <v>0.2454</v>
      </c>
      <c r="FH71" s="0" t="n">
        <v>2.41</v>
      </c>
      <c r="FI71" s="0" t="n">
        <v>993</v>
      </c>
      <c r="FJ71" s="0" t="n">
        <v>0.522658610271903</v>
      </c>
      <c r="FK71" s="0" t="n">
        <v>17</v>
      </c>
      <c r="FL71" s="0" t="n">
        <v>58.41</v>
      </c>
      <c r="FM71" s="0" t="n">
        <v>0.5063</v>
      </c>
      <c r="FN71" s="0" t="n">
        <v>0.4937</v>
      </c>
      <c r="FO71" s="0" t="n">
        <v>-0.0441</v>
      </c>
      <c r="FP71" s="0" t="n">
        <v>-0.0102</v>
      </c>
      <c r="FQ71" s="0" t="n">
        <v>0.229</v>
      </c>
      <c r="FR71" s="0" t="n">
        <v>39</v>
      </c>
      <c r="FS71" s="0" t="n">
        <v>59</v>
      </c>
      <c r="FT71" s="0" t="n">
        <v>3.47</v>
      </c>
      <c r="FU71" s="0" t="n">
        <v>23</v>
      </c>
      <c r="FV71" s="0" t="n">
        <v>5321</v>
      </c>
      <c r="FW71" s="0" t="n">
        <v>3745</v>
      </c>
      <c r="FX71" s="0" t="n">
        <v>0.704</v>
      </c>
      <c r="FY71" s="0" t="n">
        <v>5</v>
      </c>
      <c r="FZ71" s="0" t="n">
        <v>4</v>
      </c>
      <c r="GA71" s="0" t="n">
        <v>-0.261697082182323</v>
      </c>
      <c r="GB71" s="0" t="n">
        <v>45.3</v>
      </c>
      <c r="GC71" s="0" t="n">
        <v>58.7</v>
      </c>
      <c r="GD71" s="0" t="n">
        <v>52.5</v>
      </c>
      <c r="GE71" s="0" t="n">
        <v>460</v>
      </c>
      <c r="GF71" s="0" t="n">
        <v>492</v>
      </c>
      <c r="GG71" s="0" t="n">
        <v>155</v>
      </c>
      <c r="GH71" s="0" t="n">
        <v>148</v>
      </c>
      <c r="GI71" s="0" t="n">
        <v>161</v>
      </c>
      <c r="GJ71" s="0" t="n">
        <v>52</v>
      </c>
      <c r="GK71" s="0" t="n">
        <v>0.337</v>
      </c>
      <c r="GL71" s="0" t="n">
        <v>0.301</v>
      </c>
      <c r="GM71" s="0" t="n">
        <v>0.323</v>
      </c>
      <c r="GN71" s="0" t="n">
        <v>14.65</v>
      </c>
      <c r="GO71" s="0" t="n">
        <v>12.65</v>
      </c>
      <c r="GP71" s="0" t="n">
        <v>10.65</v>
      </c>
      <c r="GQ71" s="0" t="n">
        <v>5.5</v>
      </c>
      <c r="GR71" s="0" t="n">
        <v>0.125</v>
      </c>
      <c r="GS71" s="0" t="n">
        <v>45</v>
      </c>
      <c r="GT71" s="0" t="n">
        <v>2.604</v>
      </c>
      <c r="GU71" s="0" t="n">
        <v>0.267</v>
      </c>
      <c r="GV71" s="0" t="n">
        <v>11.114</v>
      </c>
      <c r="GW71" s="0" t="n">
        <v>15.281</v>
      </c>
      <c r="GX71" s="0" t="n">
        <v>0.727</v>
      </c>
      <c r="GZ71" s="0" t="n">
        <v>4.568</v>
      </c>
      <c r="HA71" s="0" t="n">
        <v>10.75</v>
      </c>
      <c r="HB71" s="0" t="n">
        <v>2.433</v>
      </c>
      <c r="HC71" s="0" t="n">
        <v>0.133</v>
      </c>
      <c r="HE71" s="0" t="n">
        <v>0.889</v>
      </c>
      <c r="HG71" s="0" t="n">
        <v>72.87</v>
      </c>
      <c r="HH71" s="0" t="n">
        <v>12.62</v>
      </c>
      <c r="HI71" s="0" t="n">
        <v>32</v>
      </c>
      <c r="HJ71" s="0" t="n">
        <v>111</v>
      </c>
      <c r="HK71" s="0" t="s">
        <v>909</v>
      </c>
      <c r="HL71" s="0" t="n">
        <v>0</v>
      </c>
      <c r="HM71" s="0" t="n">
        <v>22</v>
      </c>
      <c r="HN71" s="0" t="n">
        <v>5</v>
      </c>
      <c r="HO71" s="0" t="n">
        <v>-0.752</v>
      </c>
      <c r="HP71" s="0" t="n">
        <v>4</v>
      </c>
      <c r="HQ71" s="0" t="n">
        <v>0.037</v>
      </c>
      <c r="HR71" s="0" t="s">
        <v>121</v>
      </c>
    </row>
    <row r="72" customFormat="false" ht="15" hidden="false" customHeight="false" outlineLevel="0" collapsed="false">
      <c r="A72" s="0" t="s">
        <v>896</v>
      </c>
      <c r="B72" s="0" t="s">
        <v>897</v>
      </c>
      <c r="C72" s="0" t="s">
        <v>898</v>
      </c>
      <c r="D72" s="0" t="s">
        <v>279</v>
      </c>
      <c r="E72" s="0" t="n">
        <v>27329</v>
      </c>
      <c r="F72" s="0" t="s">
        <v>104</v>
      </c>
      <c r="G72" s="0" t="n">
        <v>75.71</v>
      </c>
      <c r="H72" s="0" t="n">
        <v>8.56</v>
      </c>
      <c r="I72" s="0" t="n">
        <v>43</v>
      </c>
      <c r="J72" s="0" t="n">
        <v>89</v>
      </c>
      <c r="L72" s="0" t="s">
        <v>1312</v>
      </c>
      <c r="O72" s="0" t="n">
        <v>89.2</v>
      </c>
      <c r="U72" s="0" t="n">
        <v>11</v>
      </c>
      <c r="V72" s="0" t="s">
        <v>279</v>
      </c>
      <c r="W72" s="0" t="s">
        <v>901</v>
      </c>
      <c r="X72" s="0" t="s">
        <v>115</v>
      </c>
      <c r="Y72" s="0" t="s">
        <v>1313</v>
      </c>
      <c r="Z72" s="0" t="n">
        <v>27329</v>
      </c>
      <c r="AA72" s="0" t="s">
        <v>1314</v>
      </c>
      <c r="AB72" s="0" t="s">
        <v>904</v>
      </c>
      <c r="AC72" s="0" t="s">
        <v>115</v>
      </c>
      <c r="AD72" s="0" t="s">
        <v>115</v>
      </c>
      <c r="AE72" s="0" t="s">
        <v>115</v>
      </c>
      <c r="AF72" s="0" t="s">
        <v>115</v>
      </c>
      <c r="AG72" s="0" t="s">
        <v>115</v>
      </c>
      <c r="AH72" s="0" t="s">
        <v>905</v>
      </c>
      <c r="AI72" s="0" t="n">
        <v>2</v>
      </c>
      <c r="AJ72" s="0" t="s">
        <v>281</v>
      </c>
      <c r="AK72" s="0" t="n">
        <v>71</v>
      </c>
      <c r="AL72" s="0" t="n">
        <v>26</v>
      </c>
      <c r="AM72" s="0" t="s">
        <v>280</v>
      </c>
      <c r="EC72" s="0" t="s">
        <v>1315</v>
      </c>
      <c r="EG72" s="0" t="n">
        <v>2026</v>
      </c>
      <c r="EH72" s="0" t="n">
        <v>2026</v>
      </c>
      <c r="EI72" s="0" t="n">
        <v>0</v>
      </c>
      <c r="EJ72" s="0" t="n">
        <v>71</v>
      </c>
      <c r="EK72" s="0" t="n">
        <v>203</v>
      </c>
      <c r="EL72" s="0" t="s">
        <v>1130</v>
      </c>
      <c r="EM72" s="0" t="n">
        <v>22.9</v>
      </c>
      <c r="EN72" s="15" t="b">
        <f aca="false">TRUE()</f>
        <v>1</v>
      </c>
      <c r="EO72" s="0" t="n">
        <v>435</v>
      </c>
      <c r="EP72" s="0" t="n">
        <v>2.8048275862069</v>
      </c>
      <c r="EQ72" s="0" t="n">
        <v>0.204597701149425</v>
      </c>
      <c r="ER72" s="0" t="n">
        <v>1.20689655172414</v>
      </c>
      <c r="ES72" s="0" t="n">
        <v>0.809195402298851</v>
      </c>
      <c r="ET72" s="0" t="n">
        <v>31</v>
      </c>
      <c r="EU72" s="0" t="n">
        <v>19</v>
      </c>
      <c r="EV72" s="0" t="n">
        <v>4.26666666666667</v>
      </c>
      <c r="EW72" s="0" t="n">
        <v>0.612903225806452</v>
      </c>
      <c r="EX72" s="0" t="n">
        <v>2.99550865366612</v>
      </c>
      <c r="EY72" s="0" t="n">
        <v>2.758</v>
      </c>
      <c r="EZ72" s="0" t="n">
        <v>0.2121</v>
      </c>
      <c r="FA72" s="0" t="n">
        <v>2.477</v>
      </c>
      <c r="FB72" s="0" t="n">
        <v>1.657</v>
      </c>
      <c r="FC72" s="0" t="n">
        <v>42</v>
      </c>
      <c r="FD72" s="0" t="n">
        <v>518</v>
      </c>
      <c r="FE72" s="0" t="n">
        <v>0.0521235521235521</v>
      </c>
      <c r="FF72" s="0" t="n">
        <v>0.0535</v>
      </c>
      <c r="FG72" s="0" t="n">
        <v>0.2266</v>
      </c>
      <c r="FH72" s="0" t="n">
        <v>2.4</v>
      </c>
      <c r="FI72" s="0" t="n">
        <v>997</v>
      </c>
      <c r="FJ72" s="0" t="n">
        <v>0.507522567703109</v>
      </c>
      <c r="FK72" s="0" t="n">
        <v>17</v>
      </c>
      <c r="FL72" s="0" t="n">
        <v>58.65</v>
      </c>
      <c r="FM72" s="0" t="n">
        <v>0.5204</v>
      </c>
      <c r="FN72" s="0" t="n">
        <v>0.4796</v>
      </c>
      <c r="FO72" s="0" t="n">
        <v>-0.0677</v>
      </c>
      <c r="FP72" s="0" t="n">
        <v>-0.0491</v>
      </c>
      <c r="FQ72" s="0" t="n">
        <v>0.1122</v>
      </c>
      <c r="FR72" s="0" t="n">
        <v>39</v>
      </c>
      <c r="FS72" s="0" t="n">
        <v>60</v>
      </c>
      <c r="FT72" s="0" t="n">
        <v>3.53</v>
      </c>
      <c r="FU72" s="0" t="n">
        <v>28.4</v>
      </c>
      <c r="FV72" s="0" t="n">
        <v>5338</v>
      </c>
      <c r="FW72" s="0" t="n">
        <v>5026</v>
      </c>
      <c r="FX72" s="0" t="n">
        <v>0.942</v>
      </c>
      <c r="FY72" s="0" t="n">
        <v>5</v>
      </c>
      <c r="FZ72" s="0" t="n">
        <v>5</v>
      </c>
      <c r="GA72" s="0" t="n">
        <v>-0.594571744764181</v>
      </c>
      <c r="GB72" s="0" t="n">
        <v>39.3</v>
      </c>
      <c r="GC72" s="0" t="n">
        <v>60.5</v>
      </c>
      <c r="GD72" s="0" t="n">
        <v>49.9</v>
      </c>
      <c r="GE72" s="0" t="n">
        <v>455</v>
      </c>
      <c r="GF72" s="0" t="n">
        <v>507</v>
      </c>
      <c r="GG72" s="0" t="n">
        <v>39</v>
      </c>
      <c r="GH72" s="0" t="n">
        <v>221</v>
      </c>
      <c r="GI72" s="0" t="n">
        <v>158</v>
      </c>
      <c r="GJ72" s="0" t="n">
        <v>37</v>
      </c>
      <c r="GK72" s="0" t="n">
        <v>0.086</v>
      </c>
      <c r="GL72" s="0" t="n">
        <v>0.436</v>
      </c>
      <c r="GM72" s="0" t="n">
        <v>0.234</v>
      </c>
      <c r="HF72" s="0" t="s">
        <v>206</v>
      </c>
      <c r="HG72" s="0" t="n">
        <v>75.71</v>
      </c>
      <c r="HH72" s="0" t="n">
        <v>8.56</v>
      </c>
      <c r="HI72" s="0" t="n">
        <v>43</v>
      </c>
      <c r="HJ72" s="0" t="n">
        <v>89</v>
      </c>
      <c r="HK72" s="0" t="s">
        <v>909</v>
      </c>
      <c r="HL72" s="0" t="n">
        <v>0</v>
      </c>
      <c r="HN72" s="0" t="n">
        <v>26</v>
      </c>
    </row>
    <row r="73" customFormat="false" ht="15" hidden="false" customHeight="false" outlineLevel="0" collapsed="false">
      <c r="A73" s="0" t="s">
        <v>896</v>
      </c>
      <c r="B73" s="0" t="s">
        <v>897</v>
      </c>
      <c r="C73" s="0" t="s">
        <v>898</v>
      </c>
      <c r="D73" s="0" t="s">
        <v>282</v>
      </c>
      <c r="E73" s="0" t="n">
        <v>24209</v>
      </c>
      <c r="F73" s="0" t="s">
        <v>104</v>
      </c>
      <c r="G73" s="0" t="n">
        <v>75.93</v>
      </c>
      <c r="H73" s="0" t="n">
        <v>7.26</v>
      </c>
      <c r="I73" s="0" t="n">
        <v>63</v>
      </c>
      <c r="J73" s="0" t="n">
        <v>102</v>
      </c>
      <c r="L73" s="0" t="s">
        <v>1316</v>
      </c>
      <c r="O73" s="0" t="n">
        <v>87.8</v>
      </c>
      <c r="U73" s="0" t="n">
        <v>9</v>
      </c>
      <c r="V73" s="0" t="s">
        <v>282</v>
      </c>
      <c r="W73" s="0" t="s">
        <v>901</v>
      </c>
      <c r="X73" s="0" t="s">
        <v>284</v>
      </c>
      <c r="Y73" s="0" t="s">
        <v>1317</v>
      </c>
      <c r="Z73" s="0" t="n">
        <v>24209</v>
      </c>
      <c r="AA73" s="0" t="s">
        <v>1318</v>
      </c>
      <c r="AB73" s="0" t="s">
        <v>904</v>
      </c>
      <c r="AC73" s="0" t="s">
        <v>284</v>
      </c>
      <c r="AD73" s="0" t="s">
        <v>284</v>
      </c>
      <c r="AE73" s="0" t="s">
        <v>284</v>
      </c>
      <c r="AF73" s="0" t="s">
        <v>284</v>
      </c>
      <c r="AG73" s="0" t="s">
        <v>284</v>
      </c>
      <c r="AH73" s="0" t="s">
        <v>905</v>
      </c>
      <c r="AI73" s="0" t="n">
        <v>1</v>
      </c>
      <c r="AJ73" s="0" t="s">
        <v>104</v>
      </c>
      <c r="AK73" s="0" t="n">
        <v>72</v>
      </c>
      <c r="AL73" s="0" t="n">
        <v>27</v>
      </c>
      <c r="AM73" s="0" t="s">
        <v>283</v>
      </c>
      <c r="AN73" s="0" t="n">
        <v>0</v>
      </c>
      <c r="AO73" s="0" t="n">
        <v>0</v>
      </c>
      <c r="AP73" s="0" t="n">
        <v>0</v>
      </c>
      <c r="AQ73" s="0" t="n">
        <v>0</v>
      </c>
      <c r="AR73" s="0" t="n">
        <v>0</v>
      </c>
      <c r="AS73" s="0" t="n">
        <v>0</v>
      </c>
      <c r="AT73" s="0" t="n">
        <v>0</v>
      </c>
      <c r="AU73" s="0" t="n">
        <v>0</v>
      </c>
      <c r="AV73" s="0" t="n">
        <v>0</v>
      </c>
      <c r="AW73" s="0" t="n">
        <v>211</v>
      </c>
      <c r="AX73" s="0" t="n">
        <v>958</v>
      </c>
      <c r="AY73" s="0" t="n">
        <v>6</v>
      </c>
      <c r="AZ73" s="0" t="n">
        <v>52</v>
      </c>
      <c r="BA73" s="0" t="n">
        <v>-0.500219264824409</v>
      </c>
      <c r="BB73" s="0" t="n">
        <v>0</v>
      </c>
      <c r="BC73" s="0" t="n">
        <v>40</v>
      </c>
      <c r="BD73" s="0" t="n">
        <v>45</v>
      </c>
      <c r="BE73" s="0" t="n">
        <v>333</v>
      </c>
      <c r="BF73" s="0" t="n">
        <v>2</v>
      </c>
      <c r="BG73" s="0" t="n">
        <v>-113</v>
      </c>
      <c r="BH73" s="0" t="n">
        <v>439</v>
      </c>
      <c r="BI73" s="0" t="n">
        <v>13</v>
      </c>
      <c r="BJ73" s="0" t="n">
        <v>10.641412097989</v>
      </c>
      <c r="BK73" s="0" t="n">
        <v>0</v>
      </c>
      <c r="BL73" s="0" t="n">
        <v>0</v>
      </c>
      <c r="BM73" s="0" t="n">
        <v>177.1</v>
      </c>
      <c r="BN73" s="0" t="n">
        <v>217.1</v>
      </c>
      <c r="BO73" s="0" t="n">
        <v>16</v>
      </c>
      <c r="BP73" s="0" t="s">
        <v>284</v>
      </c>
      <c r="BQ73" s="0" t="n">
        <v>1</v>
      </c>
      <c r="BR73" s="0" t="n">
        <v>197.1</v>
      </c>
      <c r="BS73" s="0" t="n">
        <v>0.0862</v>
      </c>
      <c r="BT73" s="0" t="n">
        <v>0.5184</v>
      </c>
      <c r="BU73" s="0" t="n">
        <v>-0.0357</v>
      </c>
      <c r="BV73" s="0" t="n">
        <v>0.09</v>
      </c>
      <c r="BW73" s="0" t="n">
        <v>0.5582</v>
      </c>
      <c r="BX73" s="0" t="n">
        <v>-0.0365</v>
      </c>
      <c r="BY73" s="0" t="n">
        <v>0.1095</v>
      </c>
      <c r="BZ73" s="0" t="n">
        <v>16</v>
      </c>
      <c r="CA73" s="0" t="n">
        <v>9.15</v>
      </c>
      <c r="CB73" s="0" t="n">
        <v>17.27</v>
      </c>
      <c r="CC73" s="0" t="n">
        <v>12.95</v>
      </c>
      <c r="CD73" s="0" t="n">
        <v>5.62</v>
      </c>
      <c r="CE73" s="0" t="n">
        <v>4</v>
      </c>
      <c r="CF73" s="0" t="n">
        <v>0</v>
      </c>
      <c r="CG73" s="0" t="n">
        <v>16</v>
      </c>
      <c r="CH73" s="0" t="n">
        <v>0.25</v>
      </c>
      <c r="CI73" s="0" t="n">
        <v>0</v>
      </c>
      <c r="CJ73" s="0" t="n">
        <v>0.434</v>
      </c>
      <c r="CK73" s="0" t="n">
        <v>5</v>
      </c>
      <c r="CL73" s="0" t="n">
        <v>4</v>
      </c>
      <c r="CM73" s="0" t="n">
        <v>1</v>
      </c>
      <c r="CN73" s="0" t="n">
        <v>2</v>
      </c>
      <c r="CO73" s="0" t="n">
        <v>2.10770431698798</v>
      </c>
      <c r="CP73" s="0" t="n">
        <v>40</v>
      </c>
      <c r="CQ73" s="0" t="n">
        <v>22</v>
      </c>
      <c r="CR73" s="0" t="n">
        <v>14</v>
      </c>
      <c r="CS73" s="0" t="n">
        <v>6</v>
      </c>
      <c r="CT73" s="0" t="n">
        <v>8.96537999908417</v>
      </c>
      <c r="CU73" s="0" t="n">
        <v>45</v>
      </c>
      <c r="CV73" s="0" t="n">
        <v>26</v>
      </c>
      <c r="CW73" s="0" t="n">
        <v>15</v>
      </c>
      <c r="CX73" s="0" t="n">
        <v>8</v>
      </c>
      <c r="CY73" s="0" t="n">
        <v>11.07</v>
      </c>
      <c r="CZ73" s="0" t="n">
        <v>-3.07</v>
      </c>
      <c r="DG73" s="0" t="n">
        <v>3.71838204592902</v>
      </c>
      <c r="DH73" s="0" t="n">
        <v>32.2274881516588</v>
      </c>
      <c r="DI73" s="0" t="n">
        <v>2.88461855670103</v>
      </c>
      <c r="DJ73" s="0" t="n">
        <v>180.594512433032</v>
      </c>
      <c r="DK73" s="0" t="n">
        <v>0.864088576234603</v>
      </c>
      <c r="DL73" s="0" t="n">
        <v>0.444976076555024</v>
      </c>
      <c r="DM73" s="0" t="s">
        <v>1319</v>
      </c>
      <c r="DN73" s="0" t="n">
        <v>211</v>
      </c>
      <c r="DO73" s="0" t="n">
        <v>23</v>
      </c>
      <c r="DP73" s="0" t="n">
        <v>2.185</v>
      </c>
      <c r="DQ73" s="0" t="n">
        <v>2.355</v>
      </c>
      <c r="DR73" s="0" t="n">
        <v>9.17</v>
      </c>
      <c r="DS73" s="0" t="n">
        <v>45</v>
      </c>
      <c r="DT73" s="0" t="n">
        <v>9</v>
      </c>
      <c r="DU73" s="0" t="n">
        <v>1</v>
      </c>
      <c r="DV73" s="0" t="n">
        <v>-2.65</v>
      </c>
      <c r="DW73" s="0" t="n">
        <v>10.975</v>
      </c>
      <c r="DX73" s="0" t="n">
        <v>-2.4</v>
      </c>
      <c r="DY73" s="0" t="n">
        <v>0.0222</v>
      </c>
      <c r="DZ73" s="0" t="n">
        <v>489</v>
      </c>
      <c r="EA73" s="0" t="n">
        <v>0.508</v>
      </c>
      <c r="EB73" s="0" t="n">
        <v>16</v>
      </c>
      <c r="EC73" s="0" t="s">
        <v>1320</v>
      </c>
      <c r="EG73" s="0" t="n">
        <v>2022</v>
      </c>
      <c r="EH73" s="0" t="n">
        <v>2026</v>
      </c>
      <c r="EI73" s="0" t="n">
        <v>5</v>
      </c>
      <c r="EJ73" s="0" t="n">
        <v>68</v>
      </c>
      <c r="EK73" s="0" t="n">
        <v>215</v>
      </c>
      <c r="EL73" s="0" t="s">
        <v>1321</v>
      </c>
      <c r="EM73" s="0" t="n">
        <v>27.8</v>
      </c>
      <c r="EN73" s="15" t="b">
        <f aca="false">FALSE()</f>
        <v>0</v>
      </c>
      <c r="EO73" s="0" t="n">
        <v>368</v>
      </c>
      <c r="EP73" s="0" t="n">
        <v>2.85652173913044</v>
      </c>
      <c r="EQ73" s="0" t="n">
        <v>0.173913043478261</v>
      </c>
      <c r="ER73" s="0" t="n">
        <v>1.21739130434783</v>
      </c>
      <c r="ES73" s="0" t="n">
        <v>0.864130434782609</v>
      </c>
      <c r="ET73" s="0" t="n">
        <v>50</v>
      </c>
      <c r="EU73" s="0" t="n">
        <v>34</v>
      </c>
      <c r="EV73" s="0" t="n">
        <v>4.36684782608696</v>
      </c>
      <c r="EW73" s="0" t="n">
        <v>0.68</v>
      </c>
      <c r="EX73" s="0" t="n">
        <v>2.93472293301175</v>
      </c>
      <c r="EY73" s="0" t="n">
        <v>2.87</v>
      </c>
      <c r="EZ73" s="0" t="n">
        <v>0.172</v>
      </c>
      <c r="FA73" s="0" t="n">
        <v>2.285</v>
      </c>
      <c r="FB73" s="0" t="n">
        <v>2.029</v>
      </c>
      <c r="FC73" s="0" t="n">
        <v>42</v>
      </c>
      <c r="FD73" s="0" t="n">
        <v>591</v>
      </c>
      <c r="FE73" s="0" t="n">
        <v>0.0524534686971235</v>
      </c>
      <c r="FF73" s="0" t="n">
        <v>0.0526</v>
      </c>
      <c r="FG73" s="0" t="n">
        <v>0.1636</v>
      </c>
      <c r="FH73" s="0" t="n">
        <v>2.209</v>
      </c>
      <c r="FI73" s="0" t="n">
        <v>975</v>
      </c>
      <c r="FJ73" s="0" t="n">
        <v>0.594871794871795</v>
      </c>
      <c r="FK73" s="0" t="n">
        <v>17</v>
      </c>
      <c r="FL73" s="0" t="n">
        <v>57.35</v>
      </c>
      <c r="FM73" s="0" t="n">
        <v>0.5795</v>
      </c>
      <c r="FN73" s="0" t="n">
        <v>0.4205</v>
      </c>
      <c r="FO73" s="0" t="n">
        <v>-0.007</v>
      </c>
      <c r="FP73" s="0" t="n">
        <v>0.0188</v>
      </c>
      <c r="FQ73" s="0" t="n">
        <v>0.0312</v>
      </c>
      <c r="FR73" s="0" t="n">
        <v>40</v>
      </c>
      <c r="FS73" s="0" t="n">
        <v>51</v>
      </c>
      <c r="FT73" s="0" t="n">
        <v>3</v>
      </c>
      <c r="FU73" s="0" t="n">
        <v>23.4</v>
      </c>
      <c r="FV73" s="0" t="n">
        <v>5344</v>
      </c>
      <c r="FW73" s="0" t="n">
        <v>4403</v>
      </c>
      <c r="FX73" s="0" t="n">
        <v>0.824</v>
      </c>
      <c r="FY73" s="0" t="n">
        <v>5</v>
      </c>
      <c r="FZ73" s="0" t="n">
        <v>5</v>
      </c>
      <c r="GA73" s="0" t="n">
        <v>-0.192560883952718</v>
      </c>
      <c r="GB73" s="0" t="n">
        <v>46.5</v>
      </c>
      <c r="GC73" s="0" t="n">
        <v>65.1</v>
      </c>
      <c r="GD73" s="0" t="n">
        <v>57.4</v>
      </c>
      <c r="GE73" s="0" t="n">
        <v>522</v>
      </c>
      <c r="GF73" s="0" t="n">
        <v>407</v>
      </c>
      <c r="GG73" s="0" t="n">
        <v>179</v>
      </c>
      <c r="GH73" s="0" t="n">
        <v>129</v>
      </c>
      <c r="GI73" s="0" t="n">
        <v>156</v>
      </c>
      <c r="GJ73" s="0" t="n">
        <v>59</v>
      </c>
      <c r="GK73" s="0" t="n">
        <v>0.343</v>
      </c>
      <c r="GL73" s="0" t="n">
        <v>0.317</v>
      </c>
      <c r="GM73" s="0" t="n">
        <v>0.378</v>
      </c>
      <c r="GN73" s="0" t="n">
        <v>13.569</v>
      </c>
      <c r="GO73" s="0" t="n">
        <v>12.319</v>
      </c>
      <c r="GP73" s="0" t="n">
        <v>11.069</v>
      </c>
      <c r="GQ73" s="0" t="n">
        <v>2.812</v>
      </c>
      <c r="GR73" s="0" t="n">
        <v>13.188</v>
      </c>
      <c r="GS73" s="0" t="n">
        <v>256</v>
      </c>
      <c r="GT73" s="0" t="n">
        <v>0.848</v>
      </c>
      <c r="GU73" s="0" t="n">
        <v>0.444</v>
      </c>
      <c r="GV73" s="0" t="n">
        <v>7.4</v>
      </c>
      <c r="GW73" s="0" t="n">
        <v>8.325</v>
      </c>
      <c r="GX73" s="0" t="n">
        <v>0.889</v>
      </c>
      <c r="GY73" s="0" t="n">
        <v>4.54</v>
      </c>
      <c r="GZ73" s="0" t="n">
        <v>-2.511</v>
      </c>
      <c r="HA73" s="0" t="n">
        <v>10.975</v>
      </c>
      <c r="HB73" s="0" t="n">
        <v>-2.947</v>
      </c>
      <c r="HC73" s="0" t="n">
        <v>0.031</v>
      </c>
      <c r="HD73" s="0" t="n">
        <v>-0.002</v>
      </c>
      <c r="HE73" s="0" t="n">
        <v>0.236</v>
      </c>
      <c r="HG73" s="0" t="n">
        <v>75.93</v>
      </c>
      <c r="HH73" s="0" t="n">
        <v>7.26</v>
      </c>
      <c r="HI73" s="0" t="n">
        <v>63</v>
      </c>
      <c r="HJ73" s="0" t="n">
        <v>102</v>
      </c>
      <c r="HK73" s="0" t="s">
        <v>909</v>
      </c>
      <c r="HL73" s="0" t="n">
        <v>0</v>
      </c>
      <c r="HM73" s="0" t="n">
        <v>17</v>
      </c>
      <c r="HN73" s="0" t="n">
        <v>27</v>
      </c>
      <c r="HO73" s="0" t="n">
        <v>0.246</v>
      </c>
      <c r="HP73" s="0" t="n">
        <v>19</v>
      </c>
      <c r="HQ73" s="0" t="n">
        <v>0.158</v>
      </c>
      <c r="HR73" s="0" t="s">
        <v>102</v>
      </c>
    </row>
    <row r="74" customFormat="false" ht="15" hidden="false" customHeight="false" outlineLevel="0" collapsed="false">
      <c r="A74" s="0" t="s">
        <v>896</v>
      </c>
      <c r="B74" s="0" t="s">
        <v>897</v>
      </c>
      <c r="C74" s="0" t="s">
        <v>898</v>
      </c>
      <c r="D74" s="0" t="s">
        <v>285</v>
      </c>
      <c r="E74" s="0" t="n">
        <v>27050</v>
      </c>
      <c r="F74" s="0" t="s">
        <v>149</v>
      </c>
      <c r="G74" s="0" t="n">
        <v>76.95</v>
      </c>
      <c r="H74" s="0" t="n">
        <v>15.73</v>
      </c>
      <c r="I74" s="0" t="n">
        <v>32</v>
      </c>
      <c r="J74" s="0" t="n">
        <v>173</v>
      </c>
      <c r="L74" s="0" t="s">
        <v>1322</v>
      </c>
      <c r="O74" s="0" t="n">
        <v>94.2</v>
      </c>
      <c r="T74" s="0" t="n">
        <v>-1</v>
      </c>
      <c r="U74" s="0" t="n">
        <v>11</v>
      </c>
      <c r="V74" s="0" t="s">
        <v>1323</v>
      </c>
      <c r="W74" s="0" t="s">
        <v>901</v>
      </c>
      <c r="X74" s="0" t="s">
        <v>258</v>
      </c>
      <c r="Y74" s="0" t="s">
        <v>1324</v>
      </c>
      <c r="Z74" s="0" t="n">
        <v>27050</v>
      </c>
      <c r="AA74" s="0" t="s">
        <v>1325</v>
      </c>
      <c r="AB74" s="0" t="s">
        <v>904</v>
      </c>
      <c r="AC74" s="0" t="s">
        <v>258</v>
      </c>
      <c r="AD74" s="0" t="s">
        <v>258</v>
      </c>
      <c r="AE74" s="0" t="s">
        <v>258</v>
      </c>
      <c r="AF74" s="0" t="s">
        <v>258</v>
      </c>
      <c r="AG74" s="0" t="s">
        <v>258</v>
      </c>
      <c r="AH74" s="0" t="s">
        <v>905</v>
      </c>
      <c r="AI74" s="0" t="n">
        <v>1</v>
      </c>
      <c r="AJ74" s="0" t="s">
        <v>149</v>
      </c>
      <c r="AK74" s="0" t="n">
        <v>73</v>
      </c>
      <c r="AL74" s="0" t="n">
        <v>6</v>
      </c>
      <c r="AM74" s="0" t="s">
        <v>286</v>
      </c>
      <c r="AN74" s="0" t="n">
        <v>0</v>
      </c>
      <c r="AO74" s="0" t="n">
        <v>0</v>
      </c>
      <c r="AP74" s="0" t="n">
        <v>0</v>
      </c>
      <c r="AQ74" s="0" t="n">
        <v>0</v>
      </c>
      <c r="AR74" s="0" t="n">
        <v>0</v>
      </c>
      <c r="AS74" s="0" t="n">
        <v>0</v>
      </c>
      <c r="AT74" s="0" t="n">
        <v>0</v>
      </c>
      <c r="AU74" s="0" t="n">
        <v>0</v>
      </c>
      <c r="AV74" s="0" t="n">
        <v>0</v>
      </c>
      <c r="AW74" s="0" t="n">
        <v>7</v>
      </c>
      <c r="AX74" s="0" t="n">
        <v>13</v>
      </c>
      <c r="AY74" s="0" t="n">
        <v>1</v>
      </c>
      <c r="AZ74" s="0" t="n">
        <v>2</v>
      </c>
      <c r="BA74" s="0" t="n">
        <v>-1.77085690747481</v>
      </c>
      <c r="BB74" s="0" t="n">
        <v>1</v>
      </c>
      <c r="BC74" s="0" t="n">
        <v>72</v>
      </c>
      <c r="BD74" s="0" t="n">
        <v>107</v>
      </c>
      <c r="BE74" s="0" t="n">
        <v>731</v>
      </c>
      <c r="BF74" s="0" t="n">
        <v>6</v>
      </c>
      <c r="BG74" s="0" t="n">
        <v>646</v>
      </c>
      <c r="BH74" s="0" t="n">
        <v>352</v>
      </c>
      <c r="BI74" s="0" t="n">
        <v>32</v>
      </c>
      <c r="BJ74" s="0" t="n">
        <v>1.40015056461898</v>
      </c>
      <c r="BK74" s="0" t="n">
        <v>0</v>
      </c>
      <c r="BL74" s="0" t="n">
        <v>0</v>
      </c>
      <c r="BM74" s="0" t="n">
        <v>114.4</v>
      </c>
      <c r="BN74" s="0" t="n">
        <v>186.4</v>
      </c>
      <c r="BO74" s="0" t="n">
        <v>16</v>
      </c>
      <c r="BP74" s="0" t="s">
        <v>258</v>
      </c>
      <c r="BQ74" s="0" t="n">
        <v>1</v>
      </c>
      <c r="BR74" s="0" t="n">
        <v>150.4</v>
      </c>
      <c r="BS74" s="0" t="n">
        <v>0.205</v>
      </c>
      <c r="BT74" s="0" t="n">
        <v>0.0166</v>
      </c>
      <c r="BU74" s="0" t="n">
        <v>0.1799</v>
      </c>
      <c r="BV74" s="0" t="n">
        <v>0.2136</v>
      </c>
      <c r="BW74" s="0" t="n">
        <v>0.0176</v>
      </c>
      <c r="BX74" s="0" t="n">
        <v>0.19</v>
      </c>
      <c r="BY74" s="0" t="n">
        <v>0.4534</v>
      </c>
      <c r="BZ74" s="0" t="n">
        <v>16</v>
      </c>
      <c r="CA74" s="0" t="n">
        <v>8.2</v>
      </c>
      <c r="CB74" s="0" t="n">
        <v>17.58</v>
      </c>
      <c r="CC74" s="0" t="n">
        <v>11.15</v>
      </c>
      <c r="CD74" s="0" t="n">
        <v>5.73</v>
      </c>
      <c r="CE74" s="0" t="n">
        <v>4</v>
      </c>
      <c r="CF74" s="0" t="n">
        <v>0</v>
      </c>
      <c r="CG74" s="0" t="n">
        <v>16</v>
      </c>
      <c r="CH74" s="0" t="n">
        <v>0.25</v>
      </c>
      <c r="CI74" s="0" t="n">
        <v>0</v>
      </c>
      <c r="CJ74" s="0" t="n">
        <v>0.514</v>
      </c>
      <c r="CK74" s="0" t="n">
        <v>10</v>
      </c>
      <c r="CL74" s="0" t="n">
        <v>3</v>
      </c>
      <c r="CM74" s="0" t="n">
        <v>2</v>
      </c>
      <c r="CN74" s="0" t="n">
        <v>6</v>
      </c>
      <c r="CO74" s="0" t="n">
        <v>3.84497710524396</v>
      </c>
      <c r="CP74" s="0" t="n">
        <v>2</v>
      </c>
      <c r="CQ74" s="0" t="n">
        <v>1</v>
      </c>
      <c r="CR74" s="0" t="n">
        <v>1</v>
      </c>
      <c r="CS74" s="0" t="n">
        <v>1</v>
      </c>
      <c r="CT74" s="0" t="n">
        <v>0.597628581517954</v>
      </c>
      <c r="CU74" s="0" t="n">
        <v>12</v>
      </c>
      <c r="CV74" s="0" t="n">
        <v>4</v>
      </c>
      <c r="CW74" s="0" t="n">
        <v>3</v>
      </c>
      <c r="CX74" s="0" t="n">
        <v>7</v>
      </c>
      <c r="CY74" s="0" t="n">
        <v>4.44</v>
      </c>
      <c r="CZ74" s="0" t="n">
        <v>2.56</v>
      </c>
      <c r="DA74" s="0" t="n">
        <v>2.94057543117714</v>
      </c>
      <c r="DB74" s="0" t="n">
        <v>5.69824175824176</v>
      </c>
      <c r="DC74" s="0" t="n">
        <v>5.86476635514019</v>
      </c>
      <c r="DD74" s="0" t="n">
        <v>18.0856889237296</v>
      </c>
      <c r="DE74" s="0" t="n">
        <v>1.21517382711858</v>
      </c>
      <c r="DF74" s="0" t="n">
        <v>67.2897196261682</v>
      </c>
      <c r="DM74" s="0" t="s">
        <v>1326</v>
      </c>
      <c r="DN74" s="0" t="n">
        <v>7</v>
      </c>
      <c r="DO74" s="0" t="n">
        <v>1</v>
      </c>
      <c r="DS74" s="0" t="n">
        <v>107</v>
      </c>
      <c r="DT74" s="0" t="n">
        <v>7</v>
      </c>
      <c r="DU74" s="0" t="n">
        <v>4</v>
      </c>
      <c r="DV74" s="0" t="n">
        <v>5.264</v>
      </c>
      <c r="DW74" s="0" t="n">
        <v>4.889</v>
      </c>
      <c r="DX74" s="0" t="n">
        <v>6</v>
      </c>
      <c r="DY74" s="0" t="n">
        <v>0.0374</v>
      </c>
      <c r="DZ74" s="0" t="n">
        <v>786</v>
      </c>
      <c r="EA74" s="0" t="n">
        <v>0.759</v>
      </c>
      <c r="EB74" s="0" t="n">
        <v>16</v>
      </c>
      <c r="EC74" s="0" t="s">
        <v>1327</v>
      </c>
      <c r="ED74" s="0" t="n">
        <v>2025</v>
      </c>
      <c r="EE74" s="0" t="n">
        <v>3</v>
      </c>
      <c r="EF74" s="0" t="n">
        <v>67</v>
      </c>
      <c r="EG74" s="0" t="n">
        <v>2025</v>
      </c>
      <c r="EH74" s="0" t="n">
        <v>2026</v>
      </c>
      <c r="EI74" s="0" t="n">
        <v>2</v>
      </c>
      <c r="EJ74" s="0" t="n">
        <v>76</v>
      </c>
      <c r="EK74" s="0" t="n">
        <v>241</v>
      </c>
      <c r="EL74" s="0" t="s">
        <v>1328</v>
      </c>
      <c r="EM74" s="0" t="n">
        <v>22.1</v>
      </c>
      <c r="EN74" s="15" t="b">
        <f aca="false">FALSE()</f>
        <v>0</v>
      </c>
      <c r="EO74" s="0" t="n">
        <v>353</v>
      </c>
      <c r="EP74" s="0" t="n">
        <v>2.40311614730878</v>
      </c>
      <c r="EQ74" s="0" t="n">
        <v>0.223796033994334</v>
      </c>
      <c r="ER74" s="0" t="n">
        <v>0.875354107648725</v>
      </c>
      <c r="ES74" s="0" t="n">
        <v>0.521246458923513</v>
      </c>
      <c r="ET74" s="0" t="n">
        <v>42</v>
      </c>
      <c r="EU74" s="0" t="n">
        <v>28</v>
      </c>
      <c r="EV74" s="0" t="n">
        <v>3.41076487252125</v>
      </c>
      <c r="EW74" s="0" t="n">
        <v>0.666666666666667</v>
      </c>
      <c r="EX74" s="0" t="n">
        <v>2.95974106155856</v>
      </c>
      <c r="EY74" s="0" t="n">
        <v>2.392</v>
      </c>
      <c r="EZ74" s="0" t="n">
        <v>0.225</v>
      </c>
      <c r="FA74" s="0" t="n">
        <v>1.808</v>
      </c>
      <c r="FB74" s="0" t="n">
        <v>2.109</v>
      </c>
      <c r="FC74" s="0" t="n">
        <v>31</v>
      </c>
      <c r="FD74" s="0" t="n">
        <v>639</v>
      </c>
      <c r="FE74" s="0" t="n">
        <v>0.07981220657277</v>
      </c>
      <c r="FF74" s="0" t="n">
        <v>0.0842</v>
      </c>
      <c r="FG74" s="0" t="n">
        <v>0.3405</v>
      </c>
      <c r="FH74" s="0" t="n">
        <v>2.444</v>
      </c>
      <c r="FI74" s="0" t="n">
        <v>1028</v>
      </c>
      <c r="FJ74" s="0" t="n">
        <v>0.592412451361868</v>
      </c>
      <c r="FK74" s="0" t="n">
        <v>17</v>
      </c>
      <c r="FL74" s="0" t="n">
        <v>60.47</v>
      </c>
      <c r="FM74" s="0" t="n">
        <v>0.5161</v>
      </c>
      <c r="FN74" s="0" t="n">
        <v>0.4839</v>
      </c>
      <c r="FO74" s="0" t="n">
        <v>-0.0372</v>
      </c>
      <c r="FP74" s="0" t="n">
        <v>-0.0478</v>
      </c>
      <c r="FQ74" s="0" t="n">
        <v>-0.2882</v>
      </c>
      <c r="FR74" s="0" t="n">
        <v>39</v>
      </c>
      <c r="FS74" s="0" t="n">
        <v>42</v>
      </c>
      <c r="FT74" s="0" t="n">
        <v>2.47</v>
      </c>
      <c r="FU74" s="0" t="n">
        <v>16.4</v>
      </c>
      <c r="FV74" s="0" t="n">
        <v>5503</v>
      </c>
      <c r="FW74" s="0" t="n">
        <v>1435</v>
      </c>
      <c r="FX74" s="0" t="n">
        <v>0.261</v>
      </c>
      <c r="FY74" s="0" t="n">
        <v>5</v>
      </c>
      <c r="FZ74" s="0" t="n">
        <v>1</v>
      </c>
      <c r="GA74" s="0" t="n">
        <v>-1.74193649230018</v>
      </c>
      <c r="GB74" s="0" t="n">
        <v>18.5</v>
      </c>
      <c r="GC74" s="0" t="n">
        <v>26.5</v>
      </c>
      <c r="GD74" s="0" t="n">
        <v>15.1</v>
      </c>
      <c r="GE74" s="0" t="n">
        <v>522</v>
      </c>
      <c r="GF74" s="0" t="n">
        <v>421</v>
      </c>
      <c r="GG74" s="0" t="n">
        <v>88</v>
      </c>
      <c r="GH74" s="0" t="n">
        <v>37</v>
      </c>
      <c r="GI74" s="0" t="n">
        <v>114</v>
      </c>
      <c r="GJ74" s="0" t="n">
        <v>23</v>
      </c>
      <c r="GK74" s="0" t="n">
        <v>0.169</v>
      </c>
      <c r="GL74" s="0" t="n">
        <v>0.088</v>
      </c>
      <c r="GM74" s="0" t="n">
        <v>0.202</v>
      </c>
      <c r="GN74" s="0" t="n">
        <v>11.65</v>
      </c>
      <c r="GO74" s="0" t="n">
        <v>9.4</v>
      </c>
      <c r="GP74" s="0" t="n">
        <v>7.15</v>
      </c>
      <c r="GQ74" s="0" t="n">
        <v>6.688</v>
      </c>
      <c r="GR74" s="0" t="n">
        <v>0.438</v>
      </c>
      <c r="GS74" s="0" t="n">
        <v>114</v>
      </c>
      <c r="GT74" s="0" t="n">
        <v>1.635</v>
      </c>
      <c r="GU74" s="0" t="n">
        <v>0.237</v>
      </c>
      <c r="GV74" s="0" t="n">
        <v>6.832</v>
      </c>
      <c r="GW74" s="0" t="n">
        <v>10.153</v>
      </c>
      <c r="GX74" s="0" t="n">
        <v>0.673</v>
      </c>
      <c r="GZ74" s="0" t="n">
        <v>6.037</v>
      </c>
      <c r="HA74" s="0" t="n">
        <v>4.889</v>
      </c>
      <c r="HB74" s="0" t="n">
        <v>1.132</v>
      </c>
      <c r="HC74" s="0" t="n">
        <v>0.061</v>
      </c>
      <c r="HE74" s="0" t="n">
        <v>0.013</v>
      </c>
      <c r="HG74" s="0" t="n">
        <v>76.95</v>
      </c>
      <c r="HH74" s="0" t="n">
        <v>15.73</v>
      </c>
      <c r="HI74" s="0" t="n">
        <v>32</v>
      </c>
      <c r="HJ74" s="0" t="n">
        <v>173</v>
      </c>
      <c r="HK74" s="0" t="s">
        <v>909</v>
      </c>
      <c r="HL74" s="0" t="n">
        <v>0</v>
      </c>
      <c r="HM74" s="0" t="n">
        <v>6</v>
      </c>
      <c r="HN74" s="0" t="n">
        <v>6</v>
      </c>
      <c r="HO74" s="0" t="n">
        <v>-0.015</v>
      </c>
      <c r="HP74" s="0" t="n">
        <v>8</v>
      </c>
      <c r="HQ74" s="0" t="n">
        <v>-0.103</v>
      </c>
      <c r="HR74" s="0" t="s">
        <v>102</v>
      </c>
    </row>
    <row r="75" customFormat="false" ht="15" hidden="false" customHeight="false" outlineLevel="0" collapsed="false">
      <c r="A75" s="0" t="s">
        <v>896</v>
      </c>
      <c r="B75" s="0" t="s">
        <v>897</v>
      </c>
      <c r="C75" s="0" t="s">
        <v>898</v>
      </c>
      <c r="D75" s="0" t="s">
        <v>287</v>
      </c>
      <c r="E75" s="0" t="n">
        <v>23000</v>
      </c>
      <c r="F75" s="0" t="s">
        <v>99</v>
      </c>
      <c r="G75" s="0" t="n">
        <v>77.84</v>
      </c>
      <c r="H75" s="0" t="n">
        <v>13</v>
      </c>
      <c r="I75" s="0" t="n">
        <v>48</v>
      </c>
      <c r="J75" s="0" t="n">
        <v>110</v>
      </c>
      <c r="L75" s="0" t="s">
        <v>1329</v>
      </c>
      <c r="O75" s="0" t="n">
        <v>87.2</v>
      </c>
      <c r="U75" s="0" t="n">
        <v>7</v>
      </c>
      <c r="V75" s="0" t="s">
        <v>1330</v>
      </c>
      <c r="W75" s="0" t="s">
        <v>901</v>
      </c>
      <c r="X75" s="0" t="s">
        <v>1284</v>
      </c>
      <c r="Y75" s="0" t="s">
        <v>1331</v>
      </c>
      <c r="Z75" s="0" t="n">
        <v>23000</v>
      </c>
      <c r="AA75" s="0" t="s">
        <v>1332</v>
      </c>
      <c r="AB75" s="0" t="s">
        <v>904</v>
      </c>
      <c r="AC75" s="0" t="s">
        <v>235</v>
      </c>
      <c r="AD75" s="0" t="s">
        <v>235</v>
      </c>
      <c r="AE75" s="0" t="s">
        <v>235</v>
      </c>
      <c r="AF75" s="0" t="s">
        <v>235</v>
      </c>
      <c r="AG75" s="0" t="s">
        <v>235</v>
      </c>
      <c r="AH75" s="0" t="s">
        <v>905</v>
      </c>
      <c r="AI75" s="0" t="n">
        <v>1</v>
      </c>
      <c r="AJ75" s="0" t="s">
        <v>99</v>
      </c>
      <c r="AK75" s="0" t="n">
        <v>74</v>
      </c>
      <c r="AL75" s="0" t="n">
        <v>33</v>
      </c>
      <c r="AM75" s="0" t="s">
        <v>288</v>
      </c>
      <c r="AN75" s="0" t="n">
        <v>0</v>
      </c>
      <c r="AO75" s="0" t="n">
        <v>0</v>
      </c>
      <c r="AP75" s="0" t="n">
        <v>0</v>
      </c>
      <c r="AQ75" s="0" t="n">
        <v>0</v>
      </c>
      <c r="AR75" s="0" t="n">
        <v>0</v>
      </c>
      <c r="AS75" s="0" t="n">
        <v>0</v>
      </c>
      <c r="AT75" s="0" t="n">
        <v>0</v>
      </c>
      <c r="AU75" s="0" t="n">
        <v>0</v>
      </c>
      <c r="AV75" s="0" t="n">
        <v>0</v>
      </c>
      <c r="AW75" s="0" t="n">
        <v>3</v>
      </c>
      <c r="AX75" s="0" t="n">
        <v>21</v>
      </c>
      <c r="AY75" s="0" t="n">
        <v>1</v>
      </c>
      <c r="AZ75" s="0" t="n">
        <v>2</v>
      </c>
      <c r="BA75" s="0" t="n">
        <v>2.86268166603986</v>
      </c>
      <c r="BB75" s="0" t="n">
        <v>0</v>
      </c>
      <c r="BC75" s="0" t="n">
        <v>48</v>
      </c>
      <c r="BD75" s="0" t="n">
        <v>91</v>
      </c>
      <c r="BE75" s="0" t="n">
        <v>707</v>
      </c>
      <c r="BF75" s="0" t="n">
        <v>2</v>
      </c>
      <c r="BG75" s="0" t="n">
        <v>1315</v>
      </c>
      <c r="BH75" s="0" t="n">
        <v>159</v>
      </c>
      <c r="BI75" s="0" t="n">
        <v>33</v>
      </c>
      <c r="BJ75" s="0" t="n">
        <v>17.2010317820878</v>
      </c>
      <c r="BK75" s="0" t="n">
        <v>0</v>
      </c>
      <c r="BL75" s="0" t="n">
        <v>0</v>
      </c>
      <c r="BM75" s="0" t="n">
        <v>90.8</v>
      </c>
      <c r="BN75" s="0" t="n">
        <v>138.8</v>
      </c>
      <c r="BO75" s="0" t="n">
        <v>14</v>
      </c>
      <c r="BP75" s="0" t="s">
        <v>235</v>
      </c>
      <c r="BQ75" s="0" t="n">
        <v>1</v>
      </c>
      <c r="BR75" s="0" t="n">
        <v>114.8</v>
      </c>
      <c r="BS75" s="0" t="n">
        <v>0.1664</v>
      </c>
      <c r="BT75" s="0" t="n">
        <v>0.0061</v>
      </c>
      <c r="BU75" s="0" t="n">
        <v>0.2695</v>
      </c>
      <c r="BV75" s="0" t="n">
        <v>0.1928</v>
      </c>
      <c r="BW75" s="0" t="n">
        <v>0.0078</v>
      </c>
      <c r="BX75" s="0" t="n">
        <v>0.3081</v>
      </c>
      <c r="BY75" s="0" t="n">
        <v>0.5049</v>
      </c>
      <c r="BZ75" s="0" t="n">
        <v>14</v>
      </c>
      <c r="CA75" s="0" t="n">
        <v>7.6</v>
      </c>
      <c r="CB75" s="0" t="n">
        <v>12.25</v>
      </c>
      <c r="CC75" s="0" t="n">
        <v>8.7</v>
      </c>
      <c r="CD75" s="0" t="n">
        <v>5.01</v>
      </c>
      <c r="CE75" s="0" t="n">
        <v>1</v>
      </c>
      <c r="CF75" s="0" t="n">
        <v>0</v>
      </c>
      <c r="CG75" s="0" t="n">
        <v>14</v>
      </c>
      <c r="CH75" s="0" t="n">
        <v>0.071</v>
      </c>
      <c r="CI75" s="0" t="n">
        <v>0</v>
      </c>
      <c r="CJ75" s="0" t="n">
        <v>0.576</v>
      </c>
      <c r="CK75" s="0" t="n">
        <v>7</v>
      </c>
      <c r="CL75" s="0" t="n">
        <v>5</v>
      </c>
      <c r="CM75" s="0" t="n">
        <v>1</v>
      </c>
      <c r="CN75" s="0" t="n">
        <v>2</v>
      </c>
      <c r="CO75" s="0" t="n">
        <v>3.22825794771167</v>
      </c>
      <c r="CP75" s="0" t="n">
        <v>1</v>
      </c>
      <c r="CQ75" s="0" t="n">
        <v>1</v>
      </c>
      <c r="CR75" s="0" t="n">
        <v>0</v>
      </c>
      <c r="CS75" s="0" t="n">
        <v>1</v>
      </c>
      <c r="CT75" s="0" t="n">
        <v>0.160839862191193</v>
      </c>
      <c r="CU75" s="0" t="n">
        <v>8</v>
      </c>
      <c r="CV75" s="0" t="n">
        <v>6</v>
      </c>
      <c r="CW75" s="0" t="n">
        <v>1</v>
      </c>
      <c r="CX75" s="0" t="n">
        <v>3</v>
      </c>
      <c r="CY75" s="0" t="n">
        <v>3.39</v>
      </c>
      <c r="CZ75" s="0" t="n">
        <v>-0.39</v>
      </c>
      <c r="DA75" s="0" t="n">
        <v>2.6550007311033</v>
      </c>
      <c r="DB75" s="0" t="n">
        <v>5.52325842696629</v>
      </c>
      <c r="DC75" s="0" t="n">
        <v>14.1738461538462</v>
      </c>
      <c r="DD75" s="0" t="n">
        <v>26.4386476281838</v>
      </c>
      <c r="DE75" s="0" t="n">
        <v>0.25187264966749</v>
      </c>
      <c r="DF75" s="0" t="n">
        <v>52.7472527472528</v>
      </c>
      <c r="DM75" s="0" t="s">
        <v>1333</v>
      </c>
      <c r="DN75" s="0" t="n">
        <v>3</v>
      </c>
      <c r="DO75" s="0" t="n">
        <v>0</v>
      </c>
      <c r="DS75" s="0" t="n">
        <v>91</v>
      </c>
      <c r="DT75" s="0" t="n">
        <v>2</v>
      </c>
      <c r="DU75" s="0" t="n">
        <v>10</v>
      </c>
      <c r="DV75" s="0" t="n">
        <v>11.417</v>
      </c>
      <c r="DW75" s="0" t="n">
        <v>3.312</v>
      </c>
      <c r="DX75" s="0" t="n">
        <v>14.5</v>
      </c>
      <c r="DY75" s="0" t="n">
        <v>0.1099</v>
      </c>
      <c r="DZ75" s="0" t="n">
        <v>741</v>
      </c>
      <c r="EA75" s="0" t="n">
        <v>0.776</v>
      </c>
      <c r="EB75" s="0" t="n">
        <v>14</v>
      </c>
      <c r="EC75" s="0" t="s">
        <v>1334</v>
      </c>
      <c r="ED75" s="0" t="n">
        <v>2024</v>
      </c>
      <c r="EE75" s="0" t="n">
        <v>1</v>
      </c>
      <c r="EF75" s="0" t="n">
        <v>23</v>
      </c>
      <c r="EG75" s="0" t="n">
        <v>2024</v>
      </c>
      <c r="EH75" s="0" t="n">
        <v>2026</v>
      </c>
      <c r="EI75" s="0" t="n">
        <v>3</v>
      </c>
      <c r="EJ75" s="0" t="n">
        <v>74</v>
      </c>
      <c r="EK75" s="0" t="n">
        <v>209</v>
      </c>
      <c r="EL75" s="0" t="s">
        <v>908</v>
      </c>
      <c r="EM75" s="0" t="n">
        <v>23.9</v>
      </c>
      <c r="EN75" s="15" t="b">
        <f aca="false">FALSE()</f>
        <v>0</v>
      </c>
      <c r="EO75" s="0" t="n">
        <v>373</v>
      </c>
      <c r="EP75" s="0" t="n">
        <v>2.85254691689008</v>
      </c>
      <c r="EQ75" s="0" t="n">
        <v>0.184986595174263</v>
      </c>
      <c r="ER75" s="0" t="n">
        <v>1.10991957104558</v>
      </c>
      <c r="ES75" s="0" t="n">
        <v>0.683646112600536</v>
      </c>
      <c r="ET75" s="0" t="n">
        <v>30</v>
      </c>
      <c r="EU75" s="0" t="n">
        <v>15</v>
      </c>
      <c r="EV75" s="0" t="n">
        <v>4.1313672922252</v>
      </c>
      <c r="EW75" s="0" t="n">
        <v>0.5</v>
      </c>
      <c r="EX75" s="0" t="n">
        <v>2.91568836248392</v>
      </c>
      <c r="EY75" s="0" t="n">
        <v>2.885</v>
      </c>
      <c r="EZ75" s="0" t="n">
        <v>0.1784</v>
      </c>
      <c r="FA75" s="0" t="n">
        <v>2.219</v>
      </c>
      <c r="FB75" s="0" t="n">
        <v>1.781</v>
      </c>
      <c r="FC75" s="0" t="n">
        <v>22</v>
      </c>
      <c r="FD75" s="0" t="n">
        <v>644</v>
      </c>
      <c r="FE75" s="0" t="n">
        <v>0.0636645962732919</v>
      </c>
      <c r="FF75" s="0" t="n">
        <v>0.0647</v>
      </c>
      <c r="FG75" s="0" t="n">
        <v>0.2504</v>
      </c>
      <c r="FH75" s="0" t="n">
        <v>2.395</v>
      </c>
      <c r="FI75" s="0" t="n">
        <v>1074</v>
      </c>
      <c r="FJ75" s="0" t="n">
        <v>0.56145251396648</v>
      </c>
      <c r="FK75" s="0" t="n">
        <v>17</v>
      </c>
      <c r="FL75" s="0" t="n">
        <v>63.18</v>
      </c>
      <c r="FM75" s="0" t="n">
        <v>0.5756</v>
      </c>
      <c r="FN75" s="0" t="n">
        <v>0.4244</v>
      </c>
      <c r="FO75" s="0" t="n">
        <v>0.0164</v>
      </c>
      <c r="FP75" s="0" t="n">
        <v>-0.0041</v>
      </c>
      <c r="FQ75" s="0" t="n">
        <v>0.0592</v>
      </c>
      <c r="FR75" s="0" t="n">
        <v>40</v>
      </c>
      <c r="FS75" s="0" t="n">
        <v>72</v>
      </c>
      <c r="FT75" s="0" t="n">
        <v>4.24</v>
      </c>
      <c r="FU75" s="0" t="n">
        <v>27.9</v>
      </c>
      <c r="FV75" s="0" t="n">
        <v>5856</v>
      </c>
      <c r="FW75" s="0" t="n">
        <v>5856</v>
      </c>
      <c r="FX75" s="0" t="n">
        <v>1</v>
      </c>
      <c r="FY75" s="0" t="n">
        <v>5</v>
      </c>
      <c r="FZ75" s="0" t="n">
        <v>5</v>
      </c>
      <c r="GA75" s="0" t="n">
        <v>-0.543031520615496</v>
      </c>
      <c r="GB75" s="0" t="n">
        <v>40.2</v>
      </c>
      <c r="GC75" s="0" t="n">
        <v>50.8</v>
      </c>
      <c r="GD75" s="0" t="n">
        <v>44.3</v>
      </c>
      <c r="GE75" s="0" t="n">
        <v>547</v>
      </c>
      <c r="GF75" s="0" t="n">
        <v>489</v>
      </c>
      <c r="GG75" s="0" t="n">
        <v>132</v>
      </c>
      <c r="GH75" s="0" t="n">
        <v>271</v>
      </c>
      <c r="GI75" s="0" t="n">
        <v>198</v>
      </c>
      <c r="GJ75" s="0" t="n">
        <v>85</v>
      </c>
      <c r="GK75" s="0" t="n">
        <v>0.241</v>
      </c>
      <c r="GL75" s="0" t="n">
        <v>0.554</v>
      </c>
      <c r="GM75" s="0" t="n">
        <v>0.429</v>
      </c>
      <c r="GN75" s="0" t="n">
        <v>9.914</v>
      </c>
      <c r="GO75" s="0" t="n">
        <v>8.2</v>
      </c>
      <c r="GP75" s="0" t="n">
        <v>6.486</v>
      </c>
      <c r="GQ75" s="0" t="n">
        <v>6.5</v>
      </c>
      <c r="GR75" s="0" t="n">
        <v>0.214</v>
      </c>
      <c r="GS75" s="0" t="n">
        <v>94</v>
      </c>
      <c r="GT75" s="0" t="n">
        <v>1.477</v>
      </c>
      <c r="GU75" s="0" t="n">
        <v>0.187</v>
      </c>
      <c r="GV75" s="0" t="n">
        <v>7.769</v>
      </c>
      <c r="GW75" s="0" t="n">
        <v>14.729</v>
      </c>
      <c r="GX75" s="0" t="n">
        <v>0.527</v>
      </c>
      <c r="GZ75" s="0" t="n">
        <v>14.451</v>
      </c>
      <c r="HA75" s="0" t="n">
        <v>3.312</v>
      </c>
      <c r="HB75" s="0" t="n">
        <v>0.538</v>
      </c>
      <c r="HC75" s="0" t="n">
        <v>0.032</v>
      </c>
      <c r="HE75" s="0" t="n">
        <v>0.189</v>
      </c>
      <c r="HG75" s="0" t="n">
        <v>77.84</v>
      </c>
      <c r="HH75" s="0" t="n">
        <v>13</v>
      </c>
      <c r="HI75" s="0" t="n">
        <v>48</v>
      </c>
      <c r="HJ75" s="0" t="n">
        <v>110</v>
      </c>
      <c r="HK75" s="0" t="s">
        <v>909</v>
      </c>
      <c r="HL75" s="0" t="n">
        <v>0</v>
      </c>
      <c r="HM75" s="0" t="n">
        <v>42</v>
      </c>
      <c r="HN75" s="0" t="n">
        <v>33</v>
      </c>
      <c r="HO75" s="0" t="n">
        <v>-0.637</v>
      </c>
      <c r="HP75" s="0" t="n">
        <v>47</v>
      </c>
      <c r="HQ75" s="0" t="n">
        <v>-0.856</v>
      </c>
      <c r="HR75" s="0" t="s">
        <v>121</v>
      </c>
    </row>
    <row r="76" customFormat="false" ht="15" hidden="false" customHeight="false" outlineLevel="0" collapsed="false">
      <c r="A76" s="0" t="s">
        <v>896</v>
      </c>
      <c r="B76" s="0" t="s">
        <v>897</v>
      </c>
      <c r="C76" s="0" t="s">
        <v>898</v>
      </c>
      <c r="D76" s="0" t="s">
        <v>289</v>
      </c>
      <c r="E76" s="0" t="n">
        <v>18219</v>
      </c>
      <c r="F76" s="0" t="s">
        <v>99</v>
      </c>
      <c r="G76" s="0" t="n">
        <v>78.2</v>
      </c>
      <c r="H76" s="0" t="n">
        <v>13.05</v>
      </c>
      <c r="I76" s="0" t="n">
        <v>48</v>
      </c>
      <c r="J76" s="0" t="n">
        <v>116</v>
      </c>
      <c r="L76" s="0" t="s">
        <v>1335</v>
      </c>
      <c r="O76" s="0" t="n">
        <v>89.6</v>
      </c>
      <c r="U76" s="0" t="n">
        <v>9</v>
      </c>
      <c r="V76" s="0" t="s">
        <v>289</v>
      </c>
      <c r="W76" s="0" t="s">
        <v>901</v>
      </c>
      <c r="X76" s="0" t="s">
        <v>284</v>
      </c>
      <c r="Y76" s="0" t="s">
        <v>1336</v>
      </c>
      <c r="Z76" s="0" t="n">
        <v>18219</v>
      </c>
      <c r="AA76" s="0" t="s">
        <v>1337</v>
      </c>
      <c r="AB76" s="0" t="s">
        <v>904</v>
      </c>
      <c r="AC76" s="0" t="s">
        <v>284</v>
      </c>
      <c r="AD76" s="0" t="s">
        <v>284</v>
      </c>
      <c r="AE76" s="0" t="s">
        <v>284</v>
      </c>
      <c r="AF76" s="0" t="s">
        <v>284</v>
      </c>
      <c r="AG76" s="0" t="s">
        <v>284</v>
      </c>
      <c r="AH76" s="0" t="s">
        <v>905</v>
      </c>
      <c r="AI76" s="0" t="n">
        <v>1</v>
      </c>
      <c r="AJ76" s="0" t="s">
        <v>99</v>
      </c>
      <c r="AK76" s="0" t="n">
        <v>75</v>
      </c>
      <c r="AL76" s="0" t="n">
        <v>34</v>
      </c>
      <c r="AM76" s="0" t="s">
        <v>290</v>
      </c>
      <c r="AN76" s="0" t="n">
        <v>0</v>
      </c>
      <c r="AO76" s="0" t="n">
        <v>0</v>
      </c>
      <c r="AP76" s="0" t="n">
        <v>0</v>
      </c>
      <c r="AQ76" s="0" t="n">
        <v>0</v>
      </c>
      <c r="AR76" s="0" t="n">
        <v>0</v>
      </c>
      <c r="AS76" s="0" t="n">
        <v>0</v>
      </c>
      <c r="AT76" s="0" t="n">
        <v>0</v>
      </c>
      <c r="AU76" s="0" t="n">
        <v>0</v>
      </c>
      <c r="AV76" s="0" t="n">
        <v>0</v>
      </c>
      <c r="AW76" s="0" t="n">
        <v>2</v>
      </c>
      <c r="AX76" s="0" t="n">
        <v>12</v>
      </c>
      <c r="AY76" s="0" t="n">
        <v>1</v>
      </c>
      <c r="AZ76" s="0" t="n">
        <v>1</v>
      </c>
      <c r="BA76" s="0" t="n">
        <v>1.6868094765814</v>
      </c>
      <c r="BB76" s="0" t="n">
        <v>0</v>
      </c>
      <c r="BC76" s="0" t="n">
        <v>59</v>
      </c>
      <c r="BD76" s="0" t="n">
        <v>99</v>
      </c>
      <c r="BE76" s="0" t="n">
        <v>850</v>
      </c>
      <c r="BF76" s="0" t="n">
        <v>6</v>
      </c>
      <c r="BG76" s="0" t="n">
        <v>1044</v>
      </c>
      <c r="BH76" s="0" t="n">
        <v>414</v>
      </c>
      <c r="BI76" s="0" t="n">
        <v>37</v>
      </c>
      <c r="BJ76" s="0" t="n">
        <v>32.9258393135282</v>
      </c>
      <c r="BK76" s="0" t="n">
        <v>0</v>
      </c>
      <c r="BL76" s="0" t="n">
        <v>0</v>
      </c>
      <c r="BM76" s="0" t="n">
        <v>128.2</v>
      </c>
      <c r="BN76" s="0" t="n">
        <v>187.2</v>
      </c>
      <c r="BO76" s="0" t="n">
        <v>15</v>
      </c>
      <c r="BP76" s="0" t="s">
        <v>284</v>
      </c>
      <c r="BQ76" s="0" t="n">
        <v>1</v>
      </c>
      <c r="BR76" s="0" t="n">
        <v>157.7</v>
      </c>
      <c r="BS76" s="0" t="n">
        <v>0.1897</v>
      </c>
      <c r="BT76" s="0" t="n">
        <v>0.0049</v>
      </c>
      <c r="BU76" s="0" t="n">
        <v>0.3298</v>
      </c>
      <c r="BV76" s="0" t="n">
        <v>0.2245</v>
      </c>
      <c r="BW76" s="0" t="n">
        <v>0.0056</v>
      </c>
      <c r="BX76" s="0" t="n">
        <v>0.3965</v>
      </c>
      <c r="BY76" s="0" t="n">
        <v>0.6143</v>
      </c>
      <c r="BZ76" s="0" t="n">
        <v>15</v>
      </c>
      <c r="CA76" s="0" t="n">
        <v>8.1</v>
      </c>
      <c r="CB76" s="0" t="n">
        <v>19.2</v>
      </c>
      <c r="CC76" s="0" t="n">
        <v>12.2</v>
      </c>
      <c r="CD76" s="0" t="n">
        <v>6</v>
      </c>
      <c r="CE76" s="0" t="n">
        <v>4</v>
      </c>
      <c r="CF76" s="0" t="n">
        <v>0</v>
      </c>
      <c r="CG76" s="0" t="n">
        <v>15</v>
      </c>
      <c r="CH76" s="0" t="n">
        <v>0.267</v>
      </c>
      <c r="CI76" s="0" t="n">
        <v>0</v>
      </c>
      <c r="CJ76" s="0" t="n">
        <v>0.492</v>
      </c>
      <c r="CK76" s="0" t="n">
        <v>13</v>
      </c>
      <c r="CL76" s="0" t="n">
        <v>7</v>
      </c>
      <c r="CM76" s="0" t="n">
        <v>6</v>
      </c>
      <c r="CN76" s="0" t="n">
        <v>6</v>
      </c>
      <c r="CO76" s="0" t="n">
        <v>5.72849062243676</v>
      </c>
      <c r="CP76" s="0" t="n">
        <v>1</v>
      </c>
      <c r="CQ76" s="0" t="n">
        <v>1</v>
      </c>
      <c r="CR76" s="0" t="n">
        <v>0</v>
      </c>
      <c r="CS76" s="0" t="n">
        <v>1</v>
      </c>
      <c r="CT76" s="0" t="n">
        <v>0.139850844775398</v>
      </c>
      <c r="CU76" s="0" t="n">
        <v>14</v>
      </c>
      <c r="CV76" s="0" t="n">
        <v>8</v>
      </c>
      <c r="CW76" s="0" t="n">
        <v>6</v>
      </c>
      <c r="CX76" s="0" t="n">
        <v>7</v>
      </c>
      <c r="CY76" s="0" t="n">
        <v>5.87</v>
      </c>
      <c r="CZ76" s="0" t="n">
        <v>1.13</v>
      </c>
      <c r="DA76" s="0" t="n">
        <v>2.62992150395031</v>
      </c>
      <c r="DB76" s="0" t="n">
        <v>4.49783505154639</v>
      </c>
      <c r="DC76" s="0" t="n">
        <v>9.82212121212121</v>
      </c>
      <c r="DD76" s="0" t="n">
        <v>31.598701463291</v>
      </c>
      <c r="DE76" s="0" t="n">
        <v>2.80533125614789</v>
      </c>
      <c r="DF76" s="0" t="n">
        <v>59.5959595959596</v>
      </c>
      <c r="DM76" s="0" t="s">
        <v>1338</v>
      </c>
      <c r="DN76" s="0" t="n">
        <v>2</v>
      </c>
      <c r="DO76" s="0" t="n">
        <v>0</v>
      </c>
      <c r="DS76" s="0" t="n">
        <v>99</v>
      </c>
      <c r="DT76" s="0" t="n">
        <v>8</v>
      </c>
      <c r="DU76" s="0" t="n">
        <v>5</v>
      </c>
      <c r="DV76" s="0" t="n">
        <v>7.39</v>
      </c>
      <c r="DW76" s="0" t="n">
        <v>7.017</v>
      </c>
      <c r="DX76" s="0" t="n">
        <v>10.5</v>
      </c>
      <c r="DY76" s="0" t="n">
        <v>0.0505</v>
      </c>
      <c r="DZ76" s="0" t="n">
        <v>776</v>
      </c>
      <c r="EA76" s="0" t="n">
        <v>0.873</v>
      </c>
      <c r="EB76" s="0" t="n">
        <v>15</v>
      </c>
      <c r="EC76" s="0" t="s">
        <v>1339</v>
      </c>
      <c r="ED76" s="0" t="n">
        <v>2019</v>
      </c>
      <c r="EE76" s="0" t="n">
        <v>2</v>
      </c>
      <c r="EF76" s="0" t="n">
        <v>64</v>
      </c>
      <c r="EG76" s="0" t="n">
        <v>2019</v>
      </c>
      <c r="EH76" s="0" t="n">
        <v>2026</v>
      </c>
      <c r="EI76" s="0" t="n">
        <v>8</v>
      </c>
      <c r="EJ76" s="0" t="n">
        <v>76</v>
      </c>
      <c r="EK76" s="0" t="n">
        <v>229</v>
      </c>
      <c r="EL76" s="0" t="s">
        <v>977</v>
      </c>
      <c r="EM76" s="0" t="n">
        <v>28.7</v>
      </c>
      <c r="EN76" s="15" t="b">
        <f aca="false">FALSE()</f>
        <v>0</v>
      </c>
      <c r="EO76" s="0" t="n">
        <v>368</v>
      </c>
      <c r="EP76" s="0" t="n">
        <v>2.85652173913044</v>
      </c>
      <c r="EQ76" s="0" t="n">
        <v>0.173913043478261</v>
      </c>
      <c r="ER76" s="0" t="n">
        <v>1.21739130434783</v>
      </c>
      <c r="ES76" s="0" t="n">
        <v>0.864130434782609</v>
      </c>
      <c r="ET76" s="0" t="n">
        <v>50</v>
      </c>
      <c r="EU76" s="0" t="n">
        <v>34</v>
      </c>
      <c r="EV76" s="0" t="n">
        <v>4.36684782608696</v>
      </c>
      <c r="EW76" s="0" t="n">
        <v>0.68</v>
      </c>
      <c r="EX76" s="0" t="n">
        <v>2.93472293301175</v>
      </c>
      <c r="EY76" s="0" t="n">
        <v>2.87</v>
      </c>
      <c r="EZ76" s="0" t="n">
        <v>0.172</v>
      </c>
      <c r="FA76" s="0" t="n">
        <v>2.285</v>
      </c>
      <c r="FB76" s="0" t="n">
        <v>2.029</v>
      </c>
      <c r="FC76" s="0" t="n">
        <v>42</v>
      </c>
      <c r="FD76" s="0" t="n">
        <v>591</v>
      </c>
      <c r="FE76" s="0" t="n">
        <v>0.0524534686971235</v>
      </c>
      <c r="FF76" s="0" t="n">
        <v>0.0526</v>
      </c>
      <c r="FG76" s="0" t="n">
        <v>0.1636</v>
      </c>
      <c r="FH76" s="0" t="n">
        <v>2.209</v>
      </c>
      <c r="FI76" s="0" t="n">
        <v>975</v>
      </c>
      <c r="FJ76" s="0" t="n">
        <v>0.594871794871795</v>
      </c>
      <c r="FK76" s="0" t="n">
        <v>17</v>
      </c>
      <c r="FL76" s="0" t="n">
        <v>57.35</v>
      </c>
      <c r="FM76" s="0" t="n">
        <v>0.5795</v>
      </c>
      <c r="FN76" s="0" t="n">
        <v>0.4205</v>
      </c>
      <c r="FO76" s="0" t="n">
        <v>-0.007</v>
      </c>
      <c r="FP76" s="0" t="n">
        <v>0.0188</v>
      </c>
      <c r="FQ76" s="0" t="n">
        <v>0.0312</v>
      </c>
      <c r="FR76" s="0" t="n">
        <v>40</v>
      </c>
      <c r="FS76" s="0" t="n">
        <v>51</v>
      </c>
      <c r="FT76" s="0" t="n">
        <v>3</v>
      </c>
      <c r="FU76" s="0" t="n">
        <v>23.4</v>
      </c>
      <c r="FV76" s="0" t="n">
        <v>5344</v>
      </c>
      <c r="FW76" s="0" t="n">
        <v>4403</v>
      </c>
      <c r="FX76" s="0" t="n">
        <v>0.824</v>
      </c>
      <c r="FY76" s="0" t="n">
        <v>5</v>
      </c>
      <c r="FZ76" s="0" t="n">
        <v>5</v>
      </c>
      <c r="GA76" s="0" t="n">
        <v>-0.192560883952718</v>
      </c>
      <c r="GB76" s="0" t="n">
        <v>46.5</v>
      </c>
      <c r="GC76" s="0" t="n">
        <v>65.1</v>
      </c>
      <c r="GD76" s="0" t="n">
        <v>57.4</v>
      </c>
      <c r="GE76" s="0" t="n">
        <v>522</v>
      </c>
      <c r="GF76" s="0" t="n">
        <v>407</v>
      </c>
      <c r="GG76" s="0" t="n">
        <v>179</v>
      </c>
      <c r="GH76" s="0" t="n">
        <v>129</v>
      </c>
      <c r="GI76" s="0" t="n">
        <v>156</v>
      </c>
      <c r="GJ76" s="0" t="n">
        <v>59</v>
      </c>
      <c r="GK76" s="0" t="n">
        <v>0.343</v>
      </c>
      <c r="GL76" s="0" t="n">
        <v>0.317</v>
      </c>
      <c r="GM76" s="0" t="n">
        <v>0.378</v>
      </c>
      <c r="GN76" s="0" t="n">
        <v>12.48</v>
      </c>
      <c r="GO76" s="0" t="n">
        <v>10.513</v>
      </c>
      <c r="GP76" s="0" t="n">
        <v>8.547</v>
      </c>
      <c r="GQ76" s="0" t="n">
        <v>6.6</v>
      </c>
      <c r="GR76" s="0" t="n">
        <v>0.133</v>
      </c>
      <c r="GS76" s="0" t="n">
        <v>101</v>
      </c>
      <c r="GT76" s="0" t="n">
        <v>1.853</v>
      </c>
      <c r="GU76" s="0" t="n">
        <v>0.241</v>
      </c>
      <c r="GV76" s="0" t="n">
        <v>8.586</v>
      </c>
      <c r="GW76" s="0" t="n">
        <v>14.407</v>
      </c>
      <c r="GX76" s="0" t="n">
        <v>0.596</v>
      </c>
      <c r="GZ76" s="0" t="n">
        <v>10.545</v>
      </c>
      <c r="HA76" s="0" t="n">
        <v>7.017</v>
      </c>
      <c r="HB76" s="0" t="n">
        <v>0.814</v>
      </c>
      <c r="HC76" s="0" t="n">
        <v>0.069</v>
      </c>
      <c r="HE76" s="0" t="n">
        <v>0.333</v>
      </c>
      <c r="HG76" s="0" t="n">
        <v>78.2</v>
      </c>
      <c r="HH76" s="0" t="n">
        <v>13.05</v>
      </c>
      <c r="HI76" s="0" t="n">
        <v>48</v>
      </c>
      <c r="HJ76" s="0" t="n">
        <v>116</v>
      </c>
      <c r="HK76" s="0" t="s">
        <v>909</v>
      </c>
      <c r="HL76" s="0" t="n">
        <v>0</v>
      </c>
      <c r="HM76" s="0" t="n">
        <v>26</v>
      </c>
      <c r="HN76" s="0" t="n">
        <v>34</v>
      </c>
      <c r="HO76" s="0" t="n">
        <v>0.1</v>
      </c>
      <c r="HP76" s="0" t="n">
        <v>25</v>
      </c>
      <c r="HQ76" s="0" t="n">
        <v>0.143</v>
      </c>
      <c r="HR76" s="0" t="s">
        <v>102</v>
      </c>
    </row>
    <row r="77" customFormat="false" ht="15" hidden="false" customHeight="false" outlineLevel="0" collapsed="false">
      <c r="A77" s="0" t="s">
        <v>896</v>
      </c>
      <c r="B77" s="0" t="s">
        <v>897</v>
      </c>
      <c r="C77" s="0" t="s">
        <v>898</v>
      </c>
      <c r="D77" s="0" t="s">
        <v>291</v>
      </c>
      <c r="E77" s="0" t="n">
        <v>19780</v>
      </c>
      <c r="F77" s="0" t="s">
        <v>172</v>
      </c>
      <c r="G77" s="0" t="n">
        <v>79.86</v>
      </c>
      <c r="H77" s="0" t="n">
        <v>12.48</v>
      </c>
      <c r="I77" s="0" t="n">
        <v>59</v>
      </c>
      <c r="J77" s="0" t="n">
        <v>108</v>
      </c>
      <c r="L77" s="0" t="s">
        <v>1340</v>
      </c>
      <c r="O77" s="0" t="n">
        <v>88.6</v>
      </c>
      <c r="U77" s="0" t="n">
        <v>7</v>
      </c>
      <c r="V77" s="0" t="s">
        <v>291</v>
      </c>
      <c r="W77" s="0" t="s">
        <v>901</v>
      </c>
      <c r="X77" s="0" t="s">
        <v>1284</v>
      </c>
      <c r="Y77" s="0" t="s">
        <v>1341</v>
      </c>
      <c r="Z77" s="0" t="n">
        <v>19780</v>
      </c>
      <c r="AA77" s="0" t="s">
        <v>1342</v>
      </c>
      <c r="AB77" s="0" t="s">
        <v>904</v>
      </c>
      <c r="AC77" s="0" t="s">
        <v>235</v>
      </c>
      <c r="AD77" s="0" t="s">
        <v>235</v>
      </c>
      <c r="AE77" s="0" t="s">
        <v>235</v>
      </c>
      <c r="AF77" s="0" t="s">
        <v>235</v>
      </c>
      <c r="AG77" s="0" t="s">
        <v>235</v>
      </c>
      <c r="AH77" s="0" t="s">
        <v>905</v>
      </c>
      <c r="AI77" s="0" t="n">
        <v>1</v>
      </c>
      <c r="AJ77" s="0" t="s">
        <v>172</v>
      </c>
      <c r="AK77" s="0" t="n">
        <v>76</v>
      </c>
      <c r="AL77" s="0" t="n">
        <v>9</v>
      </c>
      <c r="AM77" s="0" t="s">
        <v>292</v>
      </c>
      <c r="AN77" s="0" t="n">
        <v>341</v>
      </c>
      <c r="AO77" s="0" t="n">
        <v>560</v>
      </c>
      <c r="AP77" s="0" t="n">
        <v>4007</v>
      </c>
      <c r="AQ77" s="0" t="n">
        <v>29</v>
      </c>
      <c r="AR77" s="0" t="n">
        <v>12</v>
      </c>
      <c r="AS77" s="0" t="n">
        <v>41</v>
      </c>
      <c r="AT77" s="0" t="n">
        <v>4876</v>
      </c>
      <c r="AU77" s="0" t="n">
        <v>194</v>
      </c>
      <c r="AV77" s="0" t="n">
        <v>38.4097214363881</v>
      </c>
      <c r="AW77" s="0" t="n">
        <v>82</v>
      </c>
      <c r="AX77" s="0" t="n">
        <v>359</v>
      </c>
      <c r="AY77" s="0" t="n">
        <v>9</v>
      </c>
      <c r="AZ77" s="0" t="n">
        <v>40</v>
      </c>
      <c r="BA77" s="0" t="n">
        <v>26.8447585121549</v>
      </c>
      <c r="BB77" s="0" t="n">
        <v>1</v>
      </c>
      <c r="BC77" s="0" t="n">
        <v>0</v>
      </c>
      <c r="BD77" s="0" t="n">
        <v>0</v>
      </c>
      <c r="BE77" s="0" t="n">
        <v>0</v>
      </c>
      <c r="BF77" s="0" t="n">
        <v>0</v>
      </c>
      <c r="BG77" s="0" t="n">
        <v>0</v>
      </c>
      <c r="BH77" s="0" t="n">
        <v>0</v>
      </c>
      <c r="BI77" s="0" t="n">
        <v>0</v>
      </c>
      <c r="BJ77" s="0" t="n">
        <v>0</v>
      </c>
      <c r="BK77" s="0" t="n">
        <v>0</v>
      </c>
      <c r="BL77" s="0" t="n">
        <v>0</v>
      </c>
      <c r="BM77" s="0" t="n">
        <v>338.18</v>
      </c>
      <c r="BN77" s="0" t="n">
        <v>338.18</v>
      </c>
      <c r="BO77" s="0" t="n">
        <v>17</v>
      </c>
      <c r="BP77" s="0" t="s">
        <v>235</v>
      </c>
      <c r="BQ77" s="0" t="n">
        <v>1</v>
      </c>
      <c r="BR77" s="0" t="n">
        <v>338.18</v>
      </c>
      <c r="BS77" s="0" t="n">
        <v>0</v>
      </c>
      <c r="BT77" s="0" t="n">
        <v>0.1677</v>
      </c>
      <c r="BU77" s="0" t="n">
        <v>0</v>
      </c>
      <c r="BV77" s="0" t="n">
        <v>0</v>
      </c>
      <c r="BW77" s="0" t="n">
        <v>0.1677</v>
      </c>
      <c r="BX77" s="0" t="n">
        <v>0</v>
      </c>
      <c r="BY77" s="0" t="n">
        <v>0</v>
      </c>
      <c r="BZ77" s="0" t="n">
        <v>17</v>
      </c>
      <c r="CA77" s="0" t="n">
        <v>15.02</v>
      </c>
      <c r="CB77" s="0" t="n">
        <v>25.06</v>
      </c>
      <c r="CC77" s="0" t="n">
        <v>19.24</v>
      </c>
      <c r="CD77" s="0" t="n">
        <v>8.79</v>
      </c>
      <c r="CE77" s="0" t="n">
        <v>11</v>
      </c>
      <c r="CF77" s="0" t="n">
        <v>0</v>
      </c>
      <c r="CG77" s="0" t="n">
        <v>17</v>
      </c>
      <c r="CH77" s="0" t="n">
        <v>0.647</v>
      </c>
      <c r="CI77" s="0" t="n">
        <v>0</v>
      </c>
      <c r="CJ77" s="0" t="n">
        <v>0.457</v>
      </c>
      <c r="CK77" s="0" t="n">
        <v>0</v>
      </c>
      <c r="CL77" s="0" t="n">
        <v>0</v>
      </c>
      <c r="CM77" s="0" t="n">
        <v>0</v>
      </c>
      <c r="CN77" s="0" t="n">
        <v>0</v>
      </c>
      <c r="CO77" s="0" t="n">
        <v>0</v>
      </c>
      <c r="CP77" s="0" t="n">
        <v>23</v>
      </c>
      <c r="CQ77" s="0" t="n">
        <v>14</v>
      </c>
      <c r="CR77" s="0" t="n">
        <v>10</v>
      </c>
      <c r="CS77" s="0" t="n">
        <v>9</v>
      </c>
      <c r="CT77" s="0" t="n">
        <v>5.4528870448522</v>
      </c>
      <c r="CU77" s="0" t="n">
        <v>23</v>
      </c>
      <c r="CV77" s="0" t="n">
        <v>14</v>
      </c>
      <c r="CW77" s="0" t="n">
        <v>10</v>
      </c>
      <c r="CX77" s="0" t="n">
        <v>9</v>
      </c>
      <c r="CY77" s="0" t="n">
        <v>5.45</v>
      </c>
      <c r="CZ77" s="0" t="n">
        <v>3.55</v>
      </c>
      <c r="DM77" s="0" t="s">
        <v>1343</v>
      </c>
      <c r="DN77" s="0" t="n">
        <v>82</v>
      </c>
      <c r="DO77" s="0" t="n">
        <v>5</v>
      </c>
      <c r="DP77" s="0" t="n">
        <v>3.317</v>
      </c>
      <c r="DQ77" s="0" t="n">
        <v>1.061</v>
      </c>
      <c r="DR77" s="0" t="n">
        <v>16.4</v>
      </c>
      <c r="DZ77" s="0" t="n">
        <v>1114</v>
      </c>
      <c r="EA77" s="0" t="n">
        <v>0.967</v>
      </c>
      <c r="EB77" s="0" t="n">
        <v>17</v>
      </c>
      <c r="EC77" s="0" t="s">
        <v>1344</v>
      </c>
      <c r="ED77" s="0" t="n">
        <v>2021</v>
      </c>
      <c r="EE77" s="0" t="n">
        <v>1</v>
      </c>
      <c r="EF77" s="0" t="n">
        <v>1</v>
      </c>
      <c r="EG77" s="0" t="n">
        <v>2021</v>
      </c>
      <c r="EH77" s="0" t="n">
        <v>2026</v>
      </c>
      <c r="EI77" s="0" t="n">
        <v>6</v>
      </c>
      <c r="EJ77" s="0" t="n">
        <v>78</v>
      </c>
      <c r="EK77" s="0" t="n">
        <v>220</v>
      </c>
      <c r="EL77" s="0" t="s">
        <v>1104</v>
      </c>
      <c r="EM77" s="0" t="n">
        <v>26.9</v>
      </c>
      <c r="EN77" s="15" t="b">
        <f aca="false">FALSE()</f>
        <v>0</v>
      </c>
      <c r="EO77" s="0" t="n">
        <v>373</v>
      </c>
      <c r="EP77" s="0" t="n">
        <v>2.85254691689008</v>
      </c>
      <c r="EQ77" s="0" t="n">
        <v>0.184986595174263</v>
      </c>
      <c r="ER77" s="0" t="n">
        <v>1.10991957104558</v>
      </c>
      <c r="ES77" s="0" t="n">
        <v>0.683646112600536</v>
      </c>
      <c r="ET77" s="0" t="n">
        <v>30</v>
      </c>
      <c r="EU77" s="0" t="n">
        <v>15</v>
      </c>
      <c r="EV77" s="0" t="n">
        <v>4.1313672922252</v>
      </c>
      <c r="EW77" s="0" t="n">
        <v>0.5</v>
      </c>
      <c r="EX77" s="0" t="n">
        <v>2.91568836248392</v>
      </c>
      <c r="EY77" s="0" t="n">
        <v>2.885</v>
      </c>
      <c r="EZ77" s="0" t="n">
        <v>0.1784</v>
      </c>
      <c r="FA77" s="0" t="n">
        <v>2.219</v>
      </c>
      <c r="FB77" s="0" t="n">
        <v>1.781</v>
      </c>
      <c r="FC77" s="0" t="n">
        <v>22</v>
      </c>
      <c r="FD77" s="0" t="n">
        <v>644</v>
      </c>
      <c r="FE77" s="0" t="n">
        <v>0.0636645962732919</v>
      </c>
      <c r="FF77" s="0" t="n">
        <v>0.0647</v>
      </c>
      <c r="FG77" s="0" t="n">
        <v>0.2504</v>
      </c>
      <c r="FH77" s="0" t="n">
        <v>2.395</v>
      </c>
      <c r="FI77" s="0" t="n">
        <v>1074</v>
      </c>
      <c r="FJ77" s="0" t="n">
        <v>0.56145251396648</v>
      </c>
      <c r="FK77" s="0" t="n">
        <v>17</v>
      </c>
      <c r="FL77" s="0" t="n">
        <v>63.18</v>
      </c>
      <c r="FM77" s="0" t="n">
        <v>0.5756</v>
      </c>
      <c r="FN77" s="0" t="n">
        <v>0.4244</v>
      </c>
      <c r="FO77" s="0" t="n">
        <v>0.0164</v>
      </c>
      <c r="FP77" s="0" t="n">
        <v>-0.0041</v>
      </c>
      <c r="FQ77" s="0" t="n">
        <v>0.0592</v>
      </c>
      <c r="FR77" s="0" t="n">
        <v>40</v>
      </c>
      <c r="FS77" s="0" t="n">
        <v>72</v>
      </c>
      <c r="FT77" s="0" t="n">
        <v>4.24</v>
      </c>
      <c r="FU77" s="0" t="n">
        <v>27.9</v>
      </c>
      <c r="FV77" s="0" t="n">
        <v>5856</v>
      </c>
      <c r="FW77" s="0" t="n">
        <v>5856</v>
      </c>
      <c r="FX77" s="0" t="n">
        <v>1</v>
      </c>
      <c r="FY77" s="0" t="n">
        <v>5</v>
      </c>
      <c r="FZ77" s="0" t="n">
        <v>5</v>
      </c>
      <c r="GA77" s="0" t="n">
        <v>-0.543031520615496</v>
      </c>
      <c r="GB77" s="0" t="n">
        <v>40.2</v>
      </c>
      <c r="GC77" s="0" t="n">
        <v>50.8</v>
      </c>
      <c r="GD77" s="0" t="n">
        <v>44.3</v>
      </c>
      <c r="GE77" s="0" t="n">
        <v>547</v>
      </c>
      <c r="GF77" s="0" t="n">
        <v>489</v>
      </c>
      <c r="GG77" s="0" t="n">
        <v>132</v>
      </c>
      <c r="GH77" s="0" t="n">
        <v>271</v>
      </c>
      <c r="GI77" s="0" t="n">
        <v>198</v>
      </c>
      <c r="GJ77" s="0" t="n">
        <v>85</v>
      </c>
      <c r="GK77" s="0" t="n">
        <v>0.241</v>
      </c>
      <c r="GL77" s="0" t="n">
        <v>0.554</v>
      </c>
      <c r="GM77" s="0" t="n">
        <v>0.429</v>
      </c>
      <c r="GN77" s="0" t="n">
        <v>19.893</v>
      </c>
      <c r="GO77" s="0" t="n">
        <v>19.893</v>
      </c>
      <c r="GP77" s="0" t="n">
        <v>19.893</v>
      </c>
      <c r="GQ77" s="0" t="n">
        <v>0</v>
      </c>
      <c r="GR77" s="0" t="n">
        <v>4.824</v>
      </c>
      <c r="GS77" s="0" t="n">
        <v>82</v>
      </c>
      <c r="GT77" s="0" t="n">
        <v>4.124</v>
      </c>
      <c r="GU77" s="0" t="n">
        <v>0.304</v>
      </c>
      <c r="GY77" s="0" t="n">
        <v>4.378</v>
      </c>
      <c r="HC77" s="0" t="n">
        <v>0.11</v>
      </c>
      <c r="HD77" s="0" t="n">
        <v>0.327</v>
      </c>
      <c r="HG77" s="0" t="n">
        <v>79.86</v>
      </c>
      <c r="HH77" s="0" t="n">
        <v>12.48</v>
      </c>
      <c r="HI77" s="0" t="n">
        <v>59</v>
      </c>
      <c r="HJ77" s="0" t="n">
        <v>108</v>
      </c>
      <c r="HK77" s="0" t="s">
        <v>909</v>
      </c>
      <c r="HL77" s="0" t="n">
        <v>0</v>
      </c>
      <c r="HM77" s="0" t="n">
        <v>4</v>
      </c>
      <c r="HN77" s="0" t="n">
        <v>9</v>
      </c>
      <c r="HO77" s="0" t="n">
        <v>0.179</v>
      </c>
      <c r="HP77" s="0" t="n">
        <v>5</v>
      </c>
      <c r="HQ77" s="0" t="n">
        <v>0.134</v>
      </c>
      <c r="HR77" s="0" t="s">
        <v>102</v>
      </c>
    </row>
    <row r="78" customFormat="false" ht="15" hidden="false" customHeight="false" outlineLevel="0" collapsed="false">
      <c r="A78" s="0" t="s">
        <v>896</v>
      </c>
      <c r="B78" s="0" t="s">
        <v>897</v>
      </c>
      <c r="C78" s="0" t="s">
        <v>898</v>
      </c>
      <c r="D78" s="0" t="s">
        <v>293</v>
      </c>
      <c r="E78" s="0" t="n">
        <v>15600</v>
      </c>
      <c r="F78" s="0" t="s">
        <v>172</v>
      </c>
      <c r="G78" s="0" t="n">
        <v>80.01</v>
      </c>
      <c r="H78" s="0" t="n">
        <v>12.87</v>
      </c>
      <c r="I78" s="0" t="n">
        <v>37</v>
      </c>
      <c r="J78" s="0" t="n">
        <v>108</v>
      </c>
      <c r="L78" s="0" t="s">
        <v>1345</v>
      </c>
      <c r="O78" s="0" t="n">
        <v>92.1</v>
      </c>
      <c r="U78" s="0" t="n">
        <v>14</v>
      </c>
      <c r="V78" s="0" t="s">
        <v>293</v>
      </c>
      <c r="W78" s="0" t="s">
        <v>901</v>
      </c>
      <c r="X78" s="0" t="s">
        <v>120</v>
      </c>
      <c r="Y78" s="0" t="s">
        <v>1346</v>
      </c>
      <c r="Z78" s="0" t="n">
        <v>15600</v>
      </c>
      <c r="AA78" s="0" t="s">
        <v>1347</v>
      </c>
      <c r="AB78" s="0" t="s">
        <v>904</v>
      </c>
      <c r="AC78" s="0" t="s">
        <v>120</v>
      </c>
      <c r="AD78" s="0" t="s">
        <v>120</v>
      </c>
      <c r="AE78" s="0" t="s">
        <v>120</v>
      </c>
      <c r="AF78" s="0" t="s">
        <v>120</v>
      </c>
      <c r="AG78" s="0" t="s">
        <v>120</v>
      </c>
      <c r="AH78" s="0" t="s">
        <v>905</v>
      </c>
      <c r="AI78" s="0" t="n">
        <v>1</v>
      </c>
      <c r="AJ78" s="0" t="s">
        <v>172</v>
      </c>
      <c r="AK78" s="0" t="n">
        <v>77</v>
      </c>
      <c r="AL78" s="0" t="n">
        <v>10</v>
      </c>
      <c r="AM78" s="0" t="s">
        <v>294</v>
      </c>
      <c r="AN78" s="0" t="n">
        <v>404</v>
      </c>
      <c r="AO78" s="0" t="n">
        <v>600</v>
      </c>
      <c r="AP78" s="0" t="n">
        <v>4552</v>
      </c>
      <c r="AQ78" s="0" t="n">
        <v>30</v>
      </c>
      <c r="AR78" s="0" t="n">
        <v>10</v>
      </c>
      <c r="AS78" s="0" t="n">
        <v>31</v>
      </c>
      <c r="AT78" s="0" t="n">
        <v>4809</v>
      </c>
      <c r="AU78" s="0" t="n">
        <v>220</v>
      </c>
      <c r="AV78" s="0" t="n">
        <v>114.349433204959</v>
      </c>
      <c r="AW78" s="0" t="n">
        <v>53</v>
      </c>
      <c r="AX78" s="0" t="n">
        <v>177</v>
      </c>
      <c r="AY78" s="0" t="n">
        <v>2</v>
      </c>
      <c r="AZ78" s="0" t="n">
        <v>15</v>
      </c>
      <c r="BA78" s="0" t="n">
        <v>-9.43114470178952</v>
      </c>
      <c r="BB78" s="0" t="n">
        <v>1</v>
      </c>
      <c r="BC78" s="0" t="n">
        <v>0</v>
      </c>
      <c r="BD78" s="0" t="n">
        <v>0</v>
      </c>
      <c r="BE78" s="0" t="n">
        <v>0</v>
      </c>
      <c r="BF78" s="0" t="n">
        <v>0</v>
      </c>
      <c r="BG78" s="0" t="n">
        <v>0</v>
      </c>
      <c r="BH78" s="0" t="n">
        <v>0</v>
      </c>
      <c r="BI78" s="0" t="n">
        <v>0</v>
      </c>
      <c r="BJ78" s="0" t="n">
        <v>0</v>
      </c>
      <c r="BK78" s="0" t="n">
        <v>0</v>
      </c>
      <c r="BL78" s="0" t="n">
        <v>0</v>
      </c>
      <c r="BM78" s="0" t="n">
        <v>313.78</v>
      </c>
      <c r="BN78" s="0" t="n">
        <v>313.78</v>
      </c>
      <c r="BO78" s="0" t="n">
        <v>17</v>
      </c>
      <c r="BP78" s="0" t="s">
        <v>120</v>
      </c>
      <c r="BQ78" s="0" t="n">
        <v>1</v>
      </c>
      <c r="BR78" s="0" t="n">
        <v>313.78</v>
      </c>
      <c r="BS78" s="0" t="n">
        <v>0</v>
      </c>
      <c r="BT78" s="0" t="n">
        <v>0.114</v>
      </c>
      <c r="BU78" s="0" t="n">
        <v>0</v>
      </c>
      <c r="BV78" s="0" t="n">
        <v>0</v>
      </c>
      <c r="BW78" s="0" t="n">
        <v>0.114</v>
      </c>
      <c r="BX78" s="0" t="n">
        <v>0</v>
      </c>
      <c r="BY78" s="0" t="n">
        <v>0</v>
      </c>
      <c r="BZ78" s="0" t="n">
        <v>17</v>
      </c>
      <c r="CA78" s="0" t="n">
        <v>12.04</v>
      </c>
      <c r="CB78" s="0" t="n">
        <v>25.96</v>
      </c>
      <c r="CC78" s="0" t="n">
        <v>20.6</v>
      </c>
      <c r="CD78" s="0" t="n">
        <v>8.28</v>
      </c>
      <c r="CE78" s="0" t="n">
        <v>10</v>
      </c>
      <c r="CF78" s="0" t="n">
        <v>2</v>
      </c>
      <c r="CG78" s="0" t="n">
        <v>17</v>
      </c>
      <c r="CH78" s="0" t="n">
        <v>0.588</v>
      </c>
      <c r="CI78" s="0" t="n">
        <v>0.118</v>
      </c>
      <c r="CJ78" s="0" t="n">
        <v>0.402</v>
      </c>
      <c r="CK78" s="0" t="n">
        <v>0</v>
      </c>
      <c r="CL78" s="0" t="n">
        <v>0</v>
      </c>
      <c r="CM78" s="0" t="n">
        <v>0</v>
      </c>
      <c r="CN78" s="0" t="n">
        <v>0</v>
      </c>
      <c r="CO78" s="0" t="n">
        <v>0</v>
      </c>
      <c r="CP78" s="0" t="n">
        <v>8</v>
      </c>
      <c r="CQ78" s="0" t="n">
        <v>6</v>
      </c>
      <c r="CR78" s="0" t="n">
        <v>4</v>
      </c>
      <c r="CS78" s="0" t="n">
        <v>2</v>
      </c>
      <c r="CT78" s="0" t="n">
        <v>2.34095418021626</v>
      </c>
      <c r="CU78" s="0" t="n">
        <v>8</v>
      </c>
      <c r="CV78" s="0" t="n">
        <v>6</v>
      </c>
      <c r="CW78" s="0" t="n">
        <v>4</v>
      </c>
      <c r="CX78" s="0" t="n">
        <v>2</v>
      </c>
      <c r="CY78" s="0" t="n">
        <v>2.34</v>
      </c>
      <c r="CZ78" s="0" t="n">
        <v>-0.34</v>
      </c>
      <c r="DM78" s="0" t="s">
        <v>1348</v>
      </c>
      <c r="DN78" s="0" t="n">
        <v>53</v>
      </c>
      <c r="DO78" s="0" t="n">
        <v>3</v>
      </c>
      <c r="DP78" s="0" t="n">
        <v>2.642</v>
      </c>
      <c r="DQ78" s="0" t="n">
        <v>0.698</v>
      </c>
      <c r="DR78" s="0" t="n">
        <v>17.67</v>
      </c>
      <c r="DZ78" s="0" t="n">
        <v>1135</v>
      </c>
      <c r="EA78" s="0" t="n">
        <v>0.951</v>
      </c>
      <c r="EB78" s="0" t="n">
        <v>17</v>
      </c>
      <c r="EC78" s="0" t="s">
        <v>1349</v>
      </c>
      <c r="ED78" s="0" t="n">
        <v>2016</v>
      </c>
      <c r="EE78" s="0" t="n">
        <v>4</v>
      </c>
      <c r="EF78" s="0" t="n">
        <v>135</v>
      </c>
      <c r="EG78" s="0" t="n">
        <v>2016</v>
      </c>
      <c r="EH78" s="0" t="n">
        <v>2026</v>
      </c>
      <c r="EI78" s="0" t="n">
        <v>11</v>
      </c>
      <c r="EJ78" s="0" t="n">
        <v>74</v>
      </c>
      <c r="EK78" s="0" t="n">
        <v>230</v>
      </c>
      <c r="EL78" s="0" t="s">
        <v>1350</v>
      </c>
      <c r="EM78" s="0" t="n">
        <v>33.1</v>
      </c>
      <c r="EN78" s="15" t="b">
        <f aca="false">FALSE()</f>
        <v>0</v>
      </c>
      <c r="EO78" s="0" t="n">
        <v>383</v>
      </c>
      <c r="EP78" s="0" t="n">
        <v>3.16527415143603</v>
      </c>
      <c r="EQ78" s="0" t="n">
        <v>0.130548302872063</v>
      </c>
      <c r="ER78" s="0" t="n">
        <v>1.25587467362924</v>
      </c>
      <c r="ES78" s="0" t="n">
        <v>0.845953002610966</v>
      </c>
      <c r="ET78" s="0" t="n">
        <v>34</v>
      </c>
      <c r="EU78" s="0" t="n">
        <v>24</v>
      </c>
      <c r="EV78" s="0" t="n">
        <v>4.66318537859008</v>
      </c>
      <c r="EW78" s="0" t="n">
        <v>0.705882352941177</v>
      </c>
      <c r="EX78" s="0" t="n">
        <v>3.04016625444487</v>
      </c>
      <c r="EY78" s="0" t="n">
        <v>3.074</v>
      </c>
      <c r="EZ78" s="0" t="n">
        <v>0.1352</v>
      </c>
      <c r="FA78" s="0" t="n">
        <v>2.563</v>
      </c>
      <c r="FB78" s="0" t="n">
        <v>2.03</v>
      </c>
      <c r="FC78" s="0" t="n">
        <v>33</v>
      </c>
      <c r="FD78" s="0" t="n">
        <v>681</v>
      </c>
      <c r="FE78" s="0" t="n">
        <v>0.0455212922173275</v>
      </c>
      <c r="FF78" s="0" t="n">
        <v>0.044</v>
      </c>
      <c r="FG78" s="0" t="n">
        <v>0.2356</v>
      </c>
      <c r="FH78" s="0" t="n">
        <v>2.396</v>
      </c>
      <c r="FI78" s="0" t="n">
        <v>1104</v>
      </c>
      <c r="FJ78" s="0" t="n">
        <v>0.593297101449275</v>
      </c>
      <c r="FK78" s="0" t="n">
        <v>17</v>
      </c>
      <c r="FL78" s="0" t="n">
        <v>64.94</v>
      </c>
      <c r="FM78" s="0" t="n">
        <v>0.5628</v>
      </c>
      <c r="FN78" s="0" t="n">
        <v>0.4372</v>
      </c>
      <c r="FO78" s="0" t="n">
        <v>-0.0098</v>
      </c>
      <c r="FP78" s="0" t="n">
        <v>0.005</v>
      </c>
      <c r="FQ78" s="0" t="n">
        <v>0.1615</v>
      </c>
      <c r="FR78" s="0" t="n">
        <v>36</v>
      </c>
      <c r="FS78" s="0" t="n">
        <v>65</v>
      </c>
      <c r="FT78" s="0" t="n">
        <v>3.82</v>
      </c>
      <c r="FU78" s="0" t="n">
        <v>27.7</v>
      </c>
      <c r="FV78" s="0" t="n">
        <v>5938</v>
      </c>
      <c r="FW78" s="0" t="n">
        <v>5037</v>
      </c>
      <c r="FX78" s="0" t="n">
        <v>0.848</v>
      </c>
      <c r="FY78" s="0" t="n">
        <v>5</v>
      </c>
      <c r="FZ78" s="0" t="n">
        <v>5</v>
      </c>
      <c r="GA78" s="0" t="n">
        <v>0.642644133012613</v>
      </c>
      <c r="GB78" s="0" t="n">
        <v>61.6</v>
      </c>
      <c r="GC78" s="0" t="n">
        <v>62.2</v>
      </c>
      <c r="GD78" s="0" t="n">
        <v>65.1</v>
      </c>
      <c r="GE78" s="0" t="n">
        <v>607</v>
      </c>
      <c r="GF78" s="0" t="n">
        <v>465</v>
      </c>
      <c r="GG78" s="0" t="n">
        <v>34</v>
      </c>
      <c r="GH78" s="0" t="n">
        <v>0</v>
      </c>
      <c r="GI78" s="0" t="n">
        <v>187</v>
      </c>
      <c r="GJ78" s="0" t="n">
        <v>4</v>
      </c>
      <c r="GK78" s="0" t="n">
        <v>0.056</v>
      </c>
      <c r="GL78" s="0" t="n">
        <v>0</v>
      </c>
      <c r="GM78" s="0" t="n">
        <v>0.021</v>
      </c>
      <c r="GN78" s="0" t="n">
        <v>18.458</v>
      </c>
      <c r="GO78" s="0" t="n">
        <v>18.458</v>
      </c>
      <c r="GP78" s="0" t="n">
        <v>18.458</v>
      </c>
      <c r="GQ78" s="0" t="n">
        <v>0</v>
      </c>
      <c r="GR78" s="0" t="n">
        <v>3.118</v>
      </c>
      <c r="GS78" s="0" t="n">
        <v>53</v>
      </c>
      <c r="GT78" s="0" t="n">
        <v>5.92</v>
      </c>
      <c r="GU78" s="0" t="n">
        <v>0.276</v>
      </c>
      <c r="GY78" s="0" t="n">
        <v>3.34</v>
      </c>
      <c r="HC78" s="0" t="n">
        <v>0.038</v>
      </c>
      <c r="HD78" s="0" t="n">
        <v>-0.178</v>
      </c>
      <c r="HG78" s="0" t="n">
        <v>80.01</v>
      </c>
      <c r="HH78" s="0" t="n">
        <v>12.87</v>
      </c>
      <c r="HI78" s="0" t="n">
        <v>37</v>
      </c>
      <c r="HJ78" s="0" t="n">
        <v>108</v>
      </c>
      <c r="HK78" s="0" t="s">
        <v>909</v>
      </c>
      <c r="HL78" s="0" t="n">
        <v>0</v>
      </c>
      <c r="HM78" s="0" t="n">
        <v>6</v>
      </c>
      <c r="HN78" s="0" t="n">
        <v>10</v>
      </c>
      <c r="HO78" s="0" t="n">
        <v>0.126</v>
      </c>
      <c r="HP78" s="0" t="n">
        <v>9</v>
      </c>
      <c r="HQ78" s="0" t="n">
        <v>-0.005</v>
      </c>
      <c r="HR78" s="0" t="s">
        <v>102</v>
      </c>
    </row>
    <row r="79" customFormat="false" ht="15" hidden="false" customHeight="false" outlineLevel="0" collapsed="false">
      <c r="A79" s="0" t="s">
        <v>896</v>
      </c>
      <c r="B79" s="0" t="s">
        <v>897</v>
      </c>
      <c r="C79" s="0" t="s">
        <v>898</v>
      </c>
      <c r="D79" s="0" t="s">
        <v>295</v>
      </c>
      <c r="E79" s="0" t="n">
        <v>18705</v>
      </c>
      <c r="F79" s="0" t="s">
        <v>104</v>
      </c>
      <c r="G79" s="0" t="n">
        <v>81.52</v>
      </c>
      <c r="H79" s="0" t="n">
        <v>8.37</v>
      </c>
      <c r="I79" s="0" t="n">
        <v>58</v>
      </c>
      <c r="J79" s="0" t="n">
        <v>102</v>
      </c>
      <c r="L79" s="0" t="s">
        <v>1351</v>
      </c>
      <c r="O79" s="0" t="n">
        <v>86.5</v>
      </c>
      <c r="U79" s="0" t="n">
        <v>9</v>
      </c>
      <c r="V79" s="0" t="s">
        <v>295</v>
      </c>
      <c r="W79" s="0" t="s">
        <v>901</v>
      </c>
      <c r="X79" s="0" t="s">
        <v>265</v>
      </c>
      <c r="Y79" s="0" t="s">
        <v>1352</v>
      </c>
      <c r="Z79" s="0" t="n">
        <v>18705</v>
      </c>
      <c r="AA79" s="0" t="s">
        <v>1353</v>
      </c>
      <c r="AB79" s="0" t="s">
        <v>904</v>
      </c>
      <c r="AC79" s="0" t="s">
        <v>265</v>
      </c>
      <c r="AD79" s="0" t="s">
        <v>265</v>
      </c>
      <c r="AE79" s="0" t="s">
        <v>265</v>
      </c>
      <c r="AF79" s="0" t="s">
        <v>265</v>
      </c>
      <c r="AG79" s="0" t="s">
        <v>265</v>
      </c>
      <c r="AH79" s="0" t="s">
        <v>905</v>
      </c>
      <c r="AI79" s="0" t="n">
        <v>1</v>
      </c>
      <c r="AJ79" s="0" t="s">
        <v>104</v>
      </c>
      <c r="AK79" s="0" t="n">
        <v>78</v>
      </c>
      <c r="AL79" s="0" t="n">
        <v>28</v>
      </c>
      <c r="AM79" s="0" t="s">
        <v>296</v>
      </c>
      <c r="AN79" s="0" t="n">
        <v>0</v>
      </c>
      <c r="AO79" s="0" t="n">
        <v>0</v>
      </c>
      <c r="AP79" s="0" t="n">
        <v>0</v>
      </c>
      <c r="AQ79" s="0" t="n">
        <v>0</v>
      </c>
      <c r="AR79" s="0" t="n">
        <v>0</v>
      </c>
      <c r="AS79" s="0" t="n">
        <v>0</v>
      </c>
      <c r="AT79" s="0" t="n">
        <v>0</v>
      </c>
      <c r="AU79" s="0" t="n">
        <v>0</v>
      </c>
      <c r="AV79" s="0" t="n">
        <v>0</v>
      </c>
      <c r="AW79" s="0" t="n">
        <v>242</v>
      </c>
      <c r="AX79" s="0" t="n">
        <v>1082</v>
      </c>
      <c r="AY79" s="0" t="n">
        <v>5</v>
      </c>
      <c r="AZ79" s="0" t="n">
        <v>48</v>
      </c>
      <c r="BA79" s="0" t="n">
        <v>-21.6942865704633</v>
      </c>
      <c r="BB79" s="0" t="n">
        <v>2</v>
      </c>
      <c r="BC79" s="0" t="n">
        <v>33</v>
      </c>
      <c r="BD79" s="0" t="n">
        <v>41</v>
      </c>
      <c r="BE79" s="0" t="n">
        <v>206</v>
      </c>
      <c r="BF79" s="0" t="n">
        <v>0</v>
      </c>
      <c r="BG79" s="0" t="n">
        <v>12</v>
      </c>
      <c r="BH79" s="0" t="n">
        <v>203</v>
      </c>
      <c r="BI79" s="0" t="n">
        <v>11</v>
      </c>
      <c r="BJ79" s="0" t="n">
        <v>-11.8271716792167</v>
      </c>
      <c r="BK79" s="0" t="n">
        <v>1</v>
      </c>
      <c r="BL79" s="0" t="n">
        <v>0</v>
      </c>
      <c r="BM79" s="0" t="n">
        <v>152.8</v>
      </c>
      <c r="BN79" s="0" t="n">
        <v>185.8</v>
      </c>
      <c r="BO79" s="0" t="n">
        <v>17</v>
      </c>
      <c r="BP79" s="0" t="s">
        <v>265</v>
      </c>
      <c r="BQ79" s="0" t="n">
        <v>1</v>
      </c>
      <c r="BR79" s="0" t="n">
        <v>169.3</v>
      </c>
      <c r="BS79" s="0" t="n">
        <v>0.0774</v>
      </c>
      <c r="BT79" s="0" t="n">
        <v>0.6402</v>
      </c>
      <c r="BU79" s="0" t="n">
        <v>0.0031</v>
      </c>
      <c r="BV79" s="0" t="n">
        <v>0.0774</v>
      </c>
      <c r="BW79" s="0" t="n">
        <v>0.6402</v>
      </c>
      <c r="BX79" s="0" t="n">
        <v>0.0031</v>
      </c>
      <c r="BY79" s="0" t="n">
        <v>0.1183</v>
      </c>
      <c r="BZ79" s="0" t="n">
        <v>17</v>
      </c>
      <c r="CA79" s="0" t="n">
        <v>7.8</v>
      </c>
      <c r="CB79" s="0" t="n">
        <v>14.44</v>
      </c>
      <c r="CC79" s="0" t="n">
        <v>9.5</v>
      </c>
      <c r="CD79" s="0" t="n">
        <v>5.62</v>
      </c>
      <c r="CE79" s="0" t="n">
        <v>2</v>
      </c>
      <c r="CF79" s="0" t="n">
        <v>0</v>
      </c>
      <c r="CG79" s="0" t="n">
        <v>17</v>
      </c>
      <c r="CH79" s="0" t="n">
        <v>0.118</v>
      </c>
      <c r="CI79" s="0" t="n">
        <v>0</v>
      </c>
      <c r="CJ79" s="0" t="n">
        <v>0.592</v>
      </c>
      <c r="CK79" s="0" t="n">
        <v>1</v>
      </c>
      <c r="CL79" s="0" t="n">
        <v>0</v>
      </c>
      <c r="CM79" s="0" t="n">
        <v>0</v>
      </c>
      <c r="CN79" s="0" t="n">
        <v>0</v>
      </c>
      <c r="CO79" s="0" t="n">
        <v>0.768679870570365</v>
      </c>
      <c r="CP79" s="0" t="n">
        <v>19</v>
      </c>
      <c r="CQ79" s="0" t="n">
        <v>12</v>
      </c>
      <c r="CR79" s="0" t="n">
        <v>4</v>
      </c>
      <c r="CS79" s="0" t="n">
        <v>5</v>
      </c>
      <c r="CT79" s="0" t="n">
        <v>4.80606674785782</v>
      </c>
      <c r="CU79" s="0" t="n">
        <v>20</v>
      </c>
      <c r="CV79" s="0" t="n">
        <v>12</v>
      </c>
      <c r="CW79" s="0" t="n">
        <v>4</v>
      </c>
      <c r="CX79" s="0" t="n">
        <v>5</v>
      </c>
      <c r="CY79" s="0" t="n">
        <v>5.57</v>
      </c>
      <c r="CZ79" s="0" t="n">
        <v>-0.57</v>
      </c>
      <c r="DG79" s="0" t="n">
        <v>3.74306839186691</v>
      </c>
      <c r="DH79" s="0" t="n">
        <v>23.1404958677686</v>
      </c>
      <c r="DI79" s="0" t="n">
        <v>2.87645982142857</v>
      </c>
      <c r="DJ79" s="0" t="n">
        <v>112.721393286947</v>
      </c>
      <c r="DK79" s="0" t="n">
        <v>0.467723623597291</v>
      </c>
      <c r="DL79" s="0" t="n">
        <v>0.402489626556017</v>
      </c>
      <c r="DM79" s="0" t="s">
        <v>1354</v>
      </c>
      <c r="DN79" s="0" t="n">
        <v>242</v>
      </c>
      <c r="DO79" s="0" t="n">
        <v>16</v>
      </c>
      <c r="DP79" s="0" t="n">
        <v>2.645</v>
      </c>
      <c r="DQ79" s="0" t="n">
        <v>1.826</v>
      </c>
      <c r="DR79" s="0" t="n">
        <v>15.12</v>
      </c>
      <c r="DS79" s="0" t="n">
        <v>41</v>
      </c>
      <c r="DT79" s="0" t="n">
        <v>2</v>
      </c>
      <c r="DU79" s="0" t="n">
        <v>2</v>
      </c>
      <c r="DV79" s="0" t="n">
        <v>0.091</v>
      </c>
      <c r="DW79" s="0" t="n">
        <v>6.152</v>
      </c>
      <c r="DX79" s="0" t="n">
        <v>0.3</v>
      </c>
      <c r="DY79" s="0" t="n">
        <v>0.0488</v>
      </c>
      <c r="DZ79" s="0" t="n">
        <v>657</v>
      </c>
      <c r="EA79" s="0" t="n">
        <v>0.625</v>
      </c>
      <c r="EB79" s="0" t="n">
        <v>17</v>
      </c>
      <c r="EC79" s="0" t="s">
        <v>1355</v>
      </c>
      <c r="ED79" s="0" t="n">
        <v>2019</v>
      </c>
      <c r="EE79" s="0" t="n">
        <v>4</v>
      </c>
      <c r="EF79" s="0" t="n">
        <v>128</v>
      </c>
      <c r="EG79" s="0" t="n">
        <v>2019</v>
      </c>
      <c r="EH79" s="0" t="n">
        <v>2026</v>
      </c>
      <c r="EI79" s="0" t="n">
        <v>8</v>
      </c>
      <c r="EJ79" s="0" t="n">
        <v>72</v>
      </c>
      <c r="EK79" s="0" t="n">
        <v>209</v>
      </c>
      <c r="EL79" s="0" t="s">
        <v>1356</v>
      </c>
      <c r="EM79" s="0" t="n">
        <v>29.3</v>
      </c>
      <c r="EN79" s="15" t="b">
        <f aca="false">FALSE()</f>
        <v>0</v>
      </c>
      <c r="EO79" s="0" t="n">
        <v>328</v>
      </c>
      <c r="EP79" s="0" t="n">
        <v>3.01463414634146</v>
      </c>
      <c r="EQ79" s="0" t="n">
        <v>0.161585365853659</v>
      </c>
      <c r="ER79" s="0" t="n">
        <v>1.14634146341463</v>
      </c>
      <c r="ES79" s="0" t="n">
        <v>0.692073170731707</v>
      </c>
      <c r="ET79" s="0" t="n">
        <v>30</v>
      </c>
      <c r="EU79" s="0" t="n">
        <v>20</v>
      </c>
      <c r="EV79" s="0" t="n">
        <v>4.30487804878049</v>
      </c>
      <c r="EW79" s="0" t="n">
        <v>0.666666666666667</v>
      </c>
      <c r="EX79" s="0" t="n">
        <v>2.87769409187475</v>
      </c>
      <c r="EY79" s="0" t="n">
        <v>3.085</v>
      </c>
      <c r="EZ79" s="0" t="n">
        <v>0.1549</v>
      </c>
      <c r="FA79" s="0" t="n">
        <v>2.54</v>
      </c>
      <c r="FB79" s="0" t="n">
        <v>1.664</v>
      </c>
      <c r="FC79" s="0" t="n">
        <v>24</v>
      </c>
      <c r="FD79" s="0" t="n">
        <v>646</v>
      </c>
      <c r="FE79" s="0" t="n">
        <v>0.086687306501548</v>
      </c>
      <c r="FF79" s="0" t="n">
        <v>0.0872</v>
      </c>
      <c r="FG79" s="0" t="n">
        <v>0.3175</v>
      </c>
      <c r="FH79" s="0" t="n">
        <v>2.389</v>
      </c>
      <c r="FI79" s="0" t="n">
        <v>995</v>
      </c>
      <c r="FJ79" s="0" t="n">
        <v>0.626130653266332</v>
      </c>
      <c r="FK79" s="0" t="n">
        <v>17</v>
      </c>
      <c r="FL79" s="0" t="n">
        <v>58.53</v>
      </c>
      <c r="FM79" s="0" t="n">
        <v>0.5401</v>
      </c>
      <c r="FN79" s="0" t="n">
        <v>0.4599</v>
      </c>
      <c r="FO79" s="0" t="n">
        <v>-0.0385</v>
      </c>
      <c r="FP79" s="0" t="n">
        <v>-0.0573</v>
      </c>
      <c r="FQ79" s="0" t="n">
        <v>-0.2208</v>
      </c>
      <c r="FR79" s="0" t="n">
        <v>40</v>
      </c>
      <c r="FS79" s="0" t="n">
        <v>35</v>
      </c>
      <c r="FT79" s="0" t="n">
        <v>2.06</v>
      </c>
      <c r="FU79" s="0" t="n">
        <v>16.7</v>
      </c>
      <c r="FV79" s="0" t="n">
        <v>5402</v>
      </c>
      <c r="FW79" s="0" t="n">
        <v>2848</v>
      </c>
      <c r="FX79" s="0" t="n">
        <v>0.527</v>
      </c>
      <c r="FY79" s="0" t="n">
        <v>5</v>
      </c>
      <c r="FZ79" s="0" t="n">
        <v>3</v>
      </c>
      <c r="GA79" s="0" t="n">
        <v>0.463456652097505</v>
      </c>
      <c r="GB79" s="0" t="n">
        <v>58.4</v>
      </c>
      <c r="GC79" s="0" t="n">
        <v>27.6</v>
      </c>
      <c r="GD79" s="0" t="n">
        <v>41.1</v>
      </c>
      <c r="GE79" s="0" t="n">
        <v>530</v>
      </c>
      <c r="GF79" s="0" t="n">
        <v>378</v>
      </c>
      <c r="GG79" s="0" t="n">
        <v>152</v>
      </c>
      <c r="GH79" s="0" t="n">
        <v>0</v>
      </c>
      <c r="GI79" s="0" t="n">
        <v>93</v>
      </c>
      <c r="GJ79" s="0" t="n">
        <v>8</v>
      </c>
      <c r="GK79" s="0" t="n">
        <v>0.287</v>
      </c>
      <c r="GL79" s="0" t="n">
        <v>0</v>
      </c>
      <c r="GM79" s="0" t="n">
        <v>0.086</v>
      </c>
      <c r="GN79" s="0" t="n">
        <v>10.929</v>
      </c>
      <c r="GO79" s="0" t="n">
        <v>9.959</v>
      </c>
      <c r="GP79" s="0" t="n">
        <v>8.988</v>
      </c>
      <c r="GQ79" s="0" t="n">
        <v>2.412</v>
      </c>
      <c r="GR79" s="0" t="n">
        <v>14.235</v>
      </c>
      <c r="GS79" s="0" t="n">
        <v>283</v>
      </c>
      <c r="GT79" s="0" t="n">
        <v>0.657</v>
      </c>
      <c r="GU79" s="0" t="n">
        <v>0.283</v>
      </c>
      <c r="GV79" s="0" t="n">
        <v>5.024</v>
      </c>
      <c r="GW79" s="0" t="n">
        <v>6.242</v>
      </c>
      <c r="GX79" s="0" t="n">
        <v>0.805</v>
      </c>
      <c r="GY79" s="0" t="n">
        <v>4.471</v>
      </c>
      <c r="GZ79" s="0" t="n">
        <v>0.293</v>
      </c>
      <c r="HA79" s="0" t="n">
        <v>6.152</v>
      </c>
      <c r="HB79" s="0" t="n">
        <v>17.167</v>
      </c>
      <c r="HC79" s="0" t="n">
        <v>0.018</v>
      </c>
      <c r="HD79" s="0" t="n">
        <v>-0.09</v>
      </c>
      <c r="HE79" s="0" t="n">
        <v>-0.288</v>
      </c>
      <c r="HG79" s="0" t="n">
        <v>81.52</v>
      </c>
      <c r="HH79" s="0" t="n">
        <v>8.37</v>
      </c>
      <c r="HI79" s="0" t="n">
        <v>58</v>
      </c>
      <c r="HJ79" s="0" t="n">
        <v>102</v>
      </c>
      <c r="HK79" s="0" t="s">
        <v>909</v>
      </c>
      <c r="HL79" s="0" t="n">
        <v>0</v>
      </c>
      <c r="HM79" s="0" t="n">
        <v>23</v>
      </c>
      <c r="HN79" s="0" t="n">
        <v>28</v>
      </c>
      <c r="HO79" s="0" t="n">
        <v>0.019</v>
      </c>
      <c r="HP79" s="0" t="n">
        <v>31</v>
      </c>
      <c r="HQ79" s="0" t="n">
        <v>-0.332</v>
      </c>
      <c r="HR79" s="0" t="s">
        <v>102</v>
      </c>
    </row>
    <row r="80" customFormat="false" ht="15" hidden="false" customHeight="false" outlineLevel="0" collapsed="false">
      <c r="A80" s="0" t="s">
        <v>896</v>
      </c>
      <c r="B80" s="0" t="s">
        <v>897</v>
      </c>
      <c r="C80" s="0" t="s">
        <v>898</v>
      </c>
      <c r="D80" s="0" t="s">
        <v>297</v>
      </c>
      <c r="E80" s="0" t="n">
        <v>16406</v>
      </c>
      <c r="F80" s="0" t="s">
        <v>99</v>
      </c>
      <c r="G80" s="0" t="n">
        <v>81.74</v>
      </c>
      <c r="H80" s="0" t="n">
        <v>12.65</v>
      </c>
      <c r="I80" s="0" t="n">
        <v>51</v>
      </c>
      <c r="J80" s="0" t="n">
        <v>123</v>
      </c>
      <c r="L80" s="0" t="s">
        <v>1357</v>
      </c>
      <c r="O80" s="0" t="n">
        <v>80</v>
      </c>
      <c r="U80" s="0" t="n">
        <v>10</v>
      </c>
      <c r="V80" s="0" t="s">
        <v>1358</v>
      </c>
      <c r="W80" s="0" t="s">
        <v>901</v>
      </c>
      <c r="X80" s="0" t="s">
        <v>1111</v>
      </c>
      <c r="Y80" s="0" t="s">
        <v>1359</v>
      </c>
      <c r="Z80" s="0" t="n">
        <v>16406</v>
      </c>
      <c r="AA80" s="0" t="s">
        <v>1360</v>
      </c>
      <c r="AB80" s="0" t="s">
        <v>904</v>
      </c>
      <c r="AC80" s="0" t="s">
        <v>198</v>
      </c>
      <c r="AD80" s="0" t="s">
        <v>198</v>
      </c>
      <c r="AE80" s="0" t="s">
        <v>198</v>
      </c>
      <c r="AF80" s="0" t="s">
        <v>198</v>
      </c>
      <c r="AG80" s="0" t="s">
        <v>198</v>
      </c>
      <c r="AH80" s="0" t="s">
        <v>905</v>
      </c>
      <c r="AI80" s="0" t="n">
        <v>2</v>
      </c>
      <c r="AJ80" s="0" t="s">
        <v>99</v>
      </c>
      <c r="AK80" s="0" t="n">
        <v>79</v>
      </c>
      <c r="AL80" s="0" t="n">
        <v>35</v>
      </c>
      <c r="AM80" s="0" t="s">
        <v>298</v>
      </c>
      <c r="AN80" s="0" t="n">
        <v>0</v>
      </c>
      <c r="AO80" s="0" t="n">
        <v>0</v>
      </c>
      <c r="AP80" s="0" t="n">
        <v>0</v>
      </c>
      <c r="AQ80" s="0" t="n">
        <v>0</v>
      </c>
      <c r="AR80" s="0" t="n">
        <v>0</v>
      </c>
      <c r="AS80" s="0" t="n">
        <v>0</v>
      </c>
      <c r="AT80" s="0" t="n">
        <v>0</v>
      </c>
      <c r="AU80" s="0" t="n">
        <v>0</v>
      </c>
      <c r="AV80" s="0" t="n">
        <v>0</v>
      </c>
      <c r="AW80" s="0" t="n">
        <v>0</v>
      </c>
      <c r="AX80" s="0" t="n">
        <v>0</v>
      </c>
      <c r="AY80" s="0" t="n">
        <v>0</v>
      </c>
      <c r="AZ80" s="0" t="n">
        <v>0</v>
      </c>
      <c r="BA80" s="0" t="n">
        <v>0</v>
      </c>
      <c r="BB80" s="0" t="n">
        <v>0</v>
      </c>
      <c r="BC80" s="0" t="n">
        <v>33</v>
      </c>
      <c r="BD80" s="0" t="n">
        <v>51</v>
      </c>
      <c r="BE80" s="0" t="n">
        <v>360</v>
      </c>
      <c r="BF80" s="0" t="n">
        <v>2</v>
      </c>
      <c r="BG80" s="0" t="n">
        <v>361</v>
      </c>
      <c r="BH80" s="0" t="n">
        <v>206</v>
      </c>
      <c r="BI80" s="0" t="n">
        <v>21</v>
      </c>
      <c r="BJ80" s="0" t="n">
        <v>14.7000971803238</v>
      </c>
      <c r="BK80" s="0" t="n">
        <v>0</v>
      </c>
      <c r="BL80" s="0" t="n">
        <v>0</v>
      </c>
      <c r="BM80" s="0" t="n">
        <v>50</v>
      </c>
      <c r="BN80" s="0" t="n">
        <v>83</v>
      </c>
      <c r="BO80" s="0" t="n">
        <v>9</v>
      </c>
      <c r="BP80" s="0" t="s">
        <v>198</v>
      </c>
      <c r="BQ80" s="0" t="n">
        <v>1</v>
      </c>
      <c r="BR80" s="0" t="n">
        <v>66.5</v>
      </c>
      <c r="BS80" s="0" t="n">
        <v>0.0943</v>
      </c>
      <c r="BT80" s="0" t="n">
        <v>0</v>
      </c>
      <c r="BU80" s="0" t="n">
        <v>0.0832</v>
      </c>
      <c r="BV80" s="0" t="n">
        <v>0.1828</v>
      </c>
      <c r="BW80" s="0" t="n">
        <v>0</v>
      </c>
      <c r="BX80" s="0" t="n">
        <v>0.1682</v>
      </c>
      <c r="BY80" s="0" t="n">
        <v>0.3919</v>
      </c>
      <c r="BZ80" s="0" t="n">
        <v>9</v>
      </c>
      <c r="CA80" s="0" t="n">
        <v>5.6</v>
      </c>
      <c r="CB80" s="0" t="n">
        <v>13.36</v>
      </c>
      <c r="CC80" s="0" t="n">
        <v>8</v>
      </c>
      <c r="CD80" s="0" t="n">
        <v>6.73</v>
      </c>
      <c r="CE80" s="0" t="n">
        <v>1</v>
      </c>
      <c r="CF80" s="0" t="n">
        <v>0</v>
      </c>
      <c r="CG80" s="0" t="n">
        <v>9</v>
      </c>
      <c r="CH80" s="0" t="n">
        <v>0.111</v>
      </c>
      <c r="CI80" s="0" t="n">
        <v>0</v>
      </c>
      <c r="CJ80" s="0" t="n">
        <v>0.841</v>
      </c>
      <c r="CK80" s="0" t="n">
        <v>7</v>
      </c>
      <c r="CL80" s="0" t="n">
        <v>5</v>
      </c>
      <c r="CM80" s="0" t="n">
        <v>2</v>
      </c>
      <c r="CN80" s="0" t="n">
        <v>2</v>
      </c>
      <c r="CO80" s="0" t="n">
        <v>2.75343604562136</v>
      </c>
      <c r="CP80" s="0" t="n">
        <v>0</v>
      </c>
      <c r="CQ80" s="0" t="n">
        <v>0</v>
      </c>
      <c r="CR80" s="0" t="n">
        <v>0</v>
      </c>
      <c r="CS80" s="0" t="n">
        <v>0</v>
      </c>
      <c r="CT80" s="0" t="n">
        <v>0</v>
      </c>
      <c r="CU80" s="0" t="n">
        <v>7</v>
      </c>
      <c r="CV80" s="0" t="n">
        <v>5</v>
      </c>
      <c r="CW80" s="0" t="n">
        <v>2</v>
      </c>
      <c r="CX80" s="0" t="n">
        <v>2</v>
      </c>
      <c r="CY80" s="0" t="n">
        <v>2.75</v>
      </c>
      <c r="CZ80" s="0" t="n">
        <v>-0.75</v>
      </c>
      <c r="DA80" s="0" t="n">
        <v>2.81786294099097</v>
      </c>
      <c r="DB80" s="0" t="n">
        <v>6.59708333333333</v>
      </c>
      <c r="DC80" s="0" t="n">
        <v>7.82</v>
      </c>
      <c r="DD80" s="0" t="n">
        <v>9.14066475061538</v>
      </c>
      <c r="DE80" s="0" t="n">
        <v>2.19816314197396</v>
      </c>
      <c r="DF80" s="0" t="n">
        <v>64.7058823529412</v>
      </c>
      <c r="DM80" s="0" t="s">
        <v>1361</v>
      </c>
      <c r="DS80" s="0" t="n">
        <v>51</v>
      </c>
      <c r="DT80" s="0" t="n">
        <v>4</v>
      </c>
      <c r="DU80" s="0" t="n">
        <v>1</v>
      </c>
      <c r="DV80" s="0" t="n">
        <v>4.667</v>
      </c>
      <c r="DW80" s="0" t="n">
        <v>6.242</v>
      </c>
      <c r="DX80" s="0" t="n">
        <v>7</v>
      </c>
      <c r="DY80" s="0" t="n">
        <v>0.0196</v>
      </c>
      <c r="DZ80" s="0" t="n">
        <v>428</v>
      </c>
      <c r="EA80" s="0" t="n">
        <v>0.709</v>
      </c>
      <c r="EB80" s="0" t="n">
        <v>9</v>
      </c>
      <c r="EC80" s="0" t="s">
        <v>1362</v>
      </c>
      <c r="ED80" s="0" t="n">
        <v>2017</v>
      </c>
      <c r="EE80" s="0" t="n">
        <v>3</v>
      </c>
      <c r="EF80" s="0" t="n">
        <v>84</v>
      </c>
      <c r="EG80" s="0" t="n">
        <v>2017</v>
      </c>
      <c r="EH80" s="0" t="n">
        <v>2026</v>
      </c>
      <c r="EI80" s="0" t="n">
        <v>10</v>
      </c>
      <c r="EJ80" s="0" t="n">
        <v>73</v>
      </c>
      <c r="EK80" s="0" t="n">
        <v>209</v>
      </c>
      <c r="EL80" s="0" t="s">
        <v>1063</v>
      </c>
      <c r="EM80" s="0" t="n">
        <v>30.5</v>
      </c>
      <c r="EN80" s="15" t="b">
        <f aca="false">FALSE()</f>
        <v>0</v>
      </c>
      <c r="EO80" s="0" t="n">
        <v>398</v>
      </c>
      <c r="EP80" s="0" t="n">
        <v>2.76407035175879</v>
      </c>
      <c r="EQ80" s="0" t="n">
        <v>0.183417085427136</v>
      </c>
      <c r="ER80" s="0" t="n">
        <v>1.05276381909548</v>
      </c>
      <c r="ES80" s="0" t="n">
        <v>0.42462311557789</v>
      </c>
      <c r="ET80" s="0" t="n">
        <v>48</v>
      </c>
      <c r="EU80" s="0" t="n">
        <v>34</v>
      </c>
      <c r="EV80" s="0" t="n">
        <v>3.76130653266332</v>
      </c>
      <c r="EW80" s="0" t="n">
        <v>0.708333333333333</v>
      </c>
      <c r="EX80" s="0" t="n">
        <v>2.97696363334511</v>
      </c>
      <c r="EY80" s="0" t="n">
        <v>2.736</v>
      </c>
      <c r="EZ80" s="0" t="n">
        <v>0.1938</v>
      </c>
      <c r="FA80" s="0" t="n">
        <v>2.699</v>
      </c>
      <c r="FB80" s="0" t="n">
        <v>1.426</v>
      </c>
      <c r="FC80" s="0" t="n">
        <v>31</v>
      </c>
      <c r="FD80" s="0" t="n">
        <v>638</v>
      </c>
      <c r="FE80" s="0" t="n">
        <v>0.0595611285266458</v>
      </c>
      <c r="FF80" s="0" t="n">
        <v>0.0571</v>
      </c>
      <c r="FG80" s="0" t="n">
        <v>0.172</v>
      </c>
      <c r="FH80" s="0" t="n">
        <v>2.292</v>
      </c>
      <c r="FI80" s="0" t="n">
        <v>1065</v>
      </c>
      <c r="FJ80" s="0" t="n">
        <v>0.564319248826291</v>
      </c>
      <c r="FK80" s="0" t="n">
        <v>17</v>
      </c>
      <c r="FL80" s="0" t="n">
        <v>62.65</v>
      </c>
      <c r="FM80" s="0" t="n">
        <v>0.5148</v>
      </c>
      <c r="FN80" s="0" t="n">
        <v>0.4852</v>
      </c>
      <c r="FO80" s="0" t="n">
        <v>-0.0347</v>
      </c>
      <c r="FP80" s="0" t="n">
        <v>0.0138</v>
      </c>
      <c r="FQ80" s="0" t="n">
        <v>-0.0264</v>
      </c>
      <c r="FR80" s="0" t="n">
        <v>41</v>
      </c>
      <c r="FS80" s="0" t="n">
        <v>53</v>
      </c>
      <c r="FT80" s="0" t="n">
        <v>3.12</v>
      </c>
      <c r="FU80" s="0" t="n">
        <v>22.4</v>
      </c>
      <c r="FV80" s="0" t="n">
        <v>5692</v>
      </c>
      <c r="FW80" s="0" t="n">
        <v>4502</v>
      </c>
      <c r="FX80" s="0" t="n">
        <v>0.791</v>
      </c>
      <c r="FY80" s="0" t="n">
        <v>5</v>
      </c>
      <c r="FZ80" s="0" t="n">
        <v>4</v>
      </c>
      <c r="GA80" s="0" t="n">
        <v>-0.202503543001561</v>
      </c>
      <c r="GB80" s="0" t="n">
        <v>46.3</v>
      </c>
      <c r="GC80" s="0" t="n">
        <v>65.4</v>
      </c>
      <c r="GD80" s="0" t="n">
        <v>57.4</v>
      </c>
      <c r="GE80" s="0" t="n">
        <v>541</v>
      </c>
      <c r="GF80" s="0" t="n">
        <v>472</v>
      </c>
      <c r="GG80" s="0" t="n">
        <v>111</v>
      </c>
      <c r="GH80" s="0" t="n">
        <v>138</v>
      </c>
      <c r="GI80" s="0" t="n">
        <v>136</v>
      </c>
      <c r="GJ80" s="0" t="n">
        <v>38</v>
      </c>
      <c r="GK80" s="0" t="n">
        <v>0.205</v>
      </c>
      <c r="GL80" s="0" t="n">
        <v>0.292</v>
      </c>
      <c r="GM80" s="0" t="n">
        <v>0.279</v>
      </c>
      <c r="GN80" s="0" t="n">
        <v>9.222</v>
      </c>
      <c r="GO80" s="0" t="n">
        <v>7.389</v>
      </c>
      <c r="GP80" s="0" t="n">
        <v>5.556</v>
      </c>
      <c r="GQ80" s="0" t="n">
        <v>5.667</v>
      </c>
      <c r="GR80" s="0" t="n">
        <v>0</v>
      </c>
      <c r="GS80" s="0" t="n">
        <v>51</v>
      </c>
      <c r="GT80" s="0" t="n">
        <v>1.627</v>
      </c>
      <c r="GU80" s="0" t="n">
        <v>0.194</v>
      </c>
      <c r="GV80" s="0" t="n">
        <v>7.059</v>
      </c>
      <c r="GW80" s="0" t="n">
        <v>10.909</v>
      </c>
      <c r="GX80" s="0" t="n">
        <v>0.647</v>
      </c>
      <c r="GZ80" s="0" t="n">
        <v>7.078</v>
      </c>
      <c r="HA80" s="0" t="n">
        <v>6.242</v>
      </c>
      <c r="HB80" s="0" t="n">
        <v>0.997</v>
      </c>
      <c r="HC80" s="0" t="n">
        <v>0.039</v>
      </c>
      <c r="HE80" s="0" t="n">
        <v>0.288</v>
      </c>
      <c r="HG80" s="0" t="n">
        <v>81.74</v>
      </c>
      <c r="HH80" s="0" t="n">
        <v>12.65</v>
      </c>
      <c r="HI80" s="0" t="n">
        <v>51</v>
      </c>
      <c r="HJ80" s="0" t="n">
        <v>123</v>
      </c>
      <c r="HK80" s="0" t="s">
        <v>909</v>
      </c>
      <c r="HL80" s="0" t="n">
        <v>0</v>
      </c>
      <c r="HM80" s="0" t="n">
        <v>67</v>
      </c>
      <c r="HN80" s="0" t="n">
        <v>35</v>
      </c>
      <c r="HO80" s="0" t="n">
        <v>-1.661</v>
      </c>
      <c r="HP80" s="0" t="n">
        <v>51</v>
      </c>
      <c r="HQ80" s="0" t="n">
        <v>-0.961</v>
      </c>
      <c r="HR80" s="0" t="s">
        <v>165</v>
      </c>
    </row>
    <row r="81" customFormat="false" ht="15" hidden="false" customHeight="false" outlineLevel="0" collapsed="false">
      <c r="A81" s="0" t="s">
        <v>896</v>
      </c>
      <c r="B81" s="0" t="s">
        <v>897</v>
      </c>
      <c r="C81" s="0" t="s">
        <v>898</v>
      </c>
      <c r="D81" s="0" t="s">
        <v>299</v>
      </c>
      <c r="E81" s="0" t="n">
        <v>22726</v>
      </c>
      <c r="F81" s="0" t="s">
        <v>104</v>
      </c>
      <c r="G81" s="0" t="n">
        <v>81.99</v>
      </c>
      <c r="H81" s="0" t="n">
        <v>8.38</v>
      </c>
      <c r="I81" s="0" t="n">
        <v>65</v>
      </c>
      <c r="J81" s="0" t="n">
        <v>103</v>
      </c>
      <c r="L81" s="0" t="s">
        <v>1363</v>
      </c>
      <c r="O81" s="0" t="n">
        <v>85.6</v>
      </c>
      <c r="U81" s="0" t="n">
        <v>11</v>
      </c>
      <c r="V81" s="0" t="s">
        <v>299</v>
      </c>
      <c r="W81" s="0" t="s">
        <v>901</v>
      </c>
      <c r="X81" s="0" t="s">
        <v>972</v>
      </c>
      <c r="Y81" s="0" t="s">
        <v>1364</v>
      </c>
      <c r="Z81" s="0" t="n">
        <v>22726</v>
      </c>
      <c r="AA81" s="0" t="s">
        <v>1365</v>
      </c>
      <c r="AB81" s="0" t="s">
        <v>904</v>
      </c>
      <c r="AC81" s="0" t="s">
        <v>135</v>
      </c>
      <c r="AD81" s="0" t="s">
        <v>135</v>
      </c>
      <c r="AE81" s="0" t="s">
        <v>135</v>
      </c>
      <c r="AF81" s="0" t="s">
        <v>135</v>
      </c>
      <c r="AG81" s="0" t="s">
        <v>135</v>
      </c>
      <c r="AH81" s="0" t="s">
        <v>905</v>
      </c>
      <c r="AI81" s="0" t="n">
        <v>1</v>
      </c>
      <c r="AJ81" s="0" t="s">
        <v>104</v>
      </c>
      <c r="AK81" s="0" t="n">
        <v>80</v>
      </c>
      <c r="AL81" s="0" t="n">
        <v>29</v>
      </c>
      <c r="AM81" s="0" t="s">
        <v>300</v>
      </c>
      <c r="AN81" s="0" t="n">
        <v>0</v>
      </c>
      <c r="AO81" s="0" t="n">
        <v>0</v>
      </c>
      <c r="AP81" s="0" t="n">
        <v>0</v>
      </c>
      <c r="AQ81" s="0" t="n">
        <v>0</v>
      </c>
      <c r="AR81" s="0" t="n">
        <v>0</v>
      </c>
      <c r="AS81" s="0" t="n">
        <v>0</v>
      </c>
      <c r="AT81" s="0" t="n">
        <v>0</v>
      </c>
      <c r="AU81" s="0" t="n">
        <v>0</v>
      </c>
      <c r="AV81" s="0" t="n">
        <v>0</v>
      </c>
      <c r="AW81" s="0" t="n">
        <v>130</v>
      </c>
      <c r="AX81" s="0" t="n">
        <v>603</v>
      </c>
      <c r="AY81" s="0" t="n">
        <v>7</v>
      </c>
      <c r="AZ81" s="0" t="n">
        <v>29</v>
      </c>
      <c r="BA81" s="0" t="n">
        <v>-18.2762055825109</v>
      </c>
      <c r="BB81" s="0" t="n">
        <v>2</v>
      </c>
      <c r="BC81" s="0" t="n">
        <v>32</v>
      </c>
      <c r="BD81" s="0" t="n">
        <v>37</v>
      </c>
      <c r="BE81" s="0" t="n">
        <v>345</v>
      </c>
      <c r="BF81" s="0" t="n">
        <v>2</v>
      </c>
      <c r="BG81" s="0" t="n">
        <v>159</v>
      </c>
      <c r="BH81" s="0" t="n">
        <v>263</v>
      </c>
      <c r="BI81" s="0" t="n">
        <v>11</v>
      </c>
      <c r="BJ81" s="0" t="n">
        <v>13.0978004468668</v>
      </c>
      <c r="BK81" s="0" t="n">
        <v>1</v>
      </c>
      <c r="BL81" s="0" t="n">
        <v>0</v>
      </c>
      <c r="BM81" s="0" t="n">
        <v>146.8</v>
      </c>
      <c r="BN81" s="0" t="n">
        <v>178.8</v>
      </c>
      <c r="BO81" s="0" t="n">
        <v>14</v>
      </c>
      <c r="BP81" s="0" t="s">
        <v>135</v>
      </c>
      <c r="BQ81" s="0" t="n">
        <v>1</v>
      </c>
      <c r="BR81" s="0" t="n">
        <v>162.8</v>
      </c>
      <c r="BS81" s="0" t="n">
        <v>0.0768</v>
      </c>
      <c r="BT81" s="0" t="n">
        <v>0.2632</v>
      </c>
      <c r="BU81" s="0" t="n">
        <v>0.0355</v>
      </c>
      <c r="BV81" s="0" t="n">
        <v>0.0944</v>
      </c>
      <c r="BW81" s="0" t="n">
        <v>0.3194</v>
      </c>
      <c r="BX81" s="0" t="n">
        <v>0.0462</v>
      </c>
      <c r="BY81" s="0" t="n">
        <v>0.1739</v>
      </c>
      <c r="BZ81" s="0" t="n">
        <v>14</v>
      </c>
      <c r="CA81" s="0" t="n">
        <v>4.8</v>
      </c>
      <c r="CB81" s="0" t="n">
        <v>21.5</v>
      </c>
      <c r="CC81" s="0" t="n">
        <v>10.85</v>
      </c>
      <c r="CD81" s="0" t="n">
        <v>10.05</v>
      </c>
      <c r="CE81" s="0" t="n">
        <v>3</v>
      </c>
      <c r="CF81" s="0" t="n">
        <v>2</v>
      </c>
      <c r="CG81" s="0" t="n">
        <v>14</v>
      </c>
      <c r="CH81" s="0" t="n">
        <v>0.214</v>
      </c>
      <c r="CI81" s="0" t="n">
        <v>0.143</v>
      </c>
      <c r="CJ81" s="0" t="n">
        <v>0.927</v>
      </c>
      <c r="CK81" s="0" t="n">
        <v>5</v>
      </c>
      <c r="CL81" s="0" t="n">
        <v>0</v>
      </c>
      <c r="CM81" s="0" t="n">
        <v>0</v>
      </c>
      <c r="CN81" s="0" t="n">
        <v>2</v>
      </c>
      <c r="CO81" s="0" t="n">
        <v>1.32391227680894</v>
      </c>
      <c r="CP81" s="0" t="n">
        <v>26</v>
      </c>
      <c r="CQ81" s="0" t="n">
        <v>16</v>
      </c>
      <c r="CR81" s="0" t="n">
        <v>11</v>
      </c>
      <c r="CS81" s="0" t="n">
        <v>7</v>
      </c>
      <c r="CT81" s="0" t="n">
        <v>6.50228388998952</v>
      </c>
      <c r="CU81" s="0" t="n">
        <v>31</v>
      </c>
      <c r="CV81" s="0" t="n">
        <v>16</v>
      </c>
      <c r="CW81" s="0" t="n">
        <v>11</v>
      </c>
      <c r="CX81" s="0" t="n">
        <v>9</v>
      </c>
      <c r="CY81" s="0" t="n">
        <v>7.83</v>
      </c>
      <c r="CZ81" s="0" t="n">
        <v>1.17</v>
      </c>
      <c r="DG81" s="0" t="n">
        <v>3.5201824212272</v>
      </c>
      <c r="DH81" s="0" t="n">
        <v>31.5384615384615</v>
      </c>
      <c r="DI81" s="0" t="n">
        <v>2.68231578947368</v>
      </c>
      <c r="DJ81" s="0" t="n">
        <v>175.631692656389</v>
      </c>
      <c r="DK81" s="0" t="n">
        <v>1.36148598958441</v>
      </c>
      <c r="DL81" s="0" t="n">
        <v>0.449612403100775</v>
      </c>
      <c r="DM81" s="0" t="s">
        <v>1366</v>
      </c>
      <c r="DN81" s="0" t="n">
        <v>130</v>
      </c>
      <c r="DO81" s="0" t="n">
        <v>16</v>
      </c>
      <c r="DP81" s="0" t="n">
        <v>1.869</v>
      </c>
      <c r="DQ81" s="0" t="n">
        <v>2.769</v>
      </c>
      <c r="DR81" s="0" t="n">
        <v>8.12</v>
      </c>
      <c r="DS81" s="0" t="n">
        <v>37</v>
      </c>
      <c r="DT81" s="0" t="n">
        <v>0</v>
      </c>
      <c r="DU81" s="0" t="n">
        <v>0</v>
      </c>
      <c r="DV81" s="0" t="n">
        <v>2.562</v>
      </c>
      <c r="DW81" s="0" t="n">
        <v>8.219</v>
      </c>
      <c r="DX81" s="0" t="n">
        <v>4.3</v>
      </c>
      <c r="DY81" s="0" t="n">
        <v>0</v>
      </c>
      <c r="DZ81" s="0" t="n">
        <v>533</v>
      </c>
      <c r="EA81" s="0" t="n">
        <v>0.594</v>
      </c>
      <c r="EB81" s="0" t="n">
        <v>14</v>
      </c>
      <c r="EC81" s="0" t="s">
        <v>1367</v>
      </c>
      <c r="ED81" s="0" t="n">
        <v>2021</v>
      </c>
      <c r="EE81" s="0" t="n">
        <v>4</v>
      </c>
      <c r="EF81" s="0" t="n">
        <v>120</v>
      </c>
      <c r="EG81" s="0" t="n">
        <v>2021</v>
      </c>
      <c r="EH81" s="0" t="n">
        <v>2026</v>
      </c>
      <c r="EI81" s="0" t="n">
        <v>6</v>
      </c>
      <c r="EJ81" s="0" t="n">
        <v>72</v>
      </c>
      <c r="EK81" s="0" t="n">
        <v>227</v>
      </c>
      <c r="EL81" s="0" t="s">
        <v>1368</v>
      </c>
      <c r="EM81" s="0" t="n">
        <v>28.5</v>
      </c>
      <c r="EN81" s="15" t="b">
        <f aca="false">FALSE()</f>
        <v>0</v>
      </c>
      <c r="EO81" s="0" t="n">
        <v>371</v>
      </c>
      <c r="EP81" s="0" t="n">
        <v>2.77951482479784</v>
      </c>
      <c r="EQ81" s="0" t="n">
        <v>0.194070080862534</v>
      </c>
      <c r="ER81" s="0" t="n">
        <v>1.19676549865229</v>
      </c>
      <c r="ES81" s="0" t="n">
        <v>1.20485175202156</v>
      </c>
      <c r="ET81" s="0" t="n">
        <v>33</v>
      </c>
      <c r="EU81" s="0" t="n">
        <v>19</v>
      </c>
      <c r="EV81" s="0" t="n">
        <v>4.63072776280323</v>
      </c>
      <c r="EW81" s="0" t="n">
        <v>0.575757575757576</v>
      </c>
      <c r="EX81" s="0" t="n">
        <v>2.9254952414656</v>
      </c>
      <c r="EY81" s="0" t="n">
        <v>2.802</v>
      </c>
      <c r="EZ81" s="0" t="n">
        <v>0.1883</v>
      </c>
      <c r="FA81" s="0" t="n">
        <v>2.561</v>
      </c>
      <c r="FB81" s="0" t="n">
        <v>1.874</v>
      </c>
      <c r="FC81" s="0" t="n">
        <v>33</v>
      </c>
      <c r="FD81" s="0" t="n">
        <v>613</v>
      </c>
      <c r="FE81" s="0" t="n">
        <v>0.0783034257748776</v>
      </c>
      <c r="FF81" s="0" t="n">
        <v>0.0789</v>
      </c>
      <c r="FG81" s="0" t="n">
        <v>0.261</v>
      </c>
      <c r="FH81" s="0" t="n">
        <v>2.406</v>
      </c>
      <c r="FI81" s="0" t="n">
        <v>1017</v>
      </c>
      <c r="FJ81" s="0" t="n">
        <v>0.541789577187807</v>
      </c>
      <c r="FK81" s="0" t="n">
        <v>17</v>
      </c>
      <c r="FL81" s="0" t="n">
        <v>59.82</v>
      </c>
      <c r="FM81" s="0" t="n">
        <v>0.5691</v>
      </c>
      <c r="FN81" s="0" t="n">
        <v>0.4309</v>
      </c>
      <c r="FO81" s="0" t="n">
        <v>0.0242</v>
      </c>
      <c r="FP81" s="0" t="n">
        <v>0.0077</v>
      </c>
      <c r="FQ81" s="0" t="n">
        <v>0.2873</v>
      </c>
      <c r="FR81" s="0" t="n">
        <v>38</v>
      </c>
      <c r="FS81" s="0" t="n">
        <v>64</v>
      </c>
      <c r="FT81" s="0" t="n">
        <v>3.76</v>
      </c>
      <c r="FU81" s="0" t="n">
        <v>28.8</v>
      </c>
      <c r="FV81" s="0" t="n">
        <v>5553</v>
      </c>
      <c r="FW81" s="0" t="n">
        <v>2959</v>
      </c>
      <c r="FX81" s="0" t="n">
        <v>0.533</v>
      </c>
      <c r="FY81" s="0" t="n">
        <v>5</v>
      </c>
      <c r="FZ81" s="0" t="n">
        <v>3</v>
      </c>
      <c r="GA81" s="0" t="n">
        <v>-0.369404903105602</v>
      </c>
      <c r="GB81" s="0" t="n">
        <v>43.3</v>
      </c>
      <c r="GC81" s="0" t="n">
        <v>43.5</v>
      </c>
      <c r="GD81" s="0" t="n">
        <v>41.6</v>
      </c>
      <c r="GE81" s="0" t="n">
        <v>482</v>
      </c>
      <c r="GF81" s="0" t="n">
        <v>494</v>
      </c>
      <c r="GG81" s="0" t="n">
        <v>128</v>
      </c>
      <c r="GH81" s="0" t="n">
        <v>10</v>
      </c>
      <c r="GI81" s="0" t="n">
        <v>154</v>
      </c>
      <c r="GJ81" s="0" t="n">
        <v>17</v>
      </c>
      <c r="GK81" s="0" t="n">
        <v>0.266</v>
      </c>
      <c r="GL81" s="0" t="n">
        <v>0.02</v>
      </c>
      <c r="GM81" s="0" t="n">
        <v>0.11</v>
      </c>
      <c r="GN81" s="0" t="n">
        <v>12.771</v>
      </c>
      <c r="GO81" s="0" t="n">
        <v>11.629</v>
      </c>
      <c r="GP81" s="0" t="n">
        <v>10.486</v>
      </c>
      <c r="GQ81" s="0" t="n">
        <v>2.643</v>
      </c>
      <c r="GR81" s="0" t="n">
        <v>9.286</v>
      </c>
      <c r="GS81" s="0" t="n">
        <v>167</v>
      </c>
      <c r="GT81" s="0" t="n">
        <v>1.071</v>
      </c>
      <c r="GU81" s="0" t="n">
        <v>0.335</v>
      </c>
      <c r="GV81" s="0" t="n">
        <v>9.324</v>
      </c>
      <c r="GW81" s="0" t="n">
        <v>10.781</v>
      </c>
      <c r="GX81" s="0" t="n">
        <v>0.865</v>
      </c>
      <c r="GY81" s="0" t="n">
        <v>4.638</v>
      </c>
      <c r="GZ81" s="0" t="n">
        <v>4.297</v>
      </c>
      <c r="HA81" s="0" t="n">
        <v>8.219</v>
      </c>
      <c r="HB81" s="0" t="n">
        <v>2.17</v>
      </c>
      <c r="HC81" s="0" t="n">
        <v>0.054</v>
      </c>
      <c r="HD81" s="0" t="n">
        <v>-0.141</v>
      </c>
      <c r="HE81" s="0" t="n">
        <v>0.354</v>
      </c>
      <c r="HG81" s="0" t="n">
        <v>81.99</v>
      </c>
      <c r="HH81" s="0" t="n">
        <v>8.38</v>
      </c>
      <c r="HI81" s="0" t="n">
        <v>65</v>
      </c>
      <c r="HJ81" s="0" t="n">
        <v>103</v>
      </c>
      <c r="HK81" s="0" t="s">
        <v>909</v>
      </c>
      <c r="HL81" s="0" t="n">
        <v>0</v>
      </c>
      <c r="HM81" s="0" t="n">
        <v>25</v>
      </c>
      <c r="HN81" s="0" t="n">
        <v>29</v>
      </c>
      <c r="HO81" s="0" t="n">
        <v>-0.033</v>
      </c>
      <c r="HP81" s="0" t="n">
        <v>22</v>
      </c>
      <c r="HQ81" s="0" t="n">
        <v>0.098</v>
      </c>
      <c r="HR81" s="0" t="s">
        <v>102</v>
      </c>
    </row>
    <row r="82" customFormat="false" ht="15" hidden="false" customHeight="false" outlineLevel="0" collapsed="false">
      <c r="A82" s="0" t="s">
        <v>896</v>
      </c>
      <c r="B82" s="0" t="s">
        <v>897</v>
      </c>
      <c r="C82" s="0" t="s">
        <v>898</v>
      </c>
      <c r="D82" s="0" t="s">
        <v>301</v>
      </c>
      <c r="E82" s="0" t="n">
        <v>22978</v>
      </c>
      <c r="F82" s="0" t="s">
        <v>149</v>
      </c>
      <c r="G82" s="0" t="n">
        <v>82.49</v>
      </c>
      <c r="H82" s="0" t="n">
        <v>10.07</v>
      </c>
      <c r="I82" s="0" t="n">
        <v>54</v>
      </c>
      <c r="J82" s="0" t="n">
        <v>97</v>
      </c>
      <c r="L82" s="0" t="s">
        <v>1369</v>
      </c>
      <c r="O82" s="0" t="n">
        <v>95.1</v>
      </c>
      <c r="U82" s="0" t="n">
        <v>6</v>
      </c>
      <c r="V82" s="0" t="s">
        <v>301</v>
      </c>
      <c r="W82" s="0" t="s">
        <v>901</v>
      </c>
      <c r="X82" s="0" t="s">
        <v>106</v>
      </c>
      <c r="Y82" s="0" t="s">
        <v>1370</v>
      </c>
      <c r="Z82" s="0" t="n">
        <v>22978</v>
      </c>
      <c r="AA82" s="0" t="s">
        <v>1371</v>
      </c>
      <c r="AB82" s="0" t="s">
        <v>904</v>
      </c>
      <c r="AC82" s="0" t="s">
        <v>106</v>
      </c>
      <c r="AD82" s="0" t="s">
        <v>106</v>
      </c>
      <c r="AE82" s="0" t="s">
        <v>106</v>
      </c>
      <c r="AF82" s="0" t="s">
        <v>106</v>
      </c>
      <c r="AG82" s="0" t="s">
        <v>106</v>
      </c>
      <c r="AH82" s="0" t="s">
        <v>905</v>
      </c>
      <c r="AI82" s="0" t="n">
        <v>1</v>
      </c>
      <c r="AJ82" s="0" t="s">
        <v>149</v>
      </c>
      <c r="AK82" s="0" t="n">
        <v>81</v>
      </c>
      <c r="AL82" s="0" t="n">
        <v>7</v>
      </c>
      <c r="AM82" s="0" t="s">
        <v>302</v>
      </c>
      <c r="AN82" s="0" t="n">
        <v>0</v>
      </c>
      <c r="AO82" s="0" t="n">
        <v>0</v>
      </c>
      <c r="AP82" s="0" t="n">
        <v>0</v>
      </c>
      <c r="AQ82" s="0" t="n">
        <v>0</v>
      </c>
      <c r="AR82" s="0" t="n">
        <v>0</v>
      </c>
      <c r="AS82" s="0" t="n">
        <v>0</v>
      </c>
      <c r="AT82" s="0" t="n">
        <v>0</v>
      </c>
      <c r="AU82" s="0" t="n">
        <v>0</v>
      </c>
      <c r="AV82" s="0" t="n">
        <v>0</v>
      </c>
      <c r="AW82" s="0" t="n">
        <v>0</v>
      </c>
      <c r="AX82" s="0" t="n">
        <v>0</v>
      </c>
      <c r="AY82" s="0" t="n">
        <v>0</v>
      </c>
      <c r="AZ82" s="0" t="n">
        <v>0</v>
      </c>
      <c r="BA82" s="0" t="n">
        <v>0</v>
      </c>
      <c r="BB82" s="0" t="n">
        <v>0</v>
      </c>
      <c r="BC82" s="0" t="n">
        <v>40</v>
      </c>
      <c r="BD82" s="0" t="n">
        <v>49</v>
      </c>
      <c r="BE82" s="0" t="n">
        <v>489</v>
      </c>
      <c r="BF82" s="0" t="n">
        <v>3</v>
      </c>
      <c r="BG82" s="0" t="n">
        <v>277</v>
      </c>
      <c r="BH82" s="0" t="n">
        <v>274</v>
      </c>
      <c r="BI82" s="0" t="n">
        <v>23</v>
      </c>
      <c r="BJ82" s="0" t="n">
        <v>36.4278423127509</v>
      </c>
      <c r="BK82" s="0" t="n">
        <v>0</v>
      </c>
      <c r="BL82" s="0" t="n">
        <v>0</v>
      </c>
      <c r="BM82" s="0" t="n">
        <v>66.9</v>
      </c>
      <c r="BN82" s="0" t="n">
        <v>106.9</v>
      </c>
      <c r="BO82" s="0" t="n">
        <v>9</v>
      </c>
      <c r="BP82" s="0" t="s">
        <v>106</v>
      </c>
      <c r="BQ82" s="0" t="n">
        <v>1</v>
      </c>
      <c r="BR82" s="0" t="n">
        <v>86.9</v>
      </c>
      <c r="BS82" s="0" t="n">
        <v>0.0891</v>
      </c>
      <c r="BT82" s="0" t="n">
        <v>0</v>
      </c>
      <c r="BU82" s="0" t="n">
        <v>0.0754</v>
      </c>
      <c r="BV82" s="0" t="n">
        <v>0.1863</v>
      </c>
      <c r="BW82" s="0" t="n">
        <v>0</v>
      </c>
      <c r="BX82" s="0" t="n">
        <v>0.1582</v>
      </c>
      <c r="BY82" s="0" t="n">
        <v>0.3902</v>
      </c>
      <c r="BZ82" s="0" t="n">
        <v>9</v>
      </c>
      <c r="CA82" s="0" t="n">
        <v>6.9</v>
      </c>
      <c r="CB82" s="0" t="n">
        <v>19.46</v>
      </c>
      <c r="CC82" s="0" t="n">
        <v>10.3</v>
      </c>
      <c r="CD82" s="0" t="n">
        <v>6.45</v>
      </c>
      <c r="CE82" s="0" t="n">
        <v>4</v>
      </c>
      <c r="CF82" s="0" t="n">
        <v>0</v>
      </c>
      <c r="CG82" s="0" t="n">
        <v>9</v>
      </c>
      <c r="CH82" s="0" t="n">
        <v>0.444</v>
      </c>
      <c r="CI82" s="0" t="n">
        <v>0</v>
      </c>
      <c r="CJ82" s="0" t="n">
        <v>0.627</v>
      </c>
      <c r="CK82" s="0" t="n">
        <v>6</v>
      </c>
      <c r="CL82" s="0" t="n">
        <v>3</v>
      </c>
      <c r="CM82" s="0" t="n">
        <v>1</v>
      </c>
      <c r="CN82" s="0" t="n">
        <v>3</v>
      </c>
      <c r="CO82" s="0" t="n">
        <v>2.23298260343716</v>
      </c>
      <c r="CP82" s="0" t="n">
        <v>0</v>
      </c>
      <c r="CQ82" s="0" t="n">
        <v>0</v>
      </c>
      <c r="CR82" s="0" t="n">
        <v>0</v>
      </c>
      <c r="CS82" s="0" t="n">
        <v>0</v>
      </c>
      <c r="CT82" s="0" t="n">
        <v>0</v>
      </c>
      <c r="CU82" s="0" t="n">
        <v>6</v>
      </c>
      <c r="CV82" s="0" t="n">
        <v>3</v>
      </c>
      <c r="CW82" s="0" t="n">
        <v>1</v>
      </c>
      <c r="CX82" s="0" t="n">
        <v>3</v>
      </c>
      <c r="CY82" s="0" t="n">
        <v>2.23</v>
      </c>
      <c r="CZ82" s="0" t="n">
        <v>0.77</v>
      </c>
      <c r="DA82" s="0" t="n">
        <v>3.37479424630989</v>
      </c>
      <c r="DB82" s="0" t="n">
        <v>6.3658064516129</v>
      </c>
      <c r="DC82" s="0" t="n">
        <v>5.70265306122449</v>
      </c>
      <c r="DD82" s="0" t="n">
        <v>7.47904940085703</v>
      </c>
      <c r="DE82" s="0" t="n">
        <v>0.954262279869766</v>
      </c>
      <c r="DF82" s="0" t="n">
        <v>81.6326530612245</v>
      </c>
      <c r="DM82" s="0" t="s">
        <v>1372</v>
      </c>
      <c r="DS82" s="0" t="n">
        <v>49</v>
      </c>
      <c r="DT82" s="0" t="n">
        <v>5</v>
      </c>
      <c r="DU82" s="0" t="n">
        <v>0</v>
      </c>
      <c r="DV82" s="0" t="n">
        <v>5.375</v>
      </c>
      <c r="DW82" s="0" t="n">
        <v>6.85</v>
      </c>
      <c r="DX82" s="0" t="n">
        <v>5.7</v>
      </c>
      <c r="DY82" s="0" t="n">
        <v>0</v>
      </c>
      <c r="DZ82" s="0" t="n">
        <v>517</v>
      </c>
      <c r="EA82" s="0" t="n">
        <v>0.907</v>
      </c>
      <c r="EB82" s="0" t="n">
        <v>9</v>
      </c>
      <c r="EC82" s="0" t="s">
        <v>1373</v>
      </c>
      <c r="ED82" s="0" t="n">
        <v>2023</v>
      </c>
      <c r="EE82" s="0" t="n">
        <v>2</v>
      </c>
      <c r="EF82" s="0" t="n">
        <v>34</v>
      </c>
      <c r="EG82" s="0" t="n">
        <v>2023</v>
      </c>
      <c r="EH82" s="0" t="n">
        <v>2026</v>
      </c>
      <c r="EI82" s="0" t="n">
        <v>4</v>
      </c>
      <c r="EJ82" s="0" t="n">
        <v>75</v>
      </c>
      <c r="EK82" s="0" t="n">
        <v>245</v>
      </c>
      <c r="EL82" s="0" t="s">
        <v>1374</v>
      </c>
      <c r="EM82" s="0" t="n">
        <v>25.6</v>
      </c>
      <c r="EN82" s="15" t="b">
        <f aca="false">FALSE()</f>
        <v>0</v>
      </c>
      <c r="EO82" s="0" t="n">
        <v>407</v>
      </c>
      <c r="EP82" s="0" t="n">
        <v>2.84496314496315</v>
      </c>
      <c r="EQ82" s="0" t="n">
        <v>0.174447174447174</v>
      </c>
      <c r="ER82" s="0" t="n">
        <v>1.23095823095823</v>
      </c>
      <c r="ES82" s="0" t="n">
        <v>1.3022113022113</v>
      </c>
      <c r="ET82" s="0" t="n">
        <v>31</v>
      </c>
      <c r="EU82" s="0" t="n">
        <v>20</v>
      </c>
      <c r="EV82" s="0" t="n">
        <v>4.81081081081081</v>
      </c>
      <c r="EW82" s="0" t="n">
        <v>0.645161290322581</v>
      </c>
      <c r="EX82" s="0" t="n">
        <v>2.99714515277148</v>
      </c>
      <c r="EY82" s="0" t="n">
        <v>2.796</v>
      </c>
      <c r="EZ82" s="0" t="n">
        <v>0.1795</v>
      </c>
      <c r="FA82" s="0" t="n">
        <v>2.844</v>
      </c>
      <c r="FB82" s="0" t="n">
        <v>1.774</v>
      </c>
      <c r="FC82" s="0" t="n">
        <v>23</v>
      </c>
      <c r="FD82" s="0" t="n">
        <v>624</v>
      </c>
      <c r="FE82" s="0" t="n">
        <v>0.0625</v>
      </c>
      <c r="FF82" s="0" t="n">
        <v>0.0608</v>
      </c>
      <c r="FG82" s="0" t="n">
        <v>0.2646</v>
      </c>
      <c r="FH82" s="0" t="n">
        <v>2.297</v>
      </c>
      <c r="FI82" s="0" t="n">
        <v>1051</v>
      </c>
      <c r="FJ82" s="0" t="n">
        <v>0.588962892483349</v>
      </c>
      <c r="FK82" s="0" t="n">
        <v>17</v>
      </c>
      <c r="FL82" s="0" t="n">
        <v>61.82</v>
      </c>
      <c r="FM82" s="0" t="n">
        <v>0.5469</v>
      </c>
      <c r="FN82" s="0" t="n">
        <v>0.4531</v>
      </c>
      <c r="FO82" s="0" t="n">
        <v>-0.0456</v>
      </c>
      <c r="FP82" s="0" t="n">
        <v>-0.0408</v>
      </c>
      <c r="FQ82" s="0" t="n">
        <v>0.1681</v>
      </c>
      <c r="FR82" s="0" t="n">
        <v>38</v>
      </c>
      <c r="FS82" s="0" t="n">
        <v>65</v>
      </c>
      <c r="FT82" s="0" t="n">
        <v>3.82</v>
      </c>
      <c r="FU82" s="0" t="n">
        <v>28.3</v>
      </c>
      <c r="FV82" s="0" t="n">
        <v>5583</v>
      </c>
      <c r="FW82" s="0" t="n">
        <v>2910</v>
      </c>
      <c r="FX82" s="0" t="n">
        <v>0.521</v>
      </c>
      <c r="FY82" s="0" t="n">
        <v>5</v>
      </c>
      <c r="FZ82" s="0" t="n">
        <v>3</v>
      </c>
      <c r="GA82" s="0" t="n">
        <v>-0.00159357402837607</v>
      </c>
      <c r="GB82" s="0" t="n">
        <v>50</v>
      </c>
      <c r="GC82" s="0" t="n">
        <v>44.8</v>
      </c>
      <c r="GD82" s="0" t="n">
        <v>46.7</v>
      </c>
      <c r="GE82" s="0" t="n">
        <v>550</v>
      </c>
      <c r="GF82" s="0" t="n">
        <v>442</v>
      </c>
      <c r="GG82" s="0" t="n">
        <v>79</v>
      </c>
      <c r="GH82" s="0" t="n">
        <v>167</v>
      </c>
      <c r="GI82" s="0" t="n">
        <v>179</v>
      </c>
      <c r="GJ82" s="0" t="n">
        <v>45</v>
      </c>
      <c r="GK82" s="0" t="n">
        <v>0.144</v>
      </c>
      <c r="GL82" s="0" t="n">
        <v>0.378</v>
      </c>
      <c r="GM82" s="0" t="n">
        <v>0.251</v>
      </c>
      <c r="GN82" s="0" t="n">
        <v>11.878</v>
      </c>
      <c r="GO82" s="0" t="n">
        <v>9.656</v>
      </c>
      <c r="GP82" s="0" t="n">
        <v>7.433</v>
      </c>
      <c r="GQ82" s="0" t="n">
        <v>5.444</v>
      </c>
      <c r="GR82" s="0" t="n">
        <v>0</v>
      </c>
      <c r="GS82" s="0" t="n">
        <v>49</v>
      </c>
      <c r="GT82" s="0" t="n">
        <v>2.182</v>
      </c>
      <c r="GU82" s="0" t="n">
        <v>0.207</v>
      </c>
      <c r="GV82" s="0" t="n">
        <v>9.98</v>
      </c>
      <c r="GW82" s="0" t="n">
        <v>12.225</v>
      </c>
      <c r="GX82" s="0" t="n">
        <v>0.816</v>
      </c>
      <c r="GZ82" s="0" t="n">
        <v>5.653</v>
      </c>
      <c r="HA82" s="0" t="n">
        <v>6.85</v>
      </c>
      <c r="HB82" s="0" t="n">
        <v>1.765</v>
      </c>
      <c r="HC82" s="0" t="n">
        <v>0.061</v>
      </c>
      <c r="HE82" s="0" t="n">
        <v>0.743</v>
      </c>
      <c r="HG82" s="0" t="n">
        <v>82.49</v>
      </c>
      <c r="HH82" s="0" t="n">
        <v>10.07</v>
      </c>
      <c r="HI82" s="0" t="n">
        <v>54</v>
      </c>
      <c r="HJ82" s="0" t="n">
        <v>97</v>
      </c>
      <c r="HK82" s="0" t="s">
        <v>909</v>
      </c>
      <c r="HL82" s="0" t="n">
        <v>0</v>
      </c>
      <c r="HM82" s="0" t="n">
        <v>25</v>
      </c>
      <c r="HN82" s="0" t="n">
        <v>7</v>
      </c>
      <c r="HO82" s="0" t="n">
        <v>-0.812</v>
      </c>
      <c r="HP82" s="0" t="n">
        <v>7</v>
      </c>
      <c r="HQ82" s="0" t="n">
        <v>-0.024</v>
      </c>
      <c r="HR82" s="0" t="s">
        <v>121</v>
      </c>
    </row>
    <row r="83" customFormat="false" ht="15" hidden="false" customHeight="false" outlineLevel="0" collapsed="false">
      <c r="A83" s="0" t="s">
        <v>896</v>
      </c>
      <c r="B83" s="0" t="s">
        <v>897</v>
      </c>
      <c r="C83" s="0" t="s">
        <v>898</v>
      </c>
      <c r="D83" s="0" t="s">
        <v>303</v>
      </c>
      <c r="E83" s="0" t="n">
        <v>20164</v>
      </c>
      <c r="F83" s="0" t="s">
        <v>149</v>
      </c>
      <c r="G83" s="0" t="n">
        <v>82.88</v>
      </c>
      <c r="H83" s="0" t="n">
        <v>9.33</v>
      </c>
      <c r="I83" s="0" t="n">
        <v>66</v>
      </c>
      <c r="J83" s="0" t="n">
        <v>111</v>
      </c>
      <c r="L83" s="0" t="s">
        <v>1375</v>
      </c>
      <c r="O83" s="0" t="n">
        <v>95.1</v>
      </c>
      <c r="U83" s="0" t="n">
        <v>11</v>
      </c>
      <c r="V83" s="0" t="s">
        <v>1376</v>
      </c>
      <c r="W83" s="0" t="s">
        <v>901</v>
      </c>
      <c r="X83" s="0" t="s">
        <v>112</v>
      </c>
      <c r="Y83" s="0" t="s">
        <v>1377</v>
      </c>
      <c r="Z83" s="0" t="n">
        <v>20164</v>
      </c>
      <c r="AA83" s="0" t="s">
        <v>1378</v>
      </c>
      <c r="AB83" s="0" t="s">
        <v>904</v>
      </c>
      <c r="AC83" s="0" t="s">
        <v>112</v>
      </c>
      <c r="AD83" s="0" t="s">
        <v>112</v>
      </c>
      <c r="AE83" s="0" t="s">
        <v>112</v>
      </c>
      <c r="AF83" s="0" t="s">
        <v>112</v>
      </c>
      <c r="AG83" s="0" t="s">
        <v>112</v>
      </c>
      <c r="AH83" s="0" t="s">
        <v>905</v>
      </c>
      <c r="AI83" s="0" t="n">
        <v>1</v>
      </c>
      <c r="AJ83" s="0" t="s">
        <v>149</v>
      </c>
      <c r="AK83" s="0" t="n">
        <v>82</v>
      </c>
      <c r="AL83" s="0" t="n">
        <v>8</v>
      </c>
      <c r="AM83" s="0" t="s">
        <v>304</v>
      </c>
      <c r="AN83" s="0" t="n">
        <v>0</v>
      </c>
      <c r="AO83" s="0" t="n">
        <v>0</v>
      </c>
      <c r="AP83" s="0" t="n">
        <v>0</v>
      </c>
      <c r="AQ83" s="0" t="n">
        <v>0</v>
      </c>
      <c r="AR83" s="0" t="n">
        <v>0</v>
      </c>
      <c r="AS83" s="0" t="n">
        <v>0</v>
      </c>
      <c r="AT83" s="0" t="n">
        <v>0</v>
      </c>
      <c r="AU83" s="0" t="n">
        <v>0</v>
      </c>
      <c r="AV83" s="0" t="n">
        <v>0</v>
      </c>
      <c r="AW83" s="0" t="n">
        <v>0</v>
      </c>
      <c r="AX83" s="0" t="n">
        <v>0</v>
      </c>
      <c r="AY83" s="0" t="n">
        <v>0</v>
      </c>
      <c r="AZ83" s="0" t="n">
        <v>0</v>
      </c>
      <c r="BA83" s="0" t="n">
        <v>0</v>
      </c>
      <c r="BB83" s="0" t="n">
        <v>0</v>
      </c>
      <c r="BC83" s="0" t="n">
        <v>88</v>
      </c>
      <c r="BD83" s="0" t="n">
        <v>118</v>
      </c>
      <c r="BE83" s="0" t="n">
        <v>928</v>
      </c>
      <c r="BF83" s="0" t="n">
        <v>5</v>
      </c>
      <c r="BG83" s="0" t="n">
        <v>869</v>
      </c>
      <c r="BH83" s="0" t="n">
        <v>400</v>
      </c>
      <c r="BI83" s="0" t="n">
        <v>51</v>
      </c>
      <c r="BJ83" s="0" t="n">
        <v>24.5839523556697</v>
      </c>
      <c r="BK83" s="0" t="n">
        <v>0</v>
      </c>
      <c r="BL83" s="0" t="n">
        <v>0</v>
      </c>
      <c r="BM83" s="0" t="n">
        <v>122.8</v>
      </c>
      <c r="BN83" s="0" t="n">
        <v>210.8</v>
      </c>
      <c r="BO83" s="0" t="n">
        <v>17</v>
      </c>
      <c r="BP83" s="0" t="s">
        <v>112</v>
      </c>
      <c r="BQ83" s="0" t="n">
        <v>1</v>
      </c>
      <c r="BR83" s="0" t="n">
        <v>166.8</v>
      </c>
      <c r="BS83" s="0" t="n">
        <v>0.2274</v>
      </c>
      <c r="BT83" s="0" t="n">
        <v>0</v>
      </c>
      <c r="BU83" s="0" t="n">
        <v>0.2077</v>
      </c>
      <c r="BV83" s="0" t="n">
        <v>0.2274</v>
      </c>
      <c r="BW83" s="0" t="n">
        <v>0</v>
      </c>
      <c r="BX83" s="0" t="n">
        <v>0.2077</v>
      </c>
      <c r="BY83" s="0" t="n">
        <v>0.4865</v>
      </c>
      <c r="BZ83" s="0" t="n">
        <v>17</v>
      </c>
      <c r="CA83" s="0" t="n">
        <v>5.8</v>
      </c>
      <c r="CB83" s="0" t="n">
        <v>16.88</v>
      </c>
      <c r="CC83" s="0" t="n">
        <v>11.8</v>
      </c>
      <c r="CD83" s="0" t="n">
        <v>9.94</v>
      </c>
      <c r="CE83" s="0" t="n">
        <v>6</v>
      </c>
      <c r="CF83" s="0" t="n">
        <v>0</v>
      </c>
      <c r="CG83" s="0" t="n">
        <v>17</v>
      </c>
      <c r="CH83" s="0" t="n">
        <v>0.353</v>
      </c>
      <c r="CI83" s="0" t="n">
        <v>0</v>
      </c>
      <c r="CJ83" s="0" t="n">
        <v>0.842</v>
      </c>
      <c r="CK83" s="0" t="n">
        <v>12</v>
      </c>
      <c r="CL83" s="0" t="n">
        <v>6</v>
      </c>
      <c r="CM83" s="0" t="n">
        <v>1</v>
      </c>
      <c r="CN83" s="0" t="n">
        <v>5</v>
      </c>
      <c r="CO83" s="0" t="n">
        <v>4.63801041996272</v>
      </c>
      <c r="CP83" s="0" t="n">
        <v>0</v>
      </c>
      <c r="CQ83" s="0" t="n">
        <v>0</v>
      </c>
      <c r="CR83" s="0" t="n">
        <v>0</v>
      </c>
      <c r="CS83" s="0" t="n">
        <v>0</v>
      </c>
      <c r="CT83" s="0" t="n">
        <v>0</v>
      </c>
      <c r="CU83" s="0" t="n">
        <v>12</v>
      </c>
      <c r="CV83" s="0" t="n">
        <v>6</v>
      </c>
      <c r="CW83" s="0" t="n">
        <v>1</v>
      </c>
      <c r="CX83" s="0" t="n">
        <v>5</v>
      </c>
      <c r="CY83" s="0" t="n">
        <v>4.64</v>
      </c>
      <c r="CZ83" s="0" t="n">
        <v>0.36</v>
      </c>
      <c r="DA83" s="0" t="n">
        <v>3.55477532261254</v>
      </c>
      <c r="DB83" s="0" t="n">
        <v>5.60723404255319</v>
      </c>
      <c r="DC83" s="0" t="n">
        <v>7.16423728813559</v>
      </c>
      <c r="DD83" s="0" t="n">
        <v>20.6785382319847</v>
      </c>
      <c r="DE83" s="0" t="n">
        <v>-0.878331083591696</v>
      </c>
      <c r="DF83" s="0" t="n">
        <v>74.5762711864407</v>
      </c>
      <c r="DM83" s="0" t="s">
        <v>1379</v>
      </c>
      <c r="DS83" s="0" t="n">
        <v>118</v>
      </c>
      <c r="DT83" s="0" t="n">
        <v>2</v>
      </c>
      <c r="DU83" s="0" t="n">
        <v>2</v>
      </c>
      <c r="DV83" s="0" t="n">
        <v>6</v>
      </c>
      <c r="DW83" s="0" t="n">
        <v>4.545</v>
      </c>
      <c r="DX83" s="0" t="n">
        <v>7.4</v>
      </c>
      <c r="DY83" s="0" t="n">
        <v>0.0169</v>
      </c>
      <c r="DZ83" s="0" t="n">
        <v>961</v>
      </c>
      <c r="EA83" s="0" t="n">
        <v>0.88</v>
      </c>
      <c r="EB83" s="0" t="n">
        <v>17</v>
      </c>
      <c r="EC83" s="0" t="s">
        <v>1380</v>
      </c>
      <c r="ED83" s="0" t="n">
        <v>2021</v>
      </c>
      <c r="EE83" s="0" t="n">
        <v>1</v>
      </c>
      <c r="EF83" s="0" t="n">
        <v>4</v>
      </c>
      <c r="EG83" s="0" t="n">
        <v>2021</v>
      </c>
      <c r="EH83" s="0" t="n">
        <v>2026</v>
      </c>
      <c r="EI83" s="0" t="n">
        <v>6</v>
      </c>
      <c r="EJ83" s="0" t="n">
        <v>78</v>
      </c>
      <c r="EK83" s="0" t="n">
        <v>250</v>
      </c>
      <c r="EL83" s="0" t="s">
        <v>1381</v>
      </c>
      <c r="EM83" s="0" t="n">
        <v>25.9</v>
      </c>
      <c r="EN83" s="15" t="b">
        <f aca="false">FALSE()</f>
        <v>0</v>
      </c>
      <c r="EO83" s="0" t="n">
        <v>439</v>
      </c>
      <c r="EP83" s="0" t="n">
        <v>3.05466970387244</v>
      </c>
      <c r="EQ83" s="0" t="n">
        <v>0.16628701594533</v>
      </c>
      <c r="ER83" s="0" t="n">
        <v>1.35307517084283</v>
      </c>
      <c r="ES83" s="0" t="n">
        <v>0.89749430523918</v>
      </c>
      <c r="ET83" s="0" t="n">
        <v>42</v>
      </c>
      <c r="EU83" s="0" t="n">
        <v>22</v>
      </c>
      <c r="EV83" s="0" t="n">
        <v>4.67425968109339</v>
      </c>
      <c r="EW83" s="0" t="n">
        <v>0.523809523809524</v>
      </c>
      <c r="EX83" s="0" t="n">
        <v>2.93179766542752</v>
      </c>
      <c r="EY83" s="0" t="n">
        <v>3.071</v>
      </c>
      <c r="EZ83" s="0" t="n">
        <v>0.1627</v>
      </c>
      <c r="FA83" s="0" t="n">
        <v>2.522</v>
      </c>
      <c r="FB83" s="0" t="n">
        <v>1.96</v>
      </c>
      <c r="FC83" s="0" t="n">
        <v>31</v>
      </c>
      <c r="FD83" s="0" t="n">
        <v>583</v>
      </c>
      <c r="FE83" s="0" t="n">
        <v>0.0445969125214408</v>
      </c>
      <c r="FF83" s="0" t="n">
        <v>0.0494</v>
      </c>
      <c r="FG83" s="0" t="n">
        <v>0.2037</v>
      </c>
      <c r="FH83" s="0" t="n">
        <v>2.4</v>
      </c>
      <c r="FI83" s="0" t="n">
        <v>1036</v>
      </c>
      <c r="FJ83" s="0" t="n">
        <v>0.551158301158301</v>
      </c>
      <c r="FK83" s="0" t="n">
        <v>17</v>
      </c>
      <c r="FL83" s="0" t="n">
        <v>60.94</v>
      </c>
      <c r="FM83" s="0" t="n">
        <v>0.549</v>
      </c>
      <c r="FN83" s="0" t="n">
        <v>0.451</v>
      </c>
      <c r="FO83" s="0" t="n">
        <v>-0.0621</v>
      </c>
      <c r="FP83" s="0" t="n">
        <v>-0.0314</v>
      </c>
      <c r="FQ83" s="0" t="n">
        <v>-0.0132</v>
      </c>
      <c r="FR83" s="0" t="n">
        <v>38</v>
      </c>
      <c r="FS83" s="0" t="n">
        <v>53</v>
      </c>
      <c r="FT83" s="0" t="n">
        <v>3.12</v>
      </c>
      <c r="FU83" s="0" t="n">
        <v>20.8</v>
      </c>
      <c r="FV83" s="0" t="n">
        <v>5484</v>
      </c>
      <c r="FW83" s="0" t="n">
        <v>4377</v>
      </c>
      <c r="FX83" s="0" t="n">
        <v>0.798</v>
      </c>
      <c r="FY83" s="0" t="n">
        <v>5</v>
      </c>
      <c r="FZ83" s="0" t="n">
        <v>4</v>
      </c>
      <c r="GA83" s="0" t="n">
        <v>0.149012046753805</v>
      </c>
      <c r="GB83" s="0" t="n">
        <v>52.7</v>
      </c>
      <c r="GC83" s="0" t="n">
        <v>66.9</v>
      </c>
      <c r="GD83" s="0" t="n">
        <v>62.4</v>
      </c>
      <c r="GE83" s="0" t="n">
        <v>519</v>
      </c>
      <c r="GF83" s="0" t="n">
        <v>477</v>
      </c>
      <c r="GG83" s="0" t="n">
        <v>151</v>
      </c>
      <c r="GH83" s="0" t="n">
        <v>160</v>
      </c>
      <c r="GI83" s="0" t="n">
        <v>132</v>
      </c>
      <c r="GJ83" s="0" t="n">
        <v>49</v>
      </c>
      <c r="GK83" s="0" t="n">
        <v>0.291</v>
      </c>
      <c r="GL83" s="0" t="n">
        <v>0.335</v>
      </c>
      <c r="GM83" s="0" t="n">
        <v>0.371</v>
      </c>
      <c r="GN83" s="0" t="n">
        <v>12.4</v>
      </c>
      <c r="GO83" s="0" t="n">
        <v>9.812</v>
      </c>
      <c r="GP83" s="0" t="n">
        <v>7.224</v>
      </c>
      <c r="GQ83" s="0" t="n">
        <v>6.941</v>
      </c>
      <c r="GR83" s="0" t="n">
        <v>0</v>
      </c>
      <c r="GS83" s="0" t="n">
        <v>118</v>
      </c>
      <c r="GT83" s="0" t="n">
        <v>1.786</v>
      </c>
      <c r="GU83" s="0" t="n">
        <v>0.219</v>
      </c>
      <c r="GV83" s="0" t="n">
        <v>7.864</v>
      </c>
      <c r="GW83" s="0" t="n">
        <v>10.545</v>
      </c>
      <c r="GX83" s="0" t="n">
        <v>0.746</v>
      </c>
      <c r="GZ83" s="0" t="n">
        <v>7.364</v>
      </c>
      <c r="HA83" s="0" t="n">
        <v>4.545</v>
      </c>
      <c r="HB83" s="0" t="n">
        <v>1.068</v>
      </c>
      <c r="HC83" s="0" t="n">
        <v>0.042</v>
      </c>
      <c r="HE83" s="0" t="n">
        <v>0.208</v>
      </c>
      <c r="HG83" s="0" t="n">
        <v>82.88</v>
      </c>
      <c r="HH83" s="0" t="n">
        <v>9.33</v>
      </c>
      <c r="HI83" s="0" t="n">
        <v>66</v>
      </c>
      <c r="HJ83" s="0" t="n">
        <v>111</v>
      </c>
      <c r="HK83" s="0" t="s">
        <v>909</v>
      </c>
      <c r="HL83" s="0" t="n">
        <v>0</v>
      </c>
      <c r="HM83" s="0" t="n">
        <v>2</v>
      </c>
      <c r="HN83" s="0" t="n">
        <v>8</v>
      </c>
      <c r="HO83" s="0" t="n">
        <v>0.231</v>
      </c>
      <c r="HP83" s="0" t="n">
        <v>5</v>
      </c>
      <c r="HQ83" s="0" t="n">
        <v>0.099</v>
      </c>
      <c r="HR83" s="0" t="s">
        <v>102</v>
      </c>
    </row>
    <row r="84" customFormat="false" ht="15" hidden="false" customHeight="false" outlineLevel="0" collapsed="false">
      <c r="A84" s="0" t="s">
        <v>896</v>
      </c>
      <c r="B84" s="0" t="s">
        <v>897</v>
      </c>
      <c r="C84" s="0" t="s">
        <v>898</v>
      </c>
      <c r="D84" s="0" t="s">
        <v>305</v>
      </c>
      <c r="E84" s="0" t="n">
        <v>19278</v>
      </c>
      <c r="F84" s="0" t="s">
        <v>99</v>
      </c>
      <c r="G84" s="0" t="n">
        <v>83.42</v>
      </c>
      <c r="H84" s="0" t="n">
        <v>13.88</v>
      </c>
      <c r="I84" s="0" t="n">
        <v>40</v>
      </c>
      <c r="J84" s="0" t="n">
        <v>118</v>
      </c>
      <c r="L84" s="0" t="s">
        <v>1382</v>
      </c>
      <c r="O84" s="0" t="n">
        <v>82.8</v>
      </c>
      <c r="U84" s="0" t="n">
        <v>9</v>
      </c>
      <c r="V84" s="0" t="s">
        <v>1383</v>
      </c>
      <c r="W84" s="0" t="s">
        <v>901</v>
      </c>
      <c r="X84" s="0" t="s">
        <v>284</v>
      </c>
      <c r="Y84" s="0" t="s">
        <v>1384</v>
      </c>
      <c r="Z84" s="0" t="n">
        <v>19278</v>
      </c>
      <c r="AA84" s="0" t="s">
        <v>1385</v>
      </c>
      <c r="AB84" s="0" t="s">
        <v>904</v>
      </c>
      <c r="AC84" s="0" t="s">
        <v>284</v>
      </c>
      <c r="AD84" s="0" t="s">
        <v>284</v>
      </c>
      <c r="AE84" s="0" t="s">
        <v>284</v>
      </c>
      <c r="AF84" s="0" t="s">
        <v>284</v>
      </c>
      <c r="AG84" s="0" t="s">
        <v>284</v>
      </c>
      <c r="AH84" s="0" t="s">
        <v>905</v>
      </c>
      <c r="AI84" s="0" t="n">
        <v>2</v>
      </c>
      <c r="AJ84" s="0" t="s">
        <v>99</v>
      </c>
      <c r="AK84" s="0" t="n">
        <v>83</v>
      </c>
      <c r="AL84" s="0" t="n">
        <v>36</v>
      </c>
      <c r="AM84" s="0" t="s">
        <v>306</v>
      </c>
      <c r="AN84" s="0" t="n">
        <v>0</v>
      </c>
      <c r="AO84" s="0" t="n">
        <v>0</v>
      </c>
      <c r="AP84" s="0" t="n">
        <v>0</v>
      </c>
      <c r="AQ84" s="0" t="n">
        <v>0</v>
      </c>
      <c r="AR84" s="0" t="n">
        <v>0</v>
      </c>
      <c r="AS84" s="0" t="n">
        <v>0</v>
      </c>
      <c r="AT84" s="0" t="n">
        <v>0</v>
      </c>
      <c r="AU84" s="0" t="n">
        <v>0</v>
      </c>
      <c r="AV84" s="0" t="n">
        <v>0</v>
      </c>
      <c r="AW84" s="0" t="n">
        <v>0</v>
      </c>
      <c r="AX84" s="0" t="n">
        <v>0</v>
      </c>
      <c r="AY84" s="0" t="n">
        <v>0</v>
      </c>
      <c r="AZ84" s="0" t="n">
        <v>0</v>
      </c>
      <c r="BA84" s="0" t="n">
        <v>0</v>
      </c>
      <c r="BB84" s="0" t="n">
        <v>0</v>
      </c>
      <c r="BC84" s="0" t="n">
        <v>80</v>
      </c>
      <c r="BD84" s="0" t="n">
        <v>111</v>
      </c>
      <c r="BE84" s="0" t="n">
        <v>784</v>
      </c>
      <c r="BF84" s="0" t="n">
        <v>7</v>
      </c>
      <c r="BG84" s="0" t="n">
        <v>907</v>
      </c>
      <c r="BH84" s="0" t="n">
        <v>259</v>
      </c>
      <c r="BI84" s="0" t="n">
        <v>47</v>
      </c>
      <c r="BJ84" s="0" t="n">
        <v>22.3186676894123</v>
      </c>
      <c r="BK84" s="0" t="n">
        <v>0</v>
      </c>
      <c r="BL84" s="0" t="n">
        <v>0</v>
      </c>
      <c r="BM84" s="0" t="n">
        <v>122.4</v>
      </c>
      <c r="BN84" s="0" t="n">
        <v>202.4</v>
      </c>
      <c r="BO84" s="0" t="n">
        <v>17</v>
      </c>
      <c r="BP84" s="0" t="s">
        <v>130</v>
      </c>
      <c r="BQ84" s="0" t="n">
        <v>1</v>
      </c>
      <c r="BR84" s="0" t="n">
        <v>162.4</v>
      </c>
      <c r="BS84" s="0" t="n">
        <v>0.2094</v>
      </c>
      <c r="BT84" s="0" t="n">
        <v>0</v>
      </c>
      <c r="BU84" s="0" t="n">
        <v>0.2122</v>
      </c>
      <c r="BV84" s="0" t="n">
        <v>0.2094</v>
      </c>
      <c r="BW84" s="0" t="n">
        <v>0</v>
      </c>
      <c r="BX84" s="0" t="n">
        <v>0.2122</v>
      </c>
      <c r="BY84" s="0" t="n">
        <v>0.4626</v>
      </c>
      <c r="BZ84" s="0" t="n">
        <v>17</v>
      </c>
      <c r="CA84" s="0" t="n">
        <v>4</v>
      </c>
      <c r="CB84" s="0" t="n">
        <v>20.3</v>
      </c>
      <c r="CC84" s="0" t="n">
        <v>13.7</v>
      </c>
      <c r="CD84" s="0" t="n">
        <v>7.49</v>
      </c>
      <c r="CE84" s="0" t="n">
        <v>3</v>
      </c>
      <c r="CF84" s="0" t="n">
        <v>0</v>
      </c>
      <c r="CG84" s="0" t="n">
        <v>17</v>
      </c>
      <c r="CH84" s="0" t="n">
        <v>0.176</v>
      </c>
      <c r="CI84" s="0" t="n">
        <v>0</v>
      </c>
      <c r="CJ84" s="0" t="n">
        <v>0.547</v>
      </c>
      <c r="CK84" s="0" t="n">
        <v>15</v>
      </c>
      <c r="CL84" s="0" t="n">
        <v>8</v>
      </c>
      <c r="CM84" s="0" t="n">
        <v>4</v>
      </c>
      <c r="CN84" s="0" t="n">
        <v>7</v>
      </c>
      <c r="CO84" s="0" t="n">
        <v>5.76535165493196</v>
      </c>
      <c r="CP84" s="0" t="n">
        <v>0</v>
      </c>
      <c r="CQ84" s="0" t="n">
        <v>0</v>
      </c>
      <c r="CR84" s="0" t="n">
        <v>0</v>
      </c>
      <c r="CS84" s="0" t="n">
        <v>0</v>
      </c>
      <c r="CT84" s="0" t="n">
        <v>0</v>
      </c>
      <c r="CU84" s="0" t="n">
        <v>15</v>
      </c>
      <c r="CV84" s="0" t="n">
        <v>8</v>
      </c>
      <c r="CW84" s="0" t="n">
        <v>4</v>
      </c>
      <c r="CX84" s="0" t="n">
        <v>7</v>
      </c>
      <c r="CY84" s="0" t="n">
        <v>5.77</v>
      </c>
      <c r="CZ84" s="0" t="n">
        <v>1.23</v>
      </c>
      <c r="DA84" s="0" t="n">
        <v>3.0333786487343</v>
      </c>
      <c r="DB84" s="0" t="n">
        <v>6.77654205607477</v>
      </c>
      <c r="DC84" s="0" t="n">
        <v>7.98540540540541</v>
      </c>
      <c r="DD84" s="0" t="n">
        <v>20.6743575270447</v>
      </c>
      <c r="DE84" s="0" t="n">
        <v>0.420766823399626</v>
      </c>
      <c r="DF84" s="0" t="n">
        <v>72.0720720720721</v>
      </c>
      <c r="DM84" s="0" t="s">
        <v>1386</v>
      </c>
      <c r="DS84" s="0" t="n">
        <v>111</v>
      </c>
      <c r="DT84" s="0" t="n">
        <v>3</v>
      </c>
      <c r="DU84" s="0" t="n">
        <v>6</v>
      </c>
      <c r="DV84" s="0" t="n">
        <v>6.562</v>
      </c>
      <c r="DW84" s="0" t="n">
        <v>3.238</v>
      </c>
      <c r="DX84" s="0" t="n">
        <v>8.2</v>
      </c>
      <c r="DY84" s="0" t="n">
        <v>0.0541</v>
      </c>
      <c r="DZ84" s="0" t="n">
        <v>918</v>
      </c>
      <c r="EA84" s="0" t="n">
        <v>0.855</v>
      </c>
      <c r="EB84" s="0" t="n">
        <v>17</v>
      </c>
      <c r="EC84" s="0" t="s">
        <v>1387</v>
      </c>
      <c r="ED84" s="0" t="n">
        <v>2020</v>
      </c>
      <c r="EE84" s="0" t="n">
        <v>2</v>
      </c>
      <c r="EF84" s="0" t="n">
        <v>34</v>
      </c>
      <c r="EG84" s="0" t="n">
        <v>2020</v>
      </c>
      <c r="EH84" s="0" t="n">
        <v>2026</v>
      </c>
      <c r="EI84" s="0" t="n">
        <v>7</v>
      </c>
      <c r="EJ84" s="0" t="n">
        <v>76</v>
      </c>
      <c r="EK84" s="0" t="n">
        <v>223</v>
      </c>
      <c r="EL84" s="0" t="s">
        <v>940</v>
      </c>
      <c r="EM84" s="0" t="n">
        <v>28.9</v>
      </c>
      <c r="EN84" s="15" t="b">
        <f aca="false">FALSE()</f>
        <v>0</v>
      </c>
      <c r="EO84" s="0" t="n">
        <v>368</v>
      </c>
      <c r="EP84" s="0" t="n">
        <v>2.85652173913044</v>
      </c>
      <c r="EQ84" s="0" t="n">
        <v>0.173913043478261</v>
      </c>
      <c r="ER84" s="0" t="n">
        <v>1.21739130434783</v>
      </c>
      <c r="ES84" s="0" t="n">
        <v>0.864130434782609</v>
      </c>
      <c r="ET84" s="0" t="n">
        <v>50</v>
      </c>
      <c r="EU84" s="0" t="n">
        <v>34</v>
      </c>
      <c r="EV84" s="0" t="n">
        <v>4.36684782608696</v>
      </c>
      <c r="EW84" s="0" t="n">
        <v>0.68</v>
      </c>
      <c r="EX84" s="0" t="n">
        <v>2.93472293301175</v>
      </c>
      <c r="EY84" s="0" t="n">
        <v>2.87</v>
      </c>
      <c r="EZ84" s="0" t="n">
        <v>0.172</v>
      </c>
      <c r="FA84" s="0" t="n">
        <v>2.285</v>
      </c>
      <c r="FB84" s="0" t="n">
        <v>2.029</v>
      </c>
      <c r="FC84" s="0" t="n">
        <v>42</v>
      </c>
      <c r="FD84" s="0" t="n">
        <v>591</v>
      </c>
      <c r="FE84" s="0" t="n">
        <v>0.0524534686971235</v>
      </c>
      <c r="FF84" s="0" t="n">
        <v>0.0526</v>
      </c>
      <c r="FG84" s="0" t="n">
        <v>0.1636</v>
      </c>
      <c r="FH84" s="0" t="n">
        <v>2.209</v>
      </c>
      <c r="FI84" s="0" t="n">
        <v>975</v>
      </c>
      <c r="FJ84" s="0" t="n">
        <v>0.594871794871795</v>
      </c>
      <c r="FK84" s="0" t="n">
        <v>17</v>
      </c>
      <c r="FL84" s="0" t="n">
        <v>57.35</v>
      </c>
      <c r="FM84" s="0" t="n">
        <v>0.5795</v>
      </c>
      <c r="FN84" s="0" t="n">
        <v>0.4205</v>
      </c>
      <c r="FO84" s="0" t="n">
        <v>-0.007</v>
      </c>
      <c r="FP84" s="0" t="n">
        <v>0.0188</v>
      </c>
      <c r="FQ84" s="0" t="n">
        <v>0.0312</v>
      </c>
      <c r="FR84" s="0" t="n">
        <v>40</v>
      </c>
      <c r="FS84" s="0" t="n">
        <v>51</v>
      </c>
      <c r="FT84" s="0" t="n">
        <v>3</v>
      </c>
      <c r="FU84" s="0" t="n">
        <v>23.4</v>
      </c>
      <c r="FV84" s="0" t="n">
        <v>5344</v>
      </c>
      <c r="FW84" s="0" t="n">
        <v>4403</v>
      </c>
      <c r="FX84" s="0" t="n">
        <v>0.824</v>
      </c>
      <c r="FY84" s="0" t="n">
        <v>5</v>
      </c>
      <c r="FZ84" s="0" t="n">
        <v>5</v>
      </c>
      <c r="GA84" s="0" t="n">
        <v>-0.192560883952718</v>
      </c>
      <c r="GB84" s="0" t="n">
        <v>46.5</v>
      </c>
      <c r="GC84" s="0" t="n">
        <v>65.1</v>
      </c>
      <c r="GD84" s="0" t="n">
        <v>57.4</v>
      </c>
      <c r="GE84" s="0" t="n">
        <v>522</v>
      </c>
      <c r="GF84" s="0" t="n">
        <v>407</v>
      </c>
      <c r="GG84" s="0" t="n">
        <v>179</v>
      </c>
      <c r="GH84" s="0" t="n">
        <v>129</v>
      </c>
      <c r="GI84" s="0" t="n">
        <v>156</v>
      </c>
      <c r="GJ84" s="0" t="n">
        <v>59</v>
      </c>
      <c r="GK84" s="0" t="n">
        <v>0.343</v>
      </c>
      <c r="GL84" s="0" t="n">
        <v>0.317</v>
      </c>
      <c r="GM84" s="0" t="n">
        <v>0.378</v>
      </c>
      <c r="GN84" s="0" t="n">
        <v>11.906</v>
      </c>
      <c r="GO84" s="0" t="n">
        <v>9.553</v>
      </c>
      <c r="GP84" s="0" t="n">
        <v>7.2</v>
      </c>
      <c r="GQ84" s="0" t="n">
        <v>6.529</v>
      </c>
      <c r="GR84" s="0" t="n">
        <v>0</v>
      </c>
      <c r="GS84" s="0" t="n">
        <v>111</v>
      </c>
      <c r="GT84" s="0" t="n">
        <v>1.823</v>
      </c>
      <c r="GU84" s="0" t="n">
        <v>0.22</v>
      </c>
      <c r="GV84" s="0" t="n">
        <v>7.063</v>
      </c>
      <c r="GW84" s="0" t="n">
        <v>9.8</v>
      </c>
      <c r="GX84" s="0" t="n">
        <v>0.721</v>
      </c>
      <c r="GZ84" s="0" t="n">
        <v>8.171</v>
      </c>
      <c r="HA84" s="0" t="n">
        <v>3.238</v>
      </c>
      <c r="HB84" s="0" t="n">
        <v>0.864</v>
      </c>
      <c r="HC84" s="0" t="n">
        <v>0.063</v>
      </c>
      <c r="HE84" s="0" t="n">
        <v>0.201</v>
      </c>
      <c r="HG84" s="0" t="n">
        <v>83.42</v>
      </c>
      <c r="HH84" s="0" t="n">
        <v>13.88</v>
      </c>
      <c r="HI84" s="0" t="n">
        <v>40</v>
      </c>
      <c r="HJ84" s="0" t="n">
        <v>118</v>
      </c>
      <c r="HK84" s="0" t="s">
        <v>909</v>
      </c>
      <c r="HL84" s="0" t="n">
        <v>0</v>
      </c>
      <c r="HM84" s="0" t="n">
        <v>18</v>
      </c>
      <c r="HN84" s="0" t="n">
        <v>36</v>
      </c>
      <c r="HO84" s="0" t="n">
        <v>0.521</v>
      </c>
      <c r="HP84" s="0" t="n">
        <v>30</v>
      </c>
      <c r="HQ84" s="0" t="n">
        <v>-0.005</v>
      </c>
      <c r="HR84" s="0" t="s">
        <v>232</v>
      </c>
    </row>
    <row r="85" customFormat="false" ht="15" hidden="false" customHeight="false" outlineLevel="0" collapsed="false">
      <c r="A85" s="0" t="s">
        <v>896</v>
      </c>
      <c r="B85" s="0" t="s">
        <v>897</v>
      </c>
      <c r="C85" s="0" t="s">
        <v>898</v>
      </c>
      <c r="D85" s="0" t="s">
        <v>307</v>
      </c>
      <c r="E85" s="0" t="n">
        <v>26035</v>
      </c>
      <c r="F85" s="0" t="s">
        <v>99</v>
      </c>
      <c r="G85" s="0" t="n">
        <v>83.83</v>
      </c>
      <c r="H85" s="0" t="n">
        <v>18.12</v>
      </c>
      <c r="I85" s="0" t="n">
        <v>51</v>
      </c>
      <c r="J85" s="0" t="n">
        <v>165</v>
      </c>
      <c r="L85" s="0" t="s">
        <v>1388</v>
      </c>
      <c r="O85" s="0" t="n">
        <v>86.1</v>
      </c>
      <c r="T85" s="0" t="n">
        <v>4</v>
      </c>
      <c r="U85" s="0" t="n">
        <v>8</v>
      </c>
      <c r="V85" s="0" t="s">
        <v>307</v>
      </c>
      <c r="W85" s="0" t="s">
        <v>901</v>
      </c>
      <c r="X85" s="0" t="s">
        <v>1021</v>
      </c>
      <c r="Y85" s="0" t="s">
        <v>1389</v>
      </c>
      <c r="Z85" s="0" t="n">
        <v>26035</v>
      </c>
      <c r="AA85" s="0" t="s">
        <v>1390</v>
      </c>
      <c r="AB85" s="0" t="s">
        <v>904</v>
      </c>
      <c r="AC85" s="0" t="s">
        <v>158</v>
      </c>
      <c r="AD85" s="0" t="s">
        <v>158</v>
      </c>
      <c r="AE85" s="0" t="s">
        <v>158</v>
      </c>
      <c r="AF85" s="0" t="s">
        <v>158</v>
      </c>
      <c r="AG85" s="0" t="s">
        <v>158</v>
      </c>
      <c r="AH85" s="0" t="s">
        <v>905</v>
      </c>
      <c r="AI85" s="0" t="n">
        <v>2</v>
      </c>
      <c r="AJ85" s="0" t="s">
        <v>99</v>
      </c>
      <c r="AK85" s="0" t="n">
        <v>84</v>
      </c>
      <c r="AL85" s="0" t="n">
        <v>37</v>
      </c>
      <c r="AM85" s="0" t="s">
        <v>308</v>
      </c>
      <c r="EC85" s="0" t="s">
        <v>1391</v>
      </c>
      <c r="EG85" s="0" t="n">
        <v>2026</v>
      </c>
      <c r="EH85" s="0" t="n">
        <v>2026</v>
      </c>
      <c r="EI85" s="0" t="n">
        <v>0</v>
      </c>
      <c r="EJ85" s="0" t="n">
        <v>74</v>
      </c>
      <c r="EK85" s="0" t="n">
        <v>200</v>
      </c>
      <c r="EL85" s="0" t="s">
        <v>1392</v>
      </c>
      <c r="EM85" s="0" t="n">
        <v>22</v>
      </c>
      <c r="EN85" s="15" t="b">
        <f aca="false">TRUE()</f>
        <v>1</v>
      </c>
      <c r="EO85" s="0" t="n">
        <v>300</v>
      </c>
      <c r="EP85" s="0" t="n">
        <v>2.89633333333333</v>
      </c>
      <c r="EQ85" s="0" t="n">
        <v>0.15</v>
      </c>
      <c r="ER85" s="0" t="n">
        <v>0.956666666666667</v>
      </c>
      <c r="ES85" s="0" t="n">
        <v>0.316666666666667</v>
      </c>
      <c r="ET85" s="0" t="n">
        <v>20</v>
      </c>
      <c r="EU85" s="0" t="n">
        <v>11</v>
      </c>
      <c r="EV85" s="0" t="n">
        <v>3.72</v>
      </c>
      <c r="EW85" s="0" t="n">
        <v>0.55</v>
      </c>
      <c r="EX85" s="0" t="n">
        <v>2.96200332598839</v>
      </c>
      <c r="EY85" s="0" t="n">
        <v>2.883</v>
      </c>
      <c r="EZ85" s="0" t="n">
        <v>0.1505</v>
      </c>
      <c r="FA85" s="0" t="n">
        <v>2.057</v>
      </c>
      <c r="FB85" s="0" t="n">
        <v>1.628</v>
      </c>
      <c r="FC85" s="0" t="n">
        <v>31</v>
      </c>
      <c r="FD85" s="0" t="n">
        <v>670</v>
      </c>
      <c r="FE85" s="0" t="n">
        <v>0.073134328358209</v>
      </c>
      <c r="FF85" s="0" t="n">
        <v>0.0763</v>
      </c>
      <c r="FG85" s="0" t="n">
        <v>0.2132</v>
      </c>
      <c r="FH85" s="0" t="n">
        <v>2.2</v>
      </c>
      <c r="FI85" s="0" t="n">
        <v>1064</v>
      </c>
      <c r="FJ85" s="0" t="n">
        <v>0.596804511278195</v>
      </c>
      <c r="FK85" s="0" t="n">
        <v>17</v>
      </c>
      <c r="FL85" s="0" t="n">
        <v>62.59</v>
      </c>
      <c r="FM85" s="0" t="n">
        <v>0.5383</v>
      </c>
      <c r="FN85" s="0" t="n">
        <v>0.4617</v>
      </c>
      <c r="FO85" s="0" t="n">
        <v>-0.0301</v>
      </c>
      <c r="FP85" s="0" t="n">
        <v>-0.1008</v>
      </c>
      <c r="FQ85" s="0" t="n">
        <v>-0.0795</v>
      </c>
      <c r="FR85" s="0" t="n">
        <v>35</v>
      </c>
      <c r="FS85" s="0" t="n">
        <v>48</v>
      </c>
      <c r="FT85" s="0" t="n">
        <v>2.82</v>
      </c>
      <c r="FU85" s="0" t="n">
        <v>18</v>
      </c>
      <c r="FV85" s="0" t="n">
        <v>5643</v>
      </c>
      <c r="FW85" s="0" t="n">
        <v>4426</v>
      </c>
      <c r="FX85" s="0" t="n">
        <v>0.784</v>
      </c>
      <c r="FY85" s="0" t="n">
        <v>5</v>
      </c>
      <c r="FZ85" s="0" t="n">
        <v>4</v>
      </c>
      <c r="GA85" s="0" t="n">
        <v>-0.421361894882305</v>
      </c>
      <c r="GB85" s="0" t="n">
        <v>42.4</v>
      </c>
      <c r="GC85" s="0" t="n">
        <v>44.9</v>
      </c>
      <c r="GD85" s="0" t="n">
        <v>41.9</v>
      </c>
      <c r="GE85" s="0" t="n">
        <v>565</v>
      </c>
      <c r="GF85" s="0" t="n">
        <v>435</v>
      </c>
      <c r="GG85" s="0" t="n">
        <v>127</v>
      </c>
      <c r="GH85" s="0" t="n">
        <v>21</v>
      </c>
      <c r="GI85" s="0" t="n">
        <v>113</v>
      </c>
      <c r="GJ85" s="0" t="n">
        <v>15</v>
      </c>
      <c r="GK85" s="0" t="n">
        <v>0.225</v>
      </c>
      <c r="GL85" s="0" t="n">
        <v>0.048</v>
      </c>
      <c r="GM85" s="0" t="n">
        <v>0.133</v>
      </c>
      <c r="HF85" s="0" t="s">
        <v>206</v>
      </c>
      <c r="HG85" s="0" t="n">
        <v>83.83</v>
      </c>
      <c r="HH85" s="0" t="n">
        <v>18.12</v>
      </c>
      <c r="HI85" s="0" t="n">
        <v>51</v>
      </c>
      <c r="HJ85" s="0" t="n">
        <v>165</v>
      </c>
      <c r="HK85" s="0" t="s">
        <v>909</v>
      </c>
      <c r="HL85" s="0" t="n">
        <v>0</v>
      </c>
      <c r="HN85" s="0" t="n">
        <v>37</v>
      </c>
    </row>
    <row r="86" customFormat="false" ht="15" hidden="false" customHeight="false" outlineLevel="0" collapsed="false">
      <c r="A86" s="0" t="s">
        <v>896</v>
      </c>
      <c r="B86" s="0" t="s">
        <v>897</v>
      </c>
      <c r="C86" s="0" t="s">
        <v>898</v>
      </c>
      <c r="D86" s="0" t="s">
        <v>309</v>
      </c>
      <c r="E86" s="0" t="n">
        <v>17253</v>
      </c>
      <c r="F86" s="0" t="s">
        <v>99</v>
      </c>
      <c r="G86" s="0" t="n">
        <v>85.42</v>
      </c>
      <c r="H86" s="0" t="n">
        <v>14.97</v>
      </c>
      <c r="I86" s="0" t="n">
        <v>55</v>
      </c>
      <c r="J86" s="0" t="n">
        <v>116</v>
      </c>
      <c r="L86" s="0" t="s">
        <v>1393</v>
      </c>
      <c r="O86" s="0" t="n">
        <v>87.4</v>
      </c>
      <c r="U86" s="0" t="n">
        <v>10</v>
      </c>
      <c r="V86" s="0" t="s">
        <v>309</v>
      </c>
      <c r="W86" s="0" t="s">
        <v>901</v>
      </c>
      <c r="X86" s="0" t="s">
        <v>209</v>
      </c>
      <c r="Y86" s="0" t="s">
        <v>1394</v>
      </c>
      <c r="Z86" s="0" t="n">
        <v>17253</v>
      </c>
      <c r="AA86" s="0" t="s">
        <v>1395</v>
      </c>
      <c r="AB86" s="0" t="s">
        <v>904</v>
      </c>
      <c r="AC86" s="0" t="s">
        <v>209</v>
      </c>
      <c r="AD86" s="0" t="s">
        <v>209</v>
      </c>
      <c r="AE86" s="0" t="s">
        <v>209</v>
      </c>
      <c r="AF86" s="0" t="s">
        <v>209</v>
      </c>
      <c r="AG86" s="0" t="s">
        <v>209</v>
      </c>
      <c r="AH86" s="0" t="s">
        <v>905</v>
      </c>
      <c r="AI86" s="0" t="n">
        <v>1</v>
      </c>
      <c r="AJ86" s="0" t="s">
        <v>99</v>
      </c>
      <c r="AK86" s="0" t="n">
        <v>85</v>
      </c>
      <c r="AL86" s="0" t="n">
        <v>38</v>
      </c>
      <c r="AM86" s="0" t="s">
        <v>310</v>
      </c>
      <c r="AN86" s="0" t="n">
        <v>0</v>
      </c>
      <c r="AO86" s="0" t="n">
        <v>0</v>
      </c>
      <c r="AP86" s="0" t="n">
        <v>0</v>
      </c>
      <c r="AQ86" s="0" t="n">
        <v>0</v>
      </c>
      <c r="AR86" s="0" t="n">
        <v>0</v>
      </c>
      <c r="AS86" s="0" t="n">
        <v>1</v>
      </c>
      <c r="AT86" s="0" t="n">
        <v>0</v>
      </c>
      <c r="AU86" s="0" t="n">
        <v>0</v>
      </c>
      <c r="AV86" s="0" t="n">
        <v>-4.03171936139203</v>
      </c>
      <c r="AW86" s="0" t="n">
        <v>0</v>
      </c>
      <c r="AX86" s="0" t="n">
        <v>0</v>
      </c>
      <c r="AY86" s="0" t="n">
        <v>0</v>
      </c>
      <c r="AZ86" s="0" t="n">
        <v>0</v>
      </c>
      <c r="BA86" s="0" t="n">
        <v>0</v>
      </c>
      <c r="BB86" s="0" t="n">
        <v>0</v>
      </c>
      <c r="BC86" s="0" t="n">
        <v>74</v>
      </c>
      <c r="BD86" s="0" t="n">
        <v>124</v>
      </c>
      <c r="BE86" s="0" t="n">
        <v>1017</v>
      </c>
      <c r="BF86" s="0" t="n">
        <v>7</v>
      </c>
      <c r="BG86" s="0" t="n">
        <v>1542</v>
      </c>
      <c r="BH86" s="0" t="n">
        <v>222</v>
      </c>
      <c r="BI86" s="0" t="n">
        <v>52</v>
      </c>
      <c r="BJ86" s="0" t="n">
        <v>45.5939169711768</v>
      </c>
      <c r="BK86" s="0" t="n">
        <v>0</v>
      </c>
      <c r="BL86" s="0" t="n">
        <v>0</v>
      </c>
      <c r="BM86" s="0" t="n">
        <v>145.7</v>
      </c>
      <c r="BN86" s="0" t="n">
        <v>219.7</v>
      </c>
      <c r="BO86" s="0" t="n">
        <v>17</v>
      </c>
      <c r="BP86" s="0" t="s">
        <v>209</v>
      </c>
      <c r="BQ86" s="0" t="n">
        <v>1</v>
      </c>
      <c r="BR86" s="0" t="n">
        <v>182.7</v>
      </c>
      <c r="BS86" s="0" t="n">
        <v>0.2123</v>
      </c>
      <c r="BT86" s="0" t="n">
        <v>0</v>
      </c>
      <c r="BU86" s="0" t="n">
        <v>0.352</v>
      </c>
      <c r="BV86" s="0" t="n">
        <v>0.2123</v>
      </c>
      <c r="BW86" s="0" t="n">
        <v>0</v>
      </c>
      <c r="BX86" s="0" t="n">
        <v>0.352</v>
      </c>
      <c r="BY86" s="0" t="n">
        <v>0.5648</v>
      </c>
      <c r="BZ86" s="0" t="n">
        <v>17</v>
      </c>
      <c r="CA86" s="0" t="n">
        <v>8</v>
      </c>
      <c r="CB86" s="0" t="n">
        <v>20</v>
      </c>
      <c r="CC86" s="0" t="n">
        <v>12.2</v>
      </c>
      <c r="CD86" s="0" t="n">
        <v>7.48</v>
      </c>
      <c r="CE86" s="0" t="n">
        <v>4</v>
      </c>
      <c r="CF86" s="0" t="n">
        <v>2</v>
      </c>
      <c r="CG86" s="0" t="n">
        <v>17</v>
      </c>
      <c r="CH86" s="0" t="n">
        <v>0.235</v>
      </c>
      <c r="CI86" s="0" t="n">
        <v>0.118</v>
      </c>
      <c r="CJ86" s="0" t="n">
        <v>0.613</v>
      </c>
      <c r="CK86" s="0" t="n">
        <v>19</v>
      </c>
      <c r="CL86" s="0" t="n">
        <v>7</v>
      </c>
      <c r="CM86" s="0" t="n">
        <v>5</v>
      </c>
      <c r="CN86" s="0" t="n">
        <v>7</v>
      </c>
      <c r="CO86" s="0" t="n">
        <v>6.29053164966149</v>
      </c>
      <c r="CP86" s="0" t="n">
        <v>0</v>
      </c>
      <c r="CQ86" s="0" t="n">
        <v>0</v>
      </c>
      <c r="CR86" s="0" t="n">
        <v>0</v>
      </c>
      <c r="CS86" s="0" t="n">
        <v>0</v>
      </c>
      <c r="CT86" s="0" t="n">
        <v>0</v>
      </c>
      <c r="CU86" s="0" t="n">
        <v>19</v>
      </c>
      <c r="CV86" s="0" t="n">
        <v>7</v>
      </c>
      <c r="CW86" s="0" t="n">
        <v>5</v>
      </c>
      <c r="CX86" s="0" t="n">
        <v>7</v>
      </c>
      <c r="CY86" s="0" t="n">
        <v>6.29</v>
      </c>
      <c r="CZ86" s="0" t="n">
        <v>0.71</v>
      </c>
      <c r="DA86" s="0" t="n">
        <v>2.27853790595032</v>
      </c>
      <c r="DB86" s="0" t="n">
        <v>5.27285714285714</v>
      </c>
      <c r="DC86" s="0" t="n">
        <v>12.5633870967742</v>
      </c>
      <c r="DD86" s="0" t="n">
        <v>35.5806586439308</v>
      </c>
      <c r="DE86" s="0" t="n">
        <v>0.115089145751375</v>
      </c>
      <c r="DF86" s="0" t="n">
        <v>59.6774193548387</v>
      </c>
      <c r="DM86" s="0" t="s">
        <v>1396</v>
      </c>
      <c r="DS86" s="0" t="n">
        <v>124</v>
      </c>
      <c r="DT86" s="0" t="n">
        <v>3</v>
      </c>
      <c r="DU86" s="0" t="n">
        <v>8</v>
      </c>
      <c r="DV86" s="0" t="n">
        <v>10.743</v>
      </c>
      <c r="DW86" s="0" t="n">
        <v>3</v>
      </c>
      <c r="DX86" s="0" t="n">
        <v>12.4</v>
      </c>
      <c r="DY86" s="0" t="n">
        <v>0.0645</v>
      </c>
      <c r="DZ86" s="0" t="n">
        <v>975</v>
      </c>
      <c r="EA86" s="0" t="n">
        <v>0.854</v>
      </c>
      <c r="EB86" s="0" t="n">
        <v>17</v>
      </c>
      <c r="EC86" s="0" t="s">
        <v>1397</v>
      </c>
      <c r="ED86" s="0" t="n">
        <v>2018</v>
      </c>
      <c r="EE86" s="0" t="n">
        <v>2</v>
      </c>
      <c r="EF86" s="0" t="n">
        <v>40</v>
      </c>
      <c r="EG86" s="0" t="n">
        <v>2018</v>
      </c>
      <c r="EH86" s="0" t="n">
        <v>2026</v>
      </c>
      <c r="EI86" s="0" t="n">
        <v>9</v>
      </c>
      <c r="EJ86" s="0" t="n">
        <v>76</v>
      </c>
      <c r="EK86" s="0" t="n">
        <v>216</v>
      </c>
      <c r="EL86" s="0" t="s">
        <v>1039</v>
      </c>
      <c r="EM86" s="0" t="n">
        <v>30.9</v>
      </c>
      <c r="EN86" s="15" t="b">
        <f aca="false">FALSE()</f>
        <v>0</v>
      </c>
      <c r="EO86" s="0" t="n">
        <v>354</v>
      </c>
      <c r="EP86" s="0" t="n">
        <v>2.95932203389831</v>
      </c>
      <c r="EQ86" s="0" t="n">
        <v>0.172316384180791</v>
      </c>
      <c r="ER86" s="0" t="n">
        <v>1.24293785310735</v>
      </c>
      <c r="ES86" s="0" t="n">
        <v>0.807909604519774</v>
      </c>
      <c r="ET86" s="0" t="n">
        <v>29</v>
      </c>
      <c r="EU86" s="0" t="n">
        <v>16</v>
      </c>
      <c r="EV86" s="0" t="n">
        <v>4.42372881355932</v>
      </c>
      <c r="EW86" s="0" t="n">
        <v>0.551724137931035</v>
      </c>
      <c r="EX86" s="0" t="n">
        <v>2.95623424539257</v>
      </c>
      <c r="EY86" s="0" t="n">
        <v>2.952</v>
      </c>
      <c r="EZ86" s="0" t="n">
        <v>0.1682</v>
      </c>
      <c r="FA86" s="0" t="n">
        <v>2.592</v>
      </c>
      <c r="FB86" s="0" t="n">
        <v>1.833</v>
      </c>
      <c r="FC86" s="0" t="n">
        <v>20</v>
      </c>
      <c r="FD86" s="0" t="n">
        <v>671</v>
      </c>
      <c r="FE86" s="0" t="n">
        <v>0.0342771982116244</v>
      </c>
      <c r="FF86" s="0" t="n">
        <v>0.037</v>
      </c>
      <c r="FG86" s="0" t="n">
        <v>0.2088</v>
      </c>
      <c r="FH86" s="0" t="n">
        <v>2.401</v>
      </c>
      <c r="FI86" s="0" t="n">
        <v>1079</v>
      </c>
      <c r="FJ86" s="0" t="n">
        <v>0.593141797961075</v>
      </c>
      <c r="FK86" s="0" t="n">
        <v>17</v>
      </c>
      <c r="FL86" s="0" t="n">
        <v>63.47</v>
      </c>
      <c r="FM86" s="0" t="n">
        <v>0.59</v>
      </c>
      <c r="FN86" s="0" t="n">
        <v>0.41</v>
      </c>
      <c r="FO86" s="0" t="n">
        <v>0.0157</v>
      </c>
      <c r="FP86" s="0" t="n">
        <v>0.0004</v>
      </c>
      <c r="FQ86" s="0" t="n">
        <v>0.0835</v>
      </c>
      <c r="FR86" s="0" t="n">
        <v>38</v>
      </c>
      <c r="FS86" s="0" t="n">
        <v>59</v>
      </c>
      <c r="FT86" s="0" t="n">
        <v>3.47</v>
      </c>
      <c r="FU86" s="0" t="n">
        <v>23.6</v>
      </c>
      <c r="FV86" s="0" t="n">
        <v>5797</v>
      </c>
      <c r="FW86" s="0" t="n">
        <v>5793</v>
      </c>
      <c r="FX86" s="0" t="n">
        <v>0.999</v>
      </c>
      <c r="FY86" s="0" t="n">
        <v>5</v>
      </c>
      <c r="FZ86" s="0" t="n">
        <v>5</v>
      </c>
      <c r="GA86" s="0" t="n">
        <v>0.00253477555898343</v>
      </c>
      <c r="GB86" s="0" t="n">
        <v>50</v>
      </c>
      <c r="GC86" s="0" t="n">
        <v>70.8</v>
      </c>
      <c r="GD86" s="0" t="n">
        <v>63.2</v>
      </c>
      <c r="GE86" s="0" t="n">
        <v>584</v>
      </c>
      <c r="GF86" s="0" t="n">
        <v>456</v>
      </c>
      <c r="GG86" s="0" t="n">
        <v>4</v>
      </c>
      <c r="GH86" s="0" t="n">
        <v>0</v>
      </c>
      <c r="GI86" s="0" t="n">
        <v>157</v>
      </c>
      <c r="GJ86" s="0" t="n">
        <v>1</v>
      </c>
      <c r="GK86" s="0" t="n">
        <v>0.007</v>
      </c>
      <c r="GL86" s="0" t="n">
        <v>0</v>
      </c>
      <c r="GM86" s="0" t="n">
        <v>0.006</v>
      </c>
      <c r="GN86" s="0" t="n">
        <v>12.924</v>
      </c>
      <c r="GO86" s="0" t="n">
        <v>10.747</v>
      </c>
      <c r="GP86" s="0" t="n">
        <v>8.571</v>
      </c>
      <c r="GQ86" s="0" t="n">
        <v>7.294</v>
      </c>
      <c r="GR86" s="0" t="n">
        <v>0</v>
      </c>
      <c r="GS86" s="0" t="n">
        <v>124</v>
      </c>
      <c r="GT86" s="0" t="n">
        <v>1.772</v>
      </c>
      <c r="GU86" s="0" t="n">
        <v>0.225</v>
      </c>
      <c r="GV86" s="0" t="n">
        <v>8.202</v>
      </c>
      <c r="GW86" s="0" t="n">
        <v>13.743</v>
      </c>
      <c r="GX86" s="0" t="n">
        <v>0.597</v>
      </c>
      <c r="GZ86" s="0" t="n">
        <v>12.435</v>
      </c>
      <c r="HA86" s="0" t="n">
        <v>3</v>
      </c>
      <c r="HB86" s="0" t="n">
        <v>0.66</v>
      </c>
      <c r="HC86" s="0" t="n">
        <v>0.056</v>
      </c>
      <c r="HE86" s="0" t="n">
        <v>0.368</v>
      </c>
      <c r="HG86" s="0" t="n">
        <v>85.42</v>
      </c>
      <c r="HH86" s="0" t="n">
        <v>14.97</v>
      </c>
      <c r="HI86" s="0" t="n">
        <v>55</v>
      </c>
      <c r="HJ86" s="0" t="n">
        <v>116</v>
      </c>
      <c r="HK86" s="0" t="s">
        <v>909</v>
      </c>
      <c r="HL86" s="0" t="n">
        <v>0</v>
      </c>
      <c r="HM86" s="0" t="n">
        <v>13</v>
      </c>
      <c r="HN86" s="0" t="n">
        <v>38</v>
      </c>
      <c r="HO86" s="0" t="n">
        <v>0.811</v>
      </c>
      <c r="HP86" s="0" t="n">
        <v>23</v>
      </c>
      <c r="HQ86" s="0" t="n">
        <v>0.373</v>
      </c>
      <c r="HR86" s="0" t="s">
        <v>232</v>
      </c>
    </row>
    <row r="87" customFormat="false" ht="15" hidden="false" customHeight="false" outlineLevel="0" collapsed="false">
      <c r="A87" s="0" t="s">
        <v>896</v>
      </c>
      <c r="B87" s="0" t="s">
        <v>897</v>
      </c>
      <c r="C87" s="0" t="s">
        <v>898</v>
      </c>
      <c r="D87" s="0" t="s">
        <v>311</v>
      </c>
      <c r="E87" s="0" t="n">
        <v>24706</v>
      </c>
      <c r="F87" s="0" t="s">
        <v>99</v>
      </c>
      <c r="G87" s="0" t="n">
        <v>85.44</v>
      </c>
      <c r="H87" s="0" t="n">
        <v>13.37</v>
      </c>
      <c r="I87" s="0" t="n">
        <v>51</v>
      </c>
      <c r="J87" s="0" t="n">
        <v>126</v>
      </c>
      <c r="L87" s="0" t="s">
        <v>1398</v>
      </c>
      <c r="O87" s="0" t="n">
        <v>77.9</v>
      </c>
      <c r="U87" s="0" t="n">
        <v>13</v>
      </c>
      <c r="V87" s="0" t="s">
        <v>311</v>
      </c>
      <c r="W87" s="0" t="s">
        <v>901</v>
      </c>
      <c r="X87" s="0" t="s">
        <v>130</v>
      </c>
      <c r="Y87" s="0" t="s">
        <v>1399</v>
      </c>
      <c r="Z87" s="0" t="n">
        <v>24706</v>
      </c>
      <c r="AA87" s="0" t="s">
        <v>1400</v>
      </c>
      <c r="AB87" s="0" t="s">
        <v>904</v>
      </c>
      <c r="AC87" s="0" t="s">
        <v>130</v>
      </c>
      <c r="AD87" s="0" t="s">
        <v>130</v>
      </c>
      <c r="AE87" s="0" t="s">
        <v>130</v>
      </c>
      <c r="AF87" s="0" t="s">
        <v>130</v>
      </c>
      <c r="AG87" s="0" t="s">
        <v>130</v>
      </c>
      <c r="AH87" s="0" t="s">
        <v>905</v>
      </c>
      <c r="AI87" s="0" t="n">
        <v>2</v>
      </c>
      <c r="AJ87" s="0" t="s">
        <v>99</v>
      </c>
      <c r="AK87" s="0" t="n">
        <v>86</v>
      </c>
      <c r="AL87" s="0" t="n">
        <v>39</v>
      </c>
      <c r="AM87" s="0" t="s">
        <v>312</v>
      </c>
      <c r="AN87" s="0" t="n">
        <v>0</v>
      </c>
      <c r="AO87" s="0" t="n">
        <v>0</v>
      </c>
      <c r="AP87" s="0" t="n">
        <v>0</v>
      </c>
      <c r="AQ87" s="0" t="n">
        <v>0</v>
      </c>
      <c r="AR87" s="0" t="n">
        <v>0</v>
      </c>
      <c r="AS87" s="0" t="n">
        <v>0</v>
      </c>
      <c r="AT87" s="0" t="n">
        <v>0</v>
      </c>
      <c r="AU87" s="0" t="n">
        <v>0</v>
      </c>
      <c r="AV87" s="0" t="n">
        <v>0</v>
      </c>
      <c r="AW87" s="0" t="n">
        <v>2</v>
      </c>
      <c r="AX87" s="0" t="n">
        <v>-2</v>
      </c>
      <c r="AY87" s="0" t="n">
        <v>0</v>
      </c>
      <c r="AZ87" s="0" t="n">
        <v>0</v>
      </c>
      <c r="BA87" s="0" t="n">
        <v>-1.52163009881042</v>
      </c>
      <c r="BB87" s="0" t="n">
        <v>0</v>
      </c>
      <c r="BC87" s="0" t="n">
        <v>58</v>
      </c>
      <c r="BD87" s="0" t="n">
        <v>88</v>
      </c>
      <c r="BE87" s="0" t="n">
        <v>566</v>
      </c>
      <c r="BF87" s="0" t="n">
        <v>4</v>
      </c>
      <c r="BG87" s="0" t="n">
        <v>659</v>
      </c>
      <c r="BH87" s="0" t="n">
        <v>144</v>
      </c>
      <c r="BI87" s="0" t="n">
        <v>36</v>
      </c>
      <c r="BJ87" s="0" t="n">
        <v>8.65751017263293</v>
      </c>
      <c r="BK87" s="0" t="n">
        <v>0</v>
      </c>
      <c r="BL87" s="0" t="n">
        <v>0</v>
      </c>
      <c r="BM87" s="0" t="n">
        <v>80.4</v>
      </c>
      <c r="BN87" s="0" t="n">
        <v>138.4</v>
      </c>
      <c r="BO87" s="0" t="n">
        <v>16</v>
      </c>
      <c r="BP87" s="0" t="s">
        <v>130</v>
      </c>
      <c r="BQ87" s="0" t="n">
        <v>1</v>
      </c>
      <c r="BR87" s="0" t="n">
        <v>109.4</v>
      </c>
      <c r="BS87" s="0" t="n">
        <v>0.166</v>
      </c>
      <c r="BT87" s="0" t="n">
        <v>0.0045</v>
      </c>
      <c r="BU87" s="0" t="n">
        <v>0.1542</v>
      </c>
      <c r="BV87" s="0" t="n">
        <v>0.1767</v>
      </c>
      <c r="BW87" s="0" t="n">
        <v>0.0048</v>
      </c>
      <c r="BX87" s="0" t="n">
        <v>0.1672</v>
      </c>
      <c r="BY87" s="0" t="n">
        <v>0.3821</v>
      </c>
      <c r="BZ87" s="0" t="n">
        <v>16</v>
      </c>
      <c r="CA87" s="0" t="n">
        <v>5.4</v>
      </c>
      <c r="CB87" s="0" t="n">
        <v>12.62</v>
      </c>
      <c r="CC87" s="0" t="n">
        <v>8</v>
      </c>
      <c r="CD87" s="0" t="n">
        <v>4.74</v>
      </c>
      <c r="CE87" s="0" t="n">
        <v>0</v>
      </c>
      <c r="CF87" s="0" t="n">
        <v>1</v>
      </c>
      <c r="CG87" s="0" t="n">
        <v>16</v>
      </c>
      <c r="CH87" s="0" t="n">
        <v>0</v>
      </c>
      <c r="CI87" s="0" t="n">
        <v>0.062</v>
      </c>
      <c r="CJ87" s="0" t="n">
        <v>0.592</v>
      </c>
      <c r="CK87" s="0" t="n">
        <v>15</v>
      </c>
      <c r="CL87" s="0" t="n">
        <v>5</v>
      </c>
      <c r="CM87" s="0" t="n">
        <v>2</v>
      </c>
      <c r="CN87" s="0" t="n">
        <v>4</v>
      </c>
      <c r="CO87" s="0" t="n">
        <v>4.43400849100331</v>
      </c>
      <c r="CP87" s="0" t="n">
        <v>0</v>
      </c>
      <c r="CQ87" s="0" t="n">
        <v>0</v>
      </c>
      <c r="CR87" s="0" t="n">
        <v>0</v>
      </c>
      <c r="CS87" s="0" t="n">
        <v>0</v>
      </c>
      <c r="CT87" s="0" t="n">
        <v>0.0195438129223138</v>
      </c>
      <c r="CU87" s="0" t="n">
        <v>15</v>
      </c>
      <c r="CV87" s="0" t="n">
        <v>5</v>
      </c>
      <c r="CW87" s="0" t="n">
        <v>2</v>
      </c>
      <c r="CX87" s="0" t="n">
        <v>4</v>
      </c>
      <c r="CY87" s="0" t="n">
        <v>4.45</v>
      </c>
      <c r="CZ87" s="0" t="n">
        <v>-0.45</v>
      </c>
      <c r="DA87" s="0" t="n">
        <v>2.6805034029615</v>
      </c>
      <c r="DB87" s="0" t="n">
        <v>7.21391891891892</v>
      </c>
      <c r="DC87" s="0" t="n">
        <v>7.73829545454546</v>
      </c>
      <c r="DD87" s="0" t="n">
        <v>15.8832749443711</v>
      </c>
      <c r="DE87" s="0" t="n">
        <v>0.134333950528054</v>
      </c>
      <c r="DF87" s="0" t="n">
        <v>65.9090909090909</v>
      </c>
      <c r="DM87" s="0" t="s">
        <v>1401</v>
      </c>
      <c r="DN87" s="0" t="n">
        <v>2</v>
      </c>
      <c r="DO87" s="0" t="n">
        <v>0</v>
      </c>
      <c r="DS87" s="0" t="n">
        <v>88</v>
      </c>
      <c r="DT87" s="0" t="n">
        <v>1</v>
      </c>
      <c r="DU87" s="0" t="n">
        <v>4</v>
      </c>
      <c r="DV87" s="0" t="n">
        <v>7.276</v>
      </c>
      <c r="DW87" s="0" t="n">
        <v>2.483</v>
      </c>
      <c r="DX87" s="0" t="n">
        <v>7.2</v>
      </c>
      <c r="DY87" s="0" t="n">
        <v>0.0455</v>
      </c>
      <c r="DZ87" s="0" t="n">
        <v>594</v>
      </c>
      <c r="EA87" s="0" t="n">
        <v>0.587</v>
      </c>
      <c r="EB87" s="0" t="n">
        <v>16</v>
      </c>
      <c r="EC87" s="0" t="s">
        <v>1402</v>
      </c>
      <c r="ED87" s="0" t="n">
        <v>2023</v>
      </c>
      <c r="EE87" s="0" t="n">
        <v>3</v>
      </c>
      <c r="EF87" s="0" t="n">
        <v>79</v>
      </c>
      <c r="EG87" s="0" t="n">
        <v>2023</v>
      </c>
      <c r="EH87" s="0" t="n">
        <v>2026</v>
      </c>
      <c r="EI87" s="0" t="n">
        <v>4</v>
      </c>
      <c r="EJ87" s="0" t="n">
        <v>69</v>
      </c>
      <c r="EK87" s="0" t="n">
        <v>171</v>
      </c>
      <c r="EL87" s="0" t="s">
        <v>1051</v>
      </c>
      <c r="EM87" s="0" t="n">
        <v>25</v>
      </c>
      <c r="EN87" s="15" t="b">
        <f aca="false">FALSE()</f>
        <v>0</v>
      </c>
      <c r="EO87" s="0" t="n">
        <v>373</v>
      </c>
      <c r="EP87" s="0" t="n">
        <v>3.01769436997319</v>
      </c>
      <c r="EQ87" s="0" t="n">
        <v>0.152815013404826</v>
      </c>
      <c r="ER87" s="0" t="n">
        <v>1.2171581769437</v>
      </c>
      <c r="ES87" s="0" t="n">
        <v>1.07506702412869</v>
      </c>
      <c r="ET87" s="0" t="n">
        <v>32</v>
      </c>
      <c r="EU87" s="0" t="n">
        <v>22</v>
      </c>
      <c r="EV87" s="0" t="n">
        <v>4.73190348525469</v>
      </c>
      <c r="EW87" s="0" t="n">
        <v>0.6875</v>
      </c>
      <c r="EX87" s="0" t="n">
        <v>2.89403637630104</v>
      </c>
      <c r="EY87" s="0" t="n">
        <v>3.072</v>
      </c>
      <c r="EZ87" s="0" t="n">
        <v>0.1487</v>
      </c>
      <c r="FA87" s="0" t="n">
        <v>2.428</v>
      </c>
      <c r="FB87" s="0" t="n">
        <v>2.113</v>
      </c>
      <c r="FC87" s="0" t="n">
        <v>29</v>
      </c>
      <c r="FD87" s="0" t="n">
        <v>599</v>
      </c>
      <c r="FE87" s="0" t="n">
        <v>0.0484140233722872</v>
      </c>
      <c r="FF87" s="0" t="n">
        <v>0.047</v>
      </c>
      <c r="FG87" s="0" t="n">
        <v>0.2121</v>
      </c>
      <c r="FH87" s="0" t="n">
        <v>2.237</v>
      </c>
      <c r="FI87" s="0" t="n">
        <v>1011</v>
      </c>
      <c r="FJ87" s="0" t="n">
        <v>0.573689416419387</v>
      </c>
      <c r="FK87" s="0" t="n">
        <v>17</v>
      </c>
      <c r="FL87" s="0" t="n">
        <v>59.47</v>
      </c>
      <c r="FM87" s="0" t="n">
        <v>0.5637</v>
      </c>
      <c r="FN87" s="0" t="n">
        <v>0.4363</v>
      </c>
      <c r="FO87" s="0" t="n">
        <v>-0.0091</v>
      </c>
      <c r="FP87" s="0" t="n">
        <v>0.094</v>
      </c>
      <c r="FQ87" s="0" t="n">
        <v>0.0558</v>
      </c>
      <c r="FR87" s="0" t="n">
        <v>39</v>
      </c>
      <c r="FS87" s="0" t="n">
        <v>70</v>
      </c>
      <c r="FT87" s="0" t="n">
        <v>4.12</v>
      </c>
      <c r="FU87" s="0" t="n">
        <v>27.4</v>
      </c>
      <c r="FV87" s="0" t="n">
        <v>5369</v>
      </c>
      <c r="FW87" s="0" t="n">
        <v>4465</v>
      </c>
      <c r="FX87" s="0" t="n">
        <v>0.832</v>
      </c>
      <c r="FY87" s="0" t="n">
        <v>5</v>
      </c>
      <c r="FZ87" s="0" t="n">
        <v>5</v>
      </c>
      <c r="GA87" s="0" t="n">
        <v>0.42626114302074</v>
      </c>
      <c r="GB87" s="0" t="n">
        <v>57.7</v>
      </c>
      <c r="GC87" s="0" t="n">
        <v>58.5</v>
      </c>
      <c r="GD87" s="0" t="n">
        <v>60.3</v>
      </c>
      <c r="GE87" s="0" t="n">
        <v>530</v>
      </c>
      <c r="GF87" s="0" t="n">
        <v>442</v>
      </c>
      <c r="GG87" s="0" t="n">
        <v>147</v>
      </c>
      <c r="GH87" s="0" t="n">
        <v>24</v>
      </c>
      <c r="GI87" s="0" t="n">
        <v>179</v>
      </c>
      <c r="GJ87" s="0" t="n">
        <v>20</v>
      </c>
      <c r="GK87" s="0" t="n">
        <v>0.277</v>
      </c>
      <c r="GL87" s="0" t="n">
        <v>0.054</v>
      </c>
      <c r="GM87" s="0" t="n">
        <v>0.112</v>
      </c>
      <c r="GN87" s="0" t="n">
        <v>8.65</v>
      </c>
      <c r="GO87" s="0" t="n">
        <v>6.838</v>
      </c>
      <c r="GP87" s="0" t="n">
        <v>5.025</v>
      </c>
      <c r="GQ87" s="0" t="n">
        <v>5.5</v>
      </c>
      <c r="GR87" s="0" t="n">
        <v>0.125</v>
      </c>
      <c r="GS87" s="0" t="n">
        <v>90</v>
      </c>
      <c r="GT87" s="0" t="n">
        <v>1.538</v>
      </c>
      <c r="GU87" s="0" t="n">
        <v>0.233</v>
      </c>
      <c r="GV87" s="0" t="n">
        <v>6.432</v>
      </c>
      <c r="GW87" s="0" t="n">
        <v>9.759</v>
      </c>
      <c r="GX87" s="0" t="n">
        <v>0.659</v>
      </c>
      <c r="GZ87" s="0" t="n">
        <v>7.489</v>
      </c>
      <c r="HA87" s="0" t="n">
        <v>2.483</v>
      </c>
      <c r="HB87" s="0" t="n">
        <v>0.859</v>
      </c>
      <c r="HC87" s="0" t="n">
        <v>0.044</v>
      </c>
      <c r="HE87" s="0" t="n">
        <v>0.098</v>
      </c>
      <c r="HG87" s="0" t="n">
        <v>85.44</v>
      </c>
      <c r="HH87" s="0" t="n">
        <v>13.37</v>
      </c>
      <c r="HI87" s="0" t="n">
        <v>51</v>
      </c>
      <c r="HJ87" s="0" t="n">
        <v>126</v>
      </c>
      <c r="HK87" s="0" t="s">
        <v>909</v>
      </c>
      <c r="HL87" s="0" t="n">
        <v>0</v>
      </c>
      <c r="HM87" s="0" t="n">
        <v>43</v>
      </c>
      <c r="HN87" s="0" t="n">
        <v>39</v>
      </c>
      <c r="HO87" s="0" t="n">
        <v>-0.468</v>
      </c>
      <c r="HP87" s="0" t="n">
        <v>55</v>
      </c>
      <c r="HQ87" s="0" t="n">
        <v>-0.994</v>
      </c>
      <c r="HR87" s="0" t="s">
        <v>121</v>
      </c>
    </row>
    <row r="88" customFormat="false" ht="15" hidden="false" customHeight="false" outlineLevel="0" collapsed="false">
      <c r="A88" s="0" t="s">
        <v>896</v>
      </c>
      <c r="B88" s="0" t="s">
        <v>897</v>
      </c>
      <c r="C88" s="0" t="s">
        <v>898</v>
      </c>
      <c r="D88" s="0" t="s">
        <v>313</v>
      </c>
      <c r="E88" s="0" t="n">
        <v>19792</v>
      </c>
      <c r="F88" s="0" t="s">
        <v>104</v>
      </c>
      <c r="G88" s="0" t="n">
        <v>86.83</v>
      </c>
      <c r="H88" s="0" t="n">
        <v>11.41</v>
      </c>
      <c r="I88" s="0" t="n">
        <v>61</v>
      </c>
      <c r="J88" s="0" t="n">
        <v>127</v>
      </c>
      <c r="L88" s="0" t="s">
        <v>1403</v>
      </c>
      <c r="O88" s="0" t="n">
        <v>87.1</v>
      </c>
      <c r="U88" s="0" t="n">
        <v>5</v>
      </c>
      <c r="V88" s="0" t="s">
        <v>313</v>
      </c>
      <c r="W88" s="0" t="s">
        <v>901</v>
      </c>
      <c r="X88" s="0" t="s">
        <v>191</v>
      </c>
      <c r="Y88" s="0" t="s">
        <v>1404</v>
      </c>
      <c r="Z88" s="0" t="n">
        <v>19792</v>
      </c>
      <c r="AA88" s="0" t="s">
        <v>1405</v>
      </c>
      <c r="AB88" s="0" t="s">
        <v>904</v>
      </c>
      <c r="AC88" s="0" t="s">
        <v>191</v>
      </c>
      <c r="AD88" s="0" t="s">
        <v>191</v>
      </c>
      <c r="AE88" s="0" t="s">
        <v>191</v>
      </c>
      <c r="AF88" s="0" t="s">
        <v>191</v>
      </c>
      <c r="AG88" s="0" t="s">
        <v>191</v>
      </c>
      <c r="AH88" s="0" t="s">
        <v>905</v>
      </c>
      <c r="AI88" s="0" t="n">
        <v>1</v>
      </c>
      <c r="AJ88" s="0" t="s">
        <v>104</v>
      </c>
      <c r="AK88" s="0" t="n">
        <v>87</v>
      </c>
      <c r="AL88" s="0" t="n">
        <v>30</v>
      </c>
      <c r="AM88" s="0" t="s">
        <v>314</v>
      </c>
      <c r="AN88" s="0" t="n">
        <v>0</v>
      </c>
      <c r="AO88" s="0" t="n">
        <v>0</v>
      </c>
      <c r="AP88" s="0" t="n">
        <v>0</v>
      </c>
      <c r="AQ88" s="0" t="n">
        <v>0</v>
      </c>
      <c r="AR88" s="0" t="n">
        <v>0</v>
      </c>
      <c r="AS88" s="0" t="n">
        <v>0</v>
      </c>
      <c r="AT88" s="0" t="n">
        <v>0</v>
      </c>
      <c r="AU88" s="0" t="n">
        <v>0</v>
      </c>
      <c r="AV88" s="0" t="n">
        <v>0</v>
      </c>
      <c r="AW88" s="0" t="n">
        <v>134</v>
      </c>
      <c r="AX88" s="0" t="n">
        <v>511</v>
      </c>
      <c r="AY88" s="0" t="n">
        <v>1</v>
      </c>
      <c r="AZ88" s="0" t="n">
        <v>31</v>
      </c>
      <c r="BA88" s="0" t="n">
        <v>-15.6743709249376</v>
      </c>
      <c r="BB88" s="0" t="n">
        <v>1</v>
      </c>
      <c r="BC88" s="0" t="n">
        <v>30</v>
      </c>
      <c r="BD88" s="0" t="n">
        <v>39</v>
      </c>
      <c r="BE88" s="0" t="n">
        <v>223</v>
      </c>
      <c r="BF88" s="0" t="n">
        <v>3</v>
      </c>
      <c r="BG88" s="0" t="n">
        <v>-40</v>
      </c>
      <c r="BH88" s="0" t="n">
        <v>291</v>
      </c>
      <c r="BI88" s="0" t="n">
        <v>12</v>
      </c>
      <c r="BJ88" s="0" t="n">
        <v>4.57995467503808</v>
      </c>
      <c r="BK88" s="0" t="n">
        <v>0</v>
      </c>
      <c r="BL88" s="0" t="n">
        <v>0</v>
      </c>
      <c r="BM88" s="0" t="n">
        <v>95.4</v>
      </c>
      <c r="BN88" s="0" t="n">
        <v>125.4</v>
      </c>
      <c r="BO88" s="0" t="n">
        <v>15</v>
      </c>
      <c r="BP88" s="0" t="s">
        <v>191</v>
      </c>
      <c r="BQ88" s="0" t="n">
        <v>1</v>
      </c>
      <c r="BR88" s="0" t="n">
        <v>110.4</v>
      </c>
      <c r="BS88" s="0" t="n">
        <v>0.0812</v>
      </c>
      <c r="BT88" s="0" t="n">
        <v>0.2907</v>
      </c>
      <c r="BU88" s="0" t="n">
        <v>-0.0123</v>
      </c>
      <c r="BV88" s="0" t="n">
        <v>0.0903</v>
      </c>
      <c r="BW88" s="0" t="n">
        <v>0.3427</v>
      </c>
      <c r="BX88" s="0" t="n">
        <v>-0.0139</v>
      </c>
      <c r="BY88" s="0" t="n">
        <v>0.1257</v>
      </c>
      <c r="BZ88" s="0" t="n">
        <v>15</v>
      </c>
      <c r="CA88" s="0" t="n">
        <v>3.75</v>
      </c>
      <c r="CB88" s="0" t="n">
        <v>17.1</v>
      </c>
      <c r="CC88" s="0" t="n">
        <v>7.5</v>
      </c>
      <c r="CD88" s="0" t="n">
        <v>6.15</v>
      </c>
      <c r="CE88" s="0" t="n">
        <v>3</v>
      </c>
      <c r="CF88" s="0" t="n">
        <v>2</v>
      </c>
      <c r="CG88" s="0" t="n">
        <v>15</v>
      </c>
      <c r="CH88" s="0" t="n">
        <v>0.2</v>
      </c>
      <c r="CI88" s="0" t="n">
        <v>0.133</v>
      </c>
      <c r="CJ88" s="0" t="n">
        <v>0.82</v>
      </c>
      <c r="CK88" s="0" t="n">
        <v>6</v>
      </c>
      <c r="CL88" s="0" t="n">
        <v>4</v>
      </c>
      <c r="CM88" s="0" t="n">
        <v>3</v>
      </c>
      <c r="CN88" s="0" t="n">
        <v>3</v>
      </c>
      <c r="CO88" s="0" t="n">
        <v>2.84805011375541</v>
      </c>
      <c r="CP88" s="0" t="n">
        <v>18</v>
      </c>
      <c r="CQ88" s="0" t="n">
        <v>7</v>
      </c>
      <c r="CR88" s="0" t="n">
        <v>1</v>
      </c>
      <c r="CS88" s="0" t="n">
        <v>1</v>
      </c>
      <c r="CT88" s="0" t="n">
        <v>2.32980795993418</v>
      </c>
      <c r="CU88" s="0" t="n">
        <v>24</v>
      </c>
      <c r="CV88" s="0" t="n">
        <v>11</v>
      </c>
      <c r="CW88" s="0" t="n">
        <v>4</v>
      </c>
      <c r="CX88" s="0" t="n">
        <v>4</v>
      </c>
      <c r="CY88" s="0" t="n">
        <v>5.18</v>
      </c>
      <c r="CZ88" s="0" t="n">
        <v>-1.18</v>
      </c>
      <c r="DG88" s="0" t="n">
        <v>3.74021526418787</v>
      </c>
      <c r="DH88" s="0" t="n">
        <v>20.1492537313433</v>
      </c>
      <c r="DI88" s="0" t="n">
        <v>2.57490551181102</v>
      </c>
      <c r="DJ88" s="0" t="n">
        <v>-39.1919736744139</v>
      </c>
      <c r="DK88" s="0" t="n">
        <v>-0.296908891472833</v>
      </c>
      <c r="DL88" s="0" t="n">
        <v>0.386363636363636</v>
      </c>
      <c r="DM88" s="0" t="s">
        <v>1406</v>
      </c>
      <c r="DN88" s="0" t="n">
        <v>134</v>
      </c>
      <c r="DO88" s="0" t="n">
        <v>1</v>
      </c>
      <c r="DP88" s="0" t="n">
        <v>2.007</v>
      </c>
      <c r="DQ88" s="0" t="n">
        <v>1.806</v>
      </c>
      <c r="DR88" s="0" t="n">
        <v>134</v>
      </c>
      <c r="DS88" s="0" t="n">
        <v>39</v>
      </c>
      <c r="DT88" s="0" t="n">
        <v>3</v>
      </c>
      <c r="DU88" s="0" t="n">
        <v>4</v>
      </c>
      <c r="DV88" s="0" t="n">
        <v>-2.267</v>
      </c>
      <c r="DW88" s="0" t="n">
        <v>9.7</v>
      </c>
      <c r="DX88" s="0" t="n">
        <v>-1</v>
      </c>
      <c r="DY88" s="0" t="n">
        <v>0.1026</v>
      </c>
      <c r="DZ88" s="0" t="n">
        <v>432</v>
      </c>
      <c r="EA88" s="0" t="n">
        <v>0.458</v>
      </c>
      <c r="EB88" s="0" t="n">
        <v>15</v>
      </c>
      <c r="EC88" s="0" t="s">
        <v>1407</v>
      </c>
      <c r="ED88" s="0" t="n">
        <v>2021</v>
      </c>
      <c r="EE88" s="0" t="n">
        <v>4</v>
      </c>
      <c r="EF88" s="0" t="n">
        <v>126</v>
      </c>
      <c r="EG88" s="0" t="n">
        <v>2021</v>
      </c>
      <c r="EH88" s="0" t="n">
        <v>2026</v>
      </c>
      <c r="EI88" s="0" t="n">
        <v>6</v>
      </c>
      <c r="EJ88" s="0" t="n">
        <v>73</v>
      </c>
      <c r="EK88" s="0" t="n">
        <v>216</v>
      </c>
      <c r="EL88" s="0" t="s">
        <v>1321</v>
      </c>
      <c r="EM88" s="0" t="n">
        <v>27.2</v>
      </c>
      <c r="EN88" s="15" t="b">
        <f aca="false">FALSE()</f>
        <v>0</v>
      </c>
      <c r="EO88" s="0" t="n">
        <v>391</v>
      </c>
      <c r="EP88" s="0" t="n">
        <v>3.16700767263427</v>
      </c>
      <c r="EQ88" s="0" t="n">
        <v>0.138107416879795</v>
      </c>
      <c r="ER88" s="0" t="n">
        <v>1.15856777493606</v>
      </c>
      <c r="ES88" s="0" t="n">
        <v>0.534526854219949</v>
      </c>
      <c r="ET88" s="0" t="n">
        <v>29</v>
      </c>
      <c r="EU88" s="0" t="n">
        <v>20</v>
      </c>
      <c r="EV88" s="0" t="n">
        <v>4.29923273657289</v>
      </c>
      <c r="EW88" s="0" t="n">
        <v>0.689655172413793</v>
      </c>
      <c r="EX88" s="0" t="n">
        <v>2.93615385596069</v>
      </c>
      <c r="EY88" s="0" t="n">
        <v>3.179</v>
      </c>
      <c r="EZ88" s="0" t="n">
        <v>0.1391</v>
      </c>
      <c r="FA88" s="0" t="n">
        <v>2.49</v>
      </c>
      <c r="FB88" s="0" t="n">
        <v>1.798</v>
      </c>
      <c r="FC88" s="0" t="n">
        <v>18</v>
      </c>
      <c r="FD88" s="0" t="n">
        <v>582</v>
      </c>
      <c r="FE88" s="0" t="n">
        <v>0.0601374570446735</v>
      </c>
      <c r="FF88" s="0" t="n">
        <v>0.0629</v>
      </c>
      <c r="FG88" s="0" t="n">
        <v>0.2718</v>
      </c>
      <c r="FH88" s="0" t="n">
        <v>2.4</v>
      </c>
      <c r="FI88" s="0" t="n">
        <v>996</v>
      </c>
      <c r="FJ88" s="0" t="n">
        <v>0.553212851405623</v>
      </c>
      <c r="FK88" s="0" t="n">
        <v>17</v>
      </c>
      <c r="FL88" s="0" t="n">
        <v>58.59</v>
      </c>
      <c r="FM88" s="0" t="n">
        <v>0.5106</v>
      </c>
      <c r="FN88" s="0" t="n">
        <v>0.4894</v>
      </c>
      <c r="FO88" s="0" t="n">
        <v>-0.061</v>
      </c>
      <c r="FP88" s="0" t="n">
        <v>-0.0262</v>
      </c>
      <c r="FQ88" s="0" t="n">
        <v>-0.0498</v>
      </c>
      <c r="FR88" s="0" t="n">
        <v>39</v>
      </c>
      <c r="FS88" s="0" t="n">
        <v>48</v>
      </c>
      <c r="FT88" s="0" t="n">
        <v>2.82</v>
      </c>
      <c r="FU88" s="0" t="n">
        <v>18.3</v>
      </c>
      <c r="FV88" s="0" t="n">
        <v>5317</v>
      </c>
      <c r="FW88" s="0" t="n">
        <v>3170</v>
      </c>
      <c r="FX88" s="0" t="n">
        <v>0.596</v>
      </c>
      <c r="FY88" s="0" t="n">
        <v>5</v>
      </c>
      <c r="FZ88" s="0" t="n">
        <v>3</v>
      </c>
      <c r="GA88" s="0" t="n">
        <v>0.724248193828235</v>
      </c>
      <c r="GB88" s="0" t="n">
        <v>63.1</v>
      </c>
      <c r="GC88" s="0" t="n">
        <v>47.3</v>
      </c>
      <c r="GD88" s="0" t="n">
        <v>56.6</v>
      </c>
      <c r="GE88" s="0" t="n">
        <v>480</v>
      </c>
      <c r="GF88" s="0" t="n">
        <v>461</v>
      </c>
      <c r="GG88" s="0" t="n">
        <v>50</v>
      </c>
      <c r="GH88" s="0" t="n">
        <v>242</v>
      </c>
      <c r="GI88" s="0" t="n">
        <v>136</v>
      </c>
      <c r="GJ88" s="0" t="n">
        <v>40</v>
      </c>
      <c r="GK88" s="0" t="n">
        <v>0.104</v>
      </c>
      <c r="GL88" s="0" t="n">
        <v>0.525</v>
      </c>
      <c r="GM88" s="0" t="n">
        <v>0.294</v>
      </c>
      <c r="GN88" s="0" t="n">
        <v>8.36</v>
      </c>
      <c r="GO88" s="0" t="n">
        <v>7.36</v>
      </c>
      <c r="GP88" s="0" t="n">
        <v>6.36</v>
      </c>
      <c r="GQ88" s="0" t="n">
        <v>2.6</v>
      </c>
      <c r="GR88" s="0" t="n">
        <v>8.933</v>
      </c>
      <c r="GS88" s="0" t="n">
        <v>173</v>
      </c>
      <c r="GT88" s="0" t="n">
        <v>0.725</v>
      </c>
      <c r="GU88" s="0" t="n">
        <v>0.29</v>
      </c>
      <c r="GV88" s="0" t="n">
        <v>5.718</v>
      </c>
      <c r="GW88" s="0" t="n">
        <v>7.433</v>
      </c>
      <c r="GX88" s="0" t="n">
        <v>0.769</v>
      </c>
      <c r="GY88" s="0" t="n">
        <v>3.813</v>
      </c>
      <c r="GZ88" s="0" t="n">
        <v>-1.026</v>
      </c>
      <c r="HA88" s="0" t="n">
        <v>9.7</v>
      </c>
      <c r="HB88" s="0" t="n">
        <v>-5.575</v>
      </c>
      <c r="HC88" s="0" t="n">
        <v>0.023</v>
      </c>
      <c r="HD88" s="0" t="n">
        <v>-0.117</v>
      </c>
      <c r="HE88" s="0" t="n">
        <v>0.117</v>
      </c>
      <c r="HG88" s="0" t="n">
        <v>86.83</v>
      </c>
      <c r="HH88" s="0" t="n">
        <v>11.41</v>
      </c>
      <c r="HI88" s="0" t="n">
        <v>61</v>
      </c>
      <c r="HJ88" s="0" t="n">
        <v>127</v>
      </c>
      <c r="HK88" s="0" t="s">
        <v>909</v>
      </c>
      <c r="HL88" s="0" t="n">
        <v>0</v>
      </c>
      <c r="HM88" s="0" t="n">
        <v>37</v>
      </c>
      <c r="HN88" s="0" t="n">
        <v>30</v>
      </c>
      <c r="HO88" s="0" t="n">
        <v>-0.524</v>
      </c>
      <c r="HP88" s="0" t="n">
        <v>42</v>
      </c>
      <c r="HQ88" s="0" t="n">
        <v>-0.743</v>
      </c>
      <c r="HR88" s="0" t="s">
        <v>121</v>
      </c>
    </row>
    <row r="89" customFormat="false" ht="15" hidden="false" customHeight="false" outlineLevel="0" collapsed="false">
      <c r="A89" s="0" t="s">
        <v>896</v>
      </c>
      <c r="B89" s="0" t="s">
        <v>897</v>
      </c>
      <c r="C89" s="0" t="s">
        <v>898</v>
      </c>
      <c r="D89" s="0" t="s">
        <v>315</v>
      </c>
      <c r="E89" s="0" t="n">
        <v>22985</v>
      </c>
      <c r="F89" s="0" t="s">
        <v>99</v>
      </c>
      <c r="G89" s="0" t="n">
        <v>87.71</v>
      </c>
      <c r="H89" s="0" t="n">
        <v>14.12</v>
      </c>
      <c r="I89" s="0" t="n">
        <v>48</v>
      </c>
      <c r="J89" s="0" t="n">
        <v>135</v>
      </c>
      <c r="L89" s="0" t="s">
        <v>1408</v>
      </c>
      <c r="O89" s="0" t="n">
        <v>71.1</v>
      </c>
      <c r="U89" s="0" t="n">
        <v>9</v>
      </c>
      <c r="V89" s="0" t="s">
        <v>1409</v>
      </c>
      <c r="W89" s="0" t="s">
        <v>901</v>
      </c>
      <c r="X89" s="0" t="s">
        <v>265</v>
      </c>
      <c r="Y89" s="0" t="s">
        <v>1410</v>
      </c>
      <c r="Z89" s="0" t="n">
        <v>22985</v>
      </c>
      <c r="AA89" s="0" t="s">
        <v>1411</v>
      </c>
      <c r="AB89" s="0" t="s">
        <v>904</v>
      </c>
      <c r="AC89" s="0" t="s">
        <v>265</v>
      </c>
      <c r="AD89" s="0" t="s">
        <v>265</v>
      </c>
      <c r="AE89" s="0" t="s">
        <v>265</v>
      </c>
      <c r="AF89" s="0" t="s">
        <v>265</v>
      </c>
      <c r="AG89" s="0" t="s">
        <v>265</v>
      </c>
      <c r="AH89" s="0" t="s">
        <v>905</v>
      </c>
      <c r="AI89" s="0" t="n">
        <v>2</v>
      </c>
      <c r="AJ89" s="0" t="s">
        <v>99</v>
      </c>
      <c r="AK89" s="0" t="n">
        <v>88</v>
      </c>
      <c r="AL89" s="0" t="n">
        <v>40</v>
      </c>
      <c r="AM89" s="0" t="s">
        <v>316</v>
      </c>
      <c r="AN89" s="0" t="n">
        <v>0</v>
      </c>
      <c r="AO89" s="0" t="n">
        <v>0</v>
      </c>
      <c r="AP89" s="0" t="n">
        <v>0</v>
      </c>
      <c r="AQ89" s="0" t="n">
        <v>0</v>
      </c>
      <c r="AR89" s="0" t="n">
        <v>0</v>
      </c>
      <c r="AS89" s="0" t="n">
        <v>0</v>
      </c>
      <c r="AT89" s="0" t="n">
        <v>0</v>
      </c>
      <c r="AU89" s="0" t="n">
        <v>0</v>
      </c>
      <c r="AV89" s="0" t="n">
        <v>0</v>
      </c>
      <c r="AW89" s="0" t="n">
        <v>3</v>
      </c>
      <c r="AX89" s="0" t="n">
        <v>5</v>
      </c>
      <c r="AY89" s="0" t="n">
        <v>0</v>
      </c>
      <c r="AZ89" s="0" t="n">
        <v>1</v>
      </c>
      <c r="BA89" s="0" t="n">
        <v>1.92204782774206</v>
      </c>
      <c r="BB89" s="0" t="n">
        <v>0</v>
      </c>
      <c r="BC89" s="0" t="n">
        <v>92</v>
      </c>
      <c r="BD89" s="0" t="n">
        <v>140</v>
      </c>
      <c r="BE89" s="0" t="n">
        <v>1014</v>
      </c>
      <c r="BF89" s="0" t="n">
        <v>4</v>
      </c>
      <c r="BG89" s="0" t="n">
        <v>1187</v>
      </c>
      <c r="BH89" s="0" t="n">
        <v>386</v>
      </c>
      <c r="BI89" s="0" t="n">
        <v>39</v>
      </c>
      <c r="BJ89" s="0" t="n">
        <v>19.4625431101307</v>
      </c>
      <c r="BK89" s="0" t="n">
        <v>0</v>
      </c>
      <c r="BL89" s="0" t="n">
        <v>0</v>
      </c>
      <c r="BM89" s="0" t="n">
        <v>125.9</v>
      </c>
      <c r="BN89" s="0" t="n">
        <v>217.9</v>
      </c>
      <c r="BO89" s="0" t="n">
        <v>16</v>
      </c>
      <c r="BP89" s="0" t="s">
        <v>178</v>
      </c>
      <c r="BQ89" s="0" t="n">
        <v>1</v>
      </c>
      <c r="BR89" s="0" t="n">
        <v>171.9</v>
      </c>
      <c r="BS89" s="0" t="n">
        <v>0.2783</v>
      </c>
      <c r="BT89" s="0" t="n">
        <v>0.0059</v>
      </c>
      <c r="BU89" s="0" t="n">
        <v>0.2753</v>
      </c>
      <c r="BV89" s="0" t="n">
        <v>0.2972</v>
      </c>
      <c r="BW89" s="0" t="n">
        <v>0.0063</v>
      </c>
      <c r="BX89" s="0" t="n">
        <v>0.2873</v>
      </c>
      <c r="BY89" s="0" t="n">
        <v>0.6469</v>
      </c>
      <c r="BZ89" s="0" t="n">
        <v>16</v>
      </c>
      <c r="CA89" s="0" t="n">
        <v>7.75</v>
      </c>
      <c r="CB89" s="0" t="n">
        <v>21.82</v>
      </c>
      <c r="CC89" s="0" t="n">
        <v>11.85</v>
      </c>
      <c r="CD89" s="0" t="n">
        <v>8.19</v>
      </c>
      <c r="CE89" s="0" t="n">
        <v>4</v>
      </c>
      <c r="CF89" s="0" t="n">
        <v>0</v>
      </c>
      <c r="CG89" s="0" t="n">
        <v>16</v>
      </c>
      <c r="CH89" s="0" t="n">
        <v>0.25</v>
      </c>
      <c r="CI89" s="0" t="n">
        <v>0</v>
      </c>
      <c r="CJ89" s="0" t="n">
        <v>0.691</v>
      </c>
      <c r="CK89" s="0" t="n">
        <v>13</v>
      </c>
      <c r="CL89" s="0" t="n">
        <v>5</v>
      </c>
      <c r="CM89" s="0" t="n">
        <v>5</v>
      </c>
      <c r="CN89" s="0" t="n">
        <v>4</v>
      </c>
      <c r="CO89" s="0" t="n">
        <v>5.21470280584977</v>
      </c>
      <c r="CP89" s="0" t="n">
        <v>0</v>
      </c>
      <c r="CQ89" s="0" t="n">
        <v>0</v>
      </c>
      <c r="CR89" s="0" t="n">
        <v>0</v>
      </c>
      <c r="CS89" s="0" t="n">
        <v>0</v>
      </c>
      <c r="CT89" s="0" t="n">
        <v>0.0355167074044048</v>
      </c>
      <c r="CU89" s="0" t="n">
        <v>13</v>
      </c>
      <c r="CV89" s="0" t="n">
        <v>5</v>
      </c>
      <c r="CW89" s="0" t="n">
        <v>5</v>
      </c>
      <c r="CX89" s="0" t="n">
        <v>4</v>
      </c>
      <c r="CY89" s="0" t="n">
        <v>5.25</v>
      </c>
      <c r="CZ89" s="0" t="n">
        <v>-1.25</v>
      </c>
      <c r="DA89" s="0" t="n">
        <v>3.36585571883466</v>
      </c>
      <c r="DB89" s="0" t="n">
        <v>6.71091666666667</v>
      </c>
      <c r="DC89" s="0" t="n">
        <v>8.65492857142857</v>
      </c>
      <c r="DD89" s="0" t="n">
        <v>27.6156072657657</v>
      </c>
      <c r="DE89" s="0" t="n">
        <v>0.344817252462611</v>
      </c>
      <c r="DF89" s="0" t="n">
        <v>65.7142857142857</v>
      </c>
      <c r="DM89" s="0" t="s">
        <v>1412</v>
      </c>
      <c r="DN89" s="0" t="n">
        <v>3</v>
      </c>
      <c r="DO89" s="0" t="n">
        <v>0</v>
      </c>
      <c r="DS89" s="0" t="n">
        <v>140</v>
      </c>
      <c r="DT89" s="0" t="n">
        <v>6</v>
      </c>
      <c r="DU89" s="0" t="n">
        <v>4</v>
      </c>
      <c r="DV89" s="0" t="n">
        <v>6.826</v>
      </c>
      <c r="DW89" s="0" t="n">
        <v>4.196</v>
      </c>
      <c r="DX89" s="0" t="n">
        <v>8.5</v>
      </c>
      <c r="DY89" s="0" t="n">
        <v>0.0286</v>
      </c>
      <c r="DZ89" s="0" t="n">
        <v>973</v>
      </c>
      <c r="EA89" s="0" t="n">
        <v>0.908</v>
      </c>
      <c r="EB89" s="0" t="n">
        <v>16</v>
      </c>
      <c r="EC89" s="0" t="s">
        <v>1413</v>
      </c>
      <c r="ED89" s="0" t="n">
        <v>2022</v>
      </c>
      <c r="EE89" s="0" t="n">
        <v>2</v>
      </c>
      <c r="EF89" s="0" t="n">
        <v>43</v>
      </c>
      <c r="EG89" s="0" t="n">
        <v>2022</v>
      </c>
      <c r="EH89" s="0" t="n">
        <v>2026</v>
      </c>
      <c r="EI89" s="0" t="n">
        <v>5</v>
      </c>
      <c r="EJ89" s="0" t="n">
        <v>68</v>
      </c>
      <c r="EK89" s="0" t="n">
        <v>185</v>
      </c>
      <c r="EL89" s="0" t="s">
        <v>1414</v>
      </c>
      <c r="EM89" s="0" t="n">
        <v>25.6</v>
      </c>
      <c r="EN89" s="15" t="b">
        <f aca="false">FALSE()</f>
        <v>0</v>
      </c>
      <c r="EO89" s="0" t="n">
        <v>328</v>
      </c>
      <c r="EP89" s="0" t="n">
        <v>3.01463414634146</v>
      </c>
      <c r="EQ89" s="0" t="n">
        <v>0.161585365853659</v>
      </c>
      <c r="ER89" s="0" t="n">
        <v>1.14634146341463</v>
      </c>
      <c r="ES89" s="0" t="n">
        <v>0.692073170731707</v>
      </c>
      <c r="ET89" s="0" t="n">
        <v>30</v>
      </c>
      <c r="EU89" s="0" t="n">
        <v>20</v>
      </c>
      <c r="EV89" s="0" t="n">
        <v>4.30487804878049</v>
      </c>
      <c r="EW89" s="0" t="n">
        <v>0.666666666666667</v>
      </c>
      <c r="EX89" s="0" t="n">
        <v>2.87769409187475</v>
      </c>
      <c r="EY89" s="0" t="n">
        <v>3.085</v>
      </c>
      <c r="EZ89" s="0" t="n">
        <v>0.1549</v>
      </c>
      <c r="FA89" s="0" t="n">
        <v>2.54</v>
      </c>
      <c r="FB89" s="0" t="n">
        <v>1.664</v>
      </c>
      <c r="FC89" s="0" t="n">
        <v>24</v>
      </c>
      <c r="FD89" s="0" t="n">
        <v>646</v>
      </c>
      <c r="FE89" s="0" t="n">
        <v>0.086687306501548</v>
      </c>
      <c r="FF89" s="0" t="n">
        <v>0.0872</v>
      </c>
      <c r="FG89" s="0" t="n">
        <v>0.3175</v>
      </c>
      <c r="FH89" s="0" t="n">
        <v>2.389</v>
      </c>
      <c r="FI89" s="0" t="n">
        <v>995</v>
      </c>
      <c r="FJ89" s="0" t="n">
        <v>0.626130653266332</v>
      </c>
      <c r="FK89" s="0" t="n">
        <v>17</v>
      </c>
      <c r="FL89" s="0" t="n">
        <v>58.53</v>
      </c>
      <c r="FM89" s="0" t="n">
        <v>0.5401</v>
      </c>
      <c r="FN89" s="0" t="n">
        <v>0.4599</v>
      </c>
      <c r="FO89" s="0" t="n">
        <v>-0.0385</v>
      </c>
      <c r="FP89" s="0" t="n">
        <v>-0.0573</v>
      </c>
      <c r="FQ89" s="0" t="n">
        <v>-0.2208</v>
      </c>
      <c r="FR89" s="0" t="n">
        <v>40</v>
      </c>
      <c r="FS89" s="0" t="n">
        <v>35</v>
      </c>
      <c r="FT89" s="0" t="n">
        <v>2.06</v>
      </c>
      <c r="FU89" s="0" t="n">
        <v>16.7</v>
      </c>
      <c r="FV89" s="0" t="n">
        <v>5402</v>
      </c>
      <c r="FW89" s="0" t="n">
        <v>2848</v>
      </c>
      <c r="FX89" s="0" t="n">
        <v>0.527</v>
      </c>
      <c r="FY89" s="0" t="n">
        <v>5</v>
      </c>
      <c r="FZ89" s="0" t="n">
        <v>3</v>
      </c>
      <c r="GA89" s="0" t="n">
        <v>0.463456652097505</v>
      </c>
      <c r="GB89" s="0" t="n">
        <v>58.4</v>
      </c>
      <c r="GC89" s="0" t="n">
        <v>27.6</v>
      </c>
      <c r="GD89" s="0" t="n">
        <v>41.1</v>
      </c>
      <c r="GE89" s="0" t="n">
        <v>530</v>
      </c>
      <c r="GF89" s="0" t="n">
        <v>378</v>
      </c>
      <c r="GG89" s="0" t="n">
        <v>152</v>
      </c>
      <c r="GH89" s="0" t="n">
        <v>0</v>
      </c>
      <c r="GI89" s="0" t="n">
        <v>93</v>
      </c>
      <c r="GJ89" s="0" t="n">
        <v>8</v>
      </c>
      <c r="GK89" s="0" t="n">
        <v>0.287</v>
      </c>
      <c r="GL89" s="0" t="n">
        <v>0</v>
      </c>
      <c r="GM89" s="0" t="n">
        <v>0.086</v>
      </c>
      <c r="GN89" s="0" t="n">
        <v>13.619</v>
      </c>
      <c r="GO89" s="0" t="n">
        <v>10.744</v>
      </c>
      <c r="GP89" s="0" t="n">
        <v>7.869</v>
      </c>
      <c r="GQ89" s="0" t="n">
        <v>8.75</v>
      </c>
      <c r="GR89" s="0" t="n">
        <v>0.188</v>
      </c>
      <c r="GS89" s="0" t="n">
        <v>143</v>
      </c>
      <c r="GT89" s="0" t="n">
        <v>1.524</v>
      </c>
      <c r="GU89" s="0" t="n">
        <v>0.224</v>
      </c>
      <c r="GV89" s="0" t="n">
        <v>7.243</v>
      </c>
      <c r="GW89" s="0" t="n">
        <v>11.022</v>
      </c>
      <c r="GX89" s="0" t="n">
        <v>0.657</v>
      </c>
      <c r="GZ89" s="0" t="n">
        <v>8.479</v>
      </c>
      <c r="HA89" s="0" t="n">
        <v>4.196</v>
      </c>
      <c r="HB89" s="0" t="n">
        <v>0.854</v>
      </c>
      <c r="HC89" s="0" t="n">
        <v>0.028</v>
      </c>
      <c r="HE89" s="0" t="n">
        <v>0.139</v>
      </c>
      <c r="HG89" s="0" t="n">
        <v>87.71</v>
      </c>
      <c r="HH89" s="0" t="n">
        <v>14.12</v>
      </c>
      <c r="HI89" s="0" t="n">
        <v>48</v>
      </c>
      <c r="HJ89" s="0" t="n">
        <v>135</v>
      </c>
      <c r="HK89" s="0" t="s">
        <v>909</v>
      </c>
      <c r="HL89" s="0" t="n">
        <v>0</v>
      </c>
      <c r="HM89" s="0" t="n">
        <v>14</v>
      </c>
      <c r="HN89" s="0" t="n">
        <v>40</v>
      </c>
      <c r="HO89" s="0" t="n">
        <v>0.838</v>
      </c>
      <c r="HP89" s="0" t="n">
        <v>17</v>
      </c>
      <c r="HQ89" s="0" t="n">
        <v>0.706</v>
      </c>
      <c r="HR89" s="0" t="s">
        <v>232</v>
      </c>
    </row>
    <row r="90" customFormat="false" ht="15" hidden="false" customHeight="false" outlineLevel="0" collapsed="false">
      <c r="A90" s="0" t="s">
        <v>896</v>
      </c>
      <c r="B90" s="0" t="s">
        <v>897</v>
      </c>
      <c r="C90" s="0" t="s">
        <v>898</v>
      </c>
      <c r="D90" s="0" t="s">
        <v>317</v>
      </c>
      <c r="E90" s="0" t="n">
        <v>19647</v>
      </c>
      <c r="F90" s="0" t="s">
        <v>104</v>
      </c>
      <c r="G90" s="0" t="n">
        <v>88.55</v>
      </c>
      <c r="H90" s="0" t="n">
        <v>11.52</v>
      </c>
      <c r="I90" s="0" t="n">
        <v>68</v>
      </c>
      <c r="J90" s="0" t="n">
        <v>132</v>
      </c>
      <c r="L90" s="0" t="s">
        <v>1415</v>
      </c>
      <c r="O90" s="0" t="n">
        <v>86</v>
      </c>
      <c r="U90" s="0" t="n">
        <v>9</v>
      </c>
      <c r="V90" s="0" t="s">
        <v>317</v>
      </c>
      <c r="W90" s="0" t="s">
        <v>901</v>
      </c>
      <c r="X90" s="0" t="s">
        <v>284</v>
      </c>
      <c r="Y90" s="0" t="s">
        <v>1416</v>
      </c>
      <c r="Z90" s="0" t="n">
        <v>19647</v>
      </c>
      <c r="AA90" s="0" t="s">
        <v>1417</v>
      </c>
      <c r="AB90" s="0" t="s">
        <v>904</v>
      </c>
      <c r="AC90" s="0" t="s">
        <v>284</v>
      </c>
      <c r="AD90" s="0" t="s">
        <v>284</v>
      </c>
      <c r="AE90" s="0" t="s">
        <v>284</v>
      </c>
      <c r="AF90" s="0" t="s">
        <v>284</v>
      </c>
      <c r="AG90" s="0" t="s">
        <v>284</v>
      </c>
      <c r="AH90" s="0" t="s">
        <v>905</v>
      </c>
      <c r="AI90" s="0" t="n">
        <v>2</v>
      </c>
      <c r="AJ90" s="0" t="s">
        <v>270</v>
      </c>
      <c r="AK90" s="0" t="n">
        <v>89</v>
      </c>
      <c r="AL90" s="0" t="n">
        <v>31</v>
      </c>
      <c r="AM90" s="0" t="s">
        <v>318</v>
      </c>
      <c r="AN90" s="0" t="n">
        <v>0</v>
      </c>
      <c r="AO90" s="0" t="n">
        <v>0</v>
      </c>
      <c r="AP90" s="0" t="n">
        <v>0</v>
      </c>
      <c r="AQ90" s="0" t="n">
        <v>0</v>
      </c>
      <c r="AR90" s="0" t="n">
        <v>0</v>
      </c>
      <c r="AS90" s="0" t="n">
        <v>0</v>
      </c>
      <c r="AT90" s="0" t="n">
        <v>0</v>
      </c>
      <c r="AU90" s="0" t="n">
        <v>0</v>
      </c>
      <c r="AV90" s="0" t="n">
        <v>0</v>
      </c>
      <c r="AW90" s="0" t="n">
        <v>236</v>
      </c>
      <c r="AX90" s="0" t="n">
        <v>1076</v>
      </c>
      <c r="AY90" s="0" t="n">
        <v>6</v>
      </c>
      <c r="AZ90" s="0" t="n">
        <v>51</v>
      </c>
      <c r="BA90" s="0" t="n">
        <v>-2.30566257253139</v>
      </c>
      <c r="BB90" s="0" t="n">
        <v>1</v>
      </c>
      <c r="BC90" s="0" t="n">
        <v>39</v>
      </c>
      <c r="BD90" s="0" t="n">
        <v>50</v>
      </c>
      <c r="BE90" s="0" t="n">
        <v>297</v>
      </c>
      <c r="BF90" s="0" t="n">
        <v>1</v>
      </c>
      <c r="BG90" s="0" t="n">
        <v>-52</v>
      </c>
      <c r="BH90" s="0" t="n">
        <v>350</v>
      </c>
      <c r="BI90" s="0" t="n">
        <v>14</v>
      </c>
      <c r="BJ90" s="0" t="n">
        <v>-0.90271915770648</v>
      </c>
      <c r="BK90" s="0" t="n">
        <v>0</v>
      </c>
      <c r="BL90" s="0" t="n">
        <v>0</v>
      </c>
      <c r="BM90" s="0" t="n">
        <v>177.3</v>
      </c>
      <c r="BN90" s="0" t="n">
        <v>216.3</v>
      </c>
      <c r="BO90" s="0" t="n">
        <v>17</v>
      </c>
      <c r="BP90" s="0" t="s">
        <v>191</v>
      </c>
      <c r="BQ90" s="0" t="n">
        <v>1</v>
      </c>
      <c r="BR90" s="0" t="n">
        <v>196.8</v>
      </c>
      <c r="BS90" s="0" t="n">
        <v>0.1042</v>
      </c>
      <c r="BT90" s="0" t="n">
        <v>0.5119</v>
      </c>
      <c r="BU90" s="0" t="n">
        <v>-0.016</v>
      </c>
      <c r="BV90" s="0" t="n">
        <v>0.1042</v>
      </c>
      <c r="BW90" s="0" t="n">
        <v>0.5119</v>
      </c>
      <c r="BX90" s="0" t="n">
        <v>-0.016</v>
      </c>
      <c r="BY90" s="0" t="n">
        <v>0.1451</v>
      </c>
      <c r="BZ90" s="0" t="n">
        <v>17</v>
      </c>
      <c r="CA90" s="0" t="n">
        <v>5.4</v>
      </c>
      <c r="CB90" s="0" t="n">
        <v>22.98</v>
      </c>
      <c r="CC90" s="0" t="n">
        <v>10.6</v>
      </c>
      <c r="CD90" s="0" t="n">
        <v>9.8</v>
      </c>
      <c r="CE90" s="0" t="n">
        <v>3</v>
      </c>
      <c r="CF90" s="0" t="n">
        <v>0</v>
      </c>
      <c r="CG90" s="0" t="n">
        <v>17</v>
      </c>
      <c r="CH90" s="0" t="n">
        <v>0.176</v>
      </c>
      <c r="CI90" s="0" t="n">
        <v>0</v>
      </c>
      <c r="CJ90" s="0" t="n">
        <v>0.925</v>
      </c>
      <c r="CK90" s="0" t="n">
        <v>5</v>
      </c>
      <c r="CL90" s="0" t="n">
        <v>1</v>
      </c>
      <c r="CM90" s="0" t="n">
        <v>0</v>
      </c>
      <c r="CN90" s="0" t="n">
        <v>1</v>
      </c>
      <c r="CO90" s="0" t="n">
        <v>1.61868748498962</v>
      </c>
      <c r="CP90" s="0" t="n">
        <v>34</v>
      </c>
      <c r="CQ90" s="0" t="n">
        <v>13</v>
      </c>
      <c r="CR90" s="0" t="n">
        <v>8</v>
      </c>
      <c r="CS90" s="0" t="n">
        <v>6</v>
      </c>
      <c r="CT90" s="0" t="n">
        <v>5.78495234129555</v>
      </c>
      <c r="CU90" s="0" t="n">
        <v>39</v>
      </c>
      <c r="CV90" s="0" t="n">
        <v>14</v>
      </c>
      <c r="CW90" s="0" t="n">
        <v>8</v>
      </c>
      <c r="CX90" s="0" t="n">
        <v>7</v>
      </c>
      <c r="CY90" s="0" t="n">
        <v>7.4</v>
      </c>
      <c r="CZ90" s="0" t="n">
        <v>-0.4</v>
      </c>
      <c r="DG90" s="0" t="n">
        <v>3.26991635687732</v>
      </c>
      <c r="DH90" s="0" t="n">
        <v>21.1864406779661</v>
      </c>
      <c r="DI90" s="0" t="n">
        <v>2.75271040723982</v>
      </c>
      <c r="DJ90" s="0" t="n">
        <v>146.365595182192</v>
      </c>
      <c r="DK90" s="0" t="n">
        <v>0.630886186130139</v>
      </c>
      <c r="DL90" s="0" t="n">
        <v>0.435344827586207</v>
      </c>
      <c r="DM90" s="0" t="s">
        <v>1418</v>
      </c>
      <c r="DN90" s="0" t="n">
        <v>236</v>
      </c>
      <c r="DO90" s="0" t="n">
        <v>14</v>
      </c>
      <c r="DP90" s="0" t="n">
        <v>2.525</v>
      </c>
      <c r="DQ90" s="0" t="n">
        <v>2.034</v>
      </c>
      <c r="DR90" s="0" t="n">
        <v>16.86</v>
      </c>
      <c r="DS90" s="0" t="n">
        <v>50</v>
      </c>
      <c r="DT90" s="0" t="n">
        <v>3</v>
      </c>
      <c r="DU90" s="0" t="n">
        <v>2</v>
      </c>
      <c r="DV90" s="0" t="n">
        <v>-1.359</v>
      </c>
      <c r="DW90" s="0" t="n">
        <v>8.974</v>
      </c>
      <c r="DX90" s="0" t="n">
        <v>-1</v>
      </c>
      <c r="DY90" s="0" t="n">
        <v>0.04</v>
      </c>
      <c r="DZ90" s="0" t="n">
        <v>591</v>
      </c>
      <c r="EA90" s="0" t="n">
        <v>0.561</v>
      </c>
      <c r="EB90" s="0" t="n">
        <v>17</v>
      </c>
      <c r="EC90" s="0" t="s">
        <v>1419</v>
      </c>
      <c r="EG90" s="0" t="n">
        <v>2020</v>
      </c>
      <c r="EH90" s="0" t="n">
        <v>2026</v>
      </c>
      <c r="EI90" s="0" t="n">
        <v>7</v>
      </c>
      <c r="EJ90" s="0" t="n">
        <v>72</v>
      </c>
      <c r="EK90" s="0" t="n">
        <v>215</v>
      </c>
      <c r="EL90" s="0" t="s">
        <v>1420</v>
      </c>
      <c r="EM90" s="0" t="n">
        <v>28.2</v>
      </c>
      <c r="EN90" s="15" t="b">
        <f aca="false">FALSE()</f>
        <v>0</v>
      </c>
      <c r="EO90" s="0" t="n">
        <v>368</v>
      </c>
      <c r="EP90" s="0" t="n">
        <v>2.85652173913044</v>
      </c>
      <c r="EQ90" s="0" t="n">
        <v>0.173913043478261</v>
      </c>
      <c r="ER90" s="0" t="n">
        <v>1.21739130434783</v>
      </c>
      <c r="ES90" s="0" t="n">
        <v>0.864130434782609</v>
      </c>
      <c r="ET90" s="0" t="n">
        <v>50</v>
      </c>
      <c r="EU90" s="0" t="n">
        <v>34</v>
      </c>
      <c r="EV90" s="0" t="n">
        <v>4.36684782608696</v>
      </c>
      <c r="EW90" s="0" t="n">
        <v>0.68</v>
      </c>
      <c r="EX90" s="0" t="n">
        <v>2.93472293301175</v>
      </c>
      <c r="EY90" s="0" t="n">
        <v>2.87</v>
      </c>
      <c r="EZ90" s="0" t="n">
        <v>0.172</v>
      </c>
      <c r="FA90" s="0" t="n">
        <v>2.285</v>
      </c>
      <c r="FB90" s="0" t="n">
        <v>2.029</v>
      </c>
      <c r="FC90" s="0" t="n">
        <v>42</v>
      </c>
      <c r="FD90" s="0" t="n">
        <v>591</v>
      </c>
      <c r="FE90" s="0" t="n">
        <v>0.0524534686971235</v>
      </c>
      <c r="FF90" s="0" t="n">
        <v>0.0526</v>
      </c>
      <c r="FG90" s="0" t="n">
        <v>0.1636</v>
      </c>
      <c r="FH90" s="0" t="n">
        <v>2.209</v>
      </c>
      <c r="FI90" s="0" t="n">
        <v>975</v>
      </c>
      <c r="FJ90" s="0" t="n">
        <v>0.594871794871795</v>
      </c>
      <c r="FK90" s="0" t="n">
        <v>17</v>
      </c>
      <c r="FL90" s="0" t="n">
        <v>57.35</v>
      </c>
      <c r="FM90" s="0" t="n">
        <v>0.5795</v>
      </c>
      <c r="FN90" s="0" t="n">
        <v>0.4205</v>
      </c>
      <c r="FO90" s="0" t="n">
        <v>-0.007</v>
      </c>
      <c r="FP90" s="0" t="n">
        <v>0.0188</v>
      </c>
      <c r="FQ90" s="0" t="n">
        <v>0.0312</v>
      </c>
      <c r="FR90" s="0" t="n">
        <v>40</v>
      </c>
      <c r="FS90" s="0" t="n">
        <v>51</v>
      </c>
      <c r="FT90" s="0" t="n">
        <v>3</v>
      </c>
      <c r="FU90" s="0" t="n">
        <v>23.4</v>
      </c>
      <c r="FV90" s="0" t="n">
        <v>5344</v>
      </c>
      <c r="FW90" s="0" t="n">
        <v>4403</v>
      </c>
      <c r="FX90" s="0" t="n">
        <v>0.824</v>
      </c>
      <c r="FY90" s="0" t="n">
        <v>5</v>
      </c>
      <c r="FZ90" s="0" t="n">
        <v>5</v>
      </c>
      <c r="GA90" s="0" t="n">
        <v>-0.192560883952718</v>
      </c>
      <c r="GB90" s="0" t="n">
        <v>46.5</v>
      </c>
      <c r="GC90" s="0" t="n">
        <v>65.1</v>
      </c>
      <c r="GD90" s="0" t="n">
        <v>57.4</v>
      </c>
      <c r="GE90" s="0" t="n">
        <v>522</v>
      </c>
      <c r="GF90" s="0" t="n">
        <v>407</v>
      </c>
      <c r="GG90" s="0" t="n">
        <v>179</v>
      </c>
      <c r="GH90" s="0" t="n">
        <v>129</v>
      </c>
      <c r="GI90" s="0" t="n">
        <v>156</v>
      </c>
      <c r="GJ90" s="0" t="n">
        <v>59</v>
      </c>
      <c r="GK90" s="0" t="n">
        <v>0.343</v>
      </c>
      <c r="GL90" s="0" t="n">
        <v>0.317</v>
      </c>
      <c r="GM90" s="0" t="n">
        <v>0.378</v>
      </c>
      <c r="GN90" s="0" t="n">
        <v>12.724</v>
      </c>
      <c r="GO90" s="0" t="n">
        <v>11.576</v>
      </c>
      <c r="GP90" s="0" t="n">
        <v>10.429</v>
      </c>
      <c r="GQ90" s="0" t="n">
        <v>2.941</v>
      </c>
      <c r="GR90" s="0" t="n">
        <v>13.882</v>
      </c>
      <c r="GS90" s="0" t="n">
        <v>286</v>
      </c>
      <c r="GT90" s="0" t="n">
        <v>0.756</v>
      </c>
      <c r="GU90" s="0" t="n">
        <v>0.366</v>
      </c>
      <c r="GV90" s="0" t="n">
        <v>5.94</v>
      </c>
      <c r="GW90" s="0" t="n">
        <v>7.615</v>
      </c>
      <c r="GX90" s="0" t="n">
        <v>0.78</v>
      </c>
      <c r="GY90" s="0" t="n">
        <v>4.559</v>
      </c>
      <c r="GZ90" s="0" t="n">
        <v>-1.04</v>
      </c>
      <c r="HA90" s="0" t="n">
        <v>8.974</v>
      </c>
      <c r="HB90" s="0" t="n">
        <v>-5.712</v>
      </c>
      <c r="HC90" s="0" t="n">
        <v>0.024</v>
      </c>
      <c r="HD90" s="0" t="n">
        <v>-0.01</v>
      </c>
      <c r="HE90" s="0" t="n">
        <v>-0.018</v>
      </c>
      <c r="HG90" s="0" t="n">
        <v>88.55</v>
      </c>
      <c r="HH90" s="0" t="n">
        <v>11.52</v>
      </c>
      <c r="HI90" s="0" t="n">
        <v>68</v>
      </c>
      <c r="HJ90" s="0" t="n">
        <v>132</v>
      </c>
      <c r="HK90" s="0" t="s">
        <v>909</v>
      </c>
      <c r="HL90" s="0" t="n">
        <v>0</v>
      </c>
      <c r="HM90" s="0" t="n">
        <v>18</v>
      </c>
      <c r="HN90" s="0" t="n">
        <v>31</v>
      </c>
      <c r="HO90" s="0" t="n">
        <v>0.344</v>
      </c>
      <c r="HP90" s="0" t="n">
        <v>23</v>
      </c>
      <c r="HQ90" s="0" t="n">
        <v>0.125</v>
      </c>
      <c r="HR90" s="0" t="s">
        <v>102</v>
      </c>
    </row>
    <row r="91" customFormat="false" ht="15" hidden="false" customHeight="false" outlineLevel="0" collapsed="false">
      <c r="A91" s="0" t="s">
        <v>896</v>
      </c>
      <c r="B91" s="0" t="s">
        <v>897</v>
      </c>
      <c r="C91" s="0" t="s">
        <v>898</v>
      </c>
      <c r="D91" s="0" t="s">
        <v>319</v>
      </c>
      <c r="E91" s="0" t="n">
        <v>25333</v>
      </c>
      <c r="F91" s="0" t="s">
        <v>99</v>
      </c>
      <c r="G91" s="0" t="n">
        <v>90.53</v>
      </c>
      <c r="H91" s="0" t="n">
        <v>15.82</v>
      </c>
      <c r="I91" s="0" t="n">
        <v>49</v>
      </c>
      <c r="J91" s="0" t="n">
        <v>137</v>
      </c>
      <c r="L91" s="0" t="s">
        <v>1421</v>
      </c>
      <c r="O91" s="0" t="n">
        <v>83.8</v>
      </c>
      <c r="U91" s="0" t="n">
        <v>14</v>
      </c>
      <c r="V91" s="0" t="s">
        <v>319</v>
      </c>
      <c r="W91" s="0" t="s">
        <v>901</v>
      </c>
      <c r="X91" s="0" t="s">
        <v>151</v>
      </c>
      <c r="Y91" s="0" t="s">
        <v>1422</v>
      </c>
      <c r="Z91" s="0" t="n">
        <v>25333</v>
      </c>
      <c r="AA91" s="0" t="s">
        <v>1423</v>
      </c>
      <c r="AB91" s="0" t="s">
        <v>904</v>
      </c>
      <c r="AC91" s="0" t="s">
        <v>151</v>
      </c>
      <c r="AD91" s="0" t="s">
        <v>151</v>
      </c>
      <c r="AE91" s="0" t="s">
        <v>151</v>
      </c>
      <c r="AF91" s="0" t="s">
        <v>151</v>
      </c>
      <c r="AG91" s="0" t="s">
        <v>151</v>
      </c>
      <c r="AH91" s="0" t="s">
        <v>905</v>
      </c>
      <c r="AI91" s="0" t="n">
        <v>2</v>
      </c>
      <c r="AJ91" s="0" t="s">
        <v>99</v>
      </c>
      <c r="AK91" s="0" t="n">
        <v>90</v>
      </c>
      <c r="AL91" s="0" t="n">
        <v>41</v>
      </c>
      <c r="AM91" s="0" t="s">
        <v>320</v>
      </c>
      <c r="AN91" s="0" t="n">
        <v>0</v>
      </c>
      <c r="AO91" s="0" t="n">
        <v>0</v>
      </c>
      <c r="AP91" s="0" t="n">
        <v>0</v>
      </c>
      <c r="AQ91" s="0" t="n">
        <v>0</v>
      </c>
      <c r="AR91" s="0" t="n">
        <v>0</v>
      </c>
      <c r="AS91" s="0" t="n">
        <v>0</v>
      </c>
      <c r="AT91" s="0" t="n">
        <v>0</v>
      </c>
      <c r="AU91" s="0" t="n">
        <v>0</v>
      </c>
      <c r="AV91" s="0" t="n">
        <v>0</v>
      </c>
      <c r="AW91" s="0" t="n">
        <v>0</v>
      </c>
      <c r="AX91" s="0" t="n">
        <v>0</v>
      </c>
      <c r="AY91" s="0" t="n">
        <v>0</v>
      </c>
      <c r="AZ91" s="0" t="n">
        <v>0</v>
      </c>
      <c r="BA91" s="0" t="n">
        <v>0</v>
      </c>
      <c r="BB91" s="0" t="n">
        <v>0</v>
      </c>
      <c r="BC91" s="0" t="n">
        <v>78</v>
      </c>
      <c r="BD91" s="0" t="n">
        <v>126</v>
      </c>
      <c r="BE91" s="0" t="n">
        <v>1006</v>
      </c>
      <c r="BF91" s="0" t="n">
        <v>7</v>
      </c>
      <c r="BG91" s="0" t="n">
        <v>1502</v>
      </c>
      <c r="BH91" s="0" t="n">
        <v>273</v>
      </c>
      <c r="BI91" s="0" t="n">
        <v>51</v>
      </c>
      <c r="BJ91" s="0" t="n">
        <v>25.7521807023677</v>
      </c>
      <c r="BK91" s="0" t="n">
        <v>0</v>
      </c>
      <c r="BL91" s="0" t="n">
        <v>0</v>
      </c>
      <c r="BM91" s="0" t="n">
        <v>142.6</v>
      </c>
      <c r="BN91" s="0" t="n">
        <v>220.6</v>
      </c>
      <c r="BO91" s="0" t="n">
        <v>17</v>
      </c>
      <c r="BP91" s="0" t="s">
        <v>151</v>
      </c>
      <c r="BQ91" s="0" t="n">
        <v>1</v>
      </c>
      <c r="BR91" s="0" t="n">
        <v>181.6</v>
      </c>
      <c r="BS91" s="0" t="n">
        <v>0.2042</v>
      </c>
      <c r="BT91" s="0" t="n">
        <v>0</v>
      </c>
      <c r="BU91" s="0" t="n">
        <v>0.3375</v>
      </c>
      <c r="BV91" s="0" t="n">
        <v>0.2042</v>
      </c>
      <c r="BW91" s="0" t="n">
        <v>0</v>
      </c>
      <c r="BX91" s="0" t="n">
        <v>0.3375</v>
      </c>
      <c r="BY91" s="0" t="n">
        <v>0.5426</v>
      </c>
      <c r="BZ91" s="0" t="n">
        <v>17</v>
      </c>
      <c r="CA91" s="0" t="n">
        <v>6.6</v>
      </c>
      <c r="CB91" s="0" t="n">
        <v>21.44</v>
      </c>
      <c r="CC91" s="0" t="n">
        <v>8.4</v>
      </c>
      <c r="CD91" s="0" t="n">
        <v>10.6</v>
      </c>
      <c r="CE91" s="0" t="n">
        <v>5</v>
      </c>
      <c r="CF91" s="0" t="n">
        <v>2</v>
      </c>
      <c r="CG91" s="0" t="n">
        <v>17</v>
      </c>
      <c r="CH91" s="0" t="n">
        <v>0.294</v>
      </c>
      <c r="CI91" s="0" t="n">
        <v>0.118</v>
      </c>
      <c r="CJ91" s="0" t="n">
        <v>1.262</v>
      </c>
      <c r="CK91" s="0" t="n">
        <v>16</v>
      </c>
      <c r="CL91" s="0" t="n">
        <v>4</v>
      </c>
      <c r="CM91" s="0" t="n">
        <v>0</v>
      </c>
      <c r="CN91" s="0" t="n">
        <v>7</v>
      </c>
      <c r="CO91" s="0" t="n">
        <v>4.68316450583435</v>
      </c>
      <c r="CP91" s="0" t="n">
        <v>0</v>
      </c>
      <c r="CQ91" s="0" t="n">
        <v>0</v>
      </c>
      <c r="CR91" s="0" t="n">
        <v>0</v>
      </c>
      <c r="CS91" s="0" t="n">
        <v>0</v>
      </c>
      <c r="CT91" s="0" t="n">
        <v>0</v>
      </c>
      <c r="CU91" s="0" t="n">
        <v>16</v>
      </c>
      <c r="CV91" s="0" t="n">
        <v>4</v>
      </c>
      <c r="CW91" s="0" t="n">
        <v>0</v>
      </c>
      <c r="CX91" s="0" t="n">
        <v>7</v>
      </c>
      <c r="CY91" s="0" t="n">
        <v>4.68</v>
      </c>
      <c r="CZ91" s="0" t="n">
        <v>2.32</v>
      </c>
      <c r="DA91" s="0" t="n">
        <v>2.43531899514545</v>
      </c>
      <c r="DB91" s="0" t="n">
        <v>5.98137096774193</v>
      </c>
      <c r="DC91" s="0" t="n">
        <v>11.3770634920635</v>
      </c>
      <c r="DD91" s="0" t="n">
        <v>31.8598841628477</v>
      </c>
      <c r="DE91" s="0" t="n">
        <v>0.573724760041447</v>
      </c>
      <c r="DF91" s="0" t="n">
        <v>61.9047619047619</v>
      </c>
      <c r="DM91" s="0" t="s">
        <v>1424</v>
      </c>
      <c r="DS91" s="0" t="n">
        <v>126</v>
      </c>
      <c r="DT91" s="0" t="n">
        <v>3</v>
      </c>
      <c r="DU91" s="0" t="n">
        <v>1</v>
      </c>
      <c r="DV91" s="0" t="n">
        <v>9.397</v>
      </c>
      <c r="DW91" s="0" t="n">
        <v>3.5</v>
      </c>
      <c r="DX91" s="0" t="n">
        <v>11.9</v>
      </c>
      <c r="DY91" s="0" t="n">
        <v>0.0079</v>
      </c>
      <c r="DZ91" s="0" t="n">
        <v>923</v>
      </c>
      <c r="EA91" s="0" t="n">
        <v>0.814</v>
      </c>
      <c r="EB91" s="0" t="n">
        <v>17</v>
      </c>
      <c r="EC91" s="0" t="s">
        <v>1425</v>
      </c>
      <c r="ED91" s="0" t="n">
        <v>2023</v>
      </c>
      <c r="EE91" s="0" t="n">
        <v>3</v>
      </c>
      <c r="EF91" s="0" t="n">
        <v>94</v>
      </c>
      <c r="EG91" s="0" t="n">
        <v>2023</v>
      </c>
      <c r="EH91" s="0" t="n">
        <v>2026</v>
      </c>
      <c r="EI91" s="0" t="n">
        <v>4</v>
      </c>
      <c r="EJ91" s="0" t="n">
        <v>74</v>
      </c>
      <c r="EK91" s="0" t="n">
        <v>213</v>
      </c>
      <c r="EL91" s="0" t="s">
        <v>953</v>
      </c>
      <c r="EM91" s="0" t="n">
        <v>26.5</v>
      </c>
      <c r="EN91" s="15" t="b">
        <f aca="false">FALSE()</f>
        <v>0</v>
      </c>
      <c r="EO91" s="0" t="n">
        <v>292</v>
      </c>
      <c r="EP91" s="0" t="n">
        <v>2.76198630136986</v>
      </c>
      <c r="EQ91" s="0" t="n">
        <v>0.198630136986301</v>
      </c>
      <c r="ER91" s="0" t="n">
        <v>1.1472602739726</v>
      </c>
      <c r="ES91" s="0" t="n">
        <v>0.828767123287671</v>
      </c>
      <c r="ET91" s="0" t="n">
        <v>32</v>
      </c>
      <c r="EU91" s="0" t="n">
        <v>21</v>
      </c>
      <c r="EV91" s="0" t="n">
        <v>4.20205479452055</v>
      </c>
      <c r="EW91" s="0" t="n">
        <v>0.65625</v>
      </c>
      <c r="EX91" s="0" t="n">
        <v>2.93895253186521</v>
      </c>
      <c r="EY91" s="0" t="n">
        <v>2.771</v>
      </c>
      <c r="EZ91" s="0" t="n">
        <v>0.2005</v>
      </c>
      <c r="FA91" s="0" t="n">
        <v>2.593</v>
      </c>
      <c r="FB91" s="0" t="n">
        <v>1.732</v>
      </c>
      <c r="FC91" s="0" t="n">
        <v>22</v>
      </c>
      <c r="FD91" s="0" t="n">
        <v>745</v>
      </c>
      <c r="FE91" s="0" t="n">
        <v>0.0791946308724832</v>
      </c>
      <c r="FF91" s="0" t="n">
        <v>0.0839</v>
      </c>
      <c r="FG91" s="0" t="n">
        <v>0.282</v>
      </c>
      <c r="FH91" s="0" t="n">
        <v>2.373</v>
      </c>
      <c r="FI91" s="0" t="n">
        <v>1074</v>
      </c>
      <c r="FJ91" s="0" t="n">
        <v>0.661080074487896</v>
      </c>
      <c r="FK91" s="0" t="n">
        <v>17</v>
      </c>
      <c r="FL91" s="0" t="n">
        <v>63.18</v>
      </c>
      <c r="FM91" s="0" t="n">
        <v>0.6204</v>
      </c>
      <c r="FN91" s="0" t="n">
        <v>0.3796</v>
      </c>
      <c r="FO91" s="0" t="n">
        <v>0.0399</v>
      </c>
      <c r="FP91" s="0" t="n">
        <v>-0.0591</v>
      </c>
      <c r="FQ91" s="0" t="n">
        <v>0.0023</v>
      </c>
      <c r="FR91" s="0" t="n">
        <v>39</v>
      </c>
      <c r="FS91" s="0" t="n">
        <v>61</v>
      </c>
      <c r="FT91" s="0" t="n">
        <v>3.59</v>
      </c>
      <c r="FU91" s="0" t="n">
        <v>20.9</v>
      </c>
      <c r="FV91" s="0" t="n">
        <v>5838</v>
      </c>
      <c r="FW91" s="0" t="n">
        <v>4005</v>
      </c>
      <c r="FX91" s="0" t="n">
        <v>0.686</v>
      </c>
      <c r="FY91" s="0" t="n">
        <v>5</v>
      </c>
      <c r="FZ91" s="0" t="n">
        <v>3</v>
      </c>
      <c r="GA91" s="0" t="n">
        <v>-0.344439654226007</v>
      </c>
      <c r="GB91" s="0" t="n">
        <v>43.8</v>
      </c>
      <c r="GC91" s="0" t="n">
        <v>35.6</v>
      </c>
      <c r="GD91" s="0" t="n">
        <v>36.9</v>
      </c>
      <c r="GE91" s="0" t="n">
        <v>617</v>
      </c>
      <c r="GF91" s="0" t="n">
        <v>366</v>
      </c>
      <c r="GG91" s="0" t="n">
        <v>106</v>
      </c>
      <c r="GH91" s="0" t="n">
        <v>173</v>
      </c>
      <c r="GI91" s="0" t="n">
        <v>153</v>
      </c>
      <c r="GJ91" s="0" t="n">
        <v>41</v>
      </c>
      <c r="GK91" s="0" t="n">
        <v>0.172</v>
      </c>
      <c r="GL91" s="0" t="n">
        <v>0.473</v>
      </c>
      <c r="GM91" s="0" t="n">
        <v>0.268</v>
      </c>
      <c r="GN91" s="0" t="n">
        <v>12.976</v>
      </c>
      <c r="GO91" s="0" t="n">
        <v>10.682</v>
      </c>
      <c r="GP91" s="0" t="n">
        <v>8.388</v>
      </c>
      <c r="GQ91" s="0" t="n">
        <v>7.412</v>
      </c>
      <c r="GR91" s="0" t="n">
        <v>0</v>
      </c>
      <c r="GS91" s="0" t="n">
        <v>126</v>
      </c>
      <c r="GT91" s="0" t="n">
        <v>1.751</v>
      </c>
      <c r="GU91" s="0" t="n">
        <v>0.239</v>
      </c>
      <c r="GV91" s="0" t="n">
        <v>7.984</v>
      </c>
      <c r="GW91" s="0" t="n">
        <v>12.897</v>
      </c>
      <c r="GX91" s="0" t="n">
        <v>0.619</v>
      </c>
      <c r="GZ91" s="0" t="n">
        <v>11.921</v>
      </c>
      <c r="HA91" s="0" t="n">
        <v>3.5</v>
      </c>
      <c r="HB91" s="0" t="n">
        <v>0.67</v>
      </c>
      <c r="HC91" s="0" t="n">
        <v>0.056</v>
      </c>
      <c r="HE91" s="0" t="n">
        <v>0.204</v>
      </c>
      <c r="HG91" s="0" t="n">
        <v>90.53</v>
      </c>
      <c r="HH91" s="0" t="n">
        <v>15.82</v>
      </c>
      <c r="HI91" s="0" t="n">
        <v>49</v>
      </c>
      <c r="HJ91" s="0" t="n">
        <v>137</v>
      </c>
      <c r="HK91" s="0" t="s">
        <v>909</v>
      </c>
      <c r="HL91" s="0" t="n">
        <v>0</v>
      </c>
      <c r="HM91" s="0" t="n">
        <v>10</v>
      </c>
      <c r="HN91" s="0" t="n">
        <v>41</v>
      </c>
      <c r="HO91" s="0" t="n">
        <v>1.049</v>
      </c>
      <c r="HP91" s="0" t="n">
        <v>21</v>
      </c>
      <c r="HQ91" s="0" t="n">
        <v>0.567</v>
      </c>
      <c r="HR91" s="0" t="s">
        <v>321</v>
      </c>
    </row>
    <row r="92" customFormat="false" ht="15" hidden="false" customHeight="false" outlineLevel="0" collapsed="false">
      <c r="A92" s="0" t="s">
        <v>896</v>
      </c>
      <c r="B92" s="0" t="s">
        <v>897</v>
      </c>
      <c r="C92" s="0" t="s">
        <v>898</v>
      </c>
      <c r="D92" s="0" t="s">
        <v>322</v>
      </c>
      <c r="E92" s="0" t="n">
        <v>23791</v>
      </c>
      <c r="F92" s="0" t="s">
        <v>99</v>
      </c>
      <c r="G92" s="0" t="n">
        <v>91</v>
      </c>
      <c r="H92" s="0" t="n">
        <v>19.93</v>
      </c>
      <c r="I92" s="0" t="n">
        <v>51</v>
      </c>
      <c r="J92" s="0" t="n">
        <v>154</v>
      </c>
      <c r="L92" s="0" t="s">
        <v>1426</v>
      </c>
      <c r="O92" s="0" t="n">
        <v>85.2</v>
      </c>
      <c r="T92" s="0" t="n">
        <v>-5</v>
      </c>
      <c r="U92" s="0" t="n">
        <v>13</v>
      </c>
      <c r="V92" s="0" t="s">
        <v>322</v>
      </c>
      <c r="W92" s="0" t="s">
        <v>901</v>
      </c>
      <c r="X92" s="0" t="s">
        <v>130</v>
      </c>
      <c r="Y92" s="0" t="s">
        <v>1427</v>
      </c>
      <c r="Z92" s="0" t="n">
        <v>23791</v>
      </c>
      <c r="AA92" s="0" t="s">
        <v>1428</v>
      </c>
      <c r="AB92" s="0" t="s">
        <v>904</v>
      </c>
      <c r="AC92" s="0" t="s">
        <v>130</v>
      </c>
      <c r="AD92" s="0" t="s">
        <v>130</v>
      </c>
      <c r="AE92" s="0" t="s">
        <v>130</v>
      </c>
      <c r="AF92" s="0" t="s">
        <v>130</v>
      </c>
      <c r="AG92" s="0" t="s">
        <v>130</v>
      </c>
      <c r="AH92" s="0" t="s">
        <v>905</v>
      </c>
      <c r="AI92" s="0" t="n">
        <v>1</v>
      </c>
      <c r="AJ92" s="0" t="s">
        <v>99</v>
      </c>
      <c r="AK92" s="0" t="n">
        <v>91</v>
      </c>
      <c r="AL92" s="0" t="n">
        <v>42</v>
      </c>
      <c r="AM92" s="0" t="s">
        <v>323</v>
      </c>
      <c r="AN92" s="0" t="n">
        <v>0</v>
      </c>
      <c r="AO92" s="0" t="n">
        <v>0</v>
      </c>
      <c r="AP92" s="0" t="n">
        <v>0</v>
      </c>
      <c r="AQ92" s="0" t="n">
        <v>0</v>
      </c>
      <c r="AR92" s="0" t="n">
        <v>0</v>
      </c>
      <c r="AS92" s="0" t="n">
        <v>0</v>
      </c>
      <c r="AT92" s="0" t="n">
        <v>0</v>
      </c>
      <c r="AU92" s="0" t="n">
        <v>0</v>
      </c>
      <c r="AV92" s="0" t="n">
        <v>0</v>
      </c>
      <c r="AW92" s="0" t="n">
        <v>0</v>
      </c>
      <c r="AX92" s="0" t="n">
        <v>0</v>
      </c>
      <c r="AY92" s="0" t="n">
        <v>0</v>
      </c>
      <c r="AZ92" s="0" t="n">
        <v>0</v>
      </c>
      <c r="BA92" s="0" t="n">
        <v>0</v>
      </c>
      <c r="BB92" s="0" t="n">
        <v>0</v>
      </c>
      <c r="BC92" s="0" t="n">
        <v>47</v>
      </c>
      <c r="BD92" s="0" t="n">
        <v>84</v>
      </c>
      <c r="BE92" s="0" t="n">
        <v>1003</v>
      </c>
      <c r="BF92" s="0" t="n">
        <v>6</v>
      </c>
      <c r="BG92" s="0" t="n">
        <v>1593</v>
      </c>
      <c r="BH92" s="0" t="n">
        <v>174</v>
      </c>
      <c r="BI92" s="0" t="n">
        <v>41</v>
      </c>
      <c r="BJ92" s="0" t="n">
        <v>55.7791130584358</v>
      </c>
      <c r="BK92" s="0" t="n">
        <v>0</v>
      </c>
      <c r="BL92" s="0" t="n">
        <v>0</v>
      </c>
      <c r="BM92" s="0" t="n">
        <v>136.3</v>
      </c>
      <c r="BN92" s="0" t="n">
        <v>183.3</v>
      </c>
      <c r="BO92" s="0" t="n">
        <v>15</v>
      </c>
      <c r="BP92" s="0" t="s">
        <v>130</v>
      </c>
      <c r="BQ92" s="0" t="n">
        <v>1</v>
      </c>
      <c r="BR92" s="0" t="n">
        <v>159.8</v>
      </c>
      <c r="BS92" s="0" t="n">
        <v>0.1585</v>
      </c>
      <c r="BT92" s="0" t="n">
        <v>0</v>
      </c>
      <c r="BU92" s="0" t="n">
        <v>0.3726</v>
      </c>
      <c r="BV92" s="0" t="n">
        <v>0.1799</v>
      </c>
      <c r="BW92" s="0" t="n">
        <v>0</v>
      </c>
      <c r="BX92" s="0" t="n">
        <v>0.4298</v>
      </c>
      <c r="BY92" s="0" t="n">
        <v>0.5707</v>
      </c>
      <c r="BZ92" s="0" t="n">
        <v>15</v>
      </c>
      <c r="CA92" s="0" t="n">
        <v>5.7</v>
      </c>
      <c r="CB92" s="0" t="n">
        <v>18.34</v>
      </c>
      <c r="CC92" s="0" t="n">
        <v>10.8</v>
      </c>
      <c r="CD92" s="0" t="n">
        <v>8.3</v>
      </c>
      <c r="CE92" s="0" t="n">
        <v>2</v>
      </c>
      <c r="CF92" s="0" t="n">
        <v>1</v>
      </c>
      <c r="CG92" s="0" t="n">
        <v>15</v>
      </c>
      <c r="CH92" s="0" t="n">
        <v>0.133</v>
      </c>
      <c r="CI92" s="0" t="n">
        <v>0.067</v>
      </c>
      <c r="CJ92" s="0" t="n">
        <v>0.769</v>
      </c>
      <c r="CK92" s="0" t="n">
        <v>9</v>
      </c>
      <c r="CL92" s="0" t="n">
        <v>4</v>
      </c>
      <c r="CM92" s="0" t="n">
        <v>1</v>
      </c>
      <c r="CN92" s="0" t="n">
        <v>6</v>
      </c>
      <c r="CO92" s="0" t="n">
        <v>2.97348749488144</v>
      </c>
      <c r="CP92" s="0" t="n">
        <v>0</v>
      </c>
      <c r="CQ92" s="0" t="n">
        <v>0</v>
      </c>
      <c r="CR92" s="0" t="n">
        <v>0</v>
      </c>
      <c r="CS92" s="0" t="n">
        <v>0</v>
      </c>
      <c r="CT92" s="0" t="n">
        <v>0</v>
      </c>
      <c r="CU92" s="0" t="n">
        <v>9</v>
      </c>
      <c r="CV92" s="0" t="n">
        <v>4</v>
      </c>
      <c r="CW92" s="0" t="n">
        <v>1</v>
      </c>
      <c r="CX92" s="0" t="n">
        <v>6</v>
      </c>
      <c r="CY92" s="0" t="n">
        <v>2.97</v>
      </c>
      <c r="CZ92" s="0" t="n">
        <v>3.03</v>
      </c>
      <c r="DA92" s="0" t="n">
        <v>2.07517787124756</v>
      </c>
      <c r="DB92" s="0" t="n">
        <v>6.27833333333333</v>
      </c>
      <c r="DC92" s="0" t="n">
        <v>19.0526190476191</v>
      </c>
      <c r="DD92" s="0" t="n">
        <v>37.3289732094959</v>
      </c>
      <c r="DE92" s="0" t="n">
        <v>1.27772830033032</v>
      </c>
      <c r="DF92" s="0" t="n">
        <v>55.952380952381</v>
      </c>
      <c r="DM92" s="0" t="s">
        <v>1429</v>
      </c>
      <c r="DS92" s="0" t="n">
        <v>84</v>
      </c>
      <c r="DT92" s="0" t="n">
        <v>1</v>
      </c>
      <c r="DU92" s="0" t="n">
        <v>1</v>
      </c>
      <c r="DV92" s="0" t="n">
        <v>17.638</v>
      </c>
      <c r="DW92" s="0" t="n">
        <v>3.702</v>
      </c>
      <c r="DX92" s="0" t="n">
        <v>18.9</v>
      </c>
      <c r="DY92" s="0" t="n">
        <v>0.0119</v>
      </c>
      <c r="DZ92" s="0" t="n">
        <v>813</v>
      </c>
      <c r="EA92" s="0" t="n">
        <v>0.859</v>
      </c>
      <c r="EB92" s="0" t="n">
        <v>15</v>
      </c>
      <c r="EC92" s="0" t="s">
        <v>1430</v>
      </c>
      <c r="ED92" s="0" t="n">
        <v>2022</v>
      </c>
      <c r="EE92" s="0" t="n">
        <v>2</v>
      </c>
      <c r="EF92" s="0" t="n">
        <v>53</v>
      </c>
      <c r="EG92" s="0" t="n">
        <v>2022</v>
      </c>
      <c r="EH92" s="0" t="n">
        <v>2026</v>
      </c>
      <c r="EI92" s="0" t="n">
        <v>5</v>
      </c>
      <c r="EJ92" s="0" t="n">
        <v>75</v>
      </c>
      <c r="EK92" s="0" t="n">
        <v>211</v>
      </c>
      <c r="EL92" s="0" t="s">
        <v>1431</v>
      </c>
      <c r="EM92" s="0" t="n">
        <v>26.3</v>
      </c>
      <c r="EN92" s="15" t="b">
        <f aca="false">FALSE()</f>
        <v>0</v>
      </c>
      <c r="EO92" s="0" t="n">
        <v>373</v>
      </c>
      <c r="EP92" s="0" t="n">
        <v>3.01769436997319</v>
      </c>
      <c r="EQ92" s="0" t="n">
        <v>0.152815013404826</v>
      </c>
      <c r="ER92" s="0" t="n">
        <v>1.2171581769437</v>
      </c>
      <c r="ES92" s="0" t="n">
        <v>1.07506702412869</v>
      </c>
      <c r="ET92" s="0" t="n">
        <v>32</v>
      </c>
      <c r="EU92" s="0" t="n">
        <v>22</v>
      </c>
      <c r="EV92" s="0" t="n">
        <v>4.73190348525469</v>
      </c>
      <c r="EW92" s="0" t="n">
        <v>0.6875</v>
      </c>
      <c r="EX92" s="0" t="n">
        <v>2.89403637630104</v>
      </c>
      <c r="EY92" s="0" t="n">
        <v>3.072</v>
      </c>
      <c r="EZ92" s="0" t="n">
        <v>0.1487</v>
      </c>
      <c r="FA92" s="0" t="n">
        <v>2.428</v>
      </c>
      <c r="FB92" s="0" t="n">
        <v>2.113</v>
      </c>
      <c r="FC92" s="0" t="n">
        <v>29</v>
      </c>
      <c r="FD92" s="0" t="n">
        <v>599</v>
      </c>
      <c r="FE92" s="0" t="n">
        <v>0.0484140233722872</v>
      </c>
      <c r="FF92" s="0" t="n">
        <v>0.047</v>
      </c>
      <c r="FG92" s="0" t="n">
        <v>0.2121</v>
      </c>
      <c r="FH92" s="0" t="n">
        <v>2.237</v>
      </c>
      <c r="FI92" s="0" t="n">
        <v>1011</v>
      </c>
      <c r="FJ92" s="0" t="n">
        <v>0.573689416419387</v>
      </c>
      <c r="FK92" s="0" t="n">
        <v>17</v>
      </c>
      <c r="FL92" s="0" t="n">
        <v>59.47</v>
      </c>
      <c r="FM92" s="0" t="n">
        <v>0.5637</v>
      </c>
      <c r="FN92" s="0" t="n">
        <v>0.4363</v>
      </c>
      <c r="FO92" s="0" t="n">
        <v>-0.0091</v>
      </c>
      <c r="FP92" s="0" t="n">
        <v>0.094</v>
      </c>
      <c r="FQ92" s="0" t="n">
        <v>0.0558</v>
      </c>
      <c r="FR92" s="0" t="n">
        <v>39</v>
      </c>
      <c r="FS92" s="0" t="n">
        <v>70</v>
      </c>
      <c r="FT92" s="0" t="n">
        <v>4.12</v>
      </c>
      <c r="FU92" s="0" t="n">
        <v>27.4</v>
      </c>
      <c r="FV92" s="0" t="n">
        <v>5369</v>
      </c>
      <c r="FW92" s="0" t="n">
        <v>4465</v>
      </c>
      <c r="FX92" s="0" t="n">
        <v>0.832</v>
      </c>
      <c r="FY92" s="0" t="n">
        <v>5</v>
      </c>
      <c r="FZ92" s="0" t="n">
        <v>5</v>
      </c>
      <c r="GA92" s="0" t="n">
        <v>0.42626114302074</v>
      </c>
      <c r="GB92" s="0" t="n">
        <v>57.7</v>
      </c>
      <c r="GC92" s="0" t="n">
        <v>58.5</v>
      </c>
      <c r="GD92" s="0" t="n">
        <v>60.3</v>
      </c>
      <c r="GE92" s="0" t="n">
        <v>530</v>
      </c>
      <c r="GF92" s="0" t="n">
        <v>442</v>
      </c>
      <c r="GG92" s="0" t="n">
        <v>147</v>
      </c>
      <c r="GH92" s="0" t="n">
        <v>24</v>
      </c>
      <c r="GI92" s="0" t="n">
        <v>179</v>
      </c>
      <c r="GJ92" s="0" t="n">
        <v>20</v>
      </c>
      <c r="GK92" s="0" t="n">
        <v>0.277</v>
      </c>
      <c r="GL92" s="0" t="n">
        <v>0.054</v>
      </c>
      <c r="GM92" s="0" t="n">
        <v>0.112</v>
      </c>
      <c r="GN92" s="0" t="n">
        <v>12.22</v>
      </c>
      <c r="GO92" s="0" t="n">
        <v>10.653</v>
      </c>
      <c r="GP92" s="0" t="n">
        <v>9.087</v>
      </c>
      <c r="GQ92" s="0" t="n">
        <v>5.6</v>
      </c>
      <c r="GR92" s="0" t="n">
        <v>0</v>
      </c>
      <c r="GS92" s="0" t="n">
        <v>84</v>
      </c>
      <c r="GT92" s="0" t="n">
        <v>2.182</v>
      </c>
      <c r="GU92" s="0" t="n">
        <v>0.225</v>
      </c>
      <c r="GV92" s="0" t="n">
        <v>11.94</v>
      </c>
      <c r="GW92" s="0" t="n">
        <v>21.34</v>
      </c>
      <c r="GX92" s="0" t="n">
        <v>0.56</v>
      </c>
      <c r="GZ92" s="0" t="n">
        <v>18.964</v>
      </c>
      <c r="HA92" s="0" t="n">
        <v>3.702</v>
      </c>
      <c r="HB92" s="0" t="n">
        <v>0.63</v>
      </c>
      <c r="HC92" s="0" t="n">
        <v>0.071</v>
      </c>
      <c r="HE92" s="0" t="n">
        <v>0.664</v>
      </c>
      <c r="HG92" s="0" t="n">
        <v>91</v>
      </c>
      <c r="HH92" s="0" t="n">
        <v>19.93</v>
      </c>
      <c r="HI92" s="0" t="n">
        <v>51</v>
      </c>
      <c r="HJ92" s="0" t="n">
        <v>154</v>
      </c>
      <c r="HK92" s="0" t="s">
        <v>909</v>
      </c>
      <c r="HL92" s="0" t="n">
        <v>0</v>
      </c>
      <c r="HM92" s="0" t="n">
        <v>28</v>
      </c>
      <c r="HN92" s="0" t="n">
        <v>42</v>
      </c>
      <c r="HO92" s="0" t="n">
        <v>0.296</v>
      </c>
      <c r="HP92" s="0" t="n">
        <v>27</v>
      </c>
      <c r="HQ92" s="0" t="n">
        <v>0.339</v>
      </c>
      <c r="HR92" s="0" t="s">
        <v>102</v>
      </c>
    </row>
    <row r="93" customFormat="false" ht="15" hidden="false" customHeight="false" outlineLevel="0" collapsed="false">
      <c r="A93" s="0" t="s">
        <v>896</v>
      </c>
      <c r="B93" s="0" t="s">
        <v>897</v>
      </c>
      <c r="C93" s="0" t="s">
        <v>898</v>
      </c>
      <c r="D93" s="0" t="s">
        <v>324</v>
      </c>
      <c r="E93" s="0" t="n">
        <v>27142</v>
      </c>
      <c r="F93" s="0" t="s">
        <v>104</v>
      </c>
      <c r="G93" s="0" t="n">
        <v>92.56</v>
      </c>
      <c r="H93" s="0" t="n">
        <v>16.42</v>
      </c>
      <c r="I93" s="0" t="n">
        <v>61</v>
      </c>
      <c r="J93" s="0" t="n">
        <v>130</v>
      </c>
      <c r="L93" s="0" t="s">
        <v>1432</v>
      </c>
      <c r="O93" s="0" t="n">
        <v>84</v>
      </c>
      <c r="U93" s="0" t="n">
        <v>10</v>
      </c>
      <c r="V93" s="0" t="s">
        <v>324</v>
      </c>
      <c r="W93" s="0" t="s">
        <v>901</v>
      </c>
      <c r="X93" s="0" t="s">
        <v>209</v>
      </c>
      <c r="Y93" s="0" t="s">
        <v>1433</v>
      </c>
      <c r="Z93" s="0" t="n">
        <v>27142</v>
      </c>
      <c r="AA93" s="0" t="s">
        <v>1434</v>
      </c>
      <c r="AB93" s="0" t="s">
        <v>904</v>
      </c>
      <c r="AC93" s="0" t="s">
        <v>209</v>
      </c>
      <c r="AD93" s="0" t="s">
        <v>209</v>
      </c>
      <c r="AE93" s="0" t="s">
        <v>209</v>
      </c>
      <c r="AF93" s="0" t="s">
        <v>209</v>
      </c>
      <c r="AG93" s="0" t="s">
        <v>209</v>
      </c>
      <c r="AH93" s="0" t="s">
        <v>905</v>
      </c>
      <c r="AI93" s="0" t="n">
        <v>2</v>
      </c>
      <c r="AJ93" s="0" t="s">
        <v>104</v>
      </c>
      <c r="AK93" s="0" t="n">
        <v>92</v>
      </c>
      <c r="AL93" s="0" t="n">
        <v>32</v>
      </c>
      <c r="AM93" s="0" t="s">
        <v>325</v>
      </c>
      <c r="AN93" s="0" t="n">
        <v>0</v>
      </c>
      <c r="AO93" s="0" t="n">
        <v>1</v>
      </c>
      <c r="AP93" s="0" t="n">
        <v>0</v>
      </c>
      <c r="AQ93" s="0" t="n">
        <v>0</v>
      </c>
      <c r="AR93" s="0" t="n">
        <v>0</v>
      </c>
      <c r="AS93" s="0" t="n">
        <v>0</v>
      </c>
      <c r="AT93" s="0" t="n">
        <v>2</v>
      </c>
      <c r="AU93" s="0" t="n">
        <v>0</v>
      </c>
      <c r="AV93" s="0" t="n">
        <v>-0.45860766939586</v>
      </c>
      <c r="AW93" s="0" t="n">
        <v>146</v>
      </c>
      <c r="AX93" s="0" t="n">
        <v>540</v>
      </c>
      <c r="AY93" s="0" t="n">
        <v>7</v>
      </c>
      <c r="AZ93" s="0" t="n">
        <v>28</v>
      </c>
      <c r="BA93" s="0" t="n">
        <v>-22.8871650309315</v>
      </c>
      <c r="BB93" s="0" t="n">
        <v>1</v>
      </c>
      <c r="BC93" s="0" t="n">
        <v>47</v>
      </c>
      <c r="BD93" s="0" t="n">
        <v>58</v>
      </c>
      <c r="BE93" s="0" t="n">
        <v>356</v>
      </c>
      <c r="BF93" s="0" t="n">
        <v>5</v>
      </c>
      <c r="BG93" s="0" t="n">
        <v>28</v>
      </c>
      <c r="BH93" s="0" t="n">
        <v>360</v>
      </c>
      <c r="BI93" s="0" t="n">
        <v>18</v>
      </c>
      <c r="BJ93" s="0" t="n">
        <v>19.0754922677931</v>
      </c>
      <c r="BK93" s="0" t="n">
        <v>0</v>
      </c>
      <c r="BL93" s="0" t="n">
        <v>0</v>
      </c>
      <c r="BM93" s="0" t="n">
        <v>159.6</v>
      </c>
      <c r="BN93" s="0" t="n">
        <v>206.6</v>
      </c>
      <c r="BO93" s="0" t="n">
        <v>17</v>
      </c>
      <c r="BP93" s="0" t="s">
        <v>209</v>
      </c>
      <c r="BQ93" s="0" t="n">
        <v>1</v>
      </c>
      <c r="BR93" s="0" t="n">
        <v>183.1</v>
      </c>
      <c r="BS93" s="0" t="n">
        <v>0.0993</v>
      </c>
      <c r="BT93" s="0" t="n">
        <v>0.3202</v>
      </c>
      <c r="BU93" s="0" t="n">
        <v>0.0064</v>
      </c>
      <c r="BV93" s="0" t="n">
        <v>0.0993</v>
      </c>
      <c r="BW93" s="0" t="n">
        <v>0.3202</v>
      </c>
      <c r="BX93" s="0" t="n">
        <v>0.0064</v>
      </c>
      <c r="BY93" s="0" t="n">
        <v>0.1534</v>
      </c>
      <c r="BZ93" s="0" t="n">
        <v>17</v>
      </c>
      <c r="CA93" s="0" t="n">
        <v>6</v>
      </c>
      <c r="CB93" s="0" t="n">
        <v>21.68</v>
      </c>
      <c r="CC93" s="0" t="n">
        <v>8</v>
      </c>
      <c r="CD93" s="0" t="n">
        <v>7.66</v>
      </c>
      <c r="CE93" s="0" t="n">
        <v>7</v>
      </c>
      <c r="CF93" s="0" t="n">
        <v>0</v>
      </c>
      <c r="CG93" s="0" t="n">
        <v>17</v>
      </c>
      <c r="CH93" s="0" t="n">
        <v>0.412</v>
      </c>
      <c r="CI93" s="0" t="n">
        <v>0</v>
      </c>
      <c r="CJ93" s="0" t="n">
        <v>0.957</v>
      </c>
      <c r="CK93" s="0" t="n">
        <v>11</v>
      </c>
      <c r="CL93" s="0" t="n">
        <v>6</v>
      </c>
      <c r="CM93" s="0" t="n">
        <v>3</v>
      </c>
      <c r="CN93" s="0" t="n">
        <v>5</v>
      </c>
      <c r="CO93" s="0" t="n">
        <v>3.76859767518903</v>
      </c>
      <c r="CP93" s="0" t="n">
        <v>28</v>
      </c>
      <c r="CQ93" s="0" t="n">
        <v>14</v>
      </c>
      <c r="CR93" s="0" t="n">
        <v>9</v>
      </c>
      <c r="CS93" s="0" t="n">
        <v>7</v>
      </c>
      <c r="CT93" s="0" t="n">
        <v>5.22283342241491</v>
      </c>
      <c r="CU93" s="0" t="n">
        <v>39</v>
      </c>
      <c r="CV93" s="0" t="n">
        <v>20</v>
      </c>
      <c r="CW93" s="0" t="n">
        <v>12</v>
      </c>
      <c r="CX93" s="0" t="n">
        <v>12</v>
      </c>
      <c r="CY93" s="0" t="n">
        <v>8.99</v>
      </c>
      <c r="CZ93" s="0" t="n">
        <v>3.01</v>
      </c>
      <c r="DG93" s="0" t="n">
        <v>4.84772222222222</v>
      </c>
      <c r="DH93" s="0" t="n">
        <v>32.8767123287671</v>
      </c>
      <c r="DI93" s="0" t="n">
        <v>3.07274418604651</v>
      </c>
      <c r="DJ93" s="0" t="n">
        <v>-90.7621052868688</v>
      </c>
      <c r="DK93" s="0" t="n">
        <v>-0.643702874374956</v>
      </c>
      <c r="DL93" s="0" t="n">
        <v>0.312056737588653</v>
      </c>
      <c r="DM93" s="0" t="s">
        <v>1435</v>
      </c>
      <c r="DN93" s="0" t="n">
        <v>146</v>
      </c>
      <c r="DO93" s="0" t="n">
        <v>7</v>
      </c>
      <c r="DP93" s="0" t="n">
        <v>1.904</v>
      </c>
      <c r="DQ93" s="0" t="n">
        <v>1.795</v>
      </c>
      <c r="DR93" s="0" t="n">
        <v>20.86</v>
      </c>
      <c r="DS93" s="0" t="n">
        <v>58</v>
      </c>
      <c r="DT93" s="0" t="n">
        <v>5</v>
      </c>
      <c r="DU93" s="0" t="n">
        <v>7</v>
      </c>
      <c r="DV93" s="0" t="n">
        <v>-0.085</v>
      </c>
      <c r="DW93" s="0" t="n">
        <v>7.66</v>
      </c>
      <c r="DX93" s="0" t="n">
        <v>0.5</v>
      </c>
      <c r="DY93" s="0" t="n">
        <v>0.1207</v>
      </c>
      <c r="DZ93" s="0" t="n">
        <v>481</v>
      </c>
      <c r="EA93" s="0" t="n">
        <v>0.421</v>
      </c>
      <c r="EB93" s="0" t="n">
        <v>17</v>
      </c>
      <c r="EC93" s="0" t="s">
        <v>1436</v>
      </c>
      <c r="ED93" s="0" t="n">
        <v>2025</v>
      </c>
      <c r="EE93" s="0" t="n">
        <v>2</v>
      </c>
      <c r="EF93" s="0" t="n">
        <v>60</v>
      </c>
      <c r="EG93" s="0" t="n">
        <v>2025</v>
      </c>
      <c r="EH93" s="0" t="n">
        <v>2026</v>
      </c>
      <c r="EI93" s="0" t="n">
        <v>2</v>
      </c>
      <c r="EJ93" s="0" t="n">
        <v>69</v>
      </c>
      <c r="EK93" s="0" t="n">
        <v>208</v>
      </c>
      <c r="EL93" s="0" t="s">
        <v>1437</v>
      </c>
      <c r="EM93" s="0" t="n">
        <v>25.5</v>
      </c>
      <c r="EN93" s="15" t="b">
        <f aca="false">FALSE()</f>
        <v>0</v>
      </c>
      <c r="EO93" s="0" t="n">
        <v>354</v>
      </c>
      <c r="EP93" s="0" t="n">
        <v>2.95932203389831</v>
      </c>
      <c r="EQ93" s="0" t="n">
        <v>0.172316384180791</v>
      </c>
      <c r="ER93" s="0" t="n">
        <v>1.24293785310735</v>
      </c>
      <c r="ES93" s="0" t="n">
        <v>0.807909604519774</v>
      </c>
      <c r="ET93" s="0" t="n">
        <v>29</v>
      </c>
      <c r="EU93" s="0" t="n">
        <v>16</v>
      </c>
      <c r="EV93" s="0" t="n">
        <v>4.42372881355932</v>
      </c>
      <c r="EW93" s="0" t="n">
        <v>0.551724137931035</v>
      </c>
      <c r="EX93" s="0" t="n">
        <v>2.95623424539257</v>
      </c>
      <c r="EY93" s="0" t="n">
        <v>2.952</v>
      </c>
      <c r="EZ93" s="0" t="n">
        <v>0.1682</v>
      </c>
      <c r="FA93" s="0" t="n">
        <v>2.592</v>
      </c>
      <c r="FB93" s="0" t="n">
        <v>1.833</v>
      </c>
      <c r="FC93" s="0" t="n">
        <v>20</v>
      </c>
      <c r="FD93" s="0" t="n">
        <v>671</v>
      </c>
      <c r="FE93" s="0" t="n">
        <v>0.0342771982116244</v>
      </c>
      <c r="FF93" s="0" t="n">
        <v>0.037</v>
      </c>
      <c r="FG93" s="0" t="n">
        <v>0.2088</v>
      </c>
      <c r="FH93" s="0" t="n">
        <v>2.401</v>
      </c>
      <c r="FI93" s="0" t="n">
        <v>1079</v>
      </c>
      <c r="FJ93" s="0" t="n">
        <v>0.593141797961075</v>
      </c>
      <c r="FK93" s="0" t="n">
        <v>17</v>
      </c>
      <c r="FL93" s="0" t="n">
        <v>63.47</v>
      </c>
      <c r="FM93" s="0" t="n">
        <v>0.59</v>
      </c>
      <c r="FN93" s="0" t="n">
        <v>0.41</v>
      </c>
      <c r="FO93" s="0" t="n">
        <v>0.0157</v>
      </c>
      <c r="FP93" s="0" t="n">
        <v>0.0004</v>
      </c>
      <c r="FQ93" s="0" t="n">
        <v>0.0835</v>
      </c>
      <c r="FR93" s="0" t="n">
        <v>38</v>
      </c>
      <c r="FS93" s="0" t="n">
        <v>59</v>
      </c>
      <c r="FT93" s="0" t="n">
        <v>3.47</v>
      </c>
      <c r="FU93" s="0" t="n">
        <v>23.6</v>
      </c>
      <c r="FV93" s="0" t="n">
        <v>5797</v>
      </c>
      <c r="FW93" s="0" t="n">
        <v>5793</v>
      </c>
      <c r="FX93" s="0" t="n">
        <v>0.999</v>
      </c>
      <c r="FY93" s="0" t="n">
        <v>5</v>
      </c>
      <c r="FZ93" s="0" t="n">
        <v>5</v>
      </c>
      <c r="GA93" s="0" t="n">
        <v>0.00253477555898343</v>
      </c>
      <c r="GB93" s="0" t="n">
        <v>50</v>
      </c>
      <c r="GC93" s="0" t="n">
        <v>70.8</v>
      </c>
      <c r="GD93" s="0" t="n">
        <v>63.2</v>
      </c>
      <c r="GE93" s="0" t="n">
        <v>584</v>
      </c>
      <c r="GF93" s="0" t="n">
        <v>456</v>
      </c>
      <c r="GG93" s="0" t="n">
        <v>4</v>
      </c>
      <c r="GH93" s="0" t="n">
        <v>0</v>
      </c>
      <c r="GI93" s="0" t="n">
        <v>157</v>
      </c>
      <c r="GJ93" s="0" t="n">
        <v>1</v>
      </c>
      <c r="GK93" s="0" t="n">
        <v>0.007</v>
      </c>
      <c r="GL93" s="0" t="n">
        <v>0</v>
      </c>
      <c r="GM93" s="0" t="n">
        <v>0.006</v>
      </c>
      <c r="GN93" s="0" t="n">
        <v>12.153</v>
      </c>
      <c r="GO93" s="0" t="n">
        <v>10.771</v>
      </c>
      <c r="GP93" s="0" t="n">
        <v>9.388</v>
      </c>
      <c r="GQ93" s="0" t="n">
        <v>3.412</v>
      </c>
      <c r="GR93" s="0" t="n">
        <v>8.588</v>
      </c>
      <c r="GS93" s="0" t="n">
        <v>204</v>
      </c>
      <c r="GT93" s="0" t="n">
        <v>1.013</v>
      </c>
      <c r="GU93" s="0" t="n">
        <v>0.43</v>
      </c>
      <c r="GV93" s="0" t="n">
        <v>6.138</v>
      </c>
      <c r="GW93" s="0" t="n">
        <v>7.574</v>
      </c>
      <c r="GX93" s="0" t="n">
        <v>0.81</v>
      </c>
      <c r="GY93" s="0" t="n">
        <v>3.699</v>
      </c>
      <c r="GZ93" s="0" t="n">
        <v>0.483</v>
      </c>
      <c r="HA93" s="0" t="n">
        <v>7.66</v>
      </c>
      <c r="HB93" s="0" t="n">
        <v>12.714</v>
      </c>
      <c r="HC93" s="0" t="n">
        <v>0.059</v>
      </c>
      <c r="HD93" s="0" t="n">
        <v>-0.157</v>
      </c>
      <c r="HE93" s="0" t="n">
        <v>0.329</v>
      </c>
      <c r="HG93" s="0" t="n">
        <v>92.56</v>
      </c>
      <c r="HH93" s="0" t="n">
        <v>16.42</v>
      </c>
      <c r="HI93" s="0" t="n">
        <v>61</v>
      </c>
      <c r="HJ93" s="0" t="n">
        <v>130</v>
      </c>
      <c r="HK93" s="0" t="s">
        <v>909</v>
      </c>
      <c r="HL93" s="0" t="n">
        <v>0</v>
      </c>
      <c r="HM93" s="0" t="n">
        <v>20</v>
      </c>
      <c r="HN93" s="0" t="n">
        <v>32</v>
      </c>
      <c r="HO93" s="0" t="n">
        <v>0.292</v>
      </c>
      <c r="HP93" s="0" t="n">
        <v>24</v>
      </c>
      <c r="HQ93" s="0" t="n">
        <v>0.116</v>
      </c>
      <c r="HR93" s="0" t="s">
        <v>102</v>
      </c>
    </row>
    <row r="94" customFormat="false" ht="15" hidden="false" customHeight="false" outlineLevel="0" collapsed="false">
      <c r="A94" s="0" t="s">
        <v>896</v>
      </c>
      <c r="B94" s="0" t="s">
        <v>897</v>
      </c>
      <c r="C94" s="0" t="s">
        <v>898</v>
      </c>
      <c r="D94" s="0" t="s">
        <v>326</v>
      </c>
      <c r="E94" s="0" t="n">
        <v>23160</v>
      </c>
      <c r="F94" s="0" t="s">
        <v>172</v>
      </c>
      <c r="G94" s="0" t="n">
        <v>94.7</v>
      </c>
      <c r="H94" s="0" t="n">
        <v>12.62</v>
      </c>
      <c r="I94" s="0" t="n">
        <v>63</v>
      </c>
      <c r="J94" s="0" t="n">
        <v>119</v>
      </c>
      <c r="L94" s="0" t="s">
        <v>1438</v>
      </c>
      <c r="O94" s="0" t="n">
        <v>93.2</v>
      </c>
      <c r="U94" s="0" t="n">
        <v>8</v>
      </c>
      <c r="V94" s="0" t="s">
        <v>326</v>
      </c>
      <c r="W94" s="0" t="s">
        <v>901</v>
      </c>
      <c r="X94" s="0" t="s">
        <v>178</v>
      </c>
      <c r="Y94" s="0" t="s">
        <v>1439</v>
      </c>
      <c r="Z94" s="0" t="n">
        <v>23160</v>
      </c>
      <c r="AA94" s="0" t="s">
        <v>1440</v>
      </c>
      <c r="AB94" s="0" t="s">
        <v>904</v>
      </c>
      <c r="AC94" s="0" t="s">
        <v>178</v>
      </c>
      <c r="AD94" s="0" t="s">
        <v>178</v>
      </c>
      <c r="AE94" s="0" t="s">
        <v>178</v>
      </c>
      <c r="AF94" s="0" t="s">
        <v>178</v>
      </c>
      <c r="AG94" s="0" t="s">
        <v>178</v>
      </c>
      <c r="AH94" s="0" t="s">
        <v>905</v>
      </c>
      <c r="AI94" s="0" t="n">
        <v>1</v>
      </c>
      <c r="AJ94" s="0" t="s">
        <v>172</v>
      </c>
      <c r="AK94" s="0" t="n">
        <v>93</v>
      </c>
      <c r="AL94" s="0" t="n">
        <v>11</v>
      </c>
      <c r="AM94" s="0" t="s">
        <v>327</v>
      </c>
      <c r="AN94" s="0" t="n">
        <v>216</v>
      </c>
      <c r="AO94" s="0" t="n">
        <v>339</v>
      </c>
      <c r="AP94" s="0" t="n">
        <v>2272</v>
      </c>
      <c r="AQ94" s="0" t="n">
        <v>15</v>
      </c>
      <c r="AR94" s="0" t="n">
        <v>5</v>
      </c>
      <c r="AS94" s="0" t="n">
        <v>35</v>
      </c>
      <c r="AT94" s="0" t="n">
        <v>2773</v>
      </c>
      <c r="AU94" s="0" t="n">
        <v>102</v>
      </c>
      <c r="AV94" s="0" t="n">
        <v>3.41943225378957</v>
      </c>
      <c r="AW94" s="0" t="n">
        <v>86</v>
      </c>
      <c r="AX94" s="0" t="n">
        <v>487</v>
      </c>
      <c r="AY94" s="0" t="n">
        <v>9</v>
      </c>
      <c r="AZ94" s="0" t="n">
        <v>38</v>
      </c>
      <c r="BA94" s="0" t="n">
        <v>38.1240470729286</v>
      </c>
      <c r="BB94" s="0" t="n">
        <v>1</v>
      </c>
      <c r="BC94" s="0" t="n">
        <v>0</v>
      </c>
      <c r="BD94" s="0" t="n">
        <v>0</v>
      </c>
      <c r="BE94" s="0" t="n">
        <v>0</v>
      </c>
      <c r="BF94" s="0" t="n">
        <v>0</v>
      </c>
      <c r="BG94" s="0" t="n">
        <v>0</v>
      </c>
      <c r="BH94" s="0" t="n">
        <v>0</v>
      </c>
      <c r="BI94" s="0" t="n">
        <v>0</v>
      </c>
      <c r="BJ94" s="0" t="n">
        <v>0</v>
      </c>
      <c r="BK94" s="0" t="n">
        <v>0</v>
      </c>
      <c r="BL94" s="0" t="n">
        <v>0</v>
      </c>
      <c r="BM94" s="0" t="n">
        <v>241.58</v>
      </c>
      <c r="BN94" s="0" t="n">
        <v>241.58</v>
      </c>
      <c r="BO94" s="0" t="n">
        <v>14</v>
      </c>
      <c r="BP94" s="0" t="s">
        <v>178</v>
      </c>
      <c r="BQ94" s="0" t="n">
        <v>1</v>
      </c>
      <c r="BR94" s="0" t="n">
        <v>241.58</v>
      </c>
      <c r="BS94" s="0" t="n">
        <v>0</v>
      </c>
      <c r="BT94" s="0" t="n">
        <v>0.1683</v>
      </c>
      <c r="BU94" s="0" t="n">
        <v>0</v>
      </c>
      <c r="BV94" s="0" t="n">
        <v>0</v>
      </c>
      <c r="BW94" s="0" t="n">
        <v>0.2092</v>
      </c>
      <c r="BX94" s="0" t="n">
        <v>0</v>
      </c>
      <c r="BY94" s="0" t="n">
        <v>0</v>
      </c>
      <c r="BZ94" s="0" t="n">
        <v>14</v>
      </c>
      <c r="CA94" s="0" t="n">
        <v>14.06</v>
      </c>
      <c r="CB94" s="0" t="n">
        <v>26.33</v>
      </c>
      <c r="CC94" s="0" t="n">
        <v>20.12</v>
      </c>
      <c r="CD94" s="0" t="n">
        <v>10.23</v>
      </c>
      <c r="CE94" s="0" t="n">
        <v>8</v>
      </c>
      <c r="CF94" s="0" t="n">
        <v>3</v>
      </c>
      <c r="CG94" s="0" t="n">
        <v>14</v>
      </c>
      <c r="CH94" s="0" t="n">
        <v>0.571</v>
      </c>
      <c r="CI94" s="0" t="n">
        <v>0.214</v>
      </c>
      <c r="CJ94" s="0" t="n">
        <v>0.509</v>
      </c>
      <c r="CK94" s="0" t="n">
        <v>0</v>
      </c>
      <c r="CL94" s="0" t="n">
        <v>0</v>
      </c>
      <c r="CM94" s="0" t="n">
        <v>0</v>
      </c>
      <c r="CN94" s="0" t="n">
        <v>0</v>
      </c>
      <c r="CO94" s="0" t="n">
        <v>0</v>
      </c>
      <c r="CP94" s="0" t="n">
        <v>22</v>
      </c>
      <c r="CQ94" s="0" t="n">
        <v>12</v>
      </c>
      <c r="CR94" s="0" t="n">
        <v>7</v>
      </c>
      <c r="CS94" s="0" t="n">
        <v>9</v>
      </c>
      <c r="CT94" s="0" t="n">
        <v>4.72387129500752</v>
      </c>
      <c r="CU94" s="0" t="n">
        <v>22</v>
      </c>
      <c r="CV94" s="0" t="n">
        <v>12</v>
      </c>
      <c r="CW94" s="0" t="n">
        <v>7</v>
      </c>
      <c r="CX94" s="0" t="n">
        <v>9</v>
      </c>
      <c r="CY94" s="0" t="n">
        <v>4.72</v>
      </c>
      <c r="CZ94" s="0" t="n">
        <v>4.28</v>
      </c>
      <c r="DM94" s="0" t="s">
        <v>1441</v>
      </c>
      <c r="DN94" s="0" t="n">
        <v>86</v>
      </c>
      <c r="DO94" s="0" t="n">
        <v>0</v>
      </c>
      <c r="DP94" s="0" t="n">
        <v>4.895</v>
      </c>
      <c r="DQ94" s="0" t="n">
        <v>0.767</v>
      </c>
      <c r="DZ94" s="0" t="n">
        <v>774</v>
      </c>
      <c r="EA94" s="0" t="n">
        <v>0.836</v>
      </c>
      <c r="EB94" s="0" t="n">
        <v>14</v>
      </c>
      <c r="EC94" s="0" t="s">
        <v>1442</v>
      </c>
      <c r="ED94" s="0" t="n">
        <v>2025</v>
      </c>
      <c r="EE94" s="0" t="n">
        <v>1</v>
      </c>
      <c r="EF94" s="0" t="n">
        <v>25</v>
      </c>
      <c r="EG94" s="0" t="n">
        <v>2025</v>
      </c>
      <c r="EH94" s="0" t="n">
        <v>2026</v>
      </c>
      <c r="EI94" s="0" t="n">
        <v>2</v>
      </c>
      <c r="EJ94" s="0" t="n">
        <v>74</v>
      </c>
      <c r="EK94" s="0" t="n">
        <v>223</v>
      </c>
      <c r="EL94" s="0" t="s">
        <v>1443</v>
      </c>
      <c r="EM94" s="0" t="n">
        <v>23.3</v>
      </c>
      <c r="EN94" s="15" t="b">
        <f aca="false">FALSE()</f>
        <v>0</v>
      </c>
      <c r="EO94" s="0" t="n">
        <v>396</v>
      </c>
      <c r="EP94" s="0" t="n">
        <v>2.99646464646465</v>
      </c>
      <c r="EQ94" s="0" t="n">
        <v>0.146464646464647</v>
      </c>
      <c r="ER94" s="0" t="n">
        <v>1.08080808080808</v>
      </c>
      <c r="ES94" s="0" t="n">
        <v>0.441919191919192</v>
      </c>
      <c r="ET94" s="0" t="n">
        <v>24</v>
      </c>
      <c r="EU94" s="0" t="n">
        <v>15</v>
      </c>
      <c r="EV94" s="0" t="n">
        <v>4.00757575757576</v>
      </c>
      <c r="EW94" s="0" t="n">
        <v>0.625</v>
      </c>
      <c r="EX94" s="0" t="n">
        <v>2.97085160992848</v>
      </c>
      <c r="EY94" s="0" t="n">
        <v>2.974</v>
      </c>
      <c r="EZ94" s="0" t="n">
        <v>0.1475</v>
      </c>
      <c r="FA94" s="0" t="n">
        <v>2.714</v>
      </c>
      <c r="FB94" s="0" t="n">
        <v>1.581</v>
      </c>
      <c r="FC94" s="0" t="n">
        <v>16</v>
      </c>
      <c r="FD94" s="0" t="n">
        <v>624</v>
      </c>
      <c r="FE94" s="0" t="n">
        <v>0.0769230769230769</v>
      </c>
      <c r="FF94" s="0" t="n">
        <v>0.076</v>
      </c>
      <c r="FG94" s="0" t="n">
        <v>0.2947</v>
      </c>
      <c r="FH94" s="0" t="n">
        <v>2.388</v>
      </c>
      <c r="FI94" s="0" t="n">
        <v>1079</v>
      </c>
      <c r="FJ94" s="0" t="n">
        <v>0.533827618164968</v>
      </c>
      <c r="FK94" s="0" t="n">
        <v>17</v>
      </c>
      <c r="FL94" s="0" t="n">
        <v>63.47</v>
      </c>
      <c r="FM94" s="0" t="n">
        <v>0.494</v>
      </c>
      <c r="FN94" s="0" t="n">
        <v>0.506</v>
      </c>
      <c r="FO94" s="0" t="n">
        <v>-0.0466</v>
      </c>
      <c r="FP94" s="0" t="n">
        <v>0.0356</v>
      </c>
      <c r="FQ94" s="0" t="n">
        <v>-0.008</v>
      </c>
      <c r="FR94" s="0" t="n">
        <v>36</v>
      </c>
      <c r="FS94" s="0" t="n">
        <v>61</v>
      </c>
      <c r="FT94" s="0" t="n">
        <v>3.59</v>
      </c>
      <c r="FU94" s="0" t="n">
        <v>22.4</v>
      </c>
      <c r="FV94" s="0" t="n">
        <v>5756</v>
      </c>
      <c r="FW94" s="0" t="n">
        <v>4159</v>
      </c>
      <c r="FX94" s="0" t="n">
        <v>0.723</v>
      </c>
      <c r="FY94" s="0" t="n">
        <v>5</v>
      </c>
      <c r="FZ94" s="0" t="n">
        <v>4</v>
      </c>
      <c r="GA94" s="0" t="n">
        <v>0.375872277758655</v>
      </c>
      <c r="GB94" s="0" t="n">
        <v>56.8</v>
      </c>
      <c r="GC94" s="0" t="n">
        <v>36.8</v>
      </c>
      <c r="GD94" s="0" t="n">
        <v>45.9</v>
      </c>
      <c r="GE94" s="0" t="n">
        <v>503</v>
      </c>
      <c r="GF94" s="0" t="n">
        <v>511</v>
      </c>
      <c r="GG94" s="0" t="n">
        <v>177</v>
      </c>
      <c r="GH94" s="0" t="n">
        <v>3</v>
      </c>
      <c r="GI94" s="0" t="n">
        <v>162</v>
      </c>
      <c r="GJ94" s="0" t="n">
        <v>21</v>
      </c>
      <c r="GK94" s="0" t="n">
        <v>0.352</v>
      </c>
      <c r="GL94" s="0" t="n">
        <v>0.006</v>
      </c>
      <c r="GM94" s="0" t="n">
        <v>0.13</v>
      </c>
      <c r="GN94" s="0" t="n">
        <v>17.256</v>
      </c>
      <c r="GO94" s="0" t="n">
        <v>17.256</v>
      </c>
      <c r="GP94" s="0" t="n">
        <v>17.256</v>
      </c>
      <c r="GQ94" s="0" t="n">
        <v>0</v>
      </c>
      <c r="GR94" s="0" t="n">
        <v>6.143</v>
      </c>
      <c r="GS94" s="0" t="n">
        <v>86</v>
      </c>
      <c r="GT94" s="0" t="n">
        <v>2.809</v>
      </c>
      <c r="GU94" s="0" t="n">
        <v>0.312</v>
      </c>
      <c r="GY94" s="0" t="n">
        <v>5.663</v>
      </c>
      <c r="HC94" s="0" t="n">
        <v>0.105</v>
      </c>
      <c r="HD94" s="0" t="n">
        <v>0.443</v>
      </c>
      <c r="HG94" s="0" t="n">
        <v>94.7</v>
      </c>
      <c r="HH94" s="0" t="n">
        <v>12.62</v>
      </c>
      <c r="HI94" s="0" t="n">
        <v>63</v>
      </c>
      <c r="HJ94" s="0" t="n">
        <v>119</v>
      </c>
      <c r="HK94" s="0" t="s">
        <v>909</v>
      </c>
      <c r="HL94" s="0" t="n">
        <v>0</v>
      </c>
      <c r="HM94" s="0" t="n">
        <v>13</v>
      </c>
      <c r="HN94" s="0" t="n">
        <v>11</v>
      </c>
      <c r="HO94" s="0" t="n">
        <v>-0.145</v>
      </c>
      <c r="HP94" s="0" t="n">
        <v>14</v>
      </c>
      <c r="HQ94" s="0" t="n">
        <v>-0.189</v>
      </c>
      <c r="HR94" s="0" t="s">
        <v>102</v>
      </c>
    </row>
    <row r="95" customFormat="false" ht="15" hidden="false" customHeight="false" outlineLevel="0" collapsed="false">
      <c r="A95" s="0" t="s">
        <v>896</v>
      </c>
      <c r="B95" s="0" t="s">
        <v>897</v>
      </c>
      <c r="C95" s="0" t="s">
        <v>898</v>
      </c>
      <c r="D95" s="0" t="s">
        <v>328</v>
      </c>
      <c r="E95" s="0" t="n">
        <v>19797</v>
      </c>
      <c r="F95" s="0" t="s">
        <v>172</v>
      </c>
      <c r="G95" s="0" t="n">
        <v>97.35</v>
      </c>
      <c r="H95" s="0" t="n">
        <v>9.37</v>
      </c>
      <c r="I95" s="0" t="n">
        <v>63</v>
      </c>
      <c r="J95" s="0" t="n">
        <v>125</v>
      </c>
      <c r="L95" s="0" t="s">
        <v>1444</v>
      </c>
      <c r="O95" s="0" t="n">
        <v>86.4</v>
      </c>
      <c r="U95" s="0" t="n">
        <v>8</v>
      </c>
      <c r="V95" s="0" t="s">
        <v>328</v>
      </c>
      <c r="W95" s="0" t="s">
        <v>901</v>
      </c>
      <c r="X95" s="0" t="s">
        <v>948</v>
      </c>
      <c r="Y95" s="0" t="s">
        <v>1445</v>
      </c>
      <c r="Z95" s="0" t="n">
        <v>19797</v>
      </c>
      <c r="AA95" s="0" t="s">
        <v>1446</v>
      </c>
      <c r="AB95" s="0" t="s">
        <v>904</v>
      </c>
      <c r="AC95" s="0" t="s">
        <v>124</v>
      </c>
      <c r="AD95" s="0" t="s">
        <v>124</v>
      </c>
      <c r="AE95" s="0" t="s">
        <v>124</v>
      </c>
      <c r="AF95" s="0" t="s">
        <v>124</v>
      </c>
      <c r="AG95" s="0" t="s">
        <v>124</v>
      </c>
      <c r="AH95" s="0" t="s">
        <v>905</v>
      </c>
      <c r="AI95" s="0" t="n">
        <v>1</v>
      </c>
      <c r="AJ95" s="0" t="s">
        <v>172</v>
      </c>
      <c r="AK95" s="0" t="n">
        <v>94</v>
      </c>
      <c r="AL95" s="0" t="n">
        <v>12</v>
      </c>
      <c r="AM95" s="0" t="s">
        <v>329</v>
      </c>
      <c r="AN95" s="0" t="n">
        <v>197</v>
      </c>
      <c r="AO95" s="0" t="n">
        <v>284</v>
      </c>
      <c r="AP95" s="0" t="n">
        <v>2167</v>
      </c>
      <c r="AQ95" s="0" t="n">
        <v>20</v>
      </c>
      <c r="AR95" s="0" t="n">
        <v>10</v>
      </c>
      <c r="AS95" s="0" t="n">
        <v>11</v>
      </c>
      <c r="AT95" s="0" t="n">
        <v>2158</v>
      </c>
      <c r="AU95" s="0" t="n">
        <v>130</v>
      </c>
      <c r="AV95" s="0" t="n">
        <v>63.1299391168205</v>
      </c>
      <c r="AW95" s="0" t="n">
        <v>33</v>
      </c>
      <c r="AX95" s="0" t="n">
        <v>147</v>
      </c>
      <c r="AY95" s="0" t="n">
        <v>3</v>
      </c>
      <c r="AZ95" s="0" t="n">
        <v>16</v>
      </c>
      <c r="BA95" s="0" t="n">
        <v>16.1920897064847</v>
      </c>
      <c r="BB95" s="0" t="n">
        <v>0</v>
      </c>
      <c r="BC95" s="0" t="n">
        <v>0</v>
      </c>
      <c r="BD95" s="0" t="n">
        <v>0</v>
      </c>
      <c r="BE95" s="0" t="n">
        <v>0</v>
      </c>
      <c r="BF95" s="0" t="n">
        <v>0</v>
      </c>
      <c r="BG95" s="0" t="n">
        <v>0</v>
      </c>
      <c r="BH95" s="0" t="n">
        <v>0</v>
      </c>
      <c r="BI95" s="0" t="n">
        <v>0</v>
      </c>
      <c r="BJ95" s="0" t="n">
        <v>0</v>
      </c>
      <c r="BK95" s="0" t="n">
        <v>0</v>
      </c>
      <c r="BL95" s="0" t="n">
        <v>0</v>
      </c>
      <c r="BM95" s="0" t="n">
        <v>177.38</v>
      </c>
      <c r="BN95" s="0" t="n">
        <v>177.38</v>
      </c>
      <c r="BO95" s="0" t="n">
        <v>9</v>
      </c>
      <c r="BP95" s="0" t="s">
        <v>124</v>
      </c>
      <c r="BQ95" s="0" t="n">
        <v>1</v>
      </c>
      <c r="BR95" s="0" t="n">
        <v>177.38</v>
      </c>
      <c r="BS95" s="0" t="n">
        <v>0</v>
      </c>
      <c r="BT95" s="0" t="n">
        <v>0.0686</v>
      </c>
      <c r="BU95" s="0" t="n">
        <v>0</v>
      </c>
      <c r="BV95" s="0" t="n">
        <v>0</v>
      </c>
      <c r="BW95" s="0" t="n">
        <v>0.1218</v>
      </c>
      <c r="BX95" s="0" t="n">
        <v>0</v>
      </c>
      <c r="BY95" s="0" t="n">
        <v>0</v>
      </c>
      <c r="BZ95" s="0" t="n">
        <v>9</v>
      </c>
      <c r="CA95" s="0" t="n">
        <v>16.78</v>
      </c>
      <c r="CB95" s="0" t="n">
        <v>29.96</v>
      </c>
      <c r="CC95" s="0" t="n">
        <v>17.66</v>
      </c>
      <c r="CD95" s="0" t="n">
        <v>10.29</v>
      </c>
      <c r="CE95" s="0" t="n">
        <v>4</v>
      </c>
      <c r="CF95" s="0" t="n">
        <v>0</v>
      </c>
      <c r="CG95" s="0" t="n">
        <v>9</v>
      </c>
      <c r="CH95" s="0" t="n">
        <v>0.444</v>
      </c>
      <c r="CI95" s="0" t="n">
        <v>0</v>
      </c>
      <c r="CJ95" s="0" t="n">
        <v>0.583</v>
      </c>
      <c r="CK95" s="0" t="n">
        <v>0</v>
      </c>
      <c r="CL95" s="0" t="n">
        <v>0</v>
      </c>
      <c r="CM95" s="0" t="n">
        <v>0</v>
      </c>
      <c r="CN95" s="0" t="n">
        <v>0</v>
      </c>
      <c r="CO95" s="0" t="n">
        <v>0</v>
      </c>
      <c r="CP95" s="0" t="n">
        <v>7</v>
      </c>
      <c r="CQ95" s="0" t="n">
        <v>3</v>
      </c>
      <c r="CR95" s="0" t="n">
        <v>2</v>
      </c>
      <c r="CS95" s="0" t="n">
        <v>3</v>
      </c>
      <c r="CT95" s="0" t="n">
        <v>1.29095295463541</v>
      </c>
      <c r="CU95" s="0" t="n">
        <v>7</v>
      </c>
      <c r="CV95" s="0" t="n">
        <v>3</v>
      </c>
      <c r="CW95" s="0" t="n">
        <v>2</v>
      </c>
      <c r="CX95" s="0" t="n">
        <v>3</v>
      </c>
      <c r="CY95" s="0" t="n">
        <v>1.29</v>
      </c>
      <c r="CZ95" s="0" t="n">
        <v>1.71</v>
      </c>
      <c r="DM95" s="0" t="s">
        <v>1447</v>
      </c>
      <c r="DN95" s="0" t="n">
        <v>33</v>
      </c>
      <c r="DO95" s="0" t="n">
        <v>0</v>
      </c>
      <c r="DP95" s="0" t="n">
        <v>3.818</v>
      </c>
      <c r="DQ95" s="0" t="n">
        <v>0.636</v>
      </c>
      <c r="DZ95" s="0" t="n">
        <v>576</v>
      </c>
      <c r="EA95" s="0" t="n">
        <v>0.978</v>
      </c>
      <c r="EB95" s="0" t="n">
        <v>9</v>
      </c>
      <c r="EC95" s="0" t="s">
        <v>1448</v>
      </c>
      <c r="ED95" s="0" t="n">
        <v>2022</v>
      </c>
      <c r="EE95" s="0" t="n">
        <v>7</v>
      </c>
      <c r="EF95" s="0" t="n">
        <v>262</v>
      </c>
      <c r="EG95" s="0" t="n">
        <v>2022</v>
      </c>
      <c r="EH95" s="0" t="n">
        <v>2026</v>
      </c>
      <c r="EI95" s="0" t="n">
        <v>5</v>
      </c>
      <c r="EJ95" s="0" t="n">
        <v>73</v>
      </c>
      <c r="EK95" s="0" t="n">
        <v>220</v>
      </c>
      <c r="EL95" s="0" t="s">
        <v>1146</v>
      </c>
      <c r="EM95" s="0" t="n">
        <v>26.6</v>
      </c>
      <c r="EN95" s="15" t="b">
        <f aca="false">FALSE()</f>
        <v>0</v>
      </c>
      <c r="EO95" s="0" t="n">
        <v>405</v>
      </c>
      <c r="EP95" s="0" t="n">
        <v>2.91456790123457</v>
      </c>
      <c r="EQ95" s="0" t="n">
        <v>0.180246913580247</v>
      </c>
      <c r="ER95" s="0" t="n">
        <v>1.17530864197531</v>
      </c>
      <c r="ES95" s="0" t="n">
        <v>0.402469135802469</v>
      </c>
      <c r="ET95" s="0" t="n">
        <v>29</v>
      </c>
      <c r="EU95" s="0" t="n">
        <v>19</v>
      </c>
      <c r="EV95" s="0" t="n">
        <v>3.94814814814815</v>
      </c>
      <c r="EW95" s="0" t="n">
        <v>0.655172413793103</v>
      </c>
      <c r="EX95" s="0" t="n">
        <v>2.9571088201075</v>
      </c>
      <c r="EY95" s="0" t="n">
        <v>2.906</v>
      </c>
      <c r="EZ95" s="0" t="n">
        <v>0.1848</v>
      </c>
      <c r="FA95" s="0" t="n">
        <v>2.349</v>
      </c>
      <c r="FB95" s="0" t="n">
        <v>1.428</v>
      </c>
      <c r="FC95" s="0" t="n">
        <v>23</v>
      </c>
      <c r="FD95" s="0" t="n">
        <v>624</v>
      </c>
      <c r="FE95" s="0" t="n">
        <v>0.0432692307692308</v>
      </c>
      <c r="FF95" s="0" t="n">
        <v>0.0428</v>
      </c>
      <c r="FG95" s="0" t="n">
        <v>0.2125</v>
      </c>
      <c r="FH95" s="0" t="n">
        <v>2.547</v>
      </c>
      <c r="FI95" s="0" t="n">
        <v>1065</v>
      </c>
      <c r="FJ95" s="0" t="n">
        <v>0.566197183098592</v>
      </c>
      <c r="FK95" s="0" t="n">
        <v>17</v>
      </c>
      <c r="FL95" s="0" t="n">
        <v>62.65</v>
      </c>
      <c r="FM95" s="0" t="n">
        <v>0.5521</v>
      </c>
      <c r="FN95" s="0" t="n">
        <v>0.4479</v>
      </c>
      <c r="FO95" s="0" t="n">
        <v>-0.0088</v>
      </c>
      <c r="FP95" s="0" t="n">
        <v>-0.0044</v>
      </c>
      <c r="FQ95" s="0" t="n">
        <v>0.1587</v>
      </c>
      <c r="FR95" s="0" t="n">
        <v>38</v>
      </c>
      <c r="FS95" s="0" t="n">
        <v>66</v>
      </c>
      <c r="FT95" s="0" t="n">
        <v>3.88</v>
      </c>
      <c r="FU95" s="0" t="n">
        <v>25.7</v>
      </c>
      <c r="FV95" s="0" t="n">
        <v>5615</v>
      </c>
      <c r="FW95" s="0" t="n">
        <v>4784</v>
      </c>
      <c r="FX95" s="0" t="n">
        <v>0.852</v>
      </c>
      <c r="FY95" s="0" t="n">
        <v>5</v>
      </c>
      <c r="FZ95" s="0" t="n">
        <v>4</v>
      </c>
      <c r="GA95" s="0" t="n">
        <v>-0.196965652614142</v>
      </c>
      <c r="GB95" s="0" t="n">
        <v>46.4</v>
      </c>
      <c r="GC95" s="0" t="n">
        <v>74.5</v>
      </c>
      <c r="GD95" s="0" t="n">
        <v>63.3</v>
      </c>
      <c r="GE95" s="0" t="n">
        <v>550</v>
      </c>
      <c r="GF95" s="0" t="n">
        <v>481</v>
      </c>
      <c r="GG95" s="0" t="n">
        <v>170</v>
      </c>
      <c r="GH95" s="0" t="n">
        <v>94</v>
      </c>
      <c r="GI95" s="0" t="n">
        <v>185</v>
      </c>
      <c r="GJ95" s="0" t="n">
        <v>38</v>
      </c>
      <c r="GK95" s="0" t="n">
        <v>0.309</v>
      </c>
      <c r="GL95" s="0" t="n">
        <v>0.195</v>
      </c>
      <c r="GM95" s="0" t="n">
        <v>0.205</v>
      </c>
      <c r="GN95" s="0" t="n">
        <v>19.709</v>
      </c>
      <c r="GO95" s="0" t="n">
        <v>19.709</v>
      </c>
      <c r="GP95" s="0" t="n">
        <v>19.709</v>
      </c>
      <c r="GQ95" s="0" t="n">
        <v>0</v>
      </c>
      <c r="GR95" s="0" t="n">
        <v>3.667</v>
      </c>
      <c r="GS95" s="0" t="n">
        <v>33</v>
      </c>
      <c r="GT95" s="0" t="n">
        <v>5.375</v>
      </c>
      <c r="GU95" s="0" t="n">
        <v>0.308</v>
      </c>
      <c r="GY95" s="0" t="n">
        <v>4.455</v>
      </c>
      <c r="HC95" s="0" t="n">
        <v>0.091</v>
      </c>
      <c r="HD95" s="0" t="n">
        <v>0.491</v>
      </c>
      <c r="HG95" s="0" t="n">
        <v>97.35</v>
      </c>
      <c r="HH95" s="0" t="n">
        <v>9.37</v>
      </c>
      <c r="HI95" s="0" t="n">
        <v>63</v>
      </c>
      <c r="HJ95" s="0" t="n">
        <v>125</v>
      </c>
      <c r="HK95" s="0" t="s">
        <v>909</v>
      </c>
      <c r="HL95" s="0" t="n">
        <v>0</v>
      </c>
      <c r="HM95" s="0" t="n">
        <v>23</v>
      </c>
      <c r="HN95" s="0" t="n">
        <v>12</v>
      </c>
      <c r="HO95" s="0" t="n">
        <v>-0.548</v>
      </c>
      <c r="HP95" s="0" t="n">
        <v>6</v>
      </c>
      <c r="HQ95" s="0" t="n">
        <v>0.197</v>
      </c>
      <c r="HR95" s="0" t="s">
        <v>121</v>
      </c>
    </row>
    <row r="96" customFormat="false" ht="15" hidden="false" customHeight="false" outlineLevel="0" collapsed="false">
      <c r="A96" s="0" t="s">
        <v>896</v>
      </c>
      <c r="B96" s="0" t="s">
        <v>897</v>
      </c>
      <c r="C96" s="0" t="s">
        <v>898</v>
      </c>
      <c r="D96" s="0" t="s">
        <v>330</v>
      </c>
      <c r="E96" s="0" t="n">
        <v>11594</v>
      </c>
      <c r="F96" s="0" t="s">
        <v>149</v>
      </c>
      <c r="G96" s="0" t="n">
        <v>98.69</v>
      </c>
      <c r="H96" s="0" t="n">
        <v>13.65</v>
      </c>
      <c r="I96" s="0" t="n">
        <v>66</v>
      </c>
      <c r="J96" s="0" t="n">
        <v>138</v>
      </c>
      <c r="L96" s="0" t="s">
        <v>1449</v>
      </c>
      <c r="O96" s="0" t="n">
        <v>88.9</v>
      </c>
      <c r="U96" s="0" t="n">
        <v>5</v>
      </c>
      <c r="V96" s="0" t="s">
        <v>330</v>
      </c>
      <c r="W96" s="0" t="s">
        <v>901</v>
      </c>
      <c r="X96" s="0" t="s">
        <v>1034</v>
      </c>
      <c r="Y96" s="0" t="s">
        <v>1450</v>
      </c>
      <c r="Z96" s="0" t="n">
        <v>11594</v>
      </c>
      <c r="AA96" s="0" t="s">
        <v>1451</v>
      </c>
      <c r="AB96" s="0" t="s">
        <v>904</v>
      </c>
      <c r="AC96" s="0" t="s">
        <v>164</v>
      </c>
      <c r="AD96" s="0" t="s">
        <v>164</v>
      </c>
      <c r="AE96" s="0" t="s">
        <v>164</v>
      </c>
      <c r="AF96" s="0" t="s">
        <v>164</v>
      </c>
      <c r="AG96" s="0" t="s">
        <v>164</v>
      </c>
      <c r="AH96" s="0" t="s">
        <v>905</v>
      </c>
      <c r="AI96" s="0" t="n">
        <v>1</v>
      </c>
      <c r="AJ96" s="0" t="s">
        <v>149</v>
      </c>
      <c r="AK96" s="0" t="n">
        <v>95</v>
      </c>
      <c r="AL96" s="0" t="n">
        <v>9</v>
      </c>
      <c r="AM96" s="0" t="s">
        <v>331</v>
      </c>
      <c r="AN96" s="0" t="n">
        <v>0</v>
      </c>
      <c r="AO96" s="0" t="n">
        <v>0</v>
      </c>
      <c r="AP96" s="0" t="n">
        <v>0</v>
      </c>
      <c r="AQ96" s="0" t="n">
        <v>0</v>
      </c>
      <c r="AR96" s="0" t="n">
        <v>0</v>
      </c>
      <c r="AS96" s="0" t="n">
        <v>0</v>
      </c>
      <c r="AT96" s="0" t="n">
        <v>0</v>
      </c>
      <c r="AU96" s="0" t="n">
        <v>0</v>
      </c>
      <c r="AV96" s="0" t="n">
        <v>0</v>
      </c>
      <c r="AW96" s="0" t="n">
        <v>1</v>
      </c>
      <c r="AX96" s="0" t="n">
        <v>1</v>
      </c>
      <c r="AY96" s="0" t="n">
        <v>0</v>
      </c>
      <c r="AZ96" s="0" t="n">
        <v>0</v>
      </c>
      <c r="BA96" s="0" t="n">
        <v>-1.87519072403666</v>
      </c>
      <c r="BB96" s="0" t="n">
        <v>0</v>
      </c>
      <c r="BC96" s="0" t="n">
        <v>76</v>
      </c>
      <c r="BD96" s="0" t="n">
        <v>108</v>
      </c>
      <c r="BE96" s="0" t="n">
        <v>851</v>
      </c>
      <c r="BF96" s="0" t="n">
        <v>5</v>
      </c>
      <c r="BG96" s="0" t="n">
        <v>735</v>
      </c>
      <c r="BH96" s="0" t="n">
        <v>424</v>
      </c>
      <c r="BI96" s="0" t="n">
        <v>46</v>
      </c>
      <c r="BJ96" s="0" t="n">
        <v>40.4127537694483</v>
      </c>
      <c r="BK96" s="0" t="n">
        <v>0</v>
      </c>
      <c r="BL96" s="0" t="n">
        <v>0</v>
      </c>
      <c r="BM96" s="0" t="n">
        <v>117.2</v>
      </c>
      <c r="BN96" s="0" t="n">
        <v>193.2</v>
      </c>
      <c r="BO96" s="0" t="n">
        <v>17</v>
      </c>
      <c r="BP96" s="0" t="s">
        <v>164</v>
      </c>
      <c r="BQ96" s="0" t="n">
        <v>1</v>
      </c>
      <c r="BR96" s="0" t="n">
        <v>155.2</v>
      </c>
      <c r="BS96" s="0" t="n">
        <v>0.1967</v>
      </c>
      <c r="BT96" s="0" t="n">
        <v>0.0023</v>
      </c>
      <c r="BU96" s="0" t="n">
        <v>0.171</v>
      </c>
      <c r="BV96" s="0" t="n">
        <v>0.1967</v>
      </c>
      <c r="BW96" s="0" t="n">
        <v>0.0023</v>
      </c>
      <c r="BX96" s="0" t="n">
        <v>0.171</v>
      </c>
      <c r="BY96" s="0" t="n">
        <v>0.4148</v>
      </c>
      <c r="BZ96" s="0" t="n">
        <v>17</v>
      </c>
      <c r="CA96" s="0" t="n">
        <v>8.4</v>
      </c>
      <c r="CB96" s="0" t="n">
        <v>17.66</v>
      </c>
      <c r="CC96" s="0" t="n">
        <v>10.1</v>
      </c>
      <c r="CD96" s="0" t="n">
        <v>6.41</v>
      </c>
      <c r="CE96" s="0" t="n">
        <v>4</v>
      </c>
      <c r="CF96" s="0" t="n">
        <v>1</v>
      </c>
      <c r="CG96" s="0" t="n">
        <v>17</v>
      </c>
      <c r="CH96" s="0" t="n">
        <v>0.235</v>
      </c>
      <c r="CI96" s="0" t="n">
        <v>0.059</v>
      </c>
      <c r="CJ96" s="0" t="n">
        <v>0.634</v>
      </c>
      <c r="CK96" s="0" t="n">
        <v>12</v>
      </c>
      <c r="CL96" s="0" t="n">
        <v>7</v>
      </c>
      <c r="CM96" s="0" t="n">
        <v>3</v>
      </c>
      <c r="CN96" s="0" t="n">
        <v>5</v>
      </c>
      <c r="CO96" s="0" t="n">
        <v>5.09671323842119</v>
      </c>
      <c r="CP96" s="0" t="n">
        <v>1</v>
      </c>
      <c r="CQ96" s="0" t="n">
        <v>1</v>
      </c>
      <c r="CR96" s="0" t="n">
        <v>1</v>
      </c>
      <c r="CS96" s="0" t="n">
        <v>0</v>
      </c>
      <c r="CT96" s="0" t="n">
        <v>0.260162601626016</v>
      </c>
      <c r="CU96" s="0" t="n">
        <v>13</v>
      </c>
      <c r="CV96" s="0" t="n">
        <v>8</v>
      </c>
      <c r="CW96" s="0" t="n">
        <v>4</v>
      </c>
      <c r="CX96" s="0" t="n">
        <v>5</v>
      </c>
      <c r="CY96" s="0" t="n">
        <v>5.36</v>
      </c>
      <c r="CZ96" s="0" t="n">
        <v>-0.36</v>
      </c>
      <c r="DA96" s="0" t="n">
        <v>3.21107209819751</v>
      </c>
      <c r="DB96" s="0" t="n">
        <v>5.64223529411765</v>
      </c>
      <c r="DC96" s="0" t="n">
        <v>6.31351851851852</v>
      </c>
      <c r="DD96" s="0" t="n">
        <v>16.5521694591039</v>
      </c>
      <c r="DE96" s="0" t="n">
        <v>0.4268428877584</v>
      </c>
      <c r="DF96" s="0" t="n">
        <v>70.3703703703704</v>
      </c>
      <c r="DM96" s="0" t="s">
        <v>1452</v>
      </c>
      <c r="DN96" s="0" t="n">
        <v>1</v>
      </c>
      <c r="DO96" s="0" t="n">
        <v>0</v>
      </c>
      <c r="DS96" s="0" t="n">
        <v>108</v>
      </c>
      <c r="DT96" s="0" t="n">
        <v>1</v>
      </c>
      <c r="DU96" s="0" t="n">
        <v>7</v>
      </c>
      <c r="DV96" s="0" t="n">
        <v>5.645</v>
      </c>
      <c r="DW96" s="0" t="n">
        <v>5.553</v>
      </c>
      <c r="DX96" s="0" t="n">
        <v>6.8</v>
      </c>
      <c r="DY96" s="0" t="n">
        <v>0.0648</v>
      </c>
      <c r="DZ96" s="0" t="n">
        <v>902</v>
      </c>
      <c r="EA96" s="0" t="n">
        <v>0.819</v>
      </c>
      <c r="EB96" s="0" t="n">
        <v>17</v>
      </c>
      <c r="EC96" s="0" t="s">
        <v>1453</v>
      </c>
      <c r="ED96" s="0" t="n">
        <v>2013</v>
      </c>
      <c r="EE96" s="0" t="n">
        <v>3</v>
      </c>
      <c r="EF96" s="0" t="n">
        <v>63</v>
      </c>
      <c r="EG96" s="0" t="n">
        <v>2013</v>
      </c>
      <c r="EH96" s="0" t="n">
        <v>2026</v>
      </c>
      <c r="EI96" s="0" t="n">
        <v>14</v>
      </c>
      <c r="EJ96" s="0" t="n">
        <v>77</v>
      </c>
      <c r="EK96" s="0" t="n">
        <v>250</v>
      </c>
      <c r="EL96" s="0" t="s">
        <v>1431</v>
      </c>
      <c r="EM96" s="0" t="n">
        <v>36.9</v>
      </c>
      <c r="EN96" s="15" t="b">
        <f aca="false">FALSE()</f>
        <v>0</v>
      </c>
      <c r="EO96" s="0" t="n">
        <v>336</v>
      </c>
      <c r="EP96" s="0" t="n">
        <v>3.01964285714286</v>
      </c>
      <c r="EQ96" s="0" t="n">
        <v>0.133928571428571</v>
      </c>
      <c r="ER96" s="0" t="n">
        <v>0.958333333333333</v>
      </c>
      <c r="ES96" s="0" t="n">
        <v>0.196428571428571</v>
      </c>
      <c r="ET96" s="0" t="n">
        <v>48</v>
      </c>
      <c r="EU96" s="0" t="n">
        <v>39</v>
      </c>
      <c r="EV96" s="0" t="n">
        <v>3.71130952380952</v>
      </c>
      <c r="EW96" s="0" t="n">
        <v>0.8125</v>
      </c>
      <c r="EX96" s="0" t="n">
        <v>2.90619800347793</v>
      </c>
      <c r="EY96" s="0" t="n">
        <v>3.062</v>
      </c>
      <c r="EZ96" s="0" t="n">
        <v>0.1258</v>
      </c>
      <c r="FA96" s="0" t="n">
        <v>2.623</v>
      </c>
      <c r="FB96" s="0" t="n">
        <v>1.591</v>
      </c>
      <c r="FC96" s="0" t="n">
        <v>14</v>
      </c>
      <c r="FD96" s="0" t="n">
        <v>686</v>
      </c>
      <c r="FE96" s="0" t="n">
        <v>0.0685131195335277</v>
      </c>
      <c r="FF96" s="0" t="n">
        <v>0.0659</v>
      </c>
      <c r="FG96" s="0" t="n">
        <v>0.2877</v>
      </c>
      <c r="FH96" s="0" t="n">
        <v>2.212</v>
      </c>
      <c r="FI96" s="0" t="n">
        <v>1048</v>
      </c>
      <c r="FJ96" s="0" t="n">
        <v>0.602099236641221</v>
      </c>
      <c r="FK96" s="0" t="n">
        <v>17</v>
      </c>
      <c r="FL96" s="0" t="n">
        <v>61.65</v>
      </c>
      <c r="FM96" s="0" t="n">
        <v>0.5721</v>
      </c>
      <c r="FN96" s="0" t="n">
        <v>0.4279</v>
      </c>
      <c r="FO96" s="0" t="n">
        <v>0.0395</v>
      </c>
      <c r="FP96" s="0" t="n">
        <v>0.0273</v>
      </c>
      <c r="FQ96" s="0" t="n">
        <v>0.0399</v>
      </c>
      <c r="FR96" s="0" t="n">
        <v>38</v>
      </c>
      <c r="FS96" s="0" t="n">
        <v>63</v>
      </c>
      <c r="FT96" s="0" t="n">
        <v>3.71</v>
      </c>
      <c r="FU96" s="0" t="n">
        <v>21.3</v>
      </c>
      <c r="FV96" s="0" t="n">
        <v>5605</v>
      </c>
      <c r="FW96" s="0" t="n">
        <v>4845</v>
      </c>
      <c r="FX96" s="0" t="n">
        <v>0.864</v>
      </c>
      <c r="FY96" s="0" t="n">
        <v>5</v>
      </c>
      <c r="FZ96" s="0" t="n">
        <v>5</v>
      </c>
      <c r="GA96" s="0" t="n">
        <v>0.894249870072499</v>
      </c>
      <c r="GB96" s="0" t="n">
        <v>66.2</v>
      </c>
      <c r="GC96" s="0" t="n">
        <v>34</v>
      </c>
      <c r="GD96" s="0" t="n">
        <v>50.1</v>
      </c>
      <c r="GE96" s="0" t="n">
        <v>549</v>
      </c>
      <c r="GF96" s="0" t="n">
        <v>430</v>
      </c>
      <c r="GG96" s="0" t="n">
        <v>147</v>
      </c>
      <c r="GH96" s="0" t="n">
        <v>129</v>
      </c>
      <c r="GI96" s="0" t="n">
        <v>166</v>
      </c>
      <c r="GJ96" s="0" t="n">
        <v>43</v>
      </c>
      <c r="GK96" s="0" t="n">
        <v>0.268</v>
      </c>
      <c r="GL96" s="0" t="n">
        <v>0.3</v>
      </c>
      <c r="GM96" s="0" t="n">
        <v>0.259</v>
      </c>
      <c r="GN96" s="0" t="n">
        <v>11.365</v>
      </c>
      <c r="GO96" s="0" t="n">
        <v>9.129</v>
      </c>
      <c r="GP96" s="0" t="n">
        <v>6.894</v>
      </c>
      <c r="GQ96" s="0" t="n">
        <v>6.353</v>
      </c>
      <c r="GR96" s="0" t="n">
        <v>0.059</v>
      </c>
      <c r="GS96" s="0" t="n">
        <v>109</v>
      </c>
      <c r="GT96" s="0" t="n">
        <v>1.772</v>
      </c>
      <c r="GU96" s="0" t="n">
        <v>0.214</v>
      </c>
      <c r="GV96" s="0" t="n">
        <v>7.88</v>
      </c>
      <c r="GW96" s="0" t="n">
        <v>11.197</v>
      </c>
      <c r="GX96" s="0" t="n">
        <v>0.704</v>
      </c>
      <c r="GZ96" s="0" t="n">
        <v>6.806</v>
      </c>
      <c r="HA96" s="0" t="n">
        <v>5.579</v>
      </c>
      <c r="HB96" s="0" t="n">
        <v>1.158</v>
      </c>
      <c r="HC96" s="0" t="n">
        <v>0.046</v>
      </c>
      <c r="HE96" s="0" t="n">
        <v>0.374</v>
      </c>
      <c r="HG96" s="0" t="n">
        <v>98.69</v>
      </c>
      <c r="HH96" s="0" t="n">
        <v>13.65</v>
      </c>
      <c r="HI96" s="0" t="n">
        <v>66</v>
      </c>
      <c r="HJ96" s="0" t="n">
        <v>138</v>
      </c>
      <c r="HK96" s="0" t="s">
        <v>909</v>
      </c>
      <c r="HL96" s="0" t="n">
        <v>0</v>
      </c>
      <c r="HM96" s="0" t="n">
        <v>3</v>
      </c>
      <c r="HN96" s="0" t="n">
        <v>9</v>
      </c>
      <c r="HO96" s="0" t="n">
        <v>0.222</v>
      </c>
      <c r="HP96" s="0" t="n">
        <v>9</v>
      </c>
      <c r="HQ96" s="0" t="n">
        <v>-0.041</v>
      </c>
      <c r="HR96" s="0" t="s">
        <v>102</v>
      </c>
    </row>
    <row r="97" customFormat="false" ht="15" hidden="false" customHeight="false" outlineLevel="0" collapsed="false">
      <c r="A97" s="0" t="s">
        <v>896</v>
      </c>
      <c r="B97" s="0" t="s">
        <v>897</v>
      </c>
      <c r="C97" s="0" t="s">
        <v>898</v>
      </c>
      <c r="D97" s="0" t="s">
        <v>332</v>
      </c>
      <c r="E97" s="0" t="n">
        <v>16413</v>
      </c>
      <c r="F97" s="0" t="s">
        <v>172</v>
      </c>
      <c r="G97" s="0" t="n">
        <v>101.13</v>
      </c>
      <c r="H97" s="0" t="n">
        <v>11.7</v>
      </c>
      <c r="I97" s="0" t="n">
        <v>63</v>
      </c>
      <c r="J97" s="0" t="n">
        <v>129</v>
      </c>
      <c r="L97" s="0" t="s">
        <v>1454</v>
      </c>
      <c r="O97" s="0" t="n">
        <v>87.9</v>
      </c>
      <c r="U97" s="0" t="n">
        <v>5</v>
      </c>
      <c r="V97" s="0" t="s">
        <v>1455</v>
      </c>
      <c r="W97" s="0" t="s">
        <v>901</v>
      </c>
      <c r="X97" s="0" t="s">
        <v>1034</v>
      </c>
      <c r="Y97" s="0" t="s">
        <v>1456</v>
      </c>
      <c r="Z97" s="0" t="n">
        <v>16413</v>
      </c>
      <c r="AA97" s="0" t="s">
        <v>1457</v>
      </c>
      <c r="AB97" s="0" t="s">
        <v>904</v>
      </c>
      <c r="AC97" s="0" t="s">
        <v>164</v>
      </c>
      <c r="AD97" s="0" t="s">
        <v>164</v>
      </c>
      <c r="AE97" s="0" t="s">
        <v>164</v>
      </c>
      <c r="AF97" s="0" t="s">
        <v>164</v>
      </c>
      <c r="AG97" s="0" t="s">
        <v>164</v>
      </c>
      <c r="AH97" s="0" t="s">
        <v>905</v>
      </c>
      <c r="AI97" s="0" t="n">
        <v>1</v>
      </c>
      <c r="AJ97" s="0" t="s">
        <v>172</v>
      </c>
      <c r="AK97" s="0" t="n">
        <v>96</v>
      </c>
      <c r="AL97" s="0" t="n">
        <v>13</v>
      </c>
      <c r="AM97" s="0" t="s">
        <v>333</v>
      </c>
      <c r="AN97" s="0" t="n">
        <v>315</v>
      </c>
      <c r="AO97" s="0" t="n">
        <v>502</v>
      </c>
      <c r="AP97" s="0" t="n">
        <v>3587</v>
      </c>
      <c r="AQ97" s="0" t="n">
        <v>22</v>
      </c>
      <c r="AR97" s="0" t="n">
        <v>11</v>
      </c>
      <c r="AS97" s="0" t="n">
        <v>34</v>
      </c>
      <c r="AT97" s="0" t="n">
        <v>4050</v>
      </c>
      <c r="AU97" s="0" t="n">
        <v>173</v>
      </c>
      <c r="AV97" s="0" t="n">
        <v>68.2469407761718</v>
      </c>
      <c r="AW97" s="0" t="n">
        <v>64</v>
      </c>
      <c r="AX97" s="0" t="n">
        <v>422</v>
      </c>
      <c r="AY97" s="0" t="n">
        <v>5</v>
      </c>
      <c r="AZ97" s="0" t="n">
        <v>27</v>
      </c>
      <c r="BA97" s="0" t="n">
        <v>29.1644939678954</v>
      </c>
      <c r="BB97" s="0" t="n">
        <v>0</v>
      </c>
      <c r="BC97" s="0" t="n">
        <v>1</v>
      </c>
      <c r="BD97" s="0" t="n">
        <v>1</v>
      </c>
      <c r="BE97" s="0" t="n">
        <v>-10</v>
      </c>
      <c r="BF97" s="0" t="n">
        <v>0</v>
      </c>
      <c r="BG97" s="0" t="n">
        <v>-8</v>
      </c>
      <c r="BH97" s="0" t="n">
        <v>-2</v>
      </c>
      <c r="BI97" s="0" t="n">
        <v>0</v>
      </c>
      <c r="BJ97" s="0" t="n">
        <v>-2.5388513491489</v>
      </c>
      <c r="BK97" s="0" t="n">
        <v>0</v>
      </c>
      <c r="BL97" s="0" t="n">
        <v>0</v>
      </c>
      <c r="BM97" s="0" t="n">
        <v>284.68</v>
      </c>
      <c r="BN97" s="0" t="n">
        <v>285.68</v>
      </c>
      <c r="BO97" s="0" t="n">
        <v>14</v>
      </c>
      <c r="BP97" s="0" t="s">
        <v>164</v>
      </c>
      <c r="BQ97" s="0" t="n">
        <v>1</v>
      </c>
      <c r="BR97" s="0" t="n">
        <v>285.18</v>
      </c>
      <c r="BS97" s="0" t="n">
        <v>0.0018</v>
      </c>
      <c r="BT97" s="0" t="n">
        <v>0.1488</v>
      </c>
      <c r="BU97" s="0" t="n">
        <v>-0.0019</v>
      </c>
      <c r="BV97" s="0" t="n">
        <v>0.0021</v>
      </c>
      <c r="BW97" s="0" t="n">
        <v>0.1716</v>
      </c>
      <c r="BX97" s="0" t="n">
        <v>-0.0021</v>
      </c>
      <c r="BY97" s="0" t="n">
        <v>0.0017</v>
      </c>
      <c r="BZ97" s="0" t="n">
        <v>14</v>
      </c>
      <c r="CA97" s="0" t="n">
        <v>13.2</v>
      </c>
      <c r="CB97" s="0" t="n">
        <v>27.41</v>
      </c>
      <c r="CC97" s="0" t="n">
        <v>22.52</v>
      </c>
      <c r="CD97" s="0" t="n">
        <v>8</v>
      </c>
      <c r="CE97" s="0" t="n">
        <v>9</v>
      </c>
      <c r="CF97" s="0" t="n">
        <v>0</v>
      </c>
      <c r="CG97" s="0" t="n">
        <v>14</v>
      </c>
      <c r="CH97" s="0" t="n">
        <v>0.643</v>
      </c>
      <c r="CI97" s="0" t="n">
        <v>0</v>
      </c>
      <c r="CJ97" s="0" t="n">
        <v>0.355</v>
      </c>
      <c r="CK97" s="0" t="n">
        <v>0</v>
      </c>
      <c r="CL97" s="0" t="n">
        <v>0</v>
      </c>
      <c r="CM97" s="0" t="n">
        <v>0</v>
      </c>
      <c r="CN97" s="0" t="n">
        <v>0</v>
      </c>
      <c r="CO97" s="0" t="n">
        <v>0.00389841835598129</v>
      </c>
      <c r="CP97" s="0" t="n">
        <v>15</v>
      </c>
      <c r="CQ97" s="0" t="n">
        <v>5</v>
      </c>
      <c r="CR97" s="0" t="n">
        <v>2</v>
      </c>
      <c r="CS97" s="0" t="n">
        <v>5</v>
      </c>
      <c r="CT97" s="0" t="n">
        <v>1.9044511165907</v>
      </c>
      <c r="CU97" s="0" t="n">
        <v>15</v>
      </c>
      <c r="CV97" s="0" t="n">
        <v>5</v>
      </c>
      <c r="CW97" s="0" t="n">
        <v>2</v>
      </c>
      <c r="CX97" s="0" t="n">
        <v>5</v>
      </c>
      <c r="CY97" s="0" t="n">
        <v>1.91</v>
      </c>
      <c r="CZ97" s="0" t="n">
        <v>3.09</v>
      </c>
      <c r="DM97" s="0" t="s">
        <v>1458</v>
      </c>
      <c r="DN97" s="0" t="n">
        <v>64</v>
      </c>
      <c r="DO97" s="0" t="n">
        <v>4</v>
      </c>
      <c r="DP97" s="0" t="n">
        <v>5.609</v>
      </c>
      <c r="DQ97" s="0" t="n">
        <v>0.984</v>
      </c>
      <c r="DR97" s="0" t="n">
        <v>16</v>
      </c>
      <c r="DS97" s="0" t="n">
        <v>1</v>
      </c>
      <c r="DT97" s="0" t="n">
        <v>0</v>
      </c>
      <c r="DU97" s="0" t="n">
        <v>0</v>
      </c>
      <c r="DZ97" s="0" t="n">
        <v>934</v>
      </c>
      <c r="EA97" s="0" t="n">
        <v>0.974</v>
      </c>
      <c r="EB97" s="0" t="n">
        <v>14</v>
      </c>
      <c r="EC97" s="0" t="s">
        <v>1459</v>
      </c>
      <c r="ED97" s="0" t="n">
        <v>2017</v>
      </c>
      <c r="EE97" s="0" t="n">
        <v>1</v>
      </c>
      <c r="EF97" s="0" t="n">
        <v>10</v>
      </c>
      <c r="EG97" s="0" t="n">
        <v>2017</v>
      </c>
      <c r="EH97" s="0" t="n">
        <v>2026</v>
      </c>
      <c r="EI97" s="0" t="n">
        <v>10</v>
      </c>
      <c r="EJ97" s="0" t="n">
        <v>74</v>
      </c>
      <c r="EK97" s="0" t="n">
        <v>225</v>
      </c>
      <c r="EL97" s="0" t="s">
        <v>1460</v>
      </c>
      <c r="EM97" s="0" t="n">
        <v>30.9</v>
      </c>
      <c r="EN97" s="15" t="b">
        <f aca="false">FALSE()</f>
        <v>0</v>
      </c>
      <c r="EO97" s="0" t="n">
        <v>336</v>
      </c>
      <c r="EP97" s="0" t="n">
        <v>3.01964285714286</v>
      </c>
      <c r="EQ97" s="0" t="n">
        <v>0.133928571428571</v>
      </c>
      <c r="ER97" s="0" t="n">
        <v>0.958333333333333</v>
      </c>
      <c r="ES97" s="0" t="n">
        <v>0.196428571428571</v>
      </c>
      <c r="ET97" s="0" t="n">
        <v>48</v>
      </c>
      <c r="EU97" s="0" t="n">
        <v>39</v>
      </c>
      <c r="EV97" s="0" t="n">
        <v>3.71130952380952</v>
      </c>
      <c r="EW97" s="0" t="n">
        <v>0.8125</v>
      </c>
      <c r="EX97" s="0" t="n">
        <v>2.90619800347793</v>
      </c>
      <c r="EY97" s="0" t="n">
        <v>3.062</v>
      </c>
      <c r="EZ97" s="0" t="n">
        <v>0.1258</v>
      </c>
      <c r="FA97" s="0" t="n">
        <v>2.623</v>
      </c>
      <c r="FB97" s="0" t="n">
        <v>1.591</v>
      </c>
      <c r="FC97" s="0" t="n">
        <v>14</v>
      </c>
      <c r="FD97" s="0" t="n">
        <v>686</v>
      </c>
      <c r="FE97" s="0" t="n">
        <v>0.0685131195335277</v>
      </c>
      <c r="FF97" s="0" t="n">
        <v>0.0659</v>
      </c>
      <c r="FG97" s="0" t="n">
        <v>0.2877</v>
      </c>
      <c r="FH97" s="0" t="n">
        <v>2.212</v>
      </c>
      <c r="FI97" s="0" t="n">
        <v>1048</v>
      </c>
      <c r="FJ97" s="0" t="n">
        <v>0.602099236641221</v>
      </c>
      <c r="FK97" s="0" t="n">
        <v>17</v>
      </c>
      <c r="FL97" s="0" t="n">
        <v>61.65</v>
      </c>
      <c r="FM97" s="0" t="n">
        <v>0.5721</v>
      </c>
      <c r="FN97" s="0" t="n">
        <v>0.4279</v>
      </c>
      <c r="FO97" s="0" t="n">
        <v>0.0395</v>
      </c>
      <c r="FP97" s="0" t="n">
        <v>0.0273</v>
      </c>
      <c r="FQ97" s="0" t="n">
        <v>0.0399</v>
      </c>
      <c r="FR97" s="0" t="n">
        <v>38</v>
      </c>
      <c r="FS97" s="0" t="n">
        <v>63</v>
      </c>
      <c r="FT97" s="0" t="n">
        <v>3.71</v>
      </c>
      <c r="FU97" s="0" t="n">
        <v>21.3</v>
      </c>
      <c r="FV97" s="0" t="n">
        <v>5605</v>
      </c>
      <c r="FW97" s="0" t="n">
        <v>4845</v>
      </c>
      <c r="FX97" s="0" t="n">
        <v>0.864</v>
      </c>
      <c r="FY97" s="0" t="n">
        <v>5</v>
      </c>
      <c r="FZ97" s="0" t="n">
        <v>5</v>
      </c>
      <c r="GA97" s="0" t="n">
        <v>0.894249870072499</v>
      </c>
      <c r="GB97" s="0" t="n">
        <v>66.2</v>
      </c>
      <c r="GC97" s="0" t="n">
        <v>34</v>
      </c>
      <c r="GD97" s="0" t="n">
        <v>50.1</v>
      </c>
      <c r="GE97" s="0" t="n">
        <v>549</v>
      </c>
      <c r="GF97" s="0" t="n">
        <v>430</v>
      </c>
      <c r="GG97" s="0" t="n">
        <v>147</v>
      </c>
      <c r="GH97" s="0" t="n">
        <v>129</v>
      </c>
      <c r="GI97" s="0" t="n">
        <v>166</v>
      </c>
      <c r="GJ97" s="0" t="n">
        <v>43</v>
      </c>
      <c r="GK97" s="0" t="n">
        <v>0.268</v>
      </c>
      <c r="GL97" s="0" t="n">
        <v>0.3</v>
      </c>
      <c r="GM97" s="0" t="n">
        <v>0.259</v>
      </c>
      <c r="GN97" s="0" t="n">
        <v>20.406</v>
      </c>
      <c r="GO97" s="0" t="n">
        <v>20.37</v>
      </c>
      <c r="GP97" s="0" t="n">
        <v>20.334</v>
      </c>
      <c r="GQ97" s="0" t="n">
        <v>0.071</v>
      </c>
      <c r="GR97" s="0" t="n">
        <v>4.571</v>
      </c>
      <c r="GS97" s="0" t="n">
        <v>65</v>
      </c>
      <c r="GT97" s="0" t="n">
        <v>4.395</v>
      </c>
      <c r="GU97" s="0" t="n">
        <v>0.306</v>
      </c>
      <c r="GY97" s="0" t="n">
        <v>6.594</v>
      </c>
      <c r="HC97" s="0" t="n">
        <v>0.077</v>
      </c>
      <c r="HD97" s="0" t="n">
        <v>0.456</v>
      </c>
      <c r="HE97" s="0" t="n">
        <v>-2.539</v>
      </c>
      <c r="HG97" s="0" t="n">
        <v>101.13</v>
      </c>
      <c r="HH97" s="0" t="n">
        <v>11.7</v>
      </c>
      <c r="HI97" s="0" t="n">
        <v>63</v>
      </c>
      <c r="HJ97" s="0" t="n">
        <v>129</v>
      </c>
      <c r="HK97" s="0" t="s">
        <v>909</v>
      </c>
      <c r="HL97" s="0" t="n">
        <v>0</v>
      </c>
      <c r="HM97" s="0" t="n">
        <v>11</v>
      </c>
      <c r="HN97" s="0" t="n">
        <v>13</v>
      </c>
      <c r="HO97" s="0" t="n">
        <v>0.014</v>
      </c>
      <c r="HP97" s="0" t="n">
        <v>4</v>
      </c>
      <c r="HQ97" s="0" t="n">
        <v>0.32</v>
      </c>
      <c r="HR97" s="0" t="s">
        <v>102</v>
      </c>
    </row>
    <row r="98" customFormat="false" ht="15" hidden="false" customHeight="false" outlineLevel="0" collapsed="false">
      <c r="A98" s="0" t="s">
        <v>896</v>
      </c>
      <c r="B98" s="0" t="s">
        <v>897</v>
      </c>
      <c r="C98" s="0" t="s">
        <v>898</v>
      </c>
      <c r="D98" s="0" t="s">
        <v>334</v>
      </c>
      <c r="E98" s="0" t="n">
        <v>22910</v>
      </c>
      <c r="F98" s="0" t="s">
        <v>172</v>
      </c>
      <c r="G98" s="0" t="n">
        <v>101.34</v>
      </c>
      <c r="H98" s="0" t="n">
        <v>9.64</v>
      </c>
      <c r="I98" s="0" t="n">
        <v>70</v>
      </c>
      <c r="J98" s="0" t="n">
        <v>125</v>
      </c>
      <c r="L98" s="0" t="s">
        <v>1461</v>
      </c>
      <c r="O98" s="0" t="n">
        <v>87.2</v>
      </c>
      <c r="U98" s="0" t="n">
        <v>10</v>
      </c>
      <c r="V98" s="0" t="s">
        <v>334</v>
      </c>
      <c r="W98" s="0" t="s">
        <v>901</v>
      </c>
      <c r="X98" s="0" t="s">
        <v>209</v>
      </c>
      <c r="Y98" s="0" t="s">
        <v>1462</v>
      </c>
      <c r="Z98" s="0" t="n">
        <v>22910</v>
      </c>
      <c r="AA98" s="0" t="s">
        <v>1463</v>
      </c>
      <c r="AB98" s="0" t="s">
        <v>904</v>
      </c>
      <c r="AC98" s="0" t="s">
        <v>209</v>
      </c>
      <c r="AD98" s="0" t="s">
        <v>209</v>
      </c>
      <c r="AE98" s="0" t="s">
        <v>209</v>
      </c>
      <c r="AF98" s="0" t="s">
        <v>209</v>
      </c>
      <c r="AG98" s="0" t="s">
        <v>209</v>
      </c>
      <c r="AH98" s="0" t="s">
        <v>905</v>
      </c>
      <c r="AI98" s="0" t="n">
        <v>1</v>
      </c>
      <c r="AJ98" s="0" t="s">
        <v>172</v>
      </c>
      <c r="AK98" s="0" t="n">
        <v>97</v>
      </c>
      <c r="AL98" s="0" t="n">
        <v>14</v>
      </c>
      <c r="AM98" s="0" t="s">
        <v>335</v>
      </c>
      <c r="AN98" s="0" t="n">
        <v>388</v>
      </c>
      <c r="AO98" s="0" t="n">
        <v>612</v>
      </c>
      <c r="AP98" s="0" t="n">
        <v>3931</v>
      </c>
      <c r="AQ98" s="0" t="n">
        <v>25</v>
      </c>
      <c r="AR98" s="0" t="n">
        <v>11</v>
      </c>
      <c r="AS98" s="0" t="n">
        <v>22</v>
      </c>
      <c r="AT98" s="0" t="n">
        <v>4486</v>
      </c>
      <c r="AU98" s="0" t="n">
        <v>196</v>
      </c>
      <c r="AV98" s="0" t="n">
        <v>63.3227576069413</v>
      </c>
      <c r="AW98" s="0" t="n">
        <v>83</v>
      </c>
      <c r="AX98" s="0" t="n">
        <v>356</v>
      </c>
      <c r="AY98" s="0" t="n">
        <v>5</v>
      </c>
      <c r="AZ98" s="0" t="n">
        <v>25</v>
      </c>
      <c r="BA98" s="0" t="n">
        <v>8.41374438881546</v>
      </c>
      <c r="BB98" s="0" t="n">
        <v>1</v>
      </c>
      <c r="BC98" s="0" t="n">
        <v>0</v>
      </c>
      <c r="BD98" s="0" t="n">
        <v>1</v>
      </c>
      <c r="BE98" s="0" t="n">
        <v>0</v>
      </c>
      <c r="BF98" s="0" t="n">
        <v>0</v>
      </c>
      <c r="BG98" s="0" t="n">
        <v>2</v>
      </c>
      <c r="BH98" s="0" t="n">
        <v>0</v>
      </c>
      <c r="BI98" s="0" t="n">
        <v>0</v>
      </c>
      <c r="BJ98" s="0" t="n">
        <v>-0.45860766939586</v>
      </c>
      <c r="BK98" s="0" t="n">
        <v>0</v>
      </c>
      <c r="BL98" s="0" t="n">
        <v>0</v>
      </c>
      <c r="BM98" s="0" t="n">
        <v>304.84</v>
      </c>
      <c r="BN98" s="0" t="n">
        <v>304.84</v>
      </c>
      <c r="BO98" s="0" t="n">
        <v>17</v>
      </c>
      <c r="BP98" s="0" t="s">
        <v>209</v>
      </c>
      <c r="BQ98" s="0" t="n">
        <v>1</v>
      </c>
      <c r="BR98" s="0" t="n">
        <v>304.84</v>
      </c>
      <c r="BS98" s="0" t="n">
        <v>0.0017</v>
      </c>
      <c r="BT98" s="0" t="n">
        <v>0.182</v>
      </c>
      <c r="BU98" s="0" t="n">
        <v>0.0005</v>
      </c>
      <c r="BV98" s="0" t="n">
        <v>0.0017</v>
      </c>
      <c r="BW98" s="0" t="n">
        <v>0.182</v>
      </c>
      <c r="BX98" s="0" t="n">
        <v>0.0005</v>
      </c>
      <c r="BY98" s="0" t="n">
        <v>0.0029</v>
      </c>
      <c r="BZ98" s="0" t="n">
        <v>17</v>
      </c>
      <c r="CA98" s="0" t="n">
        <v>13.36</v>
      </c>
      <c r="CB98" s="0" t="n">
        <v>24.96</v>
      </c>
      <c r="CC98" s="0" t="n">
        <v>16.44</v>
      </c>
      <c r="CD98" s="0" t="n">
        <v>8.37</v>
      </c>
      <c r="CE98" s="0" t="n">
        <v>6</v>
      </c>
      <c r="CF98" s="0" t="n">
        <v>2</v>
      </c>
      <c r="CG98" s="0" t="n">
        <v>17</v>
      </c>
      <c r="CH98" s="0" t="n">
        <v>0.353</v>
      </c>
      <c r="CI98" s="0" t="n">
        <v>0.118</v>
      </c>
      <c r="CJ98" s="0" t="n">
        <v>0.509</v>
      </c>
      <c r="CK98" s="0" t="n">
        <v>1</v>
      </c>
      <c r="CL98" s="0" t="n">
        <v>0</v>
      </c>
      <c r="CM98" s="0" t="n">
        <v>0</v>
      </c>
      <c r="CN98" s="0" t="n">
        <v>0</v>
      </c>
      <c r="CO98" s="0" t="n">
        <v>0.146604938271605</v>
      </c>
      <c r="CP98" s="0" t="n">
        <v>14</v>
      </c>
      <c r="CQ98" s="0" t="n">
        <v>6</v>
      </c>
      <c r="CR98" s="0" t="n">
        <v>1</v>
      </c>
      <c r="CS98" s="0" t="n">
        <v>5</v>
      </c>
      <c r="CT98" s="0" t="n">
        <v>1.58682183718845</v>
      </c>
      <c r="CU98" s="0" t="n">
        <v>15</v>
      </c>
      <c r="CV98" s="0" t="n">
        <v>6</v>
      </c>
      <c r="CW98" s="0" t="n">
        <v>1</v>
      </c>
      <c r="CX98" s="0" t="n">
        <v>5</v>
      </c>
      <c r="CY98" s="0" t="n">
        <v>1.73</v>
      </c>
      <c r="CZ98" s="0" t="n">
        <v>3.27</v>
      </c>
      <c r="DM98" s="0" t="s">
        <v>1464</v>
      </c>
      <c r="DN98" s="0" t="n">
        <v>83</v>
      </c>
      <c r="DO98" s="0" t="n">
        <v>0</v>
      </c>
      <c r="DP98" s="0" t="n">
        <v>3.542</v>
      </c>
      <c r="DQ98" s="0" t="n">
        <v>0.747</v>
      </c>
      <c r="DS98" s="0" t="n">
        <v>1</v>
      </c>
      <c r="DT98" s="0" t="n">
        <v>0</v>
      </c>
      <c r="DU98" s="0" t="n">
        <v>0</v>
      </c>
      <c r="DZ98" s="0" t="n">
        <v>1136</v>
      </c>
      <c r="EA98" s="0" t="n">
        <v>0.996</v>
      </c>
      <c r="EB98" s="0" t="n">
        <v>17</v>
      </c>
      <c r="EC98" s="0" t="s">
        <v>1465</v>
      </c>
      <c r="ED98" s="0" t="n">
        <v>2024</v>
      </c>
      <c r="EE98" s="0" t="n">
        <v>1</v>
      </c>
      <c r="EF98" s="0" t="n">
        <v>12</v>
      </c>
      <c r="EG98" s="0" t="n">
        <v>2024</v>
      </c>
      <c r="EH98" s="0" t="n">
        <v>2026</v>
      </c>
      <c r="EI98" s="0" t="n">
        <v>3</v>
      </c>
      <c r="EJ98" s="0" t="n">
        <v>74</v>
      </c>
      <c r="EK98" s="0" t="n">
        <v>217</v>
      </c>
      <c r="EL98" s="0" t="s">
        <v>1466</v>
      </c>
      <c r="EM98" s="0" t="n">
        <v>26.5</v>
      </c>
      <c r="EN98" s="15" t="b">
        <f aca="false">FALSE()</f>
        <v>0</v>
      </c>
      <c r="EO98" s="0" t="n">
        <v>354</v>
      </c>
      <c r="EP98" s="0" t="n">
        <v>2.95932203389831</v>
      </c>
      <c r="EQ98" s="0" t="n">
        <v>0.172316384180791</v>
      </c>
      <c r="ER98" s="0" t="n">
        <v>1.24293785310735</v>
      </c>
      <c r="ES98" s="0" t="n">
        <v>0.807909604519774</v>
      </c>
      <c r="ET98" s="0" t="n">
        <v>29</v>
      </c>
      <c r="EU98" s="0" t="n">
        <v>16</v>
      </c>
      <c r="EV98" s="0" t="n">
        <v>4.42372881355932</v>
      </c>
      <c r="EW98" s="0" t="n">
        <v>0.551724137931035</v>
      </c>
      <c r="EX98" s="0" t="n">
        <v>2.95623424539257</v>
      </c>
      <c r="EY98" s="0" t="n">
        <v>2.952</v>
      </c>
      <c r="EZ98" s="0" t="n">
        <v>0.1682</v>
      </c>
      <c r="FA98" s="0" t="n">
        <v>2.592</v>
      </c>
      <c r="FB98" s="0" t="n">
        <v>1.833</v>
      </c>
      <c r="FC98" s="0" t="n">
        <v>20</v>
      </c>
      <c r="FD98" s="0" t="n">
        <v>671</v>
      </c>
      <c r="FE98" s="0" t="n">
        <v>0.0342771982116244</v>
      </c>
      <c r="FF98" s="0" t="n">
        <v>0.037</v>
      </c>
      <c r="FG98" s="0" t="n">
        <v>0.2088</v>
      </c>
      <c r="FH98" s="0" t="n">
        <v>2.401</v>
      </c>
      <c r="FI98" s="0" t="n">
        <v>1079</v>
      </c>
      <c r="FJ98" s="0" t="n">
        <v>0.593141797961075</v>
      </c>
      <c r="FK98" s="0" t="n">
        <v>17</v>
      </c>
      <c r="FL98" s="0" t="n">
        <v>63.47</v>
      </c>
      <c r="FM98" s="0" t="n">
        <v>0.59</v>
      </c>
      <c r="FN98" s="0" t="n">
        <v>0.41</v>
      </c>
      <c r="FO98" s="0" t="n">
        <v>0.0157</v>
      </c>
      <c r="FP98" s="0" t="n">
        <v>0.0004</v>
      </c>
      <c r="FQ98" s="0" t="n">
        <v>0.0835</v>
      </c>
      <c r="FR98" s="0" t="n">
        <v>38</v>
      </c>
      <c r="FS98" s="0" t="n">
        <v>59</v>
      </c>
      <c r="FT98" s="0" t="n">
        <v>3.47</v>
      </c>
      <c r="FU98" s="0" t="n">
        <v>23.6</v>
      </c>
      <c r="FV98" s="0" t="n">
        <v>5797</v>
      </c>
      <c r="FW98" s="0" t="n">
        <v>5793</v>
      </c>
      <c r="FX98" s="0" t="n">
        <v>0.999</v>
      </c>
      <c r="FY98" s="0" t="n">
        <v>5</v>
      </c>
      <c r="FZ98" s="0" t="n">
        <v>5</v>
      </c>
      <c r="GA98" s="0" t="n">
        <v>0.00253477555898343</v>
      </c>
      <c r="GB98" s="0" t="n">
        <v>50</v>
      </c>
      <c r="GC98" s="0" t="n">
        <v>70.8</v>
      </c>
      <c r="GD98" s="0" t="n">
        <v>63.2</v>
      </c>
      <c r="GE98" s="0" t="n">
        <v>584</v>
      </c>
      <c r="GF98" s="0" t="n">
        <v>456</v>
      </c>
      <c r="GG98" s="0" t="n">
        <v>4</v>
      </c>
      <c r="GH98" s="0" t="n">
        <v>0</v>
      </c>
      <c r="GI98" s="0" t="n">
        <v>157</v>
      </c>
      <c r="GJ98" s="0" t="n">
        <v>1</v>
      </c>
      <c r="GK98" s="0" t="n">
        <v>0.007</v>
      </c>
      <c r="GL98" s="0" t="n">
        <v>0</v>
      </c>
      <c r="GM98" s="0" t="n">
        <v>0.006</v>
      </c>
      <c r="GN98" s="0" t="n">
        <v>17.932</v>
      </c>
      <c r="GO98" s="0" t="n">
        <v>17.932</v>
      </c>
      <c r="GP98" s="0" t="n">
        <v>17.932</v>
      </c>
      <c r="GQ98" s="0" t="n">
        <v>0.059</v>
      </c>
      <c r="GR98" s="0" t="n">
        <v>4.882</v>
      </c>
      <c r="GS98" s="0" t="n">
        <v>84</v>
      </c>
      <c r="GT98" s="0" t="n">
        <v>3.629</v>
      </c>
      <c r="GU98" s="0" t="n">
        <v>0.268</v>
      </c>
      <c r="GY98" s="0" t="n">
        <v>4.289</v>
      </c>
      <c r="HC98" s="0" t="n">
        <v>0.06</v>
      </c>
      <c r="HD98" s="0" t="n">
        <v>0.101</v>
      </c>
      <c r="HE98" s="0" t="n">
        <v>-0.459</v>
      </c>
      <c r="HG98" s="0" t="n">
        <v>101.34</v>
      </c>
      <c r="HH98" s="0" t="n">
        <v>9.64</v>
      </c>
      <c r="HI98" s="0" t="n">
        <v>70</v>
      </c>
      <c r="HJ98" s="0" t="n">
        <v>125</v>
      </c>
      <c r="HK98" s="0" t="s">
        <v>909</v>
      </c>
      <c r="HL98" s="0" t="n">
        <v>0</v>
      </c>
      <c r="HM98" s="0" t="n">
        <v>7</v>
      </c>
      <c r="HN98" s="0" t="n">
        <v>14</v>
      </c>
      <c r="HO98" s="0" t="n">
        <v>0.224</v>
      </c>
      <c r="HP98" s="0" t="n">
        <v>10</v>
      </c>
      <c r="HQ98" s="0" t="n">
        <v>0.092</v>
      </c>
      <c r="HR98" s="0" t="s">
        <v>102</v>
      </c>
    </row>
    <row r="99" customFormat="false" ht="15" hidden="false" customHeight="false" outlineLevel="0" collapsed="false">
      <c r="A99" s="0" t="s">
        <v>896</v>
      </c>
      <c r="B99" s="0" t="s">
        <v>897</v>
      </c>
      <c r="C99" s="0" t="s">
        <v>898</v>
      </c>
      <c r="D99" s="0" t="s">
        <v>336</v>
      </c>
      <c r="E99" s="0" t="n">
        <v>25420</v>
      </c>
      <c r="F99" s="0" t="s">
        <v>99</v>
      </c>
      <c r="G99" s="0" t="n">
        <v>101.45</v>
      </c>
      <c r="H99" s="0" t="n">
        <v>15.64</v>
      </c>
      <c r="I99" s="0" t="n">
        <v>70</v>
      </c>
      <c r="J99" s="0" t="n">
        <v>136</v>
      </c>
      <c r="L99" s="0" t="s">
        <v>1467</v>
      </c>
      <c r="O99" s="0" t="n">
        <v>82.9</v>
      </c>
      <c r="U99" s="0" t="n">
        <v>10</v>
      </c>
      <c r="V99" s="0" t="s">
        <v>336</v>
      </c>
      <c r="W99" s="0" t="s">
        <v>901</v>
      </c>
      <c r="X99" s="0" t="s">
        <v>136</v>
      </c>
      <c r="Y99" s="0" t="s">
        <v>1468</v>
      </c>
      <c r="Z99" s="0" t="n">
        <v>25420</v>
      </c>
      <c r="AA99" s="0" t="s">
        <v>1469</v>
      </c>
      <c r="AB99" s="0" t="s">
        <v>904</v>
      </c>
      <c r="AC99" s="0" t="s">
        <v>136</v>
      </c>
      <c r="AD99" s="0" t="s">
        <v>136</v>
      </c>
      <c r="AE99" s="0" t="s">
        <v>136</v>
      </c>
      <c r="AF99" s="0" t="s">
        <v>136</v>
      </c>
      <c r="AG99" s="0" t="s">
        <v>136</v>
      </c>
      <c r="AH99" s="0" t="s">
        <v>905</v>
      </c>
      <c r="AI99" s="0" t="n">
        <v>3</v>
      </c>
      <c r="AJ99" s="0" t="s">
        <v>99</v>
      </c>
      <c r="AK99" s="0" t="n">
        <v>98</v>
      </c>
      <c r="AL99" s="0" t="n">
        <v>43</v>
      </c>
      <c r="AM99" s="0" t="s">
        <v>337</v>
      </c>
      <c r="EC99" s="0" t="s">
        <v>1470</v>
      </c>
      <c r="EG99" s="0" t="n">
        <v>2026</v>
      </c>
      <c r="EH99" s="0" t="n">
        <v>2026</v>
      </c>
      <c r="EI99" s="0" t="n">
        <v>0</v>
      </c>
      <c r="EJ99" s="0" t="n">
        <v>71</v>
      </c>
      <c r="EK99" s="0" t="n">
        <v>192</v>
      </c>
      <c r="EL99" s="0" t="s">
        <v>940</v>
      </c>
      <c r="EM99" s="0" t="n">
        <v>22.2</v>
      </c>
      <c r="EN99" s="15" t="b">
        <f aca="false">TRUE()</f>
        <v>1</v>
      </c>
      <c r="EO99" s="0" t="n">
        <v>364</v>
      </c>
      <c r="EP99" s="0" t="n">
        <v>2.7760989010989</v>
      </c>
      <c r="EQ99" s="0" t="n">
        <v>0.222527472527473</v>
      </c>
      <c r="ER99" s="0" t="n">
        <v>1.3489010989011</v>
      </c>
      <c r="ES99" s="0" t="n">
        <v>0.862637362637363</v>
      </c>
      <c r="ET99" s="0" t="n">
        <v>15</v>
      </c>
      <c r="EU99" s="0" t="n">
        <v>7</v>
      </c>
      <c r="EV99" s="0" t="n">
        <v>4.37637362637363</v>
      </c>
      <c r="EW99" s="0" t="n">
        <v>0.466666666666667</v>
      </c>
      <c r="EX99" s="0" t="n">
        <v>2.97533830221885</v>
      </c>
      <c r="EY99" s="0" t="n">
        <v>2.749</v>
      </c>
      <c r="EZ99" s="0" t="n">
        <v>0.2192</v>
      </c>
      <c r="FA99" s="0" t="n">
        <v>2.6</v>
      </c>
      <c r="FB99" s="0" t="n">
        <v>1.559</v>
      </c>
      <c r="FC99" s="0" t="n">
        <v>33</v>
      </c>
      <c r="FD99" s="0" t="n">
        <v>573</v>
      </c>
      <c r="FE99" s="0" t="n">
        <v>0.0610820244328098</v>
      </c>
      <c r="FF99" s="0" t="n">
        <v>0.0577</v>
      </c>
      <c r="FG99" s="0" t="n">
        <v>0.2334</v>
      </c>
      <c r="FH99" s="0" t="n">
        <v>2.491</v>
      </c>
      <c r="FI99" s="0" t="n">
        <v>995</v>
      </c>
      <c r="FJ99" s="0" t="n">
        <v>0.534673366834171</v>
      </c>
      <c r="FK99" s="0" t="n">
        <v>17</v>
      </c>
      <c r="FL99" s="0" t="n">
        <v>58.53</v>
      </c>
      <c r="FM99" s="0" t="n">
        <v>0.5347</v>
      </c>
      <c r="FN99" s="0" t="n">
        <v>0.4653</v>
      </c>
      <c r="FO99" s="0" t="n">
        <v>-0.0248</v>
      </c>
      <c r="FP99" s="0" t="n">
        <v>0.0054</v>
      </c>
      <c r="FQ99" s="0" t="n">
        <v>0.0436</v>
      </c>
      <c r="FR99" s="0" t="n">
        <v>39</v>
      </c>
      <c r="FS99" s="0" t="n">
        <v>47</v>
      </c>
      <c r="FT99" s="0" t="n">
        <v>2.76</v>
      </c>
      <c r="FU99" s="0" t="n">
        <v>22.3</v>
      </c>
      <c r="FV99" s="0" t="n">
        <v>5320</v>
      </c>
      <c r="FW99" s="0" t="n">
        <v>4835</v>
      </c>
      <c r="FX99" s="0" t="n">
        <v>0.909</v>
      </c>
      <c r="FY99" s="0" t="n">
        <v>5</v>
      </c>
      <c r="FZ99" s="0" t="n">
        <v>5</v>
      </c>
      <c r="GA99" s="0" t="n">
        <v>-0.79459899751177</v>
      </c>
      <c r="GB99" s="0" t="n">
        <v>35.6</v>
      </c>
      <c r="GC99" s="0" t="n">
        <v>61.6</v>
      </c>
      <c r="GD99" s="0" t="n">
        <v>48.2</v>
      </c>
      <c r="GE99" s="0" t="n">
        <v>464</v>
      </c>
      <c r="GF99" s="0" t="n">
        <v>478</v>
      </c>
      <c r="GG99" s="0" t="n">
        <v>175</v>
      </c>
      <c r="GH99" s="0" t="n">
        <v>12</v>
      </c>
      <c r="GI99" s="0" t="n">
        <v>148</v>
      </c>
      <c r="GJ99" s="0" t="n">
        <v>23</v>
      </c>
      <c r="GK99" s="0" t="n">
        <v>0.377</v>
      </c>
      <c r="GL99" s="0" t="n">
        <v>0.025</v>
      </c>
      <c r="GM99" s="0" t="n">
        <v>0.155</v>
      </c>
      <c r="HF99" s="0" t="s">
        <v>206</v>
      </c>
      <c r="HG99" s="0" t="n">
        <v>101.45</v>
      </c>
      <c r="HH99" s="0" t="n">
        <v>15.64</v>
      </c>
      <c r="HI99" s="0" t="n">
        <v>70</v>
      </c>
      <c r="HJ99" s="0" t="n">
        <v>136</v>
      </c>
      <c r="HK99" s="0" t="s">
        <v>909</v>
      </c>
      <c r="HL99" s="0" t="n">
        <v>0</v>
      </c>
      <c r="HN99" s="0" t="n">
        <v>43</v>
      </c>
    </row>
    <row r="100" customFormat="false" ht="15" hidden="false" customHeight="false" outlineLevel="0" collapsed="false">
      <c r="A100" s="0" t="s">
        <v>896</v>
      </c>
      <c r="B100" s="0" t="s">
        <v>897</v>
      </c>
      <c r="C100" s="0" t="s">
        <v>898</v>
      </c>
      <c r="D100" s="0" t="s">
        <v>338</v>
      </c>
      <c r="E100" s="0" t="n">
        <v>23310</v>
      </c>
      <c r="F100" s="0" t="s">
        <v>104</v>
      </c>
      <c r="G100" s="0" t="n">
        <v>101.59</v>
      </c>
      <c r="H100" s="0" t="n">
        <v>14.64</v>
      </c>
      <c r="I100" s="0" t="n">
        <v>77</v>
      </c>
      <c r="J100" s="0" t="n">
        <v>156</v>
      </c>
      <c r="L100" s="0" t="s">
        <v>1471</v>
      </c>
      <c r="O100" s="0" t="n">
        <v>79.3</v>
      </c>
      <c r="U100" s="0" t="n">
        <v>10</v>
      </c>
      <c r="V100" s="0" t="s">
        <v>338</v>
      </c>
      <c r="W100" s="0" t="s">
        <v>901</v>
      </c>
      <c r="X100" s="0" t="s">
        <v>1111</v>
      </c>
      <c r="Y100" s="0" t="s">
        <v>1472</v>
      </c>
      <c r="Z100" s="0" t="n">
        <v>23310</v>
      </c>
      <c r="AA100" s="0" t="s">
        <v>1473</v>
      </c>
      <c r="AB100" s="0" t="s">
        <v>904</v>
      </c>
      <c r="AC100" s="0" t="s">
        <v>198</v>
      </c>
      <c r="AD100" s="0" t="s">
        <v>198</v>
      </c>
      <c r="AE100" s="0" t="s">
        <v>198</v>
      </c>
      <c r="AF100" s="0" t="s">
        <v>198</v>
      </c>
      <c r="AG100" s="0" t="s">
        <v>198</v>
      </c>
      <c r="AH100" s="0" t="s">
        <v>905</v>
      </c>
      <c r="AI100" s="0" t="n">
        <v>1</v>
      </c>
      <c r="AJ100" s="0" t="s">
        <v>281</v>
      </c>
      <c r="AK100" s="0" t="n">
        <v>99</v>
      </c>
      <c r="AL100" s="0" t="n">
        <v>33</v>
      </c>
      <c r="AM100" s="0" t="s">
        <v>339</v>
      </c>
      <c r="AN100" s="0" t="n">
        <v>0</v>
      </c>
      <c r="AO100" s="0" t="n">
        <v>0</v>
      </c>
      <c r="AP100" s="0" t="n">
        <v>0</v>
      </c>
      <c r="AQ100" s="0" t="n">
        <v>0</v>
      </c>
      <c r="AR100" s="0" t="n">
        <v>0</v>
      </c>
      <c r="AS100" s="0" t="n">
        <v>0</v>
      </c>
      <c r="AT100" s="0" t="n">
        <v>0</v>
      </c>
      <c r="AU100" s="0" t="n">
        <v>0</v>
      </c>
      <c r="AV100" s="0" t="n">
        <v>0</v>
      </c>
      <c r="AW100" s="0" t="n">
        <v>114</v>
      </c>
      <c r="AX100" s="0" t="n">
        <v>537</v>
      </c>
      <c r="AY100" s="0" t="n">
        <v>5</v>
      </c>
      <c r="AZ100" s="0" t="n">
        <v>34</v>
      </c>
      <c r="BA100" s="0" t="n">
        <v>-0.656572956941091</v>
      </c>
      <c r="BB100" s="0" t="n">
        <v>0</v>
      </c>
      <c r="BC100" s="0" t="n">
        <v>73</v>
      </c>
      <c r="BD100" s="0" t="n">
        <v>85</v>
      </c>
      <c r="BE100" s="0" t="n">
        <v>486</v>
      </c>
      <c r="BF100" s="0" t="n">
        <v>3</v>
      </c>
      <c r="BG100" s="0" t="n">
        <v>-17</v>
      </c>
      <c r="BH100" s="0" t="n">
        <v>528</v>
      </c>
      <c r="BI100" s="0" t="n">
        <v>23</v>
      </c>
      <c r="BJ100" s="0" t="n">
        <v>3.93261930891818</v>
      </c>
      <c r="BK100" s="0" t="n">
        <v>1</v>
      </c>
      <c r="BL100" s="0" t="n">
        <v>0</v>
      </c>
      <c r="BM100" s="0" t="n">
        <v>148.3</v>
      </c>
      <c r="BN100" s="0" t="n">
        <v>221.3</v>
      </c>
      <c r="BO100" s="0" t="n">
        <v>17</v>
      </c>
      <c r="BP100" s="0" t="s">
        <v>284</v>
      </c>
      <c r="BQ100" s="0" t="n">
        <v>1</v>
      </c>
      <c r="BR100" s="0" t="n">
        <v>184.8</v>
      </c>
      <c r="BS100" s="0" t="n">
        <v>0.1628</v>
      </c>
      <c r="BT100" s="0" t="n">
        <v>0.2801</v>
      </c>
      <c r="BU100" s="0" t="n">
        <v>-0.0054</v>
      </c>
      <c r="BV100" s="0" t="n">
        <v>0.1628</v>
      </c>
      <c r="BW100" s="0" t="n">
        <v>0.2801</v>
      </c>
      <c r="BX100" s="0" t="n">
        <v>-0.0054</v>
      </c>
      <c r="BY100" s="0" t="n">
        <v>0.2404</v>
      </c>
      <c r="BZ100" s="0" t="n">
        <v>17</v>
      </c>
      <c r="CA100" s="0" t="n">
        <v>6.5</v>
      </c>
      <c r="CB100" s="0" t="n">
        <v>22.84</v>
      </c>
      <c r="CC100" s="0" t="n">
        <v>9.6</v>
      </c>
      <c r="CD100" s="0" t="n">
        <v>9.38</v>
      </c>
      <c r="CE100" s="0" t="n">
        <v>7</v>
      </c>
      <c r="CF100" s="0" t="n">
        <v>1</v>
      </c>
      <c r="CG100" s="0" t="n">
        <v>17</v>
      </c>
      <c r="CH100" s="0" t="n">
        <v>0.412</v>
      </c>
      <c r="CI100" s="0" t="n">
        <v>0.059</v>
      </c>
      <c r="CJ100" s="0" t="n">
        <v>0.977</v>
      </c>
      <c r="CK100" s="0" t="n">
        <v>17</v>
      </c>
      <c r="CL100" s="0" t="n">
        <v>6</v>
      </c>
      <c r="CM100" s="0" t="n">
        <v>1</v>
      </c>
      <c r="CN100" s="0" t="n">
        <v>3</v>
      </c>
      <c r="CO100" s="0" t="n">
        <v>5.0321644320686</v>
      </c>
      <c r="CP100" s="0" t="n">
        <v>23</v>
      </c>
      <c r="CQ100" s="0" t="n">
        <v>16</v>
      </c>
      <c r="CR100" s="0" t="n">
        <v>9</v>
      </c>
      <c r="CS100" s="0" t="n">
        <v>5</v>
      </c>
      <c r="CT100" s="0" t="n">
        <v>5.53951973302469</v>
      </c>
      <c r="CU100" s="0" t="n">
        <v>40</v>
      </c>
      <c r="CV100" s="0" t="n">
        <v>22</v>
      </c>
      <c r="CW100" s="0" t="n">
        <v>10</v>
      </c>
      <c r="CX100" s="0" t="n">
        <v>8</v>
      </c>
      <c r="CY100" s="0" t="n">
        <v>10.57</v>
      </c>
      <c r="CZ100" s="0" t="n">
        <v>-2.57</v>
      </c>
      <c r="DG100" s="0" t="n">
        <v>4.02860335195531</v>
      </c>
      <c r="DH100" s="0" t="n">
        <v>31.5789473684211</v>
      </c>
      <c r="DI100" s="0" t="n">
        <v>3.01118181818182</v>
      </c>
      <c r="DJ100" s="0" t="n">
        <v>62.7849893668233</v>
      </c>
      <c r="DK100" s="0" t="n">
        <v>0.581342494137253</v>
      </c>
      <c r="DL100" s="0" t="n">
        <v>0.425925925925926</v>
      </c>
      <c r="DM100" s="0" t="s">
        <v>1474</v>
      </c>
      <c r="DN100" s="0" t="n">
        <v>114</v>
      </c>
      <c r="DO100" s="0" t="n">
        <v>14</v>
      </c>
      <c r="DP100" s="0" t="n">
        <v>2.632</v>
      </c>
      <c r="DQ100" s="0" t="n">
        <v>2.079</v>
      </c>
      <c r="DR100" s="0" t="n">
        <v>8.14</v>
      </c>
      <c r="DS100" s="0" t="n">
        <v>85</v>
      </c>
      <c r="DT100" s="0" t="n">
        <v>5</v>
      </c>
      <c r="DU100" s="0" t="n">
        <v>2</v>
      </c>
      <c r="DV100" s="0" t="n">
        <v>-0.575</v>
      </c>
      <c r="DW100" s="0" t="n">
        <v>7.233</v>
      </c>
      <c r="DX100" s="0" t="n">
        <v>-0.2</v>
      </c>
      <c r="DY100" s="0" t="n">
        <v>0.0235</v>
      </c>
      <c r="DZ100" s="0" t="n">
        <v>517</v>
      </c>
      <c r="EA100" s="0" t="n">
        <v>0.496</v>
      </c>
      <c r="EB100" s="0" t="n">
        <v>17</v>
      </c>
      <c r="EC100" s="0" t="s">
        <v>1475</v>
      </c>
      <c r="ED100" s="0" t="n">
        <v>2021</v>
      </c>
      <c r="EE100" s="0" t="n">
        <v>5</v>
      </c>
      <c r="EF100" s="0" t="n">
        <v>150</v>
      </c>
      <c r="EG100" s="0" t="n">
        <v>2021</v>
      </c>
      <c r="EH100" s="0" t="n">
        <v>2026</v>
      </c>
      <c r="EI100" s="0" t="n">
        <v>6</v>
      </c>
      <c r="EJ100" s="0" t="n">
        <v>69</v>
      </c>
      <c r="EK100" s="0" t="n">
        <v>200</v>
      </c>
      <c r="EL100" s="0" t="s">
        <v>1356</v>
      </c>
      <c r="EM100" s="0" t="n">
        <v>27.4</v>
      </c>
      <c r="EN100" s="15" t="b">
        <f aca="false">FALSE()</f>
        <v>0</v>
      </c>
      <c r="EO100" s="0" t="n">
        <v>398</v>
      </c>
      <c r="EP100" s="0" t="n">
        <v>2.76407035175879</v>
      </c>
      <c r="EQ100" s="0" t="n">
        <v>0.183417085427136</v>
      </c>
      <c r="ER100" s="0" t="n">
        <v>1.05276381909548</v>
      </c>
      <c r="ES100" s="0" t="n">
        <v>0.42462311557789</v>
      </c>
      <c r="ET100" s="0" t="n">
        <v>48</v>
      </c>
      <c r="EU100" s="0" t="n">
        <v>34</v>
      </c>
      <c r="EV100" s="0" t="n">
        <v>3.76130653266332</v>
      </c>
      <c r="EW100" s="0" t="n">
        <v>0.708333333333333</v>
      </c>
      <c r="EX100" s="0" t="n">
        <v>2.97696363334511</v>
      </c>
      <c r="EY100" s="0" t="n">
        <v>2.736</v>
      </c>
      <c r="EZ100" s="0" t="n">
        <v>0.1938</v>
      </c>
      <c r="FA100" s="0" t="n">
        <v>2.699</v>
      </c>
      <c r="FB100" s="0" t="n">
        <v>1.426</v>
      </c>
      <c r="FC100" s="0" t="n">
        <v>31</v>
      </c>
      <c r="FD100" s="0" t="n">
        <v>638</v>
      </c>
      <c r="FE100" s="0" t="n">
        <v>0.0595611285266458</v>
      </c>
      <c r="FF100" s="0" t="n">
        <v>0.0571</v>
      </c>
      <c r="FG100" s="0" t="n">
        <v>0.172</v>
      </c>
      <c r="FH100" s="0" t="n">
        <v>2.292</v>
      </c>
      <c r="FI100" s="0" t="n">
        <v>1065</v>
      </c>
      <c r="FJ100" s="0" t="n">
        <v>0.564319248826291</v>
      </c>
      <c r="FK100" s="0" t="n">
        <v>17</v>
      </c>
      <c r="FL100" s="0" t="n">
        <v>62.65</v>
      </c>
      <c r="FM100" s="0" t="n">
        <v>0.5148</v>
      </c>
      <c r="FN100" s="0" t="n">
        <v>0.4852</v>
      </c>
      <c r="FO100" s="0" t="n">
        <v>-0.0347</v>
      </c>
      <c r="FP100" s="0" t="n">
        <v>0.0138</v>
      </c>
      <c r="FQ100" s="0" t="n">
        <v>-0.0264</v>
      </c>
      <c r="FR100" s="0" t="n">
        <v>41</v>
      </c>
      <c r="FS100" s="0" t="n">
        <v>53</v>
      </c>
      <c r="FT100" s="0" t="n">
        <v>3.12</v>
      </c>
      <c r="FU100" s="0" t="n">
        <v>22.4</v>
      </c>
      <c r="FV100" s="0" t="n">
        <v>5692</v>
      </c>
      <c r="FW100" s="0" t="n">
        <v>4502</v>
      </c>
      <c r="FX100" s="0" t="n">
        <v>0.791</v>
      </c>
      <c r="FY100" s="0" t="n">
        <v>5</v>
      </c>
      <c r="FZ100" s="0" t="n">
        <v>4</v>
      </c>
      <c r="GA100" s="0" t="n">
        <v>-0.202503543001561</v>
      </c>
      <c r="GB100" s="0" t="n">
        <v>46.3</v>
      </c>
      <c r="GC100" s="0" t="n">
        <v>65.4</v>
      </c>
      <c r="GD100" s="0" t="n">
        <v>57.4</v>
      </c>
      <c r="GE100" s="0" t="n">
        <v>541</v>
      </c>
      <c r="GF100" s="0" t="n">
        <v>472</v>
      </c>
      <c r="GG100" s="0" t="n">
        <v>111</v>
      </c>
      <c r="GH100" s="0" t="n">
        <v>138</v>
      </c>
      <c r="GI100" s="0" t="n">
        <v>136</v>
      </c>
      <c r="GJ100" s="0" t="n">
        <v>38</v>
      </c>
      <c r="GK100" s="0" t="n">
        <v>0.205</v>
      </c>
      <c r="GL100" s="0" t="n">
        <v>0.292</v>
      </c>
      <c r="GM100" s="0" t="n">
        <v>0.279</v>
      </c>
      <c r="GN100" s="0" t="n">
        <v>13.018</v>
      </c>
      <c r="GO100" s="0" t="n">
        <v>10.871</v>
      </c>
      <c r="GP100" s="0" t="n">
        <v>8.724</v>
      </c>
      <c r="GQ100" s="0" t="n">
        <v>5</v>
      </c>
      <c r="GR100" s="0" t="n">
        <v>6.706</v>
      </c>
      <c r="GS100" s="0" t="n">
        <v>199</v>
      </c>
      <c r="GT100" s="0" t="n">
        <v>1.112</v>
      </c>
      <c r="GU100" s="0" t="n">
        <v>0.428</v>
      </c>
      <c r="GV100" s="0" t="n">
        <v>5.718</v>
      </c>
      <c r="GW100" s="0" t="n">
        <v>6.658</v>
      </c>
      <c r="GX100" s="0" t="n">
        <v>0.859</v>
      </c>
      <c r="GY100" s="0" t="n">
        <v>4.711</v>
      </c>
      <c r="GZ100" s="0" t="n">
        <v>-0.2</v>
      </c>
      <c r="HA100" s="0" t="n">
        <v>7.233</v>
      </c>
      <c r="HB100" s="0" t="n">
        <v>-28.588</v>
      </c>
      <c r="HC100" s="0" t="n">
        <v>0.04</v>
      </c>
      <c r="HD100" s="0" t="n">
        <v>-0.006</v>
      </c>
      <c r="HE100" s="0" t="n">
        <v>0.046</v>
      </c>
      <c r="HG100" s="0" t="n">
        <v>101.59</v>
      </c>
      <c r="HH100" s="0" t="n">
        <v>14.64</v>
      </c>
      <c r="HI100" s="0" t="n">
        <v>77</v>
      </c>
      <c r="HJ100" s="0" t="n">
        <v>156</v>
      </c>
      <c r="HK100" s="0" t="s">
        <v>909</v>
      </c>
      <c r="HL100" s="0" t="n">
        <v>0</v>
      </c>
      <c r="HM100" s="0" t="n">
        <v>16</v>
      </c>
      <c r="HN100" s="0" t="n">
        <v>33</v>
      </c>
      <c r="HO100" s="0" t="n">
        <v>0.503</v>
      </c>
      <c r="HP100" s="0" t="n">
        <v>20</v>
      </c>
      <c r="HQ100" s="0" t="n">
        <v>0.327</v>
      </c>
      <c r="HR100" s="0" t="s">
        <v>232</v>
      </c>
    </row>
    <row r="101" customFormat="false" ht="15" hidden="false" customHeight="false" outlineLevel="0" collapsed="false">
      <c r="A101" s="0" t="s">
        <v>896</v>
      </c>
      <c r="B101" s="0" t="s">
        <v>897</v>
      </c>
      <c r="C101" s="0" t="s">
        <v>898</v>
      </c>
      <c r="D101" s="0" t="s">
        <v>340</v>
      </c>
      <c r="E101" s="0" t="n">
        <v>19245</v>
      </c>
      <c r="F101" s="0" t="s">
        <v>104</v>
      </c>
      <c r="G101" s="0" t="n">
        <v>102.06</v>
      </c>
      <c r="H101" s="0" t="n">
        <v>17.7</v>
      </c>
      <c r="I101" s="0" t="n">
        <v>72</v>
      </c>
      <c r="J101" s="0" t="n">
        <v>177</v>
      </c>
      <c r="L101" s="0" t="s">
        <v>1476</v>
      </c>
      <c r="O101" s="0" t="n">
        <v>82.6</v>
      </c>
      <c r="U101" s="0" t="n">
        <v>10</v>
      </c>
      <c r="V101" s="0" t="s">
        <v>1477</v>
      </c>
      <c r="W101" s="0" t="s">
        <v>901</v>
      </c>
      <c r="X101" s="0" t="s">
        <v>209</v>
      </c>
      <c r="Y101" s="0" t="s">
        <v>1478</v>
      </c>
      <c r="Z101" s="0" t="n">
        <v>19245</v>
      </c>
      <c r="AA101" s="0" t="s">
        <v>1479</v>
      </c>
      <c r="AB101" s="0" t="s">
        <v>904</v>
      </c>
      <c r="AC101" s="0" t="s">
        <v>209</v>
      </c>
      <c r="AD101" s="0" t="s">
        <v>209</v>
      </c>
      <c r="AE101" s="0" t="s">
        <v>209</v>
      </c>
      <c r="AF101" s="0" t="s">
        <v>209</v>
      </c>
      <c r="AG101" s="0" t="s">
        <v>209</v>
      </c>
      <c r="AH101" s="0" t="s">
        <v>905</v>
      </c>
      <c r="AI101" s="0" t="n">
        <v>1</v>
      </c>
      <c r="AJ101" s="0" t="s">
        <v>104</v>
      </c>
      <c r="AK101" s="0" t="n">
        <v>100</v>
      </c>
      <c r="AL101" s="0" t="n">
        <v>34</v>
      </c>
      <c r="AM101" s="0" t="s">
        <v>341</v>
      </c>
      <c r="AN101" s="0" t="n">
        <v>0</v>
      </c>
      <c r="AO101" s="0" t="n">
        <v>0</v>
      </c>
      <c r="AP101" s="0" t="n">
        <v>0</v>
      </c>
      <c r="AQ101" s="0" t="n">
        <v>0</v>
      </c>
      <c r="AR101" s="0" t="n">
        <v>0</v>
      </c>
      <c r="AS101" s="0" t="n">
        <v>0</v>
      </c>
      <c r="AT101" s="0" t="n">
        <v>0</v>
      </c>
      <c r="AU101" s="0" t="n">
        <v>0</v>
      </c>
      <c r="AV101" s="0" t="n">
        <v>0</v>
      </c>
      <c r="AW101" s="0" t="n">
        <v>153</v>
      </c>
      <c r="AX101" s="0" t="n">
        <v>772</v>
      </c>
      <c r="AY101" s="0" t="n">
        <v>4</v>
      </c>
      <c r="AZ101" s="0" t="n">
        <v>37</v>
      </c>
      <c r="BA101" s="0" t="n">
        <v>4.18423681790591</v>
      </c>
      <c r="BB101" s="0" t="n">
        <v>0</v>
      </c>
      <c r="BC101" s="0" t="n">
        <v>11</v>
      </c>
      <c r="BD101" s="0" t="n">
        <v>14</v>
      </c>
      <c r="BE101" s="0" t="n">
        <v>37</v>
      </c>
      <c r="BF101" s="0" t="n">
        <v>0</v>
      </c>
      <c r="BG101" s="0" t="n">
        <v>-30</v>
      </c>
      <c r="BH101" s="0" t="n">
        <v>56</v>
      </c>
      <c r="BI101" s="0" t="n">
        <v>0</v>
      </c>
      <c r="BJ101" s="0" t="n">
        <v>-4.98571128264302</v>
      </c>
      <c r="BK101" s="0" t="n">
        <v>0</v>
      </c>
      <c r="BL101" s="0" t="n">
        <v>0</v>
      </c>
      <c r="BM101" s="0" t="n">
        <v>104.9</v>
      </c>
      <c r="BN101" s="0" t="n">
        <v>115.9</v>
      </c>
      <c r="BO101" s="0" t="n">
        <v>10</v>
      </c>
      <c r="BP101" s="0" t="s">
        <v>209</v>
      </c>
      <c r="BQ101" s="0" t="n">
        <v>1</v>
      </c>
      <c r="BR101" s="0" t="n">
        <v>110.4</v>
      </c>
      <c r="BS101" s="0" t="n">
        <v>0.024</v>
      </c>
      <c r="BT101" s="0" t="n">
        <v>0.3355</v>
      </c>
      <c r="BU101" s="0" t="n">
        <v>-0.0068</v>
      </c>
      <c r="BV101" s="0" t="n">
        <v>0.0423</v>
      </c>
      <c r="BW101" s="0" t="n">
        <v>0.5667</v>
      </c>
      <c r="BX101" s="0" t="n">
        <v>-0.0111</v>
      </c>
      <c r="BY101" s="0" t="n">
        <v>0.0557</v>
      </c>
      <c r="BZ101" s="0" t="n">
        <v>10</v>
      </c>
      <c r="CA101" s="0" t="n">
        <v>9.1</v>
      </c>
      <c r="CB101" s="0" t="n">
        <v>15.36</v>
      </c>
      <c r="CC101" s="0" t="n">
        <v>12.8</v>
      </c>
      <c r="CD101" s="0" t="n">
        <v>4.1</v>
      </c>
      <c r="CE101" s="0" t="n">
        <v>0</v>
      </c>
      <c r="CF101" s="0" t="n">
        <v>0</v>
      </c>
      <c r="CG101" s="0" t="n">
        <v>10</v>
      </c>
      <c r="CH101" s="0" t="n">
        <v>0</v>
      </c>
      <c r="CI101" s="0" t="n">
        <v>0</v>
      </c>
      <c r="CJ101" s="0" t="n">
        <v>0.32</v>
      </c>
      <c r="CK101" s="0" t="n">
        <v>0</v>
      </c>
      <c r="CL101" s="0" t="n">
        <v>0</v>
      </c>
      <c r="CM101" s="0" t="n">
        <v>0</v>
      </c>
      <c r="CN101" s="0" t="n">
        <v>0</v>
      </c>
      <c r="CO101" s="0" t="n">
        <v>0.248612949567578</v>
      </c>
      <c r="CP101" s="0" t="n">
        <v>20</v>
      </c>
      <c r="CQ101" s="0" t="n">
        <v>11</v>
      </c>
      <c r="CR101" s="0" t="n">
        <v>7</v>
      </c>
      <c r="CS101" s="0" t="n">
        <v>4</v>
      </c>
      <c r="CT101" s="0" t="n">
        <v>4.8969297445785</v>
      </c>
      <c r="CU101" s="0" t="n">
        <v>20</v>
      </c>
      <c r="CV101" s="0" t="n">
        <v>11</v>
      </c>
      <c r="CW101" s="0" t="n">
        <v>7</v>
      </c>
      <c r="CX101" s="0" t="n">
        <v>4</v>
      </c>
      <c r="CY101" s="0" t="n">
        <v>5.15</v>
      </c>
      <c r="CZ101" s="0" t="n">
        <v>-1.15</v>
      </c>
      <c r="DG101" s="0" t="n">
        <v>3.46006476683938</v>
      </c>
      <c r="DH101" s="0" t="n">
        <v>36.6013071895425</v>
      </c>
      <c r="DI101" s="0" t="n">
        <v>2.88536805555556</v>
      </c>
      <c r="DJ101" s="0" t="n">
        <v>161.049009235051</v>
      </c>
      <c r="DK101" s="0" t="n">
        <v>1.08086583379229</v>
      </c>
      <c r="DL101" s="0" t="n">
        <v>0.449664429530201</v>
      </c>
      <c r="DM101" s="0" t="s">
        <v>1480</v>
      </c>
      <c r="DN101" s="0" t="n">
        <v>153</v>
      </c>
      <c r="DO101" s="0" t="n">
        <v>9</v>
      </c>
      <c r="DP101" s="0" t="n">
        <v>2.601</v>
      </c>
      <c r="DQ101" s="0" t="n">
        <v>2.444</v>
      </c>
      <c r="DR101" s="0" t="n">
        <v>17</v>
      </c>
      <c r="DS101" s="0" t="n">
        <v>14</v>
      </c>
      <c r="DT101" s="0" t="n">
        <v>0</v>
      </c>
      <c r="DU101" s="0" t="n">
        <v>1</v>
      </c>
      <c r="DV101" s="0" t="n">
        <v>-1.727</v>
      </c>
      <c r="DW101" s="0" t="n">
        <v>5.091</v>
      </c>
      <c r="DX101" s="0" t="n">
        <v>-2.1</v>
      </c>
      <c r="DY101" s="0" t="n">
        <v>0.0714</v>
      </c>
      <c r="DZ101" s="0" t="n">
        <v>340</v>
      </c>
      <c r="EA101" s="0" t="n">
        <v>0.511</v>
      </c>
      <c r="EB101" s="0" t="n">
        <v>10</v>
      </c>
      <c r="EC101" s="0" t="s">
        <v>1481</v>
      </c>
      <c r="ED101" s="0" t="n">
        <v>2020</v>
      </c>
      <c r="EE101" s="0" t="n">
        <v>2</v>
      </c>
      <c r="EF101" s="0" t="n">
        <v>55</v>
      </c>
      <c r="EG101" s="0" t="n">
        <v>2020</v>
      </c>
      <c r="EH101" s="0" t="n">
        <v>2026</v>
      </c>
      <c r="EI101" s="0" t="n">
        <v>7</v>
      </c>
      <c r="EJ101" s="0" t="n">
        <v>70</v>
      </c>
      <c r="EK101" s="0" t="n">
        <v>215</v>
      </c>
      <c r="EL101" s="0" t="s">
        <v>933</v>
      </c>
      <c r="EM101" s="0" t="n">
        <v>27.7</v>
      </c>
      <c r="EN101" s="15" t="b">
        <f aca="false">FALSE()</f>
        <v>0</v>
      </c>
      <c r="EO101" s="0" t="n">
        <v>354</v>
      </c>
      <c r="EP101" s="0" t="n">
        <v>2.95932203389831</v>
      </c>
      <c r="EQ101" s="0" t="n">
        <v>0.172316384180791</v>
      </c>
      <c r="ER101" s="0" t="n">
        <v>1.24293785310735</v>
      </c>
      <c r="ES101" s="0" t="n">
        <v>0.807909604519774</v>
      </c>
      <c r="ET101" s="0" t="n">
        <v>29</v>
      </c>
      <c r="EU101" s="0" t="n">
        <v>16</v>
      </c>
      <c r="EV101" s="0" t="n">
        <v>4.42372881355932</v>
      </c>
      <c r="EW101" s="0" t="n">
        <v>0.551724137931035</v>
      </c>
      <c r="EX101" s="0" t="n">
        <v>2.95623424539257</v>
      </c>
      <c r="EY101" s="0" t="n">
        <v>2.952</v>
      </c>
      <c r="EZ101" s="0" t="n">
        <v>0.1682</v>
      </c>
      <c r="FA101" s="0" t="n">
        <v>2.592</v>
      </c>
      <c r="FB101" s="0" t="n">
        <v>1.833</v>
      </c>
      <c r="FC101" s="0" t="n">
        <v>20</v>
      </c>
      <c r="FD101" s="0" t="n">
        <v>671</v>
      </c>
      <c r="FE101" s="0" t="n">
        <v>0.0342771982116244</v>
      </c>
      <c r="FF101" s="0" t="n">
        <v>0.037</v>
      </c>
      <c r="FG101" s="0" t="n">
        <v>0.2088</v>
      </c>
      <c r="FH101" s="0" t="n">
        <v>2.401</v>
      </c>
      <c r="FI101" s="0" t="n">
        <v>1079</v>
      </c>
      <c r="FJ101" s="0" t="n">
        <v>0.593141797961075</v>
      </c>
      <c r="FK101" s="0" t="n">
        <v>17</v>
      </c>
      <c r="FL101" s="0" t="n">
        <v>63.47</v>
      </c>
      <c r="FM101" s="0" t="n">
        <v>0.59</v>
      </c>
      <c r="FN101" s="0" t="n">
        <v>0.41</v>
      </c>
      <c r="FO101" s="0" t="n">
        <v>0.0157</v>
      </c>
      <c r="FP101" s="0" t="n">
        <v>0.0004</v>
      </c>
      <c r="FQ101" s="0" t="n">
        <v>0.0835</v>
      </c>
      <c r="FR101" s="0" t="n">
        <v>38</v>
      </c>
      <c r="FS101" s="0" t="n">
        <v>59</v>
      </c>
      <c r="FT101" s="0" t="n">
        <v>3.47</v>
      </c>
      <c r="FU101" s="0" t="n">
        <v>23.6</v>
      </c>
      <c r="FV101" s="0" t="n">
        <v>5797</v>
      </c>
      <c r="FW101" s="0" t="n">
        <v>5793</v>
      </c>
      <c r="FX101" s="0" t="n">
        <v>0.999</v>
      </c>
      <c r="FY101" s="0" t="n">
        <v>5</v>
      </c>
      <c r="FZ101" s="0" t="n">
        <v>5</v>
      </c>
      <c r="GA101" s="0" t="n">
        <v>0.00253477555898343</v>
      </c>
      <c r="GB101" s="0" t="n">
        <v>50</v>
      </c>
      <c r="GC101" s="0" t="n">
        <v>70.8</v>
      </c>
      <c r="GD101" s="0" t="n">
        <v>63.2</v>
      </c>
      <c r="GE101" s="0" t="n">
        <v>584</v>
      </c>
      <c r="GF101" s="0" t="n">
        <v>456</v>
      </c>
      <c r="GG101" s="0" t="n">
        <v>4</v>
      </c>
      <c r="GH101" s="0" t="n">
        <v>0</v>
      </c>
      <c r="GI101" s="0" t="n">
        <v>157</v>
      </c>
      <c r="GJ101" s="0" t="n">
        <v>1</v>
      </c>
      <c r="GK101" s="0" t="n">
        <v>0.007</v>
      </c>
      <c r="GL101" s="0" t="n">
        <v>0</v>
      </c>
      <c r="GM101" s="0" t="n">
        <v>0.006</v>
      </c>
      <c r="GN101" s="0" t="n">
        <v>11.59</v>
      </c>
      <c r="GO101" s="0" t="n">
        <v>11.04</v>
      </c>
      <c r="GP101" s="0" t="n">
        <v>10.49</v>
      </c>
      <c r="GQ101" s="0" t="n">
        <v>1.4</v>
      </c>
      <c r="GR101" s="0" t="n">
        <v>15.3</v>
      </c>
      <c r="GS101" s="0" t="n">
        <v>167</v>
      </c>
      <c r="GT101" s="0" t="n">
        <v>0.694</v>
      </c>
      <c r="GU101" s="0" t="n">
        <v>0.341</v>
      </c>
      <c r="GV101" s="0" t="n">
        <v>2.643</v>
      </c>
      <c r="GW101" s="0" t="n">
        <v>3.364</v>
      </c>
      <c r="GX101" s="0" t="n">
        <v>0.786</v>
      </c>
      <c r="GY101" s="0" t="n">
        <v>5.046</v>
      </c>
      <c r="GZ101" s="0" t="n">
        <v>-2.143</v>
      </c>
      <c r="HA101" s="0" t="n">
        <v>5.091</v>
      </c>
      <c r="HB101" s="0" t="n">
        <v>-1.233</v>
      </c>
      <c r="HC101" s="0" t="n">
        <v>0.024</v>
      </c>
      <c r="HD101" s="0" t="n">
        <v>0.027</v>
      </c>
      <c r="HE101" s="0" t="n">
        <v>-0.356</v>
      </c>
      <c r="HG101" s="0" t="n">
        <v>102.06</v>
      </c>
      <c r="HH101" s="0" t="n">
        <v>17.7</v>
      </c>
      <c r="HI101" s="0" t="n">
        <v>72</v>
      </c>
      <c r="HJ101" s="0" t="n">
        <v>177</v>
      </c>
      <c r="HK101" s="0" t="s">
        <v>909</v>
      </c>
      <c r="HL101" s="0" t="n">
        <v>0</v>
      </c>
      <c r="HM101" s="0" t="n">
        <v>42</v>
      </c>
      <c r="HN101" s="0" t="n">
        <v>34</v>
      </c>
      <c r="HO101" s="0" t="n">
        <v>-0.601</v>
      </c>
      <c r="HP101" s="0" t="n">
        <v>27</v>
      </c>
      <c r="HQ101" s="0" t="n">
        <v>0.056</v>
      </c>
      <c r="HR101" s="0" t="s">
        <v>121</v>
      </c>
    </row>
    <row r="102" customFormat="false" ht="15" hidden="false" customHeight="false" outlineLevel="0" collapsed="false">
      <c r="A102" s="0" t="s">
        <v>896</v>
      </c>
      <c r="B102" s="0" t="s">
        <v>897</v>
      </c>
      <c r="C102" s="0" t="s">
        <v>898</v>
      </c>
      <c r="D102" s="0" t="s">
        <v>342</v>
      </c>
      <c r="E102" s="0" t="n">
        <v>18598</v>
      </c>
      <c r="F102" s="0" t="s">
        <v>99</v>
      </c>
      <c r="G102" s="0" t="n">
        <v>102.19</v>
      </c>
      <c r="H102" s="0" t="n">
        <v>17.8</v>
      </c>
      <c r="I102" s="0" t="n">
        <v>62</v>
      </c>
      <c r="J102" s="0" t="n">
        <v>158</v>
      </c>
      <c r="L102" s="0" t="s">
        <v>1482</v>
      </c>
      <c r="O102" s="0" t="n">
        <v>75.6</v>
      </c>
      <c r="U102" s="0" t="n">
        <v>7</v>
      </c>
      <c r="V102" s="0" t="s">
        <v>342</v>
      </c>
      <c r="W102" s="0" t="s">
        <v>901</v>
      </c>
      <c r="X102" s="0" t="s">
        <v>1284</v>
      </c>
      <c r="Y102" s="0" t="s">
        <v>1483</v>
      </c>
      <c r="Z102" s="0" t="n">
        <v>18598</v>
      </c>
      <c r="AA102" s="0" t="s">
        <v>1484</v>
      </c>
      <c r="AB102" s="0" t="s">
        <v>904</v>
      </c>
      <c r="AC102" s="0" t="s">
        <v>235</v>
      </c>
      <c r="AD102" s="0" t="s">
        <v>235</v>
      </c>
      <c r="AE102" s="0" t="s">
        <v>235</v>
      </c>
      <c r="AF102" s="0" t="s">
        <v>235</v>
      </c>
      <c r="AG102" s="0" t="s">
        <v>235</v>
      </c>
      <c r="AH102" s="0" t="s">
        <v>905</v>
      </c>
      <c r="AI102" s="0" t="n">
        <v>3</v>
      </c>
      <c r="AJ102" s="0" t="s">
        <v>99</v>
      </c>
      <c r="AK102" s="0" t="n">
        <v>101</v>
      </c>
      <c r="AL102" s="0" t="n">
        <v>44</v>
      </c>
      <c r="AM102" s="0" t="s">
        <v>343</v>
      </c>
      <c r="AN102" s="0" t="n">
        <v>0</v>
      </c>
      <c r="AO102" s="0" t="n">
        <v>0</v>
      </c>
      <c r="AP102" s="0" t="n">
        <v>0</v>
      </c>
      <c r="AQ102" s="0" t="n">
        <v>0</v>
      </c>
      <c r="AR102" s="0" t="n">
        <v>0</v>
      </c>
      <c r="AS102" s="0" t="n">
        <v>0</v>
      </c>
      <c r="AT102" s="0" t="n">
        <v>0</v>
      </c>
      <c r="AU102" s="0" t="n">
        <v>0</v>
      </c>
      <c r="AV102" s="0" t="n">
        <v>0</v>
      </c>
      <c r="AW102" s="0" t="n">
        <v>5</v>
      </c>
      <c r="AX102" s="0" t="n">
        <v>13</v>
      </c>
      <c r="AY102" s="0" t="n">
        <v>0</v>
      </c>
      <c r="AZ102" s="0" t="n">
        <v>1</v>
      </c>
      <c r="BA102" s="0" t="n">
        <v>-0.407055840740213</v>
      </c>
      <c r="BB102" s="0" t="n">
        <v>0</v>
      </c>
      <c r="BC102" s="0" t="n">
        <v>75</v>
      </c>
      <c r="BD102" s="0" t="n">
        <v>110</v>
      </c>
      <c r="BE102" s="0" t="n">
        <v>835</v>
      </c>
      <c r="BF102" s="0" t="n">
        <v>3</v>
      </c>
      <c r="BG102" s="0" t="n">
        <v>1008</v>
      </c>
      <c r="BH102" s="0" t="n">
        <v>282</v>
      </c>
      <c r="BI102" s="0" t="n">
        <v>43</v>
      </c>
      <c r="BJ102" s="0" t="n">
        <v>10.0140716943864</v>
      </c>
      <c r="BK102" s="0" t="n">
        <v>1</v>
      </c>
      <c r="BL102" s="0" t="n">
        <v>0</v>
      </c>
      <c r="BM102" s="0" t="n">
        <v>100.8</v>
      </c>
      <c r="BN102" s="0" t="n">
        <v>175.8</v>
      </c>
      <c r="BO102" s="0" t="n">
        <v>16</v>
      </c>
      <c r="BP102" s="0" t="s">
        <v>235</v>
      </c>
      <c r="BQ102" s="0" t="n">
        <v>2</v>
      </c>
      <c r="BR102" s="0" t="n">
        <v>138.3</v>
      </c>
      <c r="BS102" s="0" t="n">
        <v>0.1057</v>
      </c>
      <c r="BT102" s="0" t="n">
        <v>0.0058</v>
      </c>
      <c r="BU102" s="0" t="n">
        <v>0.1248</v>
      </c>
      <c r="BV102" s="0" t="n">
        <v>0.2282</v>
      </c>
      <c r="BW102" s="0" t="n">
        <v>0.0112</v>
      </c>
      <c r="BX102" s="0" t="n">
        <v>0.2528</v>
      </c>
      <c r="BY102" s="0" t="n">
        <v>0.5193</v>
      </c>
      <c r="BZ102" s="0" t="n">
        <v>16</v>
      </c>
      <c r="CA102" s="0" t="n">
        <v>7.72</v>
      </c>
      <c r="CB102" s="0" t="n">
        <v>14.95</v>
      </c>
      <c r="CC102" s="0" t="n">
        <v>9.35</v>
      </c>
      <c r="CD102" s="0" t="n">
        <v>4.35</v>
      </c>
      <c r="CE102" s="0" t="n">
        <v>1</v>
      </c>
      <c r="CF102" s="0" t="n">
        <v>0</v>
      </c>
      <c r="CG102" s="0" t="n">
        <v>16</v>
      </c>
      <c r="CH102" s="0" t="n">
        <v>0.062</v>
      </c>
      <c r="CI102" s="0" t="n">
        <v>0</v>
      </c>
      <c r="CJ102" s="0" t="n">
        <v>0.466</v>
      </c>
      <c r="CK102" s="0" t="n">
        <v>15</v>
      </c>
      <c r="CL102" s="0" t="n">
        <v>6</v>
      </c>
      <c r="CM102" s="0" t="n">
        <v>2</v>
      </c>
      <c r="CN102" s="0" t="n">
        <v>3</v>
      </c>
      <c r="CO102" s="0" t="n">
        <v>4.9996159337747</v>
      </c>
      <c r="CP102" s="0" t="n">
        <v>2</v>
      </c>
      <c r="CQ102" s="0" t="n">
        <v>1</v>
      </c>
      <c r="CR102" s="0" t="n">
        <v>1</v>
      </c>
      <c r="CS102" s="0" t="n">
        <v>0</v>
      </c>
      <c r="CT102" s="0" t="n">
        <v>0.320570602544889</v>
      </c>
      <c r="CU102" s="0" t="n">
        <v>17</v>
      </c>
      <c r="CV102" s="0" t="n">
        <v>7</v>
      </c>
      <c r="CW102" s="0" t="n">
        <v>3</v>
      </c>
      <c r="CX102" s="0" t="n">
        <v>3</v>
      </c>
      <c r="CY102" s="0" t="n">
        <v>5.32</v>
      </c>
      <c r="CZ102" s="0" t="n">
        <v>-2.32</v>
      </c>
      <c r="DA102" s="0" t="n">
        <v>2.73208851411209</v>
      </c>
      <c r="DB102" s="0" t="n">
        <v>6.40833333333333</v>
      </c>
      <c r="DC102" s="0" t="n">
        <v>9.42172727272727</v>
      </c>
      <c r="DD102" s="0" t="n">
        <v>31.7900316246998</v>
      </c>
      <c r="DE102" s="0" t="n">
        <v>0.335026946800864</v>
      </c>
      <c r="DF102" s="0" t="n">
        <v>68.1818181818182</v>
      </c>
      <c r="DM102" s="0" t="s">
        <v>1485</v>
      </c>
      <c r="DN102" s="0" t="n">
        <v>5</v>
      </c>
      <c r="DO102" s="0" t="n">
        <v>0</v>
      </c>
      <c r="DS102" s="0" t="n">
        <v>110</v>
      </c>
      <c r="DT102" s="0" t="n">
        <v>4</v>
      </c>
      <c r="DU102" s="0" t="n">
        <v>2</v>
      </c>
      <c r="DV102" s="0" t="n">
        <v>7.373</v>
      </c>
      <c r="DW102" s="0" t="n">
        <v>3.76</v>
      </c>
      <c r="DX102" s="0" t="n">
        <v>9.13</v>
      </c>
      <c r="DY102" s="0" t="n">
        <v>0.0182</v>
      </c>
      <c r="DZ102" s="0" t="n">
        <v>872</v>
      </c>
      <c r="EA102" s="0" t="n">
        <v>0.85</v>
      </c>
      <c r="EB102" s="0" t="n">
        <v>16</v>
      </c>
      <c r="EC102" s="0" t="s">
        <v>1486</v>
      </c>
      <c r="EG102" s="0" t="n">
        <v>2019</v>
      </c>
      <c r="EH102" s="0" t="n">
        <v>2026</v>
      </c>
      <c r="EI102" s="0" t="n">
        <v>8</v>
      </c>
      <c r="EJ102" s="0" t="n">
        <v>74</v>
      </c>
      <c r="EK102" s="0" t="n">
        <v>200</v>
      </c>
      <c r="EL102" s="0" t="s">
        <v>1487</v>
      </c>
      <c r="EM102" s="0" t="n">
        <v>29.8</v>
      </c>
      <c r="EN102" s="15" t="b">
        <f aca="false">FALSE()</f>
        <v>0</v>
      </c>
      <c r="EO102" s="0" t="n">
        <v>373</v>
      </c>
      <c r="EP102" s="0" t="n">
        <v>2.85254691689008</v>
      </c>
      <c r="EQ102" s="0" t="n">
        <v>0.184986595174263</v>
      </c>
      <c r="ER102" s="0" t="n">
        <v>1.10991957104558</v>
      </c>
      <c r="ES102" s="0" t="n">
        <v>0.683646112600536</v>
      </c>
      <c r="ET102" s="0" t="n">
        <v>30</v>
      </c>
      <c r="EU102" s="0" t="n">
        <v>15</v>
      </c>
      <c r="EV102" s="0" t="n">
        <v>4.1313672922252</v>
      </c>
      <c r="EW102" s="0" t="n">
        <v>0.5</v>
      </c>
      <c r="EX102" s="0" t="n">
        <v>2.91568836248392</v>
      </c>
      <c r="EY102" s="0" t="n">
        <v>2.885</v>
      </c>
      <c r="EZ102" s="0" t="n">
        <v>0.1784</v>
      </c>
      <c r="FA102" s="0" t="n">
        <v>2.219</v>
      </c>
      <c r="FB102" s="0" t="n">
        <v>1.781</v>
      </c>
      <c r="FC102" s="0" t="n">
        <v>22</v>
      </c>
      <c r="FD102" s="0" t="n">
        <v>644</v>
      </c>
      <c r="FE102" s="0" t="n">
        <v>0.0636645962732919</v>
      </c>
      <c r="FF102" s="0" t="n">
        <v>0.0647</v>
      </c>
      <c r="FG102" s="0" t="n">
        <v>0.2504</v>
      </c>
      <c r="FH102" s="0" t="n">
        <v>2.395</v>
      </c>
      <c r="FI102" s="0" t="n">
        <v>1074</v>
      </c>
      <c r="FJ102" s="0" t="n">
        <v>0.56145251396648</v>
      </c>
      <c r="FK102" s="0" t="n">
        <v>17</v>
      </c>
      <c r="FL102" s="0" t="n">
        <v>63.18</v>
      </c>
      <c r="FM102" s="0" t="n">
        <v>0.5756</v>
      </c>
      <c r="FN102" s="0" t="n">
        <v>0.4244</v>
      </c>
      <c r="FO102" s="0" t="n">
        <v>0.0164</v>
      </c>
      <c r="FP102" s="0" t="n">
        <v>-0.0041</v>
      </c>
      <c r="FQ102" s="0" t="n">
        <v>0.0592</v>
      </c>
      <c r="FR102" s="0" t="n">
        <v>40</v>
      </c>
      <c r="FS102" s="0" t="n">
        <v>72</v>
      </c>
      <c r="FT102" s="0" t="n">
        <v>4.24</v>
      </c>
      <c r="FU102" s="0" t="n">
        <v>27.9</v>
      </c>
      <c r="FV102" s="0" t="n">
        <v>5856</v>
      </c>
      <c r="FW102" s="0" t="n">
        <v>5856</v>
      </c>
      <c r="FX102" s="0" t="n">
        <v>1</v>
      </c>
      <c r="FY102" s="0" t="n">
        <v>5</v>
      </c>
      <c r="FZ102" s="0" t="n">
        <v>5</v>
      </c>
      <c r="GA102" s="0" t="n">
        <v>-0.543031520615496</v>
      </c>
      <c r="GB102" s="0" t="n">
        <v>40.2</v>
      </c>
      <c r="GC102" s="0" t="n">
        <v>50.8</v>
      </c>
      <c r="GD102" s="0" t="n">
        <v>44.3</v>
      </c>
      <c r="GE102" s="0" t="n">
        <v>547</v>
      </c>
      <c r="GF102" s="0" t="n">
        <v>489</v>
      </c>
      <c r="GG102" s="0" t="n">
        <v>132</v>
      </c>
      <c r="GH102" s="0" t="n">
        <v>271</v>
      </c>
      <c r="GI102" s="0" t="n">
        <v>198</v>
      </c>
      <c r="GJ102" s="0" t="n">
        <v>85</v>
      </c>
      <c r="GK102" s="0" t="n">
        <v>0.241</v>
      </c>
      <c r="GL102" s="0" t="n">
        <v>0.554</v>
      </c>
      <c r="GM102" s="0" t="n">
        <v>0.429</v>
      </c>
      <c r="GN102" s="0" t="n">
        <v>10.988</v>
      </c>
      <c r="GO102" s="0" t="n">
        <v>8.644</v>
      </c>
      <c r="GP102" s="0" t="n">
        <v>6.3</v>
      </c>
      <c r="GQ102" s="0" t="n">
        <v>6.875</v>
      </c>
      <c r="GR102" s="0" t="n">
        <v>0.312</v>
      </c>
      <c r="GS102" s="0" t="n">
        <v>115</v>
      </c>
      <c r="GT102" s="0" t="n">
        <v>1.529</v>
      </c>
      <c r="GU102" s="0" t="n">
        <v>0.202</v>
      </c>
      <c r="GV102" s="0" t="n">
        <v>7.591</v>
      </c>
      <c r="GW102" s="0" t="n">
        <v>11.133</v>
      </c>
      <c r="GX102" s="0" t="n">
        <v>0.682</v>
      </c>
      <c r="GZ102" s="0" t="n">
        <v>9.164</v>
      </c>
      <c r="HA102" s="0" t="n">
        <v>3.76</v>
      </c>
      <c r="HB102" s="0" t="n">
        <v>0.828</v>
      </c>
      <c r="HC102" s="0" t="n">
        <v>0.026</v>
      </c>
      <c r="HE102" s="0" t="n">
        <v>0.091</v>
      </c>
      <c r="HG102" s="0" t="n">
        <v>102.19</v>
      </c>
      <c r="HH102" s="0" t="n">
        <v>17.8</v>
      </c>
      <c r="HI102" s="0" t="n">
        <v>62</v>
      </c>
      <c r="HJ102" s="0" t="n">
        <v>158</v>
      </c>
      <c r="HK102" s="0" t="s">
        <v>909</v>
      </c>
      <c r="HL102" s="0" t="n">
        <v>0</v>
      </c>
      <c r="HM102" s="0" t="n">
        <v>32</v>
      </c>
      <c r="HN102" s="0" t="n">
        <v>44</v>
      </c>
      <c r="HO102" s="0" t="n">
        <v>0.191</v>
      </c>
      <c r="HP102" s="0" t="n">
        <v>39</v>
      </c>
      <c r="HQ102" s="0" t="n">
        <v>-0.116</v>
      </c>
      <c r="HR102" s="0" t="s">
        <v>102</v>
      </c>
    </row>
    <row r="103" customFormat="false" ht="15" hidden="false" customHeight="false" outlineLevel="0" collapsed="false">
      <c r="A103" s="0" t="s">
        <v>896</v>
      </c>
      <c r="B103" s="0" t="s">
        <v>897</v>
      </c>
      <c r="C103" s="0" t="s">
        <v>898</v>
      </c>
      <c r="D103" s="0" t="s">
        <v>344</v>
      </c>
      <c r="E103" s="0" t="n">
        <v>23123</v>
      </c>
      <c r="F103" s="0" t="s">
        <v>99</v>
      </c>
      <c r="G103" s="0" t="n">
        <v>102.53</v>
      </c>
      <c r="H103" s="0" t="n">
        <v>15.22</v>
      </c>
      <c r="I103" s="0" t="n">
        <v>62</v>
      </c>
      <c r="J103" s="0" t="n">
        <v>131</v>
      </c>
      <c r="L103" s="0" t="s">
        <v>1488</v>
      </c>
      <c r="O103" s="0" t="n">
        <v>77.3</v>
      </c>
      <c r="U103" s="0" t="n">
        <v>7</v>
      </c>
      <c r="V103" s="0" t="s">
        <v>344</v>
      </c>
      <c r="W103" s="0" t="s">
        <v>901</v>
      </c>
      <c r="X103" s="0" t="s">
        <v>170</v>
      </c>
      <c r="Y103" s="0" t="s">
        <v>1489</v>
      </c>
      <c r="Z103" s="0" t="n">
        <v>23123</v>
      </c>
      <c r="AA103" s="0" t="s">
        <v>1490</v>
      </c>
      <c r="AB103" s="0" t="s">
        <v>904</v>
      </c>
      <c r="AC103" s="0" t="s">
        <v>170</v>
      </c>
      <c r="AD103" s="0" t="s">
        <v>170</v>
      </c>
      <c r="AE103" s="0" t="s">
        <v>170</v>
      </c>
      <c r="AF103" s="0" t="s">
        <v>170</v>
      </c>
      <c r="AG103" s="0" t="s">
        <v>170</v>
      </c>
      <c r="AH103" s="0" t="s">
        <v>905</v>
      </c>
      <c r="AI103" s="0" t="n">
        <v>2</v>
      </c>
      <c r="AJ103" s="0" t="s">
        <v>99</v>
      </c>
      <c r="AK103" s="0" t="n">
        <v>102</v>
      </c>
      <c r="AL103" s="0" t="n">
        <v>45</v>
      </c>
      <c r="AM103" s="0" t="s">
        <v>345</v>
      </c>
      <c r="AN103" s="0" t="n">
        <v>0</v>
      </c>
      <c r="AO103" s="0" t="n">
        <v>0</v>
      </c>
      <c r="AP103" s="0" t="n">
        <v>0</v>
      </c>
      <c r="AQ103" s="0" t="n">
        <v>0</v>
      </c>
      <c r="AR103" s="0" t="n">
        <v>0</v>
      </c>
      <c r="AS103" s="0" t="n">
        <v>0</v>
      </c>
      <c r="AT103" s="0" t="n">
        <v>0</v>
      </c>
      <c r="AU103" s="0" t="n">
        <v>0</v>
      </c>
      <c r="AV103" s="0" t="n">
        <v>0</v>
      </c>
      <c r="AW103" s="0" t="n">
        <v>2</v>
      </c>
      <c r="AX103" s="0" t="n">
        <v>7</v>
      </c>
      <c r="AY103" s="0" t="n">
        <v>0</v>
      </c>
      <c r="AZ103" s="0" t="n">
        <v>0</v>
      </c>
      <c r="BA103" s="0" t="n">
        <v>-0.37045799556654</v>
      </c>
      <c r="BB103" s="0" t="n">
        <v>0</v>
      </c>
      <c r="BC103" s="0" t="n">
        <v>51</v>
      </c>
      <c r="BD103" s="0" t="n">
        <v>84</v>
      </c>
      <c r="BE103" s="0" t="n">
        <v>735</v>
      </c>
      <c r="BF103" s="0" t="n">
        <v>8</v>
      </c>
      <c r="BG103" s="0" t="n">
        <v>989</v>
      </c>
      <c r="BH103" s="0" t="n">
        <v>221</v>
      </c>
      <c r="BI103" s="0" t="n">
        <v>27</v>
      </c>
      <c r="BJ103" s="0" t="n">
        <v>23.9105185380869</v>
      </c>
      <c r="BK103" s="0" t="n">
        <v>1</v>
      </c>
      <c r="BL103" s="0" t="n">
        <v>0</v>
      </c>
      <c r="BM103" s="0" t="n">
        <v>120.2</v>
      </c>
      <c r="BN103" s="0" t="n">
        <v>171.2</v>
      </c>
      <c r="BO103" s="0" t="n">
        <v>13</v>
      </c>
      <c r="BP103" s="0" t="s">
        <v>170</v>
      </c>
      <c r="BQ103" s="0" t="n">
        <v>1</v>
      </c>
      <c r="BR103" s="0" t="n">
        <v>145.7</v>
      </c>
      <c r="BS103" s="0" t="n">
        <v>0.1544</v>
      </c>
      <c r="BT103" s="0" t="n">
        <v>0.0043</v>
      </c>
      <c r="BU103" s="0" t="n">
        <v>0.2244</v>
      </c>
      <c r="BV103" s="0" t="n">
        <v>0.201</v>
      </c>
      <c r="BW103" s="0" t="n">
        <v>0.0057</v>
      </c>
      <c r="BX103" s="0" t="n">
        <v>0.2899</v>
      </c>
      <c r="BY103" s="0" t="n">
        <v>0.5044</v>
      </c>
      <c r="BZ103" s="0" t="n">
        <v>13</v>
      </c>
      <c r="CA103" s="0" t="n">
        <v>9.2</v>
      </c>
      <c r="CB103" s="0" t="n">
        <v>21.08</v>
      </c>
      <c r="CC103" s="0" t="n">
        <v>14.8</v>
      </c>
      <c r="CD103" s="0" t="n">
        <v>7.44</v>
      </c>
      <c r="CE103" s="0" t="n">
        <v>3</v>
      </c>
      <c r="CF103" s="0" t="n">
        <v>1</v>
      </c>
      <c r="CG103" s="0" t="n">
        <v>13</v>
      </c>
      <c r="CH103" s="0" t="n">
        <v>0.231</v>
      </c>
      <c r="CI103" s="0" t="n">
        <v>0.077</v>
      </c>
      <c r="CJ103" s="0" t="n">
        <v>0.503</v>
      </c>
      <c r="CK103" s="0" t="n">
        <v>15</v>
      </c>
      <c r="CL103" s="0" t="n">
        <v>7</v>
      </c>
      <c r="CM103" s="0" t="n">
        <v>2</v>
      </c>
      <c r="CN103" s="0" t="n">
        <v>8</v>
      </c>
      <c r="CO103" s="0" t="n">
        <v>4.55591802253398</v>
      </c>
      <c r="CP103" s="0" t="n">
        <v>0</v>
      </c>
      <c r="CQ103" s="0" t="n">
        <v>0</v>
      </c>
      <c r="CR103" s="0" t="n">
        <v>0</v>
      </c>
      <c r="CS103" s="0" t="n">
        <v>0</v>
      </c>
      <c r="CT103" s="0" t="n">
        <v>0.0121579598141495</v>
      </c>
      <c r="CU103" s="0" t="n">
        <v>15</v>
      </c>
      <c r="CV103" s="0" t="n">
        <v>7</v>
      </c>
      <c r="CW103" s="0" t="n">
        <v>2</v>
      </c>
      <c r="CX103" s="0" t="n">
        <v>8</v>
      </c>
      <c r="CY103" s="0" t="n">
        <v>4.57</v>
      </c>
      <c r="CZ103" s="0" t="n">
        <v>3.43</v>
      </c>
      <c r="DA103" s="0" t="n">
        <v>2.36469448387754</v>
      </c>
      <c r="DB103" s="0" t="n">
        <v>5.25268292682927</v>
      </c>
      <c r="DC103" s="0" t="n">
        <v>12.3077380952381</v>
      </c>
      <c r="DD103" s="0" t="n">
        <v>23.3461673083654</v>
      </c>
      <c r="DE103" s="0" t="n">
        <v>0.751558103025554</v>
      </c>
      <c r="DF103" s="0" t="n">
        <v>60.7142857142857</v>
      </c>
      <c r="DM103" s="0" t="s">
        <v>1491</v>
      </c>
      <c r="DN103" s="0" t="n">
        <v>2</v>
      </c>
      <c r="DO103" s="0" t="n">
        <v>0</v>
      </c>
      <c r="DS103" s="0" t="n">
        <v>84</v>
      </c>
      <c r="DT103" s="0" t="n">
        <v>5</v>
      </c>
      <c r="DU103" s="0" t="n">
        <v>2</v>
      </c>
      <c r="DV103" s="0" t="n">
        <v>10.078</v>
      </c>
      <c r="DW103" s="0" t="n">
        <v>4.333</v>
      </c>
      <c r="DX103" s="0" t="n">
        <v>11.8</v>
      </c>
      <c r="DY103" s="0" t="n">
        <v>0.0238</v>
      </c>
      <c r="DZ103" s="0" t="n">
        <v>723</v>
      </c>
      <c r="EA103" s="0" t="n">
        <v>0.769</v>
      </c>
      <c r="EB103" s="0" t="n">
        <v>14</v>
      </c>
      <c r="EC103" s="0" t="s">
        <v>1492</v>
      </c>
      <c r="ED103" s="0" t="n">
        <v>2023</v>
      </c>
      <c r="EE103" s="0" t="n">
        <v>1</v>
      </c>
      <c r="EF103" s="0" t="n">
        <v>21</v>
      </c>
      <c r="EG103" s="0" t="n">
        <v>2023</v>
      </c>
      <c r="EH103" s="0" t="n">
        <v>2026</v>
      </c>
      <c r="EI103" s="0" t="n">
        <v>4</v>
      </c>
      <c r="EJ103" s="0" t="n">
        <v>74</v>
      </c>
      <c r="EK103" s="0" t="n">
        <v>208</v>
      </c>
      <c r="EL103" s="0" t="s">
        <v>1493</v>
      </c>
      <c r="EM103" s="0" t="n">
        <v>24.9</v>
      </c>
      <c r="EN103" s="15" t="b">
        <f aca="false">FALSE()</f>
        <v>0</v>
      </c>
      <c r="EO103" s="0" t="n">
        <v>359</v>
      </c>
      <c r="EP103" s="0" t="n">
        <v>2.71309192200557</v>
      </c>
      <c r="EQ103" s="0" t="n">
        <v>0.22841225626741</v>
      </c>
      <c r="ER103" s="0" t="n">
        <v>1.12534818941504</v>
      </c>
      <c r="ES103" s="0" t="n">
        <v>0.746518105849582</v>
      </c>
      <c r="ET103" s="0" t="n">
        <v>36</v>
      </c>
      <c r="EU103" s="0" t="n">
        <v>22</v>
      </c>
      <c r="EV103" s="0" t="n">
        <v>4.06685236768802</v>
      </c>
      <c r="EW103" s="0" t="n">
        <v>0.611111111111111</v>
      </c>
      <c r="EX103" s="0" t="n">
        <v>2.89104964249176</v>
      </c>
      <c r="EY103" s="0" t="n">
        <v>2.77</v>
      </c>
      <c r="EZ103" s="0" t="n">
        <v>0.2195</v>
      </c>
      <c r="FA103" s="0" t="n">
        <v>2.614</v>
      </c>
      <c r="FB103" s="0" t="n">
        <v>1.822</v>
      </c>
      <c r="FC103" s="0" t="n">
        <v>24</v>
      </c>
      <c r="FD103" s="0" t="n">
        <v>681</v>
      </c>
      <c r="FE103" s="0" t="n">
        <v>0.0881057268722467</v>
      </c>
      <c r="FF103" s="0" t="n">
        <v>0.0832</v>
      </c>
      <c r="FG103" s="0" t="n">
        <v>0.3427</v>
      </c>
      <c r="FH103" s="0" t="n">
        <v>2.37</v>
      </c>
      <c r="FI103" s="0" t="n">
        <v>1080</v>
      </c>
      <c r="FJ103" s="0" t="n">
        <v>0.578703703703704</v>
      </c>
      <c r="FK103" s="0" t="n">
        <v>17</v>
      </c>
      <c r="FL103" s="0" t="n">
        <v>63.53</v>
      </c>
      <c r="FM103" s="0" t="n">
        <v>0.579</v>
      </c>
      <c r="FN103" s="0" t="n">
        <v>0.421</v>
      </c>
      <c r="FO103" s="0" t="n">
        <v>0.0064</v>
      </c>
      <c r="FP103" s="0" t="n">
        <v>0.0187</v>
      </c>
      <c r="FQ103" s="0" t="n">
        <v>-0.0542</v>
      </c>
      <c r="FR103" s="0" t="n">
        <v>39</v>
      </c>
      <c r="FS103" s="0" t="n">
        <v>59</v>
      </c>
      <c r="FT103" s="0" t="n">
        <v>3.47</v>
      </c>
      <c r="FU103" s="0" t="n">
        <v>21.6</v>
      </c>
      <c r="FV103" s="0" t="n">
        <v>5784</v>
      </c>
      <c r="FW103" s="0" t="n">
        <v>1183</v>
      </c>
      <c r="FX103" s="0" t="n">
        <v>0.205</v>
      </c>
      <c r="FY103" s="0" t="n">
        <v>5</v>
      </c>
      <c r="FZ103" s="0" t="n">
        <v>1</v>
      </c>
      <c r="GA103" s="0" t="n">
        <v>-0.516900207039375</v>
      </c>
      <c r="GB103" s="0" t="n">
        <v>40.7</v>
      </c>
      <c r="GC103" s="0" t="n">
        <v>23</v>
      </c>
      <c r="GD103" s="0" t="n">
        <v>26.9</v>
      </c>
      <c r="GE103" s="0" t="n">
        <v>544</v>
      </c>
      <c r="GF103" s="0" t="n">
        <v>466</v>
      </c>
      <c r="GG103" s="0" t="n">
        <v>15</v>
      </c>
      <c r="GH103" s="0" t="n">
        <v>23</v>
      </c>
      <c r="GI103" s="0" t="n">
        <v>152</v>
      </c>
      <c r="GJ103" s="0" t="n">
        <v>2</v>
      </c>
      <c r="GK103" s="0" t="n">
        <v>0.028</v>
      </c>
      <c r="GL103" s="0" t="n">
        <v>0.049</v>
      </c>
      <c r="GM103" s="0" t="n">
        <v>0.013</v>
      </c>
      <c r="GN103" s="0" t="n">
        <v>13.169</v>
      </c>
      <c r="GO103" s="0" t="n">
        <v>11.208</v>
      </c>
      <c r="GP103" s="0" t="n">
        <v>9.246</v>
      </c>
      <c r="GQ103" s="0" t="n">
        <v>6.462</v>
      </c>
      <c r="GR103" s="0" t="n">
        <v>0.154</v>
      </c>
      <c r="GS103" s="0" t="n">
        <v>86</v>
      </c>
      <c r="GT103" s="0" t="n">
        <v>1.991</v>
      </c>
      <c r="GU103" s="0" t="n">
        <v>0.237</v>
      </c>
      <c r="GV103" s="0" t="n">
        <v>8.75</v>
      </c>
      <c r="GW103" s="0" t="n">
        <v>14.412</v>
      </c>
      <c r="GX103" s="0" t="n">
        <v>0.607</v>
      </c>
      <c r="GZ103" s="0" t="n">
        <v>11.774</v>
      </c>
      <c r="HA103" s="0" t="n">
        <v>4.333</v>
      </c>
      <c r="HB103" s="0" t="n">
        <v>0.743</v>
      </c>
      <c r="HC103" s="0" t="n">
        <v>0.093</v>
      </c>
      <c r="HE103" s="0" t="n">
        <v>0.285</v>
      </c>
      <c r="HG103" s="0" t="n">
        <v>102.53</v>
      </c>
      <c r="HH103" s="0" t="n">
        <v>15.22</v>
      </c>
      <c r="HI103" s="0" t="n">
        <v>62</v>
      </c>
      <c r="HJ103" s="0" t="n">
        <v>131</v>
      </c>
      <c r="HK103" s="0" t="s">
        <v>909</v>
      </c>
      <c r="HL103" s="0" t="n">
        <v>0</v>
      </c>
      <c r="HM103" s="0" t="n">
        <v>35</v>
      </c>
      <c r="HN103" s="0" t="n">
        <v>45</v>
      </c>
      <c r="HO103" s="0" t="n">
        <v>0.095</v>
      </c>
      <c r="HP103" s="0" t="n">
        <v>20</v>
      </c>
      <c r="HQ103" s="0" t="n">
        <v>0.752</v>
      </c>
      <c r="HR103" s="0" t="s">
        <v>102</v>
      </c>
    </row>
    <row r="104" customFormat="false" ht="15" hidden="false" customHeight="false" outlineLevel="0" collapsed="false">
      <c r="A104" s="0" t="s">
        <v>896</v>
      </c>
      <c r="B104" s="0" t="s">
        <v>897</v>
      </c>
      <c r="C104" s="0" t="s">
        <v>898</v>
      </c>
      <c r="D104" s="0" t="s">
        <v>346</v>
      </c>
      <c r="E104" s="0" t="n">
        <v>9451</v>
      </c>
      <c r="F104" s="0" t="s">
        <v>172</v>
      </c>
      <c r="G104" s="0" t="n">
        <v>104.67</v>
      </c>
      <c r="H104" s="0" t="n">
        <v>14</v>
      </c>
      <c r="I104" s="0" t="n">
        <v>63</v>
      </c>
      <c r="J104" s="0" t="n">
        <v>148</v>
      </c>
      <c r="L104" s="0" t="s">
        <v>1494</v>
      </c>
      <c r="O104" s="0" t="n">
        <v>91</v>
      </c>
      <c r="U104" s="0" t="n">
        <v>11</v>
      </c>
      <c r="V104" s="0" t="s">
        <v>346</v>
      </c>
      <c r="W104" s="0" t="s">
        <v>901</v>
      </c>
      <c r="X104" s="0" t="s">
        <v>109</v>
      </c>
      <c r="Y104" s="0" t="s">
        <v>1495</v>
      </c>
      <c r="Z104" s="0" t="n">
        <v>9451</v>
      </c>
      <c r="AA104" s="0" t="s">
        <v>1496</v>
      </c>
      <c r="AB104" s="0" t="s">
        <v>904</v>
      </c>
      <c r="AC104" s="0" t="s">
        <v>109</v>
      </c>
      <c r="AD104" s="0" t="s">
        <v>109</v>
      </c>
      <c r="AE104" s="0" t="s">
        <v>109</v>
      </c>
      <c r="AF104" s="0" t="s">
        <v>109</v>
      </c>
      <c r="AG104" s="0" t="s">
        <v>109</v>
      </c>
      <c r="AH104" s="0" t="s">
        <v>905</v>
      </c>
      <c r="AI104" s="0" t="n">
        <v>1</v>
      </c>
      <c r="AJ104" s="0" t="s">
        <v>172</v>
      </c>
      <c r="AK104" s="0" t="n">
        <v>103</v>
      </c>
      <c r="AL104" s="0" t="n">
        <v>15</v>
      </c>
      <c r="AM104" s="0" t="s">
        <v>347</v>
      </c>
      <c r="AN104" s="0" t="n">
        <v>388</v>
      </c>
      <c r="AO104" s="0" t="n">
        <v>597</v>
      </c>
      <c r="AP104" s="0" t="n">
        <v>4707</v>
      </c>
      <c r="AQ104" s="0" t="n">
        <v>46</v>
      </c>
      <c r="AR104" s="0" t="n">
        <v>8</v>
      </c>
      <c r="AS104" s="0" t="n">
        <v>23</v>
      </c>
      <c r="AT104" s="0" t="n">
        <v>5528</v>
      </c>
      <c r="AU104" s="0" t="n">
        <v>236</v>
      </c>
      <c r="AV104" s="0" t="n">
        <v>150.454307482114</v>
      </c>
      <c r="AW104" s="0" t="n">
        <v>29</v>
      </c>
      <c r="AX104" s="0" t="n">
        <v>1</v>
      </c>
      <c r="AY104" s="0" t="n">
        <v>0</v>
      </c>
      <c r="AZ104" s="0" t="n">
        <v>0</v>
      </c>
      <c r="BA104" s="0" t="n">
        <v>-31.8353136098303</v>
      </c>
      <c r="BB104" s="0" t="n">
        <v>1</v>
      </c>
      <c r="BC104" s="0" t="n">
        <v>0</v>
      </c>
      <c r="BD104" s="0" t="n">
        <v>0</v>
      </c>
      <c r="BE104" s="0" t="n">
        <v>0</v>
      </c>
      <c r="BF104" s="0" t="n">
        <v>0</v>
      </c>
      <c r="BG104" s="0" t="n">
        <v>0</v>
      </c>
      <c r="BH104" s="0" t="n">
        <v>0</v>
      </c>
      <c r="BI104" s="0" t="n">
        <v>0</v>
      </c>
      <c r="BJ104" s="0" t="n">
        <v>0</v>
      </c>
      <c r="BK104" s="0" t="n">
        <v>0</v>
      </c>
      <c r="BL104" s="0" t="n">
        <v>0</v>
      </c>
      <c r="BM104" s="0" t="n">
        <v>350.38</v>
      </c>
      <c r="BN104" s="0" t="n">
        <v>350.38</v>
      </c>
      <c r="BO104" s="0" t="n">
        <v>17</v>
      </c>
      <c r="BP104" s="0" t="s">
        <v>109</v>
      </c>
      <c r="BQ104" s="0" t="n">
        <v>1</v>
      </c>
      <c r="BR104" s="0" t="n">
        <v>350.38</v>
      </c>
      <c r="BS104" s="0" t="n">
        <v>0</v>
      </c>
      <c r="BT104" s="0" t="n">
        <v>0.0624</v>
      </c>
      <c r="BU104" s="0" t="n">
        <v>0</v>
      </c>
      <c r="BV104" s="0" t="n">
        <v>0</v>
      </c>
      <c r="BW104" s="0" t="n">
        <v>0.0624</v>
      </c>
      <c r="BX104" s="0" t="n">
        <v>0</v>
      </c>
      <c r="BY104" s="0" t="n">
        <v>0</v>
      </c>
      <c r="BZ104" s="0" t="n">
        <v>17</v>
      </c>
      <c r="CA104" s="0" t="n">
        <v>13.6</v>
      </c>
      <c r="CB104" s="0" t="n">
        <v>27.19</v>
      </c>
      <c r="CC104" s="0" t="n">
        <v>22.92</v>
      </c>
      <c r="CD104" s="0" t="n">
        <v>6.98</v>
      </c>
      <c r="CE104" s="0" t="n">
        <v>10</v>
      </c>
      <c r="CF104" s="0" t="n">
        <v>0</v>
      </c>
      <c r="CG104" s="0" t="n">
        <v>17</v>
      </c>
      <c r="CH104" s="0" t="n">
        <v>0.588</v>
      </c>
      <c r="CI104" s="0" t="n">
        <v>0</v>
      </c>
      <c r="CJ104" s="0" t="n">
        <v>0.305</v>
      </c>
      <c r="CK104" s="0" t="n">
        <v>0</v>
      </c>
      <c r="CL104" s="0" t="n">
        <v>0</v>
      </c>
      <c r="CM104" s="0" t="n">
        <v>0</v>
      </c>
      <c r="CN104" s="0" t="n">
        <v>0</v>
      </c>
      <c r="CO104" s="0" t="n">
        <v>0</v>
      </c>
      <c r="CP104" s="0" t="n">
        <v>3</v>
      </c>
      <c r="CQ104" s="0" t="n">
        <v>2</v>
      </c>
      <c r="CR104" s="0" t="n">
        <v>1</v>
      </c>
      <c r="CS104" s="0" t="n">
        <v>0</v>
      </c>
      <c r="CT104" s="0" t="n">
        <v>0.765610280589592</v>
      </c>
      <c r="CU104" s="0" t="n">
        <v>3</v>
      </c>
      <c r="CV104" s="0" t="n">
        <v>2</v>
      </c>
      <c r="CW104" s="0" t="n">
        <v>1</v>
      </c>
      <c r="CX104" s="0" t="n">
        <v>0</v>
      </c>
      <c r="CY104" s="0" t="n">
        <v>0.77</v>
      </c>
      <c r="CZ104" s="0" t="n">
        <v>-0.77</v>
      </c>
      <c r="DM104" s="0" t="s">
        <v>1497</v>
      </c>
      <c r="DN104" s="0" t="n">
        <v>29</v>
      </c>
      <c r="DO104" s="0" t="n">
        <v>0</v>
      </c>
      <c r="DP104" s="0" t="n">
        <v>-0.034</v>
      </c>
      <c r="DQ104" s="0" t="n">
        <v>0.069</v>
      </c>
      <c r="DZ104" s="0" t="n">
        <v>1117</v>
      </c>
      <c r="EA104" s="0" t="n">
        <v>0.985</v>
      </c>
      <c r="EB104" s="0" t="n">
        <v>17</v>
      </c>
      <c r="EC104" s="0" t="s">
        <v>1498</v>
      </c>
      <c r="ED104" s="0" t="n">
        <v>2009</v>
      </c>
      <c r="EE104" s="0" t="n">
        <v>1</v>
      </c>
      <c r="EF104" s="0" t="n">
        <v>1</v>
      </c>
      <c r="EG104" s="0" t="n">
        <v>2009</v>
      </c>
      <c r="EH104" s="0" t="n">
        <v>2026</v>
      </c>
      <c r="EI104" s="0" t="n">
        <v>18</v>
      </c>
      <c r="EJ104" s="0" t="n">
        <v>75</v>
      </c>
      <c r="EK104" s="0" t="n">
        <v>214</v>
      </c>
      <c r="EL104" s="0" t="s">
        <v>1003</v>
      </c>
      <c r="EM104" s="0" t="n">
        <v>38.5</v>
      </c>
      <c r="EN104" s="15" t="b">
        <f aca="false">FALSE()</f>
        <v>0</v>
      </c>
      <c r="EO104" s="0" t="n">
        <v>413</v>
      </c>
      <c r="EP104" s="0" t="n">
        <v>3.45544794188862</v>
      </c>
      <c r="EQ104" s="0" t="n">
        <v>0.123486682808717</v>
      </c>
      <c r="ER104" s="0" t="n">
        <v>1.50847457627119</v>
      </c>
      <c r="ES104" s="0" t="n">
        <v>0.711864406779661</v>
      </c>
      <c r="ET104" s="0" t="n">
        <v>47</v>
      </c>
      <c r="EU104" s="0" t="n">
        <v>30</v>
      </c>
      <c r="EV104" s="0" t="n">
        <v>4.94915254237288</v>
      </c>
      <c r="EW104" s="0" t="n">
        <v>0.638297872340426</v>
      </c>
      <c r="EX104" s="0" t="n">
        <v>2.94176720069723</v>
      </c>
      <c r="EY104" s="0" t="n">
        <v>3.462</v>
      </c>
      <c r="EZ104" s="0" t="n">
        <v>0.1266</v>
      </c>
      <c r="FA104" s="0" t="n">
        <v>2.811</v>
      </c>
      <c r="FB104" s="0" t="n">
        <v>1.817</v>
      </c>
      <c r="FC104" s="0" t="n">
        <v>35</v>
      </c>
      <c r="FD104" s="0" t="n">
        <v>624</v>
      </c>
      <c r="FE104" s="0" t="n">
        <v>0.0368589743589744</v>
      </c>
      <c r="FF104" s="0" t="n">
        <v>0.0424</v>
      </c>
      <c r="FG104" s="0" t="n">
        <v>0.194</v>
      </c>
      <c r="FH104" s="0" t="n">
        <v>2.396</v>
      </c>
      <c r="FI104" s="0" t="n">
        <v>1056</v>
      </c>
      <c r="FJ104" s="0" t="n">
        <v>0.584280303030303</v>
      </c>
      <c r="FK104" s="0" t="n">
        <v>17</v>
      </c>
      <c r="FL104" s="0" t="n">
        <v>62.12</v>
      </c>
      <c r="FM104" s="0" t="n">
        <v>0.6185</v>
      </c>
      <c r="FN104" s="0" t="n">
        <v>0.3815</v>
      </c>
      <c r="FO104" s="0" t="n">
        <v>0.0296</v>
      </c>
      <c r="FP104" s="0" t="n">
        <v>0.0262</v>
      </c>
      <c r="FQ104" s="0" t="n">
        <v>0.2292</v>
      </c>
      <c r="FR104" s="0" t="n">
        <v>37</v>
      </c>
      <c r="FS104" s="0" t="n">
        <v>76</v>
      </c>
      <c r="FT104" s="0" t="n">
        <v>4.47</v>
      </c>
      <c r="FU104" s="0" t="n">
        <v>30.5</v>
      </c>
      <c r="FV104" s="0" t="n">
        <v>5675</v>
      </c>
      <c r="FW104" s="0" t="n">
        <v>5129</v>
      </c>
      <c r="FX104" s="0" t="n">
        <v>0.904</v>
      </c>
      <c r="FY104" s="0" t="n">
        <v>5</v>
      </c>
      <c r="FZ104" s="0" t="n">
        <v>5</v>
      </c>
      <c r="GA104" s="0" t="n">
        <v>1.46228832359079</v>
      </c>
      <c r="GB104" s="0" t="n">
        <v>76.4</v>
      </c>
      <c r="GC104" s="0" t="n">
        <v>71.5</v>
      </c>
      <c r="GD104" s="0" t="n">
        <v>80.4</v>
      </c>
      <c r="GE104" s="0" t="n">
        <v>581</v>
      </c>
      <c r="GF104" s="0" t="n">
        <v>465</v>
      </c>
      <c r="GG104" s="0" t="n">
        <v>15</v>
      </c>
      <c r="GH104" s="0" t="n">
        <v>0</v>
      </c>
      <c r="GI104" s="0" t="n">
        <v>195</v>
      </c>
      <c r="GJ104" s="0" t="n">
        <v>1</v>
      </c>
      <c r="GK104" s="0" t="n">
        <v>0.026</v>
      </c>
      <c r="GL104" s="0" t="n">
        <v>0</v>
      </c>
      <c r="GM104" s="0" t="n">
        <v>0.005</v>
      </c>
      <c r="GN104" s="0" t="n">
        <v>20.611</v>
      </c>
      <c r="GO104" s="0" t="n">
        <v>20.611</v>
      </c>
      <c r="GP104" s="0" t="n">
        <v>20.611</v>
      </c>
      <c r="GQ104" s="0" t="n">
        <v>0</v>
      </c>
      <c r="GR104" s="0" t="n">
        <v>1.706</v>
      </c>
      <c r="GS104" s="0" t="n">
        <v>29</v>
      </c>
      <c r="GT104" s="0" t="n">
        <v>12.082</v>
      </c>
      <c r="GU104" s="0" t="n">
        <v>0.314</v>
      </c>
      <c r="GY104" s="0" t="n">
        <v>0.034</v>
      </c>
      <c r="HC104" s="0" t="n">
        <v>0</v>
      </c>
      <c r="HD104" s="0" t="n">
        <v>-1.098</v>
      </c>
      <c r="HG104" s="0" t="n">
        <v>104.67</v>
      </c>
      <c r="HH104" s="0" t="n">
        <v>14</v>
      </c>
      <c r="HI104" s="0" t="n">
        <v>63</v>
      </c>
      <c r="HJ104" s="0" t="n">
        <v>148</v>
      </c>
      <c r="HK104" s="0" t="s">
        <v>909</v>
      </c>
      <c r="HL104" s="0" t="n">
        <v>0</v>
      </c>
      <c r="HM104" s="0" t="n">
        <v>3</v>
      </c>
      <c r="HN104" s="0" t="n">
        <v>15</v>
      </c>
      <c r="HO104" s="0" t="n">
        <v>0.435</v>
      </c>
      <c r="HP104" s="0" t="n">
        <v>3</v>
      </c>
      <c r="HQ104" s="0" t="n">
        <v>0.435</v>
      </c>
      <c r="HR104" s="0" t="s">
        <v>232</v>
      </c>
    </row>
    <row r="105" customFormat="false" ht="15" hidden="false" customHeight="false" outlineLevel="0" collapsed="false">
      <c r="A105" s="0" t="s">
        <v>896</v>
      </c>
      <c r="B105" s="0" t="s">
        <v>897</v>
      </c>
      <c r="C105" s="0" t="s">
        <v>898</v>
      </c>
      <c r="D105" s="0" t="s">
        <v>348</v>
      </c>
      <c r="E105" s="0" t="n">
        <v>16499</v>
      </c>
      <c r="F105" s="0" t="s">
        <v>149</v>
      </c>
      <c r="G105" s="0" t="n">
        <v>105.31</v>
      </c>
      <c r="H105" s="0" t="n">
        <v>21.17</v>
      </c>
      <c r="I105" s="0" t="n">
        <v>73</v>
      </c>
      <c r="J105" s="0" t="n">
        <v>229</v>
      </c>
      <c r="L105" s="0" t="s">
        <v>1499</v>
      </c>
      <c r="O105" s="0" t="n">
        <v>89.6</v>
      </c>
      <c r="U105" s="0" t="n">
        <v>8</v>
      </c>
      <c r="V105" s="0" t="s">
        <v>348</v>
      </c>
      <c r="W105" s="0" t="s">
        <v>901</v>
      </c>
      <c r="X105" s="0" t="s">
        <v>948</v>
      </c>
      <c r="Y105" s="0" t="s">
        <v>1500</v>
      </c>
      <c r="Z105" s="0" t="n">
        <v>16499</v>
      </c>
      <c r="AA105" s="0" t="s">
        <v>1501</v>
      </c>
      <c r="AB105" s="0" t="s">
        <v>904</v>
      </c>
      <c r="AC105" s="0" t="s">
        <v>124</v>
      </c>
      <c r="AD105" s="0" t="s">
        <v>124</v>
      </c>
      <c r="AE105" s="0" t="s">
        <v>124</v>
      </c>
      <c r="AF105" s="0" t="s">
        <v>124</v>
      </c>
      <c r="AG105" s="0" t="s">
        <v>124</v>
      </c>
      <c r="AH105" s="0" t="s">
        <v>905</v>
      </c>
      <c r="AI105" s="0" t="n">
        <v>1</v>
      </c>
      <c r="AJ105" s="0" t="s">
        <v>149</v>
      </c>
      <c r="AK105" s="0" t="n">
        <v>104</v>
      </c>
      <c r="AL105" s="0" t="n">
        <v>10</v>
      </c>
      <c r="AM105" s="0" t="s">
        <v>349</v>
      </c>
      <c r="AN105" s="0" t="n">
        <v>0</v>
      </c>
      <c r="AO105" s="0" t="n">
        <v>0</v>
      </c>
      <c r="AP105" s="0" t="n">
        <v>0</v>
      </c>
      <c r="AQ105" s="0" t="n">
        <v>0</v>
      </c>
      <c r="AR105" s="0" t="n">
        <v>0</v>
      </c>
      <c r="AS105" s="0" t="n">
        <v>0</v>
      </c>
      <c r="AT105" s="0" t="n">
        <v>0</v>
      </c>
      <c r="AU105" s="0" t="n">
        <v>0</v>
      </c>
      <c r="AV105" s="0" t="n">
        <v>0</v>
      </c>
      <c r="AW105" s="0" t="n">
        <v>1</v>
      </c>
      <c r="AX105" s="0" t="n">
        <v>-3</v>
      </c>
      <c r="AY105" s="0" t="n">
        <v>0</v>
      </c>
      <c r="AZ105" s="0" t="n">
        <v>0</v>
      </c>
      <c r="BA105" s="0" t="n">
        <v>-0.98971250851173</v>
      </c>
      <c r="BB105" s="0" t="n">
        <v>0</v>
      </c>
      <c r="BC105" s="0" t="n">
        <v>57</v>
      </c>
      <c r="BD105" s="0" t="n">
        <v>69</v>
      </c>
      <c r="BE105" s="0" t="n">
        <v>628</v>
      </c>
      <c r="BF105" s="0" t="n">
        <v>7</v>
      </c>
      <c r="BG105" s="0" t="n">
        <v>460</v>
      </c>
      <c r="BH105" s="0" t="n">
        <v>252</v>
      </c>
      <c r="BI105" s="0" t="n">
        <v>38</v>
      </c>
      <c r="BJ105" s="0" t="n">
        <v>46.3200631268038</v>
      </c>
      <c r="BK105" s="0" t="n">
        <v>0</v>
      </c>
      <c r="BL105" s="0" t="n">
        <v>0</v>
      </c>
      <c r="BM105" s="0" t="n">
        <v>104.5</v>
      </c>
      <c r="BN105" s="0" t="n">
        <v>161.5</v>
      </c>
      <c r="BO105" s="0" t="n">
        <v>11</v>
      </c>
      <c r="BP105" s="0" t="s">
        <v>124</v>
      </c>
      <c r="BQ105" s="0" t="n">
        <v>1</v>
      </c>
      <c r="BR105" s="0" t="n">
        <v>133</v>
      </c>
      <c r="BS105" s="0" t="n">
        <v>0.1255</v>
      </c>
      <c r="BT105" s="0" t="n">
        <v>0.0021</v>
      </c>
      <c r="BU105" s="0" t="n">
        <v>0.1114</v>
      </c>
      <c r="BV105" s="0" t="n">
        <v>0.2163</v>
      </c>
      <c r="BW105" s="0" t="n">
        <v>0.0031</v>
      </c>
      <c r="BX105" s="0" t="n">
        <v>0.191</v>
      </c>
      <c r="BY105" s="0" t="n">
        <v>0.4582</v>
      </c>
      <c r="BZ105" s="0" t="n">
        <v>11</v>
      </c>
      <c r="CA105" s="0" t="n">
        <v>9.3</v>
      </c>
      <c r="CB105" s="0" t="n">
        <v>23.95</v>
      </c>
      <c r="CC105" s="0" t="n">
        <v>13.8</v>
      </c>
      <c r="CD105" s="0" t="n">
        <v>8.26</v>
      </c>
      <c r="CE105" s="0" t="n">
        <v>5</v>
      </c>
      <c r="CF105" s="0" t="n">
        <v>1</v>
      </c>
      <c r="CG105" s="0" t="n">
        <v>11</v>
      </c>
      <c r="CH105" s="0" t="n">
        <v>0.455</v>
      </c>
      <c r="CI105" s="0" t="n">
        <v>0.091</v>
      </c>
      <c r="CJ105" s="0" t="n">
        <v>0.599</v>
      </c>
      <c r="CK105" s="0" t="n">
        <v>13</v>
      </c>
      <c r="CL105" s="0" t="n">
        <v>5</v>
      </c>
      <c r="CM105" s="0" t="n">
        <v>3</v>
      </c>
      <c r="CN105" s="0" t="n">
        <v>7</v>
      </c>
      <c r="CO105" s="0" t="n">
        <v>4.35859669239044</v>
      </c>
      <c r="CP105" s="0" t="n">
        <v>1</v>
      </c>
      <c r="CQ105" s="0" t="n">
        <v>0</v>
      </c>
      <c r="CR105" s="0" t="n">
        <v>0</v>
      </c>
      <c r="CS105" s="0" t="n">
        <v>0</v>
      </c>
      <c r="CT105" s="0" t="n">
        <v>0.0446791226645004</v>
      </c>
      <c r="CU105" s="0" t="n">
        <v>14</v>
      </c>
      <c r="CV105" s="0" t="n">
        <v>5</v>
      </c>
      <c r="CW105" s="0" t="n">
        <v>3</v>
      </c>
      <c r="CX105" s="0" t="n">
        <v>7</v>
      </c>
      <c r="CY105" s="0" t="n">
        <v>4.4</v>
      </c>
      <c r="CZ105" s="0" t="n">
        <v>2.6</v>
      </c>
      <c r="DA105" s="0" t="n">
        <v>3.64551135987787</v>
      </c>
      <c r="DB105" s="0" t="n">
        <v>5.13867924528302</v>
      </c>
      <c r="DC105" s="0" t="n">
        <v>6.95391304347826</v>
      </c>
      <c r="DD105" s="0" t="n">
        <v>11.7615625214484</v>
      </c>
      <c r="DE105" s="0" t="n">
        <v>0.892990684542919</v>
      </c>
      <c r="DF105" s="0" t="n">
        <v>82.6086956521739</v>
      </c>
      <c r="DM105" s="0" t="s">
        <v>1502</v>
      </c>
      <c r="DN105" s="0" t="n">
        <v>1</v>
      </c>
      <c r="DO105" s="0" t="n">
        <v>0</v>
      </c>
      <c r="DS105" s="0" t="n">
        <v>69</v>
      </c>
      <c r="DT105" s="0" t="n">
        <v>2</v>
      </c>
      <c r="DU105" s="0" t="n">
        <v>1</v>
      </c>
      <c r="DV105" s="0" t="n">
        <v>6.596</v>
      </c>
      <c r="DW105" s="0" t="n">
        <v>4.421</v>
      </c>
      <c r="DX105" s="0" t="n">
        <v>6.7</v>
      </c>
      <c r="DY105" s="0" t="n">
        <v>0.0145</v>
      </c>
      <c r="DZ105" s="0" t="n">
        <v>554</v>
      </c>
      <c r="EA105" s="0" t="n">
        <v>0.812</v>
      </c>
      <c r="EB105" s="0" t="n">
        <v>11</v>
      </c>
      <c r="EC105" s="0" t="s">
        <v>1503</v>
      </c>
      <c r="ED105" s="0" t="n">
        <v>2017</v>
      </c>
      <c r="EE105" s="0" t="n">
        <v>5</v>
      </c>
      <c r="EF105" s="0" t="n">
        <v>146</v>
      </c>
      <c r="EG105" s="0" t="n">
        <v>2017</v>
      </c>
      <c r="EH105" s="0" t="n">
        <v>2026</v>
      </c>
      <c r="EI105" s="0" t="n">
        <v>10</v>
      </c>
      <c r="EJ105" s="0" t="n">
        <v>76</v>
      </c>
      <c r="EK105" s="0" t="n">
        <v>250</v>
      </c>
      <c r="EL105" s="0" t="s">
        <v>1374</v>
      </c>
      <c r="EM105" s="0" t="n">
        <v>32.9</v>
      </c>
      <c r="EN105" s="15" t="b">
        <f aca="false">FALSE()</f>
        <v>0</v>
      </c>
      <c r="EO105" s="0" t="n">
        <v>405</v>
      </c>
      <c r="EP105" s="0" t="n">
        <v>2.91456790123457</v>
      </c>
      <c r="EQ105" s="0" t="n">
        <v>0.180246913580247</v>
      </c>
      <c r="ER105" s="0" t="n">
        <v>1.17530864197531</v>
      </c>
      <c r="ES105" s="0" t="n">
        <v>0.402469135802469</v>
      </c>
      <c r="ET105" s="0" t="n">
        <v>29</v>
      </c>
      <c r="EU105" s="0" t="n">
        <v>19</v>
      </c>
      <c r="EV105" s="0" t="n">
        <v>3.94814814814815</v>
      </c>
      <c r="EW105" s="0" t="n">
        <v>0.655172413793103</v>
      </c>
      <c r="EX105" s="0" t="n">
        <v>2.9571088201075</v>
      </c>
      <c r="EY105" s="0" t="n">
        <v>2.906</v>
      </c>
      <c r="EZ105" s="0" t="n">
        <v>0.1848</v>
      </c>
      <c r="FA105" s="0" t="n">
        <v>2.349</v>
      </c>
      <c r="FB105" s="0" t="n">
        <v>1.428</v>
      </c>
      <c r="FC105" s="0" t="n">
        <v>23</v>
      </c>
      <c r="FD105" s="0" t="n">
        <v>624</v>
      </c>
      <c r="FE105" s="0" t="n">
        <v>0.0432692307692308</v>
      </c>
      <c r="FF105" s="0" t="n">
        <v>0.0428</v>
      </c>
      <c r="FG105" s="0" t="n">
        <v>0.2125</v>
      </c>
      <c r="FH105" s="0" t="n">
        <v>2.547</v>
      </c>
      <c r="FI105" s="0" t="n">
        <v>1065</v>
      </c>
      <c r="FJ105" s="0" t="n">
        <v>0.566197183098592</v>
      </c>
      <c r="FK105" s="0" t="n">
        <v>17</v>
      </c>
      <c r="FL105" s="0" t="n">
        <v>62.65</v>
      </c>
      <c r="FM105" s="0" t="n">
        <v>0.5521</v>
      </c>
      <c r="FN105" s="0" t="n">
        <v>0.4479</v>
      </c>
      <c r="FO105" s="0" t="n">
        <v>-0.0088</v>
      </c>
      <c r="FP105" s="0" t="n">
        <v>-0.0044</v>
      </c>
      <c r="FQ105" s="0" t="n">
        <v>0.1587</v>
      </c>
      <c r="FR105" s="0" t="n">
        <v>38</v>
      </c>
      <c r="FS105" s="0" t="n">
        <v>66</v>
      </c>
      <c r="FT105" s="0" t="n">
        <v>3.88</v>
      </c>
      <c r="FU105" s="0" t="n">
        <v>25.7</v>
      </c>
      <c r="FV105" s="0" t="n">
        <v>5615</v>
      </c>
      <c r="FW105" s="0" t="n">
        <v>4784</v>
      </c>
      <c r="FX105" s="0" t="n">
        <v>0.852</v>
      </c>
      <c r="FY105" s="0" t="n">
        <v>5</v>
      </c>
      <c r="FZ105" s="0" t="n">
        <v>4</v>
      </c>
      <c r="GA105" s="0" t="n">
        <v>-0.196965652614142</v>
      </c>
      <c r="GB105" s="0" t="n">
        <v>46.4</v>
      </c>
      <c r="GC105" s="0" t="n">
        <v>74.5</v>
      </c>
      <c r="GD105" s="0" t="n">
        <v>63.3</v>
      </c>
      <c r="GE105" s="0" t="n">
        <v>550</v>
      </c>
      <c r="GF105" s="0" t="n">
        <v>481</v>
      </c>
      <c r="GG105" s="0" t="n">
        <v>170</v>
      </c>
      <c r="GH105" s="0" t="n">
        <v>94</v>
      </c>
      <c r="GI105" s="0" t="n">
        <v>185</v>
      </c>
      <c r="GJ105" s="0" t="n">
        <v>38</v>
      </c>
      <c r="GK105" s="0" t="n">
        <v>0.309</v>
      </c>
      <c r="GL105" s="0" t="n">
        <v>0.195</v>
      </c>
      <c r="GM105" s="0" t="n">
        <v>0.205</v>
      </c>
      <c r="GN105" s="0" t="n">
        <v>14.682</v>
      </c>
      <c r="GO105" s="0" t="n">
        <v>12.091</v>
      </c>
      <c r="GP105" s="0" t="n">
        <v>9.5</v>
      </c>
      <c r="GQ105" s="0" t="n">
        <v>6.273</v>
      </c>
      <c r="GR105" s="0" t="n">
        <v>0.091</v>
      </c>
      <c r="GS105" s="0" t="n">
        <v>70</v>
      </c>
      <c r="GT105" s="0" t="n">
        <v>2.307</v>
      </c>
      <c r="GU105" s="0" t="n">
        <v>0.292</v>
      </c>
      <c r="GV105" s="0" t="n">
        <v>9.101</v>
      </c>
      <c r="GW105" s="0" t="n">
        <v>11.018</v>
      </c>
      <c r="GX105" s="0" t="n">
        <v>0.826</v>
      </c>
      <c r="GZ105" s="0" t="n">
        <v>6.667</v>
      </c>
      <c r="HA105" s="0" t="n">
        <v>4.421</v>
      </c>
      <c r="HB105" s="0" t="n">
        <v>1.365</v>
      </c>
      <c r="HC105" s="0" t="n">
        <v>0.1</v>
      </c>
      <c r="HE105" s="0" t="n">
        <v>0.671</v>
      </c>
      <c r="HG105" s="0" t="n">
        <v>105.31</v>
      </c>
      <c r="HH105" s="0" t="n">
        <v>21.17</v>
      </c>
      <c r="HI105" s="0" t="n">
        <v>73</v>
      </c>
      <c r="HJ105" s="0" t="n">
        <v>229</v>
      </c>
      <c r="HK105" s="0" t="s">
        <v>909</v>
      </c>
      <c r="HL105" s="0" t="n">
        <v>0</v>
      </c>
      <c r="HM105" s="0" t="n">
        <v>13</v>
      </c>
      <c r="HN105" s="0" t="n">
        <v>10</v>
      </c>
      <c r="HO105" s="0" t="n">
        <v>-0.18</v>
      </c>
      <c r="HP105" s="0" t="n">
        <v>3</v>
      </c>
      <c r="HQ105" s="0" t="n">
        <v>0.257</v>
      </c>
      <c r="HR105" s="0" t="s">
        <v>102</v>
      </c>
    </row>
    <row r="106" customFormat="false" ht="15" hidden="false" customHeight="false" outlineLevel="0" collapsed="false">
      <c r="A106" s="0" t="s">
        <v>896</v>
      </c>
      <c r="B106" s="0" t="s">
        <v>897</v>
      </c>
      <c r="C106" s="0" t="s">
        <v>898</v>
      </c>
      <c r="D106" s="0" t="s">
        <v>350</v>
      </c>
      <c r="E106" s="0" t="n">
        <v>27131</v>
      </c>
      <c r="F106" s="0" t="s">
        <v>104</v>
      </c>
      <c r="G106" s="0" t="n">
        <v>106.05</v>
      </c>
      <c r="H106" s="0" t="n">
        <v>13.88</v>
      </c>
      <c r="I106" s="0" t="n">
        <v>78</v>
      </c>
      <c r="J106" s="0" t="n">
        <v>156</v>
      </c>
      <c r="L106" s="0" t="s">
        <v>1504</v>
      </c>
      <c r="O106" s="0" t="n">
        <v>81.7</v>
      </c>
      <c r="U106" s="0" t="n">
        <v>10</v>
      </c>
      <c r="V106" s="0" t="s">
        <v>350</v>
      </c>
      <c r="W106" s="0" t="s">
        <v>901</v>
      </c>
      <c r="X106" s="0" t="s">
        <v>203</v>
      </c>
      <c r="Y106" s="0" t="s">
        <v>1505</v>
      </c>
      <c r="Z106" s="0" t="n">
        <v>27131</v>
      </c>
      <c r="AA106" s="0" t="s">
        <v>1506</v>
      </c>
      <c r="AB106" s="0" t="s">
        <v>904</v>
      </c>
      <c r="AC106" s="0" t="s">
        <v>203</v>
      </c>
      <c r="AD106" s="0" t="s">
        <v>203</v>
      </c>
      <c r="AE106" s="0" t="s">
        <v>203</v>
      </c>
      <c r="AF106" s="0" t="s">
        <v>203</v>
      </c>
      <c r="AG106" s="0" t="s">
        <v>203</v>
      </c>
      <c r="AH106" s="0" t="s">
        <v>905</v>
      </c>
      <c r="AI106" s="0" t="n">
        <v>2</v>
      </c>
      <c r="AJ106" s="0" t="s">
        <v>104</v>
      </c>
      <c r="AK106" s="0" t="n">
        <v>105</v>
      </c>
      <c r="AL106" s="0" t="n">
        <v>35</v>
      </c>
      <c r="AM106" s="0" t="s">
        <v>351</v>
      </c>
      <c r="AN106" s="0" t="n">
        <v>0</v>
      </c>
      <c r="AO106" s="0" t="n">
        <v>0</v>
      </c>
      <c r="AP106" s="0" t="n">
        <v>0</v>
      </c>
      <c r="AQ106" s="0" t="n">
        <v>0</v>
      </c>
      <c r="AR106" s="0" t="n">
        <v>0</v>
      </c>
      <c r="AS106" s="0" t="n">
        <v>0</v>
      </c>
      <c r="AT106" s="0" t="n">
        <v>0</v>
      </c>
      <c r="AU106" s="0" t="n">
        <v>0</v>
      </c>
      <c r="AV106" s="0" t="n">
        <v>0</v>
      </c>
      <c r="AW106" s="0" t="n">
        <v>169</v>
      </c>
      <c r="AX106" s="0" t="n">
        <v>783</v>
      </c>
      <c r="AY106" s="0" t="n">
        <v>5</v>
      </c>
      <c r="AZ106" s="0" t="n">
        <v>40</v>
      </c>
      <c r="BA106" s="0" t="n">
        <v>3.67148123559332</v>
      </c>
      <c r="BB106" s="0" t="n">
        <v>0</v>
      </c>
      <c r="BC106" s="0" t="n">
        <v>18</v>
      </c>
      <c r="BD106" s="0" t="n">
        <v>30</v>
      </c>
      <c r="BE106" s="0" t="n">
        <v>164</v>
      </c>
      <c r="BF106" s="0" t="n">
        <v>0</v>
      </c>
      <c r="BG106" s="0" t="n">
        <v>2</v>
      </c>
      <c r="BH106" s="0" t="n">
        <v>162</v>
      </c>
      <c r="BI106" s="0" t="n">
        <v>7</v>
      </c>
      <c r="BJ106" s="0" t="n">
        <v>-7.2669879461891</v>
      </c>
      <c r="BK106" s="0" t="n">
        <v>0</v>
      </c>
      <c r="BL106" s="0" t="n">
        <v>0</v>
      </c>
      <c r="BM106" s="0" t="n">
        <v>128.7</v>
      </c>
      <c r="BN106" s="0" t="n">
        <v>146.7</v>
      </c>
      <c r="BO106" s="0" t="n">
        <v>17</v>
      </c>
      <c r="BP106" s="0" t="s">
        <v>203</v>
      </c>
      <c r="BQ106" s="0" t="n">
        <v>1</v>
      </c>
      <c r="BR106" s="0" t="n">
        <v>137.7</v>
      </c>
      <c r="BS106" s="0" t="n">
        <v>0.0564</v>
      </c>
      <c r="BT106" s="0" t="n">
        <v>0.3347</v>
      </c>
      <c r="BU106" s="0" t="n">
        <v>0.0004</v>
      </c>
      <c r="BV106" s="0" t="n">
        <v>0.0564</v>
      </c>
      <c r="BW106" s="0" t="n">
        <v>0.3347</v>
      </c>
      <c r="BX106" s="0" t="n">
        <v>0.0004</v>
      </c>
      <c r="BY106" s="0" t="n">
        <v>0.0849</v>
      </c>
      <c r="BZ106" s="0" t="n">
        <v>17</v>
      </c>
      <c r="CA106" s="0" t="n">
        <v>3.3</v>
      </c>
      <c r="CB106" s="0" t="n">
        <v>15.36</v>
      </c>
      <c r="CC106" s="0" t="n">
        <v>7.7</v>
      </c>
      <c r="CD106" s="0" t="n">
        <v>6.28</v>
      </c>
      <c r="CE106" s="0" t="n">
        <v>3</v>
      </c>
      <c r="CF106" s="0" t="n">
        <v>2</v>
      </c>
      <c r="CG106" s="0" t="n">
        <v>17</v>
      </c>
      <c r="CH106" s="0" t="n">
        <v>0.176</v>
      </c>
      <c r="CI106" s="0" t="n">
        <v>0.118</v>
      </c>
      <c r="CJ106" s="0" t="n">
        <v>0.816</v>
      </c>
      <c r="CK106" s="0" t="n">
        <v>3</v>
      </c>
      <c r="CL106" s="0" t="n">
        <v>1</v>
      </c>
      <c r="CM106" s="0" t="n">
        <v>0</v>
      </c>
      <c r="CN106" s="0" t="n">
        <v>0</v>
      </c>
      <c r="CO106" s="0" t="n">
        <v>1.1838466868649</v>
      </c>
      <c r="CP106" s="0" t="n">
        <v>36</v>
      </c>
      <c r="CQ106" s="0" t="n">
        <v>19</v>
      </c>
      <c r="CR106" s="0" t="n">
        <v>10</v>
      </c>
      <c r="CS106" s="0" t="n">
        <v>5</v>
      </c>
      <c r="CT106" s="0" t="n">
        <v>6.31813240024223</v>
      </c>
      <c r="CU106" s="0" t="n">
        <v>39</v>
      </c>
      <c r="CV106" s="0" t="n">
        <v>20</v>
      </c>
      <c r="CW106" s="0" t="n">
        <v>10</v>
      </c>
      <c r="CX106" s="0" t="n">
        <v>5</v>
      </c>
      <c r="CY106" s="0" t="n">
        <v>7.5</v>
      </c>
      <c r="CZ106" s="0" t="n">
        <v>-2.5</v>
      </c>
      <c r="DG106" s="0" t="n">
        <v>3.52149425287356</v>
      </c>
      <c r="DH106" s="0" t="n">
        <v>18.9349112426036</v>
      </c>
      <c r="DI106" s="0" t="n">
        <v>2.58789473684211</v>
      </c>
      <c r="DJ106" s="0" t="n">
        <v>47.4859564375261</v>
      </c>
      <c r="DK106" s="0" t="n">
        <v>0.289548514862964</v>
      </c>
      <c r="DL106" s="0" t="n">
        <v>0.408536585365854</v>
      </c>
      <c r="DM106" s="0" t="s">
        <v>1507</v>
      </c>
      <c r="DN106" s="0" t="n">
        <v>169</v>
      </c>
      <c r="DO106" s="0" t="n">
        <v>5</v>
      </c>
      <c r="DP106" s="0" t="n">
        <v>2.716</v>
      </c>
      <c r="DQ106" s="0" t="n">
        <v>1.917</v>
      </c>
      <c r="DR106" s="0" t="n">
        <v>33.8</v>
      </c>
      <c r="DS106" s="0" t="n">
        <v>30</v>
      </c>
      <c r="DT106" s="0" t="n">
        <v>3</v>
      </c>
      <c r="DU106" s="0" t="n">
        <v>6</v>
      </c>
      <c r="DV106" s="0" t="n">
        <v>0.111</v>
      </c>
      <c r="DW106" s="0" t="n">
        <v>9</v>
      </c>
      <c r="DX106" s="0" t="n">
        <v>-0.3</v>
      </c>
      <c r="DY106" s="0" t="n">
        <v>0.2</v>
      </c>
      <c r="DZ106" s="0" t="n">
        <v>478</v>
      </c>
      <c r="EA106" s="0" t="n">
        <v>0.409</v>
      </c>
      <c r="EB106" s="0" t="n">
        <v>17</v>
      </c>
      <c r="EC106" s="0" t="s">
        <v>1508</v>
      </c>
      <c r="ED106" s="0" t="n">
        <v>2025</v>
      </c>
      <c r="EE106" s="0" t="n">
        <v>7</v>
      </c>
      <c r="EF106" s="0" t="n">
        <v>233</v>
      </c>
      <c r="EG106" s="0" t="n">
        <v>2025</v>
      </c>
      <c r="EH106" s="0" t="n">
        <v>2026</v>
      </c>
      <c r="EI106" s="0" t="n">
        <v>2</v>
      </c>
      <c r="EJ106" s="0" t="n">
        <v>68</v>
      </c>
      <c r="EK106" s="0" t="n">
        <v>207</v>
      </c>
      <c r="EL106" s="0" t="s">
        <v>1509</v>
      </c>
      <c r="EM106" s="0" t="n">
        <v>24.2</v>
      </c>
      <c r="EN106" s="15" t="b">
        <f aca="false">FALSE()</f>
        <v>0</v>
      </c>
      <c r="EO106" s="0" t="n">
        <v>400</v>
      </c>
      <c r="EP106" s="0" t="n">
        <v>3.37625</v>
      </c>
      <c r="EQ106" s="0" t="n">
        <v>0.13</v>
      </c>
      <c r="ER106" s="0" t="n">
        <v>1.5225</v>
      </c>
      <c r="ES106" s="0" t="n">
        <v>0.63</v>
      </c>
      <c r="ET106" s="0" t="n">
        <v>34</v>
      </c>
      <c r="EU106" s="0" t="n">
        <v>27</v>
      </c>
      <c r="EV106" s="0" t="n">
        <v>4.805</v>
      </c>
      <c r="EW106" s="0" t="n">
        <v>0.794117647058824</v>
      </c>
      <c r="EX106" s="0" t="n">
        <v>2.98769008642548</v>
      </c>
      <c r="EY106" s="0" t="n">
        <v>3.337</v>
      </c>
      <c r="EZ106" s="0" t="n">
        <v>0.1354</v>
      </c>
      <c r="FA106" s="0" t="n">
        <v>3.125</v>
      </c>
      <c r="FB106" s="0" t="n">
        <v>1.739</v>
      </c>
      <c r="FC106" s="0" t="n">
        <v>26</v>
      </c>
      <c r="FD106" s="0" t="n">
        <v>640</v>
      </c>
      <c r="FE106" s="0" t="n">
        <v>0.0375</v>
      </c>
      <c r="FF106" s="0" t="n">
        <v>0.0358</v>
      </c>
      <c r="FG106" s="0" t="n">
        <v>0.2787</v>
      </c>
      <c r="FH106" s="0" t="n">
        <v>2.496</v>
      </c>
      <c r="FI106" s="0" t="n">
        <v>1096</v>
      </c>
      <c r="FJ106" s="0" t="n">
        <v>0.547445255474453</v>
      </c>
      <c r="FK106" s="0" t="n">
        <v>17</v>
      </c>
      <c r="FL106" s="0" t="n">
        <v>64.47</v>
      </c>
      <c r="FM106" s="0" t="n">
        <v>0.5233</v>
      </c>
      <c r="FN106" s="0" t="n">
        <v>0.4767</v>
      </c>
      <c r="FO106" s="0" t="n">
        <v>-0.039</v>
      </c>
      <c r="FP106" s="0" t="n">
        <v>0.0786</v>
      </c>
      <c r="FQ106" s="0" t="n">
        <v>0.0802</v>
      </c>
      <c r="FR106" s="0" t="n">
        <v>37</v>
      </c>
      <c r="FS106" s="0" t="n">
        <v>58</v>
      </c>
      <c r="FT106" s="0" t="n">
        <v>3.41</v>
      </c>
      <c r="FU106" s="0" t="n">
        <v>25.9</v>
      </c>
      <c r="FV106" s="0" t="n">
        <v>5814</v>
      </c>
      <c r="FW106" s="0" t="n">
        <v>4660</v>
      </c>
      <c r="FX106" s="0" t="n">
        <v>0.802</v>
      </c>
      <c r="FY106" s="0" t="n">
        <v>5</v>
      </c>
      <c r="FZ106" s="0" t="n">
        <v>4</v>
      </c>
      <c r="GA106" s="0" t="n">
        <v>1.67518100810579</v>
      </c>
      <c r="GB106" s="0" t="n">
        <v>80.3</v>
      </c>
      <c r="GC106" s="0" t="n">
        <v>61.1</v>
      </c>
      <c r="GD106" s="0" t="n">
        <v>76.3</v>
      </c>
      <c r="GE106" s="0" t="n">
        <v>532</v>
      </c>
      <c r="GF106" s="0" t="n">
        <v>505</v>
      </c>
      <c r="GG106" s="0" t="n">
        <v>161</v>
      </c>
      <c r="GH106" s="0" t="n">
        <v>20</v>
      </c>
      <c r="GI106" s="0" t="n">
        <v>163</v>
      </c>
      <c r="GJ106" s="0" t="n">
        <v>26</v>
      </c>
      <c r="GK106" s="0" t="n">
        <v>0.303</v>
      </c>
      <c r="GL106" s="0" t="n">
        <v>0.04</v>
      </c>
      <c r="GM106" s="0" t="n">
        <v>0.16</v>
      </c>
      <c r="GN106" s="0" t="n">
        <v>8.629</v>
      </c>
      <c r="GO106" s="0" t="n">
        <v>8.1</v>
      </c>
      <c r="GP106" s="0" t="n">
        <v>7.571</v>
      </c>
      <c r="GQ106" s="0" t="n">
        <v>1.765</v>
      </c>
      <c r="GR106" s="0" t="n">
        <v>9.941</v>
      </c>
      <c r="GS106" s="0" t="n">
        <v>199</v>
      </c>
      <c r="GT106" s="0" t="n">
        <v>0.737</v>
      </c>
      <c r="GU106" s="0" t="n">
        <v>0.307</v>
      </c>
      <c r="GV106" s="0" t="n">
        <v>5.467</v>
      </c>
      <c r="GW106" s="0" t="n">
        <v>9.111</v>
      </c>
      <c r="GX106" s="0" t="n">
        <v>0.6</v>
      </c>
      <c r="GY106" s="0" t="n">
        <v>4.633</v>
      </c>
      <c r="GZ106" s="0" t="n">
        <v>0.067</v>
      </c>
      <c r="HA106" s="0" t="n">
        <v>9</v>
      </c>
      <c r="HB106" s="0" t="n">
        <v>82</v>
      </c>
      <c r="HC106" s="0" t="n">
        <v>0.025</v>
      </c>
      <c r="HD106" s="0" t="n">
        <v>0.022</v>
      </c>
      <c r="HE106" s="0" t="n">
        <v>-0.242</v>
      </c>
      <c r="HG106" s="0" t="n">
        <v>106.05</v>
      </c>
      <c r="HH106" s="0" t="n">
        <v>13.88</v>
      </c>
      <c r="HI106" s="0" t="n">
        <v>78</v>
      </c>
      <c r="HJ106" s="0" t="n">
        <v>156</v>
      </c>
      <c r="HK106" s="0" t="s">
        <v>909</v>
      </c>
      <c r="HL106" s="0" t="n">
        <v>0</v>
      </c>
      <c r="HM106" s="0" t="n">
        <v>29</v>
      </c>
      <c r="HN106" s="0" t="n">
        <v>35</v>
      </c>
      <c r="HO106" s="0" t="n">
        <v>0.004</v>
      </c>
      <c r="HP106" s="0" t="n">
        <v>39</v>
      </c>
      <c r="HQ106" s="0" t="n">
        <v>-0.435</v>
      </c>
      <c r="HR106" s="0" t="s">
        <v>102</v>
      </c>
    </row>
    <row r="107" customFormat="false" ht="15" hidden="false" customHeight="false" outlineLevel="0" collapsed="false">
      <c r="A107" s="0" t="s">
        <v>896</v>
      </c>
      <c r="B107" s="0" t="s">
        <v>897</v>
      </c>
      <c r="C107" s="0" t="s">
        <v>898</v>
      </c>
      <c r="D107" s="0" t="s">
        <v>352</v>
      </c>
      <c r="E107" s="0" t="n">
        <v>26148</v>
      </c>
      <c r="F107" s="0" t="s">
        <v>104</v>
      </c>
      <c r="G107" s="0" t="n">
        <v>106.31</v>
      </c>
      <c r="H107" s="0" t="n">
        <v>31.34</v>
      </c>
      <c r="I107" s="0" t="n">
        <v>67</v>
      </c>
      <c r="J107" s="0" t="n">
        <v>243</v>
      </c>
      <c r="L107" s="0" t="s">
        <v>1510</v>
      </c>
      <c r="O107" s="0" t="n">
        <v>74</v>
      </c>
      <c r="T107" s="0" t="n">
        <v>4</v>
      </c>
      <c r="U107" s="0" t="n">
        <v>5</v>
      </c>
      <c r="V107" s="0" t="s">
        <v>352</v>
      </c>
      <c r="W107" s="0" t="s">
        <v>901</v>
      </c>
      <c r="X107" s="0" t="s">
        <v>191</v>
      </c>
      <c r="Y107" s="0" t="s">
        <v>1511</v>
      </c>
      <c r="Z107" s="0" t="n">
        <v>26148</v>
      </c>
      <c r="AA107" s="0" t="s">
        <v>1512</v>
      </c>
      <c r="AB107" s="0" t="s">
        <v>904</v>
      </c>
      <c r="AC107" s="0" t="s">
        <v>191</v>
      </c>
      <c r="AD107" s="0" t="s">
        <v>191</v>
      </c>
      <c r="AE107" s="0" t="s">
        <v>191</v>
      </c>
      <c r="AF107" s="0" t="s">
        <v>191</v>
      </c>
      <c r="AG107" s="0" t="s">
        <v>191</v>
      </c>
      <c r="AH107" s="0" t="s">
        <v>905</v>
      </c>
      <c r="AI107" s="0" t="n">
        <v>2</v>
      </c>
      <c r="AJ107" s="0" t="s">
        <v>104</v>
      </c>
      <c r="AK107" s="0" t="n">
        <v>106</v>
      </c>
      <c r="AL107" s="0" t="n">
        <v>36</v>
      </c>
      <c r="AM107" s="0" t="s">
        <v>353</v>
      </c>
      <c r="EC107" s="0" t="s">
        <v>1513</v>
      </c>
      <c r="ED107" s="0" t="n">
        <v>2024</v>
      </c>
      <c r="EE107" s="0" t="n">
        <v>2</v>
      </c>
      <c r="EF107" s="0" t="n">
        <v>46</v>
      </c>
      <c r="EG107" s="0" t="n">
        <v>2024</v>
      </c>
      <c r="EH107" s="0" t="n">
        <v>2026</v>
      </c>
      <c r="EI107" s="0" t="n">
        <v>3</v>
      </c>
      <c r="EJ107" s="0" t="n">
        <v>72</v>
      </c>
      <c r="EK107" s="0" t="n">
        <v>216</v>
      </c>
      <c r="EL107" s="0" t="s">
        <v>927</v>
      </c>
      <c r="EM107" s="0" t="n">
        <v>23.1</v>
      </c>
      <c r="EN107" s="15" t="b">
        <f aca="false">FALSE()</f>
        <v>0</v>
      </c>
      <c r="EO107" s="0" t="n">
        <v>391</v>
      </c>
      <c r="EP107" s="0" t="n">
        <v>3.16700767263427</v>
      </c>
      <c r="EQ107" s="0" t="n">
        <v>0.138107416879795</v>
      </c>
      <c r="ER107" s="0" t="n">
        <v>1.15856777493606</v>
      </c>
      <c r="ES107" s="0" t="n">
        <v>0.534526854219949</v>
      </c>
      <c r="ET107" s="0" t="n">
        <v>29</v>
      </c>
      <c r="EU107" s="0" t="n">
        <v>20</v>
      </c>
      <c r="EV107" s="0" t="n">
        <v>4.29923273657289</v>
      </c>
      <c r="EW107" s="0" t="n">
        <v>0.689655172413793</v>
      </c>
      <c r="EX107" s="0" t="n">
        <v>2.93615385596069</v>
      </c>
      <c r="EY107" s="0" t="n">
        <v>3.179</v>
      </c>
      <c r="EZ107" s="0" t="n">
        <v>0.1391</v>
      </c>
      <c r="FA107" s="0" t="n">
        <v>2.49</v>
      </c>
      <c r="FB107" s="0" t="n">
        <v>1.798</v>
      </c>
      <c r="FC107" s="0" t="n">
        <v>18</v>
      </c>
      <c r="FD107" s="0" t="n">
        <v>582</v>
      </c>
      <c r="FE107" s="0" t="n">
        <v>0.0601374570446735</v>
      </c>
      <c r="FF107" s="0" t="n">
        <v>0.0629</v>
      </c>
      <c r="FG107" s="0" t="n">
        <v>0.2718</v>
      </c>
      <c r="FH107" s="0" t="n">
        <v>2.4</v>
      </c>
      <c r="FI107" s="0" t="n">
        <v>996</v>
      </c>
      <c r="FJ107" s="0" t="n">
        <v>0.553212851405623</v>
      </c>
      <c r="FK107" s="0" t="n">
        <v>17</v>
      </c>
      <c r="FL107" s="0" t="n">
        <v>58.59</v>
      </c>
      <c r="FM107" s="0" t="n">
        <v>0.5106</v>
      </c>
      <c r="FN107" s="0" t="n">
        <v>0.4894</v>
      </c>
      <c r="FO107" s="0" t="n">
        <v>-0.061</v>
      </c>
      <c r="FP107" s="0" t="n">
        <v>-0.0262</v>
      </c>
      <c r="FQ107" s="0" t="n">
        <v>-0.0498</v>
      </c>
      <c r="FR107" s="0" t="n">
        <v>39</v>
      </c>
      <c r="FS107" s="0" t="n">
        <v>48</v>
      </c>
      <c r="FT107" s="0" t="n">
        <v>2.82</v>
      </c>
      <c r="FU107" s="0" t="n">
        <v>18.3</v>
      </c>
      <c r="FV107" s="0" t="n">
        <v>5317</v>
      </c>
      <c r="FW107" s="0" t="n">
        <v>3170</v>
      </c>
      <c r="FX107" s="0" t="n">
        <v>0.596</v>
      </c>
      <c r="FY107" s="0" t="n">
        <v>5</v>
      </c>
      <c r="FZ107" s="0" t="n">
        <v>3</v>
      </c>
      <c r="GA107" s="0" t="n">
        <v>0.724248193828235</v>
      </c>
      <c r="GB107" s="0" t="n">
        <v>63.1</v>
      </c>
      <c r="GC107" s="0" t="n">
        <v>47.3</v>
      </c>
      <c r="GD107" s="0" t="n">
        <v>56.6</v>
      </c>
      <c r="GE107" s="0" t="n">
        <v>480</v>
      </c>
      <c r="GF107" s="0" t="n">
        <v>461</v>
      </c>
      <c r="GG107" s="0" t="n">
        <v>50</v>
      </c>
      <c r="GH107" s="0" t="n">
        <v>242</v>
      </c>
      <c r="GI107" s="0" t="n">
        <v>136</v>
      </c>
      <c r="GJ107" s="0" t="n">
        <v>40</v>
      </c>
      <c r="GK107" s="0" t="n">
        <v>0.104</v>
      </c>
      <c r="GL107" s="0" t="n">
        <v>0.525</v>
      </c>
      <c r="GM107" s="0" t="n">
        <v>0.294</v>
      </c>
      <c r="GS107" s="0" t="n">
        <v>0</v>
      </c>
      <c r="HF107" s="0" t="s">
        <v>354</v>
      </c>
      <c r="HG107" s="0" t="n">
        <v>106.31</v>
      </c>
      <c r="HH107" s="0" t="n">
        <v>31.34</v>
      </c>
      <c r="HI107" s="0" t="n">
        <v>67</v>
      </c>
      <c r="HJ107" s="0" t="n">
        <v>243</v>
      </c>
      <c r="HK107" s="0" t="s">
        <v>909</v>
      </c>
      <c r="HL107" s="0" t="n">
        <v>0</v>
      </c>
      <c r="HN107" s="0" t="n">
        <v>36</v>
      </c>
    </row>
    <row r="108" customFormat="false" ht="15" hidden="false" customHeight="false" outlineLevel="0" collapsed="false">
      <c r="A108" s="0" t="s">
        <v>896</v>
      </c>
      <c r="B108" s="0" t="s">
        <v>897</v>
      </c>
      <c r="C108" s="0" t="s">
        <v>898</v>
      </c>
      <c r="D108" s="0" t="s">
        <v>355</v>
      </c>
      <c r="E108" s="0" t="n">
        <v>15501</v>
      </c>
      <c r="F108" s="0" t="s">
        <v>172</v>
      </c>
      <c r="G108" s="0" t="n">
        <v>106.71</v>
      </c>
      <c r="H108" s="0" t="n">
        <v>11.25</v>
      </c>
      <c r="I108" s="0" t="n">
        <v>59</v>
      </c>
      <c r="J108" s="0" t="n">
        <v>124</v>
      </c>
      <c r="L108" s="0" t="s">
        <v>1514</v>
      </c>
      <c r="O108" s="0" t="n">
        <v>74.7</v>
      </c>
      <c r="U108" s="0" t="n">
        <v>6</v>
      </c>
      <c r="V108" s="0" t="s">
        <v>355</v>
      </c>
      <c r="W108" s="0" t="s">
        <v>901</v>
      </c>
      <c r="X108" s="0" t="s">
        <v>106</v>
      </c>
      <c r="Y108" s="0" t="s">
        <v>1515</v>
      </c>
      <c r="Z108" s="0" t="n">
        <v>15501</v>
      </c>
      <c r="AA108" s="0" t="s">
        <v>1516</v>
      </c>
      <c r="AB108" s="0" t="s">
        <v>904</v>
      </c>
      <c r="AC108" s="0" t="s">
        <v>106</v>
      </c>
      <c r="AD108" s="0" t="s">
        <v>106</v>
      </c>
      <c r="AE108" s="0" t="s">
        <v>106</v>
      </c>
      <c r="AF108" s="0" t="s">
        <v>106</v>
      </c>
      <c r="AG108" s="0" t="s">
        <v>106</v>
      </c>
      <c r="AH108" s="0" t="s">
        <v>905</v>
      </c>
      <c r="AI108" s="0" t="n">
        <v>1</v>
      </c>
      <c r="AJ108" s="0" t="s">
        <v>172</v>
      </c>
      <c r="AK108" s="0" t="n">
        <v>107</v>
      </c>
      <c r="AL108" s="0" t="n">
        <v>16</v>
      </c>
      <c r="AM108" s="0" t="s">
        <v>356</v>
      </c>
      <c r="AN108" s="0" t="n">
        <v>393</v>
      </c>
      <c r="AO108" s="0" t="n">
        <v>578</v>
      </c>
      <c r="AP108" s="0" t="n">
        <v>4564</v>
      </c>
      <c r="AQ108" s="0" t="n">
        <v>34</v>
      </c>
      <c r="AR108" s="0" t="n">
        <v>8</v>
      </c>
      <c r="AS108" s="0" t="n">
        <v>38</v>
      </c>
      <c r="AT108" s="0" t="n">
        <v>3715</v>
      </c>
      <c r="AU108" s="0" t="n">
        <v>223</v>
      </c>
      <c r="AV108" s="0" t="n">
        <v>106.460151239643</v>
      </c>
      <c r="AW108" s="0" t="n">
        <v>19</v>
      </c>
      <c r="AX108" s="0" t="n">
        <v>45</v>
      </c>
      <c r="AY108" s="0" t="n">
        <v>0</v>
      </c>
      <c r="AZ108" s="0" t="n">
        <v>5</v>
      </c>
      <c r="BA108" s="0" t="n">
        <v>-14.424143070451</v>
      </c>
      <c r="BB108" s="0" t="n">
        <v>2</v>
      </c>
      <c r="BC108" s="0" t="n">
        <v>0</v>
      </c>
      <c r="BD108" s="0" t="n">
        <v>0</v>
      </c>
      <c r="BE108" s="0" t="n">
        <v>0</v>
      </c>
      <c r="BF108" s="0" t="n">
        <v>0</v>
      </c>
      <c r="BG108" s="0" t="n">
        <v>0</v>
      </c>
      <c r="BH108" s="0" t="n">
        <v>0</v>
      </c>
      <c r="BI108" s="0" t="n">
        <v>0</v>
      </c>
      <c r="BJ108" s="0" t="n">
        <v>0</v>
      </c>
      <c r="BK108" s="0" t="n">
        <v>0</v>
      </c>
      <c r="BL108" s="0" t="n">
        <v>0</v>
      </c>
      <c r="BM108" s="0" t="n">
        <v>297.06</v>
      </c>
      <c r="BN108" s="0" t="n">
        <v>297.06</v>
      </c>
      <c r="BO108" s="0" t="n">
        <v>17</v>
      </c>
      <c r="BP108" s="0" t="s">
        <v>106</v>
      </c>
      <c r="BQ108" s="0" t="n">
        <v>1</v>
      </c>
      <c r="BR108" s="0" t="n">
        <v>297.06</v>
      </c>
      <c r="BS108" s="0" t="n">
        <v>0</v>
      </c>
      <c r="BT108" s="0" t="n">
        <v>0.043</v>
      </c>
      <c r="BU108" s="0" t="n">
        <v>0</v>
      </c>
      <c r="BV108" s="0" t="n">
        <v>0</v>
      </c>
      <c r="BW108" s="0" t="n">
        <v>0.043</v>
      </c>
      <c r="BX108" s="0" t="n">
        <v>0</v>
      </c>
      <c r="BY108" s="0" t="n">
        <v>0</v>
      </c>
      <c r="BZ108" s="0" t="n">
        <v>17</v>
      </c>
      <c r="CA108" s="0" t="n">
        <v>12.68</v>
      </c>
      <c r="CB108" s="0" t="n">
        <v>25.23</v>
      </c>
      <c r="CC108" s="0" t="n">
        <v>16.82</v>
      </c>
      <c r="CD108" s="0" t="n">
        <v>7.52</v>
      </c>
      <c r="CE108" s="0" t="n">
        <v>7</v>
      </c>
      <c r="CF108" s="0" t="n">
        <v>1</v>
      </c>
      <c r="CG108" s="0" t="n">
        <v>17</v>
      </c>
      <c r="CH108" s="0" t="n">
        <v>0.412</v>
      </c>
      <c r="CI108" s="0" t="n">
        <v>0.059</v>
      </c>
      <c r="CJ108" s="0" t="n">
        <v>0.447</v>
      </c>
      <c r="CK108" s="0" t="n">
        <v>0</v>
      </c>
      <c r="CL108" s="0" t="n">
        <v>0</v>
      </c>
      <c r="CM108" s="0" t="n">
        <v>0</v>
      </c>
      <c r="CN108" s="0" t="n">
        <v>0</v>
      </c>
      <c r="CO108" s="0" t="n">
        <v>0</v>
      </c>
      <c r="CP108" s="0" t="n">
        <v>1</v>
      </c>
      <c r="CQ108" s="0" t="n">
        <v>1</v>
      </c>
      <c r="CR108" s="0" t="n">
        <v>0</v>
      </c>
      <c r="CS108" s="0" t="n">
        <v>0</v>
      </c>
      <c r="CT108" s="0" t="n">
        <v>0.194423332646679</v>
      </c>
      <c r="CU108" s="0" t="n">
        <v>1</v>
      </c>
      <c r="CV108" s="0" t="n">
        <v>1</v>
      </c>
      <c r="CW108" s="0" t="n">
        <v>0</v>
      </c>
      <c r="CX108" s="0" t="n">
        <v>0</v>
      </c>
      <c r="CY108" s="0" t="n">
        <v>0.19</v>
      </c>
      <c r="CZ108" s="0" t="n">
        <v>-0.19</v>
      </c>
      <c r="DM108" s="0" t="s">
        <v>1517</v>
      </c>
      <c r="DN108" s="0" t="n">
        <v>19</v>
      </c>
      <c r="DO108" s="0" t="n">
        <v>0</v>
      </c>
      <c r="DZ108" s="0" t="n">
        <v>1083</v>
      </c>
      <c r="EA108" s="0" t="n">
        <v>0.985</v>
      </c>
      <c r="EB108" s="0" t="n">
        <v>17</v>
      </c>
      <c r="EC108" s="0" t="s">
        <v>1518</v>
      </c>
      <c r="ED108" s="0" t="n">
        <v>2016</v>
      </c>
      <c r="EE108" s="0" t="n">
        <v>1</v>
      </c>
      <c r="EF108" s="0" t="n">
        <v>1</v>
      </c>
      <c r="EG108" s="0" t="n">
        <v>2016</v>
      </c>
      <c r="EH108" s="0" t="n">
        <v>2026</v>
      </c>
      <c r="EI108" s="0" t="n">
        <v>11</v>
      </c>
      <c r="EJ108" s="0" t="n">
        <v>76</v>
      </c>
      <c r="EK108" s="0" t="n">
        <v>217</v>
      </c>
      <c r="EL108" s="0" t="s">
        <v>1519</v>
      </c>
      <c r="EM108" s="0" t="n">
        <v>31.8</v>
      </c>
      <c r="EN108" s="15" t="b">
        <f aca="false">FALSE()</f>
        <v>0</v>
      </c>
      <c r="EO108" s="0" t="n">
        <v>407</v>
      </c>
      <c r="EP108" s="0" t="n">
        <v>2.84496314496315</v>
      </c>
      <c r="EQ108" s="0" t="n">
        <v>0.174447174447174</v>
      </c>
      <c r="ER108" s="0" t="n">
        <v>1.23095823095823</v>
      </c>
      <c r="ES108" s="0" t="n">
        <v>1.3022113022113</v>
      </c>
      <c r="ET108" s="0" t="n">
        <v>31</v>
      </c>
      <c r="EU108" s="0" t="n">
        <v>20</v>
      </c>
      <c r="EV108" s="0" t="n">
        <v>4.81081081081081</v>
      </c>
      <c r="EW108" s="0" t="n">
        <v>0.645161290322581</v>
      </c>
      <c r="EX108" s="0" t="n">
        <v>2.99714515277148</v>
      </c>
      <c r="EY108" s="0" t="n">
        <v>2.796</v>
      </c>
      <c r="EZ108" s="0" t="n">
        <v>0.1795</v>
      </c>
      <c r="FA108" s="0" t="n">
        <v>2.844</v>
      </c>
      <c r="FB108" s="0" t="n">
        <v>1.774</v>
      </c>
      <c r="FC108" s="0" t="n">
        <v>23</v>
      </c>
      <c r="FD108" s="0" t="n">
        <v>624</v>
      </c>
      <c r="FE108" s="0" t="n">
        <v>0.0625</v>
      </c>
      <c r="FF108" s="0" t="n">
        <v>0.0608</v>
      </c>
      <c r="FG108" s="0" t="n">
        <v>0.2646</v>
      </c>
      <c r="FH108" s="0" t="n">
        <v>2.297</v>
      </c>
      <c r="FI108" s="0" t="n">
        <v>1051</v>
      </c>
      <c r="FJ108" s="0" t="n">
        <v>0.588962892483349</v>
      </c>
      <c r="FK108" s="0" t="n">
        <v>17</v>
      </c>
      <c r="FL108" s="0" t="n">
        <v>61.82</v>
      </c>
      <c r="FM108" s="0" t="n">
        <v>0.5469</v>
      </c>
      <c r="FN108" s="0" t="n">
        <v>0.4531</v>
      </c>
      <c r="FO108" s="0" t="n">
        <v>-0.0456</v>
      </c>
      <c r="FP108" s="0" t="n">
        <v>-0.0408</v>
      </c>
      <c r="FQ108" s="0" t="n">
        <v>0.1681</v>
      </c>
      <c r="FR108" s="0" t="n">
        <v>38</v>
      </c>
      <c r="FS108" s="0" t="n">
        <v>65</v>
      </c>
      <c r="FT108" s="0" t="n">
        <v>3.82</v>
      </c>
      <c r="FU108" s="0" t="n">
        <v>28.3</v>
      </c>
      <c r="FV108" s="0" t="n">
        <v>5583</v>
      </c>
      <c r="FW108" s="0" t="n">
        <v>2910</v>
      </c>
      <c r="FX108" s="0" t="n">
        <v>0.521</v>
      </c>
      <c r="FY108" s="0" t="n">
        <v>5</v>
      </c>
      <c r="FZ108" s="0" t="n">
        <v>3</v>
      </c>
      <c r="GA108" s="0" t="n">
        <v>-0.00159357402837607</v>
      </c>
      <c r="GB108" s="0" t="n">
        <v>50</v>
      </c>
      <c r="GC108" s="0" t="n">
        <v>44.8</v>
      </c>
      <c r="GD108" s="0" t="n">
        <v>46.7</v>
      </c>
      <c r="GE108" s="0" t="n">
        <v>550</v>
      </c>
      <c r="GF108" s="0" t="n">
        <v>442</v>
      </c>
      <c r="GG108" s="0" t="n">
        <v>79</v>
      </c>
      <c r="GH108" s="0" t="n">
        <v>167</v>
      </c>
      <c r="GI108" s="0" t="n">
        <v>179</v>
      </c>
      <c r="GJ108" s="0" t="n">
        <v>45</v>
      </c>
      <c r="GK108" s="0" t="n">
        <v>0.144</v>
      </c>
      <c r="GL108" s="0" t="n">
        <v>0.378</v>
      </c>
      <c r="GM108" s="0" t="n">
        <v>0.251</v>
      </c>
      <c r="GN108" s="0" t="n">
        <v>17.474</v>
      </c>
      <c r="GO108" s="0" t="n">
        <v>17.474</v>
      </c>
      <c r="GP108" s="0" t="n">
        <v>17.474</v>
      </c>
      <c r="GQ108" s="0" t="n">
        <v>0</v>
      </c>
      <c r="GR108" s="0" t="n">
        <v>1.118</v>
      </c>
      <c r="GS108" s="0" t="n">
        <v>19</v>
      </c>
      <c r="GT108" s="0" t="n">
        <v>15.635</v>
      </c>
      <c r="GU108" s="0" t="n">
        <v>0.274</v>
      </c>
      <c r="HC108" s="0" t="n">
        <v>0</v>
      </c>
      <c r="HG108" s="0" t="n">
        <v>106.71</v>
      </c>
      <c r="HH108" s="0" t="n">
        <v>11.25</v>
      </c>
      <c r="HI108" s="0" t="n">
        <v>59</v>
      </c>
      <c r="HJ108" s="0" t="n">
        <v>124</v>
      </c>
      <c r="HK108" s="0" t="s">
        <v>909</v>
      </c>
      <c r="HL108" s="0" t="n">
        <v>0</v>
      </c>
      <c r="HM108" s="0" t="n">
        <v>9</v>
      </c>
      <c r="HN108" s="0" t="n">
        <v>16</v>
      </c>
      <c r="HO108" s="0" t="n">
        <v>0.207</v>
      </c>
      <c r="HP108" s="0" t="n">
        <v>12</v>
      </c>
      <c r="HQ108" s="0" t="n">
        <v>0.076</v>
      </c>
      <c r="HR108" s="0" t="s">
        <v>102</v>
      </c>
    </row>
    <row r="109" customFormat="false" ht="15" hidden="false" customHeight="false" outlineLevel="0" collapsed="false">
      <c r="A109" s="0" t="s">
        <v>896</v>
      </c>
      <c r="B109" s="0" t="s">
        <v>897</v>
      </c>
      <c r="C109" s="0" t="s">
        <v>898</v>
      </c>
      <c r="D109" s="0" t="s">
        <v>357</v>
      </c>
      <c r="E109" s="0" t="n">
        <v>23107</v>
      </c>
      <c r="F109" s="0" t="s">
        <v>99</v>
      </c>
      <c r="G109" s="0" t="n">
        <v>108.59</v>
      </c>
      <c r="H109" s="0" t="n">
        <v>14.13</v>
      </c>
      <c r="I109" s="0" t="n">
        <v>68</v>
      </c>
      <c r="J109" s="0" t="n">
        <v>149</v>
      </c>
      <c r="L109" s="0" t="s">
        <v>1520</v>
      </c>
      <c r="O109" s="0" t="n">
        <v>79.2</v>
      </c>
      <c r="U109" s="0" t="n">
        <v>6</v>
      </c>
      <c r="V109" s="0" t="s">
        <v>357</v>
      </c>
      <c r="W109" s="0" t="s">
        <v>901</v>
      </c>
      <c r="X109" s="0" t="s">
        <v>127</v>
      </c>
      <c r="Y109" s="0" t="s">
        <v>1521</v>
      </c>
      <c r="Z109" s="0" t="n">
        <v>23107</v>
      </c>
      <c r="AA109" s="0" t="s">
        <v>1522</v>
      </c>
      <c r="AB109" s="0" t="s">
        <v>904</v>
      </c>
      <c r="AC109" s="0" t="s">
        <v>127</v>
      </c>
      <c r="AD109" s="0" t="s">
        <v>127</v>
      </c>
      <c r="AE109" s="0" t="s">
        <v>127</v>
      </c>
      <c r="AF109" s="0" t="s">
        <v>127</v>
      </c>
      <c r="AG109" s="0" t="s">
        <v>127</v>
      </c>
      <c r="AH109" s="0" t="s">
        <v>905</v>
      </c>
      <c r="AI109" s="0" t="n">
        <v>2</v>
      </c>
      <c r="AJ109" s="0" t="s">
        <v>99</v>
      </c>
      <c r="AK109" s="0" t="n">
        <v>108</v>
      </c>
      <c r="AL109" s="0" t="n">
        <v>46</v>
      </c>
      <c r="AM109" s="0" t="s">
        <v>358</v>
      </c>
      <c r="AN109" s="0" t="n">
        <v>0</v>
      </c>
      <c r="AO109" s="0" t="n">
        <v>0</v>
      </c>
      <c r="AP109" s="0" t="n">
        <v>0</v>
      </c>
      <c r="AQ109" s="0" t="n">
        <v>0</v>
      </c>
      <c r="AR109" s="0" t="n">
        <v>0</v>
      </c>
      <c r="AS109" s="0" t="n">
        <v>0</v>
      </c>
      <c r="AT109" s="0" t="n">
        <v>0</v>
      </c>
      <c r="AU109" s="0" t="n">
        <v>0</v>
      </c>
      <c r="AV109" s="0" t="n">
        <v>0</v>
      </c>
      <c r="AW109" s="0" t="n">
        <v>2</v>
      </c>
      <c r="AX109" s="0" t="n">
        <v>81</v>
      </c>
      <c r="AY109" s="0" t="n">
        <v>1</v>
      </c>
      <c r="AZ109" s="0" t="n">
        <v>2</v>
      </c>
      <c r="BA109" s="0" t="n">
        <v>7.7909535416984</v>
      </c>
      <c r="BB109" s="0" t="n">
        <v>0</v>
      </c>
      <c r="BC109" s="0" t="n">
        <v>42</v>
      </c>
      <c r="BD109" s="0" t="n">
        <v>79</v>
      </c>
      <c r="BE109" s="0" t="n">
        <v>610</v>
      </c>
      <c r="BF109" s="0" t="n">
        <v>3</v>
      </c>
      <c r="BG109" s="0" t="n">
        <v>1083</v>
      </c>
      <c r="BH109" s="0" t="n">
        <v>139</v>
      </c>
      <c r="BI109" s="0" t="n">
        <v>26</v>
      </c>
      <c r="BJ109" s="0" t="n">
        <v>13.9893714809131</v>
      </c>
      <c r="BK109" s="0" t="n">
        <v>0</v>
      </c>
      <c r="BL109" s="0" t="n">
        <v>0</v>
      </c>
      <c r="BM109" s="0" t="n">
        <v>93.1</v>
      </c>
      <c r="BN109" s="0" t="n">
        <v>135.1</v>
      </c>
      <c r="BO109" s="0" t="n">
        <v>14</v>
      </c>
      <c r="BP109" s="0" t="s">
        <v>127</v>
      </c>
      <c r="BQ109" s="0" t="n">
        <v>1</v>
      </c>
      <c r="BR109" s="0" t="n">
        <v>114.1</v>
      </c>
      <c r="BS109" s="0" t="n">
        <v>0.1688</v>
      </c>
      <c r="BT109" s="0" t="n">
        <v>0.0049</v>
      </c>
      <c r="BU109" s="0" t="n">
        <v>0.2907</v>
      </c>
      <c r="BV109" s="0" t="n">
        <v>0.196</v>
      </c>
      <c r="BW109" s="0" t="n">
        <v>0.006</v>
      </c>
      <c r="BX109" s="0" t="n">
        <v>0.3417</v>
      </c>
      <c r="BY109" s="0" t="n">
        <v>0.5332</v>
      </c>
      <c r="BZ109" s="0" t="n">
        <v>14</v>
      </c>
      <c r="CA109" s="0" t="n">
        <v>6.98</v>
      </c>
      <c r="CB109" s="0" t="n">
        <v>15.12</v>
      </c>
      <c r="CC109" s="0" t="n">
        <v>9.3</v>
      </c>
      <c r="CD109" s="0" t="n">
        <v>5.66</v>
      </c>
      <c r="CE109" s="0" t="n">
        <v>1</v>
      </c>
      <c r="CF109" s="0" t="n">
        <v>1</v>
      </c>
      <c r="CG109" s="0" t="n">
        <v>14</v>
      </c>
      <c r="CH109" s="0" t="n">
        <v>0.071</v>
      </c>
      <c r="CI109" s="0" t="n">
        <v>0.071</v>
      </c>
      <c r="CJ109" s="0" t="n">
        <v>0.609</v>
      </c>
      <c r="CK109" s="0" t="n">
        <v>13</v>
      </c>
      <c r="CL109" s="0" t="n">
        <v>5</v>
      </c>
      <c r="CM109" s="0" t="n">
        <v>3</v>
      </c>
      <c r="CN109" s="0" t="n">
        <v>3</v>
      </c>
      <c r="CO109" s="0" t="n">
        <v>4.4690402671241</v>
      </c>
      <c r="CP109" s="0" t="n">
        <v>0</v>
      </c>
      <c r="CQ109" s="0" t="n">
        <v>0</v>
      </c>
      <c r="CR109" s="0" t="n">
        <v>0</v>
      </c>
      <c r="CS109" s="0" t="n">
        <v>1</v>
      </c>
      <c r="CT109" s="0" t="n">
        <v>0.0195438129223138</v>
      </c>
      <c r="CU109" s="0" t="n">
        <v>13</v>
      </c>
      <c r="CV109" s="0" t="n">
        <v>5</v>
      </c>
      <c r="CW109" s="0" t="n">
        <v>3</v>
      </c>
      <c r="CX109" s="0" t="n">
        <v>4</v>
      </c>
      <c r="CY109" s="0" t="n">
        <v>4.49</v>
      </c>
      <c r="CZ109" s="0" t="n">
        <v>-0.49</v>
      </c>
      <c r="DA109" s="0" t="n">
        <v>2.86729053006329</v>
      </c>
      <c r="DB109" s="0" t="n">
        <v>7.27987012987013</v>
      </c>
      <c r="DC109" s="0" t="n">
        <v>14.4015189873418</v>
      </c>
      <c r="DD109" s="0" t="n">
        <v>29.9105617103167</v>
      </c>
      <c r="DE109" s="0" t="n">
        <v>0.626501626930908</v>
      </c>
      <c r="DF109" s="0" t="n">
        <v>53.1645569620253</v>
      </c>
      <c r="DM109" s="0" t="s">
        <v>1523</v>
      </c>
      <c r="DN109" s="0" t="n">
        <v>2</v>
      </c>
      <c r="DO109" s="0" t="n">
        <v>1</v>
      </c>
      <c r="DS109" s="0" t="n">
        <v>79</v>
      </c>
      <c r="DT109" s="0" t="n">
        <v>1</v>
      </c>
      <c r="DU109" s="0" t="n">
        <v>6</v>
      </c>
      <c r="DV109" s="0" t="n">
        <v>11.238</v>
      </c>
      <c r="DW109" s="0" t="n">
        <v>3.286</v>
      </c>
      <c r="DX109" s="0" t="n">
        <v>13.7</v>
      </c>
      <c r="DY109" s="0" t="n">
        <v>0.0759</v>
      </c>
      <c r="DZ109" s="0" t="n">
        <v>714</v>
      </c>
      <c r="EA109" s="0" t="n">
        <v>0.851</v>
      </c>
      <c r="EB109" s="0" t="n">
        <v>14</v>
      </c>
      <c r="EC109" s="0" t="s">
        <v>1524</v>
      </c>
      <c r="ED109" s="0" t="n">
        <v>2023</v>
      </c>
      <c r="EE109" s="0" t="n">
        <v>1</v>
      </c>
      <c r="EF109" s="0" t="n">
        <v>23</v>
      </c>
      <c r="EG109" s="0" t="n">
        <v>2023</v>
      </c>
      <c r="EH109" s="0" t="n">
        <v>2026</v>
      </c>
      <c r="EI109" s="0" t="n">
        <v>4</v>
      </c>
      <c r="EJ109" s="0" t="n">
        <v>71</v>
      </c>
      <c r="EK109" s="0" t="n">
        <v>179</v>
      </c>
      <c r="EL109" s="0" t="s">
        <v>1525</v>
      </c>
      <c r="EM109" s="0" t="n">
        <v>24.6</v>
      </c>
      <c r="EN109" s="15" t="b">
        <f aca="false">FALSE()</f>
        <v>0</v>
      </c>
      <c r="EO109" s="0" t="n">
        <v>348</v>
      </c>
      <c r="EP109" s="0" t="n">
        <v>3.06781609195402</v>
      </c>
      <c r="EQ109" s="0" t="n">
        <v>0.160919540229885</v>
      </c>
      <c r="ER109" s="0" t="n">
        <v>1.27011494252874</v>
      </c>
      <c r="ES109" s="0" t="n">
        <v>0.548850574712644</v>
      </c>
      <c r="ET109" s="0" t="n">
        <v>30</v>
      </c>
      <c r="EU109" s="0" t="n">
        <v>21</v>
      </c>
      <c r="EV109" s="0" t="n">
        <v>4.28448275862069</v>
      </c>
      <c r="EW109" s="0" t="n">
        <v>0.7</v>
      </c>
      <c r="EX109" s="0" t="n">
        <v>3.05559506502035</v>
      </c>
      <c r="EY109" s="0" t="n">
        <v>2.961</v>
      </c>
      <c r="EZ109" s="0" t="n">
        <v>0.1751</v>
      </c>
      <c r="FA109" s="0" t="n">
        <v>2.441</v>
      </c>
      <c r="FB109" s="0" t="n">
        <v>2.049</v>
      </c>
      <c r="FC109" s="0" t="n">
        <v>27</v>
      </c>
      <c r="FD109" s="0" t="n">
        <v>571</v>
      </c>
      <c r="FE109" s="0" t="n">
        <v>0.10507880910683</v>
      </c>
      <c r="FF109" s="0" t="n">
        <v>0.1028</v>
      </c>
      <c r="FG109" s="0" t="n">
        <v>0.3037</v>
      </c>
      <c r="FH109" s="0" t="n">
        <v>2.429</v>
      </c>
      <c r="FI109" s="0" t="n">
        <v>943</v>
      </c>
      <c r="FJ109" s="0" t="n">
        <v>0.580063626723224</v>
      </c>
      <c r="FK109" s="0" t="n">
        <v>17</v>
      </c>
      <c r="FL109" s="0" t="n">
        <v>55.47</v>
      </c>
      <c r="FM109" s="0" t="n">
        <v>0.5369</v>
      </c>
      <c r="FN109" s="0" t="n">
        <v>0.4631</v>
      </c>
      <c r="FO109" s="0" t="n">
        <v>-0.012</v>
      </c>
      <c r="FP109" s="0" t="n">
        <v>-0.0149</v>
      </c>
      <c r="FQ109" s="0" t="n">
        <v>-0.1883</v>
      </c>
      <c r="FR109" s="0" t="n">
        <v>39</v>
      </c>
      <c r="FS109" s="0" t="n">
        <v>53</v>
      </c>
      <c r="FT109" s="0" t="n">
        <v>3.12</v>
      </c>
      <c r="FU109" s="0" t="n">
        <v>20.2</v>
      </c>
      <c r="FV109" s="0" t="n">
        <v>5009</v>
      </c>
      <c r="FW109" s="0" t="n">
        <v>4102</v>
      </c>
      <c r="FX109" s="0" t="n">
        <v>0.819</v>
      </c>
      <c r="FY109" s="0" t="n">
        <v>5</v>
      </c>
      <c r="FZ109" s="0" t="n">
        <v>5</v>
      </c>
      <c r="GA109" s="0" t="n">
        <v>0.100485160629548</v>
      </c>
      <c r="GB109" s="0" t="n">
        <v>51.8</v>
      </c>
      <c r="GC109" s="0" t="n">
        <v>26.2</v>
      </c>
      <c r="GD109" s="0" t="n">
        <v>36</v>
      </c>
      <c r="GE109" s="0" t="n">
        <v>468</v>
      </c>
      <c r="GF109" s="0" t="n">
        <v>410</v>
      </c>
      <c r="GG109" s="0" t="n">
        <v>82</v>
      </c>
      <c r="GH109" s="0" t="n">
        <v>24</v>
      </c>
      <c r="GI109" s="0" t="n">
        <v>131</v>
      </c>
      <c r="GJ109" s="0" t="n">
        <v>17</v>
      </c>
      <c r="GK109" s="0" t="n">
        <v>0.175</v>
      </c>
      <c r="GL109" s="0" t="n">
        <v>0.059</v>
      </c>
      <c r="GM109" s="0" t="n">
        <v>0.13</v>
      </c>
      <c r="GN109" s="0" t="n">
        <v>9.65</v>
      </c>
      <c r="GO109" s="0" t="n">
        <v>8.15</v>
      </c>
      <c r="GP109" s="0" t="n">
        <v>6.65</v>
      </c>
      <c r="GQ109" s="0" t="n">
        <v>5.643</v>
      </c>
      <c r="GR109" s="0" t="n">
        <v>0.143</v>
      </c>
      <c r="GS109" s="0" t="n">
        <v>81</v>
      </c>
      <c r="GT109" s="0" t="n">
        <v>1.668</v>
      </c>
      <c r="GU109" s="0" t="n">
        <v>0.189</v>
      </c>
      <c r="GV109" s="0" t="n">
        <v>7.722</v>
      </c>
      <c r="GW109" s="0" t="n">
        <v>14.524</v>
      </c>
      <c r="GX109" s="0" t="n">
        <v>0.532</v>
      </c>
      <c r="GZ109" s="0" t="n">
        <v>13.709</v>
      </c>
      <c r="HA109" s="0" t="n">
        <v>3.31</v>
      </c>
      <c r="HB109" s="0" t="n">
        <v>0.563</v>
      </c>
      <c r="HC109" s="0" t="n">
        <v>0.049</v>
      </c>
      <c r="HE109" s="0" t="n">
        <v>0.177</v>
      </c>
      <c r="HG109" s="0" t="n">
        <v>108.59</v>
      </c>
      <c r="HH109" s="0" t="n">
        <v>14.13</v>
      </c>
      <c r="HI109" s="0" t="n">
        <v>68</v>
      </c>
      <c r="HJ109" s="0" t="n">
        <v>149</v>
      </c>
      <c r="HK109" s="0" t="s">
        <v>909</v>
      </c>
      <c r="HL109" s="0" t="n">
        <v>0</v>
      </c>
      <c r="HM109" s="0" t="n">
        <v>44</v>
      </c>
      <c r="HN109" s="0" t="n">
        <v>46</v>
      </c>
      <c r="HO109" s="0" t="n">
        <v>-0.264</v>
      </c>
      <c r="HP109" s="0" t="n">
        <v>49</v>
      </c>
      <c r="HQ109" s="0" t="n">
        <v>-0.483</v>
      </c>
      <c r="HR109" s="0" t="s">
        <v>102</v>
      </c>
    </row>
    <row r="110" customFormat="false" ht="15" hidden="false" customHeight="false" outlineLevel="0" collapsed="false">
      <c r="A110" s="0" t="s">
        <v>896</v>
      </c>
      <c r="B110" s="0" t="s">
        <v>897</v>
      </c>
      <c r="C110" s="0" t="s">
        <v>898</v>
      </c>
      <c r="D110" s="0" t="s">
        <v>359</v>
      </c>
      <c r="E110" s="0" t="n">
        <v>23891</v>
      </c>
      <c r="F110" s="0" t="s">
        <v>104</v>
      </c>
      <c r="G110" s="0" t="n">
        <v>108.98</v>
      </c>
      <c r="H110" s="0" t="n">
        <v>14.86</v>
      </c>
      <c r="I110" s="0" t="n">
        <v>75</v>
      </c>
      <c r="J110" s="0" t="n">
        <v>141</v>
      </c>
      <c r="L110" s="0" t="s">
        <v>1526</v>
      </c>
      <c r="O110" s="0" t="n">
        <v>74</v>
      </c>
      <c r="U110" s="0" t="n">
        <v>7</v>
      </c>
      <c r="V110" s="0" t="s">
        <v>359</v>
      </c>
      <c r="W110" s="0" t="s">
        <v>901</v>
      </c>
      <c r="X110" s="0" t="s">
        <v>221</v>
      </c>
      <c r="Y110" s="0" t="s">
        <v>1527</v>
      </c>
      <c r="Z110" s="0" t="n">
        <v>23891</v>
      </c>
      <c r="AA110" s="0" t="s">
        <v>1528</v>
      </c>
      <c r="AB110" s="0" t="s">
        <v>904</v>
      </c>
      <c r="AC110" s="0" t="s">
        <v>221</v>
      </c>
      <c r="AD110" s="0" t="s">
        <v>221</v>
      </c>
      <c r="AE110" s="0" t="s">
        <v>221</v>
      </c>
      <c r="AF110" s="0" t="s">
        <v>221</v>
      </c>
      <c r="AG110" s="0" t="s">
        <v>221</v>
      </c>
      <c r="AH110" s="0" t="s">
        <v>905</v>
      </c>
      <c r="AI110" s="0" t="n">
        <v>2</v>
      </c>
      <c r="AJ110" s="0" t="s">
        <v>104</v>
      </c>
      <c r="AK110" s="0" t="n">
        <v>109</v>
      </c>
      <c r="AL110" s="0" t="n">
        <v>37</v>
      </c>
      <c r="AM110" s="0" t="s">
        <v>360</v>
      </c>
      <c r="AN110" s="0" t="n">
        <v>0</v>
      </c>
      <c r="AO110" s="0" t="n">
        <v>0</v>
      </c>
      <c r="AP110" s="0" t="n">
        <v>0</v>
      </c>
      <c r="AQ110" s="0" t="n">
        <v>0</v>
      </c>
      <c r="AR110" s="0" t="n">
        <v>0</v>
      </c>
      <c r="AS110" s="0" t="n">
        <v>0</v>
      </c>
      <c r="AT110" s="0" t="n">
        <v>0</v>
      </c>
      <c r="AU110" s="0" t="n">
        <v>0</v>
      </c>
      <c r="AV110" s="0" t="n">
        <v>0</v>
      </c>
      <c r="AW110" s="0" t="n">
        <v>132</v>
      </c>
      <c r="AX110" s="0" t="n">
        <v>572</v>
      </c>
      <c r="AY110" s="0" t="n">
        <v>4</v>
      </c>
      <c r="AZ110" s="0" t="n">
        <v>37</v>
      </c>
      <c r="BA110" s="0" t="n">
        <v>10.4287434103052</v>
      </c>
      <c r="BB110" s="0" t="n">
        <v>0</v>
      </c>
      <c r="BC110" s="0" t="n">
        <v>40</v>
      </c>
      <c r="BD110" s="0" t="n">
        <v>45</v>
      </c>
      <c r="BE110" s="0" t="n">
        <v>218</v>
      </c>
      <c r="BF110" s="0" t="n">
        <v>0</v>
      </c>
      <c r="BG110" s="0" t="n">
        <v>-102</v>
      </c>
      <c r="BH110" s="0" t="n">
        <v>329</v>
      </c>
      <c r="BI110" s="0" t="n">
        <v>10</v>
      </c>
      <c r="BJ110" s="0" t="n">
        <v>-1.81148175994003</v>
      </c>
      <c r="BK110" s="0" t="n">
        <v>0</v>
      </c>
      <c r="BL110" s="0" t="n">
        <v>0</v>
      </c>
      <c r="BM110" s="0" t="n">
        <v>103</v>
      </c>
      <c r="BN110" s="0" t="n">
        <v>143</v>
      </c>
      <c r="BO110" s="0" t="n">
        <v>17</v>
      </c>
      <c r="BP110" s="0" t="s">
        <v>198</v>
      </c>
      <c r="BQ110" s="0" t="n">
        <v>1</v>
      </c>
      <c r="BR110" s="0" t="n">
        <v>123</v>
      </c>
      <c r="BS110" s="0" t="n">
        <v>0.0832</v>
      </c>
      <c r="BT110" s="0" t="n">
        <v>0.2797</v>
      </c>
      <c r="BU110" s="0" t="n">
        <v>-0.0235</v>
      </c>
      <c r="BV110" s="0" t="n">
        <v>0.0832</v>
      </c>
      <c r="BW110" s="0" t="n">
        <v>0.2797</v>
      </c>
      <c r="BX110" s="0" t="n">
        <v>-0.0235</v>
      </c>
      <c r="BY110" s="0" t="n">
        <v>0.1084</v>
      </c>
      <c r="BZ110" s="0" t="n">
        <v>17</v>
      </c>
      <c r="CA110" s="0" t="n">
        <v>5.2</v>
      </c>
      <c r="CB110" s="0" t="n">
        <v>12.92</v>
      </c>
      <c r="CC110" s="0" t="n">
        <v>8</v>
      </c>
      <c r="CD110" s="0" t="n">
        <v>5.5</v>
      </c>
      <c r="CE110" s="0" t="n">
        <v>2</v>
      </c>
      <c r="CF110" s="0" t="n">
        <v>1</v>
      </c>
      <c r="CG110" s="0" t="n">
        <v>17</v>
      </c>
      <c r="CH110" s="0" t="n">
        <v>0.118</v>
      </c>
      <c r="CI110" s="0" t="n">
        <v>0.059</v>
      </c>
      <c r="CJ110" s="0" t="n">
        <v>0.687</v>
      </c>
      <c r="CK110" s="0" t="n">
        <v>10</v>
      </c>
      <c r="CL110" s="0" t="n">
        <v>1</v>
      </c>
      <c r="CM110" s="0" t="n">
        <v>0</v>
      </c>
      <c r="CN110" s="0" t="n">
        <v>0</v>
      </c>
      <c r="CO110" s="0" t="n">
        <v>2.22753414239426</v>
      </c>
      <c r="CP110" s="0" t="n">
        <v>18</v>
      </c>
      <c r="CQ110" s="0" t="n">
        <v>9</v>
      </c>
      <c r="CR110" s="0" t="n">
        <v>8</v>
      </c>
      <c r="CS110" s="0" t="n">
        <v>4</v>
      </c>
      <c r="CT110" s="0" t="n">
        <v>5.19780317911073</v>
      </c>
      <c r="CU110" s="0" t="n">
        <v>28</v>
      </c>
      <c r="CV110" s="0" t="n">
        <v>10</v>
      </c>
      <c r="CW110" s="0" t="n">
        <v>8</v>
      </c>
      <c r="CX110" s="0" t="n">
        <v>4</v>
      </c>
      <c r="CY110" s="0" t="n">
        <v>7.43</v>
      </c>
      <c r="CZ110" s="0" t="n">
        <v>-3.43</v>
      </c>
      <c r="DG110" s="0" t="n">
        <v>3.54566433566434</v>
      </c>
      <c r="DH110" s="0" t="n">
        <v>20.4545454545455</v>
      </c>
      <c r="DI110" s="0" t="n">
        <v>2.73807086614173</v>
      </c>
      <c r="DJ110" s="0" t="n">
        <v>-28.3272902436063</v>
      </c>
      <c r="DK110" s="0" t="n">
        <v>-0.223049529477215</v>
      </c>
      <c r="DL110" s="0" t="n">
        <v>0.354330708661417</v>
      </c>
      <c r="DM110" s="0" t="s">
        <v>1529</v>
      </c>
      <c r="DN110" s="0" t="n">
        <v>132</v>
      </c>
      <c r="DO110" s="0" t="n">
        <v>9</v>
      </c>
      <c r="DP110" s="0" t="n">
        <v>2.826</v>
      </c>
      <c r="DQ110" s="0" t="n">
        <v>1.508</v>
      </c>
      <c r="DR110" s="0" t="n">
        <v>14.67</v>
      </c>
      <c r="DS110" s="0" t="n">
        <v>45</v>
      </c>
      <c r="DT110" s="0" t="n">
        <v>4</v>
      </c>
      <c r="DU110" s="0" t="n">
        <v>0</v>
      </c>
      <c r="DV110" s="0" t="n">
        <v>-2.775</v>
      </c>
      <c r="DW110" s="0" t="n">
        <v>8.225</v>
      </c>
      <c r="DX110" s="0" t="n">
        <v>-2.3</v>
      </c>
      <c r="DY110" s="0" t="n">
        <v>0</v>
      </c>
      <c r="DZ110" s="0" t="n">
        <v>574</v>
      </c>
      <c r="EA110" s="0" t="n">
        <v>0.511</v>
      </c>
      <c r="EB110" s="0" t="n">
        <v>17</v>
      </c>
      <c r="EC110" s="0" t="s">
        <v>1530</v>
      </c>
      <c r="ED110" s="0" t="n">
        <v>2022</v>
      </c>
      <c r="EE110" s="0" t="n">
        <v>3</v>
      </c>
      <c r="EF110" s="0" t="n">
        <v>91</v>
      </c>
      <c r="EG110" s="0" t="n">
        <v>2022</v>
      </c>
      <c r="EH110" s="0" t="n">
        <v>2026</v>
      </c>
      <c r="EI110" s="0" t="n">
        <v>5</v>
      </c>
      <c r="EJ110" s="0" t="n">
        <v>72</v>
      </c>
      <c r="EK110" s="0" t="n">
        <v>214</v>
      </c>
      <c r="EL110" s="0" t="s">
        <v>1531</v>
      </c>
      <c r="EM110" s="0" t="n">
        <v>27.6</v>
      </c>
      <c r="EN110" s="15" t="b">
        <f aca="false">FALSE()</f>
        <v>0</v>
      </c>
      <c r="EO110" s="0" t="n">
        <v>345</v>
      </c>
      <c r="EP110" s="0" t="n">
        <v>3.01826086956522</v>
      </c>
      <c r="EQ110" s="0" t="n">
        <v>0.165217391304348</v>
      </c>
      <c r="ER110" s="0" t="n">
        <v>1.27246376811594</v>
      </c>
      <c r="ES110" s="0" t="n">
        <v>0.852173913043478</v>
      </c>
      <c r="ET110" s="0" t="n">
        <v>31</v>
      </c>
      <c r="EU110" s="0" t="n">
        <v>17</v>
      </c>
      <c r="EV110" s="0" t="n">
        <v>4.54782608695652</v>
      </c>
      <c r="EW110" s="0" t="n">
        <v>0.548387096774194</v>
      </c>
      <c r="EX110" s="0" t="n">
        <v>2.96856142572662</v>
      </c>
      <c r="EY110" s="0" t="n">
        <v>2.998</v>
      </c>
      <c r="EZ110" s="0" t="n">
        <v>0.1651</v>
      </c>
      <c r="FA110" s="0" t="n">
        <v>2.512</v>
      </c>
      <c r="FB110" s="0" t="n">
        <v>2.219</v>
      </c>
      <c r="FC110" s="0" t="n">
        <v>38</v>
      </c>
      <c r="FD110" s="0" t="n">
        <v>564</v>
      </c>
      <c r="FE110" s="0" t="n">
        <v>0.0656028368794326</v>
      </c>
      <c r="FF110" s="0" t="n">
        <v>0.0606</v>
      </c>
      <c r="FG110" s="0" t="n">
        <v>0.2217</v>
      </c>
      <c r="FH110" s="0" t="n">
        <v>2.36</v>
      </c>
      <c r="FI110" s="0" t="n">
        <v>979</v>
      </c>
      <c r="FJ110" s="0" t="n">
        <v>0.514811031664964</v>
      </c>
      <c r="FK110" s="0" t="n">
        <v>17</v>
      </c>
      <c r="FL110" s="0" t="n">
        <v>57.59</v>
      </c>
      <c r="FM110" s="0" t="n">
        <v>0.4747</v>
      </c>
      <c r="FN110" s="0" t="n">
        <v>0.5253</v>
      </c>
      <c r="FO110" s="0" t="n">
        <v>-0.0427</v>
      </c>
      <c r="FP110" s="0" t="n">
        <v>0.0192</v>
      </c>
      <c r="FQ110" s="0" t="n">
        <v>-0.0055</v>
      </c>
      <c r="FR110" s="0" t="n">
        <v>38</v>
      </c>
      <c r="FS110" s="0" t="n">
        <v>50</v>
      </c>
      <c r="FT110" s="0" t="n">
        <v>2.94</v>
      </c>
      <c r="FU110" s="0" t="n">
        <v>20.9</v>
      </c>
      <c r="FV110" s="0" t="n">
        <v>5375</v>
      </c>
      <c r="FW110" s="0" t="n">
        <v>3794</v>
      </c>
      <c r="FX110" s="0" t="n">
        <v>0.706</v>
      </c>
      <c r="FY110" s="0" t="n">
        <v>5</v>
      </c>
      <c r="FZ110" s="0" t="n">
        <v>4</v>
      </c>
      <c r="GA110" s="0" t="n">
        <v>0.036879143422903</v>
      </c>
      <c r="GB110" s="0" t="n">
        <v>50.7</v>
      </c>
      <c r="GC110" s="0" t="n">
        <v>56.8</v>
      </c>
      <c r="GD110" s="0" t="n">
        <v>54.8</v>
      </c>
      <c r="GE110" s="0" t="n">
        <v>432</v>
      </c>
      <c r="GF110" s="0" t="n">
        <v>484</v>
      </c>
      <c r="GG110" s="0" t="n">
        <v>138</v>
      </c>
      <c r="GH110" s="0" t="n">
        <v>142</v>
      </c>
      <c r="GI110" s="0" t="n">
        <v>138</v>
      </c>
      <c r="GJ110" s="0" t="n">
        <v>56</v>
      </c>
      <c r="GK110" s="0" t="n">
        <v>0.319</v>
      </c>
      <c r="GL110" s="0" t="n">
        <v>0.293</v>
      </c>
      <c r="GM110" s="0" t="n">
        <v>0.406</v>
      </c>
      <c r="GN110" s="0" t="n">
        <v>8.412</v>
      </c>
      <c r="GO110" s="0" t="n">
        <v>7.235</v>
      </c>
      <c r="GP110" s="0" t="n">
        <v>6.059</v>
      </c>
      <c r="GQ110" s="0" t="n">
        <v>2.647</v>
      </c>
      <c r="GR110" s="0" t="n">
        <v>7.765</v>
      </c>
      <c r="GS110" s="0" t="n">
        <v>177</v>
      </c>
      <c r="GT110" s="0" t="n">
        <v>0.808</v>
      </c>
      <c r="GU110" s="0" t="n">
        <v>0.249</v>
      </c>
      <c r="GV110" s="0" t="n">
        <v>4.844</v>
      </c>
      <c r="GW110" s="0" t="n">
        <v>5.45</v>
      </c>
      <c r="GX110" s="0" t="n">
        <v>0.889</v>
      </c>
      <c r="GY110" s="0" t="n">
        <v>4.333</v>
      </c>
      <c r="GZ110" s="0" t="n">
        <v>-2.267</v>
      </c>
      <c r="HA110" s="0" t="n">
        <v>8.225</v>
      </c>
      <c r="HB110" s="0" t="n">
        <v>-2.137</v>
      </c>
      <c r="HC110" s="0" t="n">
        <v>0.023</v>
      </c>
      <c r="HD110" s="0" t="n">
        <v>0.079</v>
      </c>
      <c r="HE110" s="0" t="n">
        <v>-0.04</v>
      </c>
      <c r="HG110" s="0" t="n">
        <v>108.98</v>
      </c>
      <c r="HH110" s="0" t="n">
        <v>14.86</v>
      </c>
      <c r="HI110" s="0" t="n">
        <v>75</v>
      </c>
      <c r="HJ110" s="0" t="n">
        <v>141</v>
      </c>
      <c r="HK110" s="0" t="s">
        <v>909</v>
      </c>
      <c r="HL110" s="0" t="n">
        <v>0</v>
      </c>
      <c r="HM110" s="0" t="n">
        <v>31</v>
      </c>
      <c r="HN110" s="0" t="n">
        <v>37</v>
      </c>
      <c r="HO110" s="0" t="n">
        <v>-0.013</v>
      </c>
      <c r="HP110" s="0" t="n">
        <v>41</v>
      </c>
      <c r="HQ110" s="0" t="n">
        <v>-0.452</v>
      </c>
      <c r="HR110" s="0" t="s">
        <v>102</v>
      </c>
    </row>
    <row r="111" customFormat="false" ht="15" hidden="false" customHeight="false" outlineLevel="0" collapsed="false">
      <c r="A111" s="0" t="s">
        <v>896</v>
      </c>
      <c r="B111" s="0" t="s">
        <v>897</v>
      </c>
      <c r="C111" s="0" t="s">
        <v>898</v>
      </c>
      <c r="D111" s="0" t="s">
        <v>361</v>
      </c>
      <c r="E111" s="0" t="n">
        <v>23020</v>
      </c>
      <c r="F111" s="0" t="s">
        <v>99</v>
      </c>
      <c r="G111" s="0" t="n">
        <v>109.66</v>
      </c>
      <c r="H111" s="0" t="n">
        <v>13.54</v>
      </c>
      <c r="I111" s="0" t="n">
        <v>76</v>
      </c>
      <c r="J111" s="0" t="n">
        <v>149</v>
      </c>
      <c r="L111" s="0" t="s">
        <v>1532</v>
      </c>
      <c r="O111" s="0" t="n">
        <v>75.3</v>
      </c>
      <c r="U111" s="0" t="n">
        <v>11</v>
      </c>
      <c r="V111" s="0" t="s">
        <v>361</v>
      </c>
      <c r="W111" s="0" t="s">
        <v>901</v>
      </c>
      <c r="X111" s="0" t="s">
        <v>1153</v>
      </c>
      <c r="Y111" s="0" t="s">
        <v>1533</v>
      </c>
      <c r="Z111" s="0" t="n">
        <v>23020</v>
      </c>
      <c r="AA111" s="0" t="s">
        <v>1534</v>
      </c>
      <c r="AB111" s="0" t="s">
        <v>904</v>
      </c>
      <c r="AC111" s="0" t="s">
        <v>218</v>
      </c>
      <c r="AD111" s="0" t="s">
        <v>218</v>
      </c>
      <c r="AE111" s="0" t="s">
        <v>218</v>
      </c>
      <c r="AF111" s="0" t="s">
        <v>218</v>
      </c>
      <c r="AG111" s="0" t="s">
        <v>218</v>
      </c>
      <c r="AH111" s="0" t="s">
        <v>905</v>
      </c>
      <c r="AI111" s="0" t="n">
        <v>2</v>
      </c>
      <c r="AJ111" s="0" t="s">
        <v>99</v>
      </c>
      <c r="AK111" s="0" t="n">
        <v>110</v>
      </c>
      <c r="AL111" s="0" t="n">
        <v>47</v>
      </c>
      <c r="AM111" s="0" t="s">
        <v>362</v>
      </c>
      <c r="AN111" s="0" t="n">
        <v>0</v>
      </c>
      <c r="AO111" s="0" t="n">
        <v>0</v>
      </c>
      <c r="AP111" s="0" t="n">
        <v>0</v>
      </c>
      <c r="AQ111" s="0" t="n">
        <v>0</v>
      </c>
      <c r="AR111" s="0" t="n">
        <v>0</v>
      </c>
      <c r="AS111" s="0" t="n">
        <v>0</v>
      </c>
      <c r="AT111" s="0" t="n">
        <v>0</v>
      </c>
      <c r="AU111" s="0" t="n">
        <v>0</v>
      </c>
      <c r="AV111" s="0" t="n">
        <v>0</v>
      </c>
      <c r="AW111" s="0" t="n">
        <v>3</v>
      </c>
      <c r="AX111" s="0" t="n">
        <v>28</v>
      </c>
      <c r="AY111" s="0" t="n">
        <v>0</v>
      </c>
      <c r="AZ111" s="0" t="n">
        <v>1</v>
      </c>
      <c r="BA111" s="0" t="n">
        <v>1.41139986272901</v>
      </c>
      <c r="BB111" s="0" t="n">
        <v>0</v>
      </c>
      <c r="BC111" s="0" t="n">
        <v>19</v>
      </c>
      <c r="BD111" s="0" t="n">
        <v>22</v>
      </c>
      <c r="BE111" s="0" t="n">
        <v>207</v>
      </c>
      <c r="BF111" s="0" t="n">
        <v>1</v>
      </c>
      <c r="BG111" s="0" t="n">
        <v>179</v>
      </c>
      <c r="BH111" s="0" t="n">
        <v>85</v>
      </c>
      <c r="BI111" s="0" t="n">
        <v>8</v>
      </c>
      <c r="BJ111" s="0" t="n">
        <v>11.5495126296549</v>
      </c>
      <c r="BK111" s="0" t="n">
        <v>0</v>
      </c>
      <c r="BL111" s="0" t="n">
        <v>0</v>
      </c>
      <c r="BM111" s="0" t="n">
        <v>29.5</v>
      </c>
      <c r="BN111" s="0" t="n">
        <v>48.5</v>
      </c>
      <c r="BO111" s="0" t="n">
        <v>5</v>
      </c>
      <c r="BP111" s="0" t="s">
        <v>218</v>
      </c>
      <c r="BQ111" s="0" t="n">
        <v>1</v>
      </c>
      <c r="BR111" s="0" t="n">
        <v>39</v>
      </c>
      <c r="BS111" s="0" t="n">
        <v>0.0478</v>
      </c>
      <c r="BT111" s="0" t="n">
        <v>0.0061</v>
      </c>
      <c r="BU111" s="0" t="n">
        <v>0.0438</v>
      </c>
      <c r="BV111" s="0" t="n">
        <v>0.1692</v>
      </c>
      <c r="BW111" s="0" t="n">
        <v>0.0227</v>
      </c>
      <c r="BX111" s="0" t="n">
        <v>0.1287</v>
      </c>
      <c r="BY111" s="0" t="n">
        <v>0.3439</v>
      </c>
      <c r="BZ111" s="0" t="n">
        <v>5</v>
      </c>
      <c r="CA111" s="0" t="n">
        <v>8.1</v>
      </c>
      <c r="CB111" s="0" t="n">
        <v>11.7</v>
      </c>
      <c r="CC111" s="0" t="n">
        <v>9.3</v>
      </c>
      <c r="CD111" s="0" t="n">
        <v>2.48</v>
      </c>
      <c r="CE111" s="0" t="n">
        <v>0</v>
      </c>
      <c r="CF111" s="0" t="n">
        <v>0</v>
      </c>
      <c r="CG111" s="0" t="n">
        <v>5</v>
      </c>
      <c r="CH111" s="0" t="n">
        <v>0</v>
      </c>
      <c r="CI111" s="0" t="n">
        <v>0</v>
      </c>
      <c r="CJ111" s="0" t="n">
        <v>0.266</v>
      </c>
      <c r="CK111" s="0" t="n">
        <v>4</v>
      </c>
      <c r="CL111" s="0" t="n">
        <v>0</v>
      </c>
      <c r="CM111" s="0" t="n">
        <v>0</v>
      </c>
      <c r="CN111" s="0" t="n">
        <v>1</v>
      </c>
      <c r="CO111" s="0" t="n">
        <v>0.79620575498279</v>
      </c>
      <c r="CP111" s="0" t="n">
        <v>0</v>
      </c>
      <c r="CQ111" s="0" t="n">
        <v>0</v>
      </c>
      <c r="CR111" s="0" t="n">
        <v>0</v>
      </c>
      <c r="CS111" s="0" t="n">
        <v>0</v>
      </c>
      <c r="CT111" s="0" t="n">
        <v>0.0107127553206685</v>
      </c>
      <c r="CU111" s="0" t="n">
        <v>4</v>
      </c>
      <c r="CV111" s="0" t="n">
        <v>0</v>
      </c>
      <c r="CW111" s="0" t="n">
        <v>0</v>
      </c>
      <c r="CX111" s="0" t="n">
        <v>1</v>
      </c>
      <c r="CY111" s="0" t="n">
        <v>0.81</v>
      </c>
      <c r="CZ111" s="0" t="n">
        <v>0.19</v>
      </c>
      <c r="DM111" s="0" t="s">
        <v>1535</v>
      </c>
      <c r="DN111" s="0" t="n">
        <v>3</v>
      </c>
      <c r="DO111" s="0" t="n">
        <v>1</v>
      </c>
      <c r="DS111" s="0" t="n">
        <v>22</v>
      </c>
      <c r="DT111" s="0" t="n">
        <v>2</v>
      </c>
      <c r="DU111" s="0" t="n">
        <v>1</v>
      </c>
      <c r="DV111" s="0" t="n">
        <v>6.421</v>
      </c>
      <c r="DW111" s="0" t="n">
        <v>4.474</v>
      </c>
      <c r="DX111" s="0" t="n">
        <v>8.1</v>
      </c>
      <c r="DY111" s="0" t="n">
        <v>0.0455</v>
      </c>
      <c r="DZ111" s="0" t="n">
        <v>169</v>
      </c>
      <c r="EA111" s="0" t="n">
        <v>0.411</v>
      </c>
      <c r="EB111" s="0" t="n">
        <v>7</v>
      </c>
      <c r="EC111" s="0" t="s">
        <v>1536</v>
      </c>
      <c r="ED111" s="0" t="n">
        <v>2023</v>
      </c>
      <c r="EE111" s="0" t="n">
        <v>2</v>
      </c>
      <c r="EF111" s="0" t="n">
        <v>50</v>
      </c>
      <c r="EG111" s="0" t="n">
        <v>2023</v>
      </c>
      <c r="EH111" s="0" t="n">
        <v>2026</v>
      </c>
      <c r="EI111" s="0" t="n">
        <v>4</v>
      </c>
      <c r="EJ111" s="0" t="n">
        <v>71</v>
      </c>
      <c r="EK111" s="0" t="n">
        <v>187</v>
      </c>
      <c r="EL111" s="0" t="s">
        <v>1537</v>
      </c>
      <c r="EM111" s="0" t="n">
        <v>26.3</v>
      </c>
      <c r="EN111" s="15" t="b">
        <f aca="false">FALSE()</f>
        <v>0</v>
      </c>
      <c r="EO111" s="0" t="n">
        <v>386</v>
      </c>
      <c r="EP111" s="0" t="n">
        <v>2.97227979274611</v>
      </c>
      <c r="EQ111" s="0" t="n">
        <v>0.155440414507772</v>
      </c>
      <c r="ER111" s="0" t="n">
        <v>1.12694300518135</v>
      </c>
      <c r="ES111" s="0" t="n">
        <v>0.39119170984456</v>
      </c>
      <c r="ET111" s="0" t="n">
        <v>43</v>
      </c>
      <c r="EU111" s="0" t="n">
        <v>26</v>
      </c>
      <c r="EV111" s="0" t="n">
        <v>3.96632124352332</v>
      </c>
      <c r="EW111" s="0" t="n">
        <v>0.604651162790698</v>
      </c>
      <c r="EX111" s="0" t="n">
        <v>3.01595136627878</v>
      </c>
      <c r="EY111" s="0" t="n">
        <v>2.905</v>
      </c>
      <c r="EZ111" s="0" t="n">
        <v>0.1629</v>
      </c>
      <c r="FA111" s="0" t="n">
        <v>2.199</v>
      </c>
      <c r="FB111" s="0" t="n">
        <v>1.941</v>
      </c>
      <c r="FC111" s="0" t="n">
        <v>30</v>
      </c>
      <c r="FD111" s="0" t="n">
        <v>552</v>
      </c>
      <c r="FE111" s="0" t="n">
        <v>0.052536231884058</v>
      </c>
      <c r="FF111" s="0" t="n">
        <v>0.0493</v>
      </c>
      <c r="FG111" s="0" t="n">
        <v>0.2454</v>
      </c>
      <c r="FH111" s="0" t="n">
        <v>2.41</v>
      </c>
      <c r="FI111" s="0" t="n">
        <v>993</v>
      </c>
      <c r="FJ111" s="0" t="n">
        <v>0.522658610271903</v>
      </c>
      <c r="FK111" s="0" t="n">
        <v>17</v>
      </c>
      <c r="FL111" s="0" t="n">
        <v>58.41</v>
      </c>
      <c r="FM111" s="0" t="n">
        <v>0.5063</v>
      </c>
      <c r="FN111" s="0" t="n">
        <v>0.4937</v>
      </c>
      <c r="FO111" s="0" t="n">
        <v>-0.0441</v>
      </c>
      <c r="FP111" s="0" t="n">
        <v>-0.0102</v>
      </c>
      <c r="FQ111" s="0" t="n">
        <v>0.229</v>
      </c>
      <c r="FR111" s="0" t="n">
        <v>39</v>
      </c>
      <c r="FS111" s="0" t="n">
        <v>59</v>
      </c>
      <c r="FT111" s="0" t="n">
        <v>3.47</v>
      </c>
      <c r="FU111" s="0" t="n">
        <v>23</v>
      </c>
      <c r="FV111" s="0" t="n">
        <v>5321</v>
      </c>
      <c r="FW111" s="0" t="n">
        <v>3745</v>
      </c>
      <c r="FX111" s="0" t="n">
        <v>0.704</v>
      </c>
      <c r="FY111" s="0" t="n">
        <v>5</v>
      </c>
      <c r="FZ111" s="0" t="n">
        <v>4</v>
      </c>
      <c r="GA111" s="0" t="n">
        <v>-0.261697082182323</v>
      </c>
      <c r="GB111" s="0" t="n">
        <v>45.3</v>
      </c>
      <c r="GC111" s="0" t="n">
        <v>58.7</v>
      </c>
      <c r="GD111" s="0" t="n">
        <v>52.5</v>
      </c>
      <c r="GE111" s="0" t="n">
        <v>460</v>
      </c>
      <c r="GF111" s="0" t="n">
        <v>492</v>
      </c>
      <c r="GG111" s="0" t="n">
        <v>155</v>
      </c>
      <c r="GH111" s="0" t="n">
        <v>148</v>
      </c>
      <c r="GI111" s="0" t="n">
        <v>161</v>
      </c>
      <c r="GJ111" s="0" t="n">
        <v>52</v>
      </c>
      <c r="GK111" s="0" t="n">
        <v>0.337</v>
      </c>
      <c r="GL111" s="0" t="n">
        <v>0.301</v>
      </c>
      <c r="GM111" s="0" t="n">
        <v>0.323</v>
      </c>
      <c r="GN111" s="0" t="n">
        <v>9.7</v>
      </c>
      <c r="GO111" s="0" t="n">
        <v>7.8</v>
      </c>
      <c r="GP111" s="0" t="n">
        <v>5.9</v>
      </c>
      <c r="GQ111" s="0" t="n">
        <v>4.4</v>
      </c>
      <c r="GR111" s="0" t="n">
        <v>0.6</v>
      </c>
      <c r="GS111" s="0" t="n">
        <v>25</v>
      </c>
      <c r="GT111" s="0" t="n">
        <v>1.94</v>
      </c>
      <c r="GU111" s="0" t="n">
        <v>0.287</v>
      </c>
      <c r="GV111" s="0" t="n">
        <v>9.409</v>
      </c>
      <c r="GW111" s="0" t="n">
        <v>10.895</v>
      </c>
      <c r="GX111" s="0" t="n">
        <v>0.864</v>
      </c>
      <c r="GZ111" s="0" t="n">
        <v>8.136</v>
      </c>
      <c r="HA111" s="0" t="n">
        <v>4.474</v>
      </c>
      <c r="HB111" s="0" t="n">
        <v>1.156</v>
      </c>
      <c r="HC111" s="0" t="n">
        <v>0.04</v>
      </c>
      <c r="HE111" s="0" t="n">
        <v>0.525</v>
      </c>
      <c r="HG111" s="0" t="n">
        <v>109.66</v>
      </c>
      <c r="HH111" s="0" t="n">
        <v>13.54</v>
      </c>
      <c r="HI111" s="0" t="n">
        <v>76</v>
      </c>
      <c r="HJ111" s="0" t="n">
        <v>149</v>
      </c>
      <c r="HK111" s="0" t="s">
        <v>909</v>
      </c>
      <c r="HL111" s="0" t="n">
        <v>0</v>
      </c>
      <c r="HM111" s="0" t="n">
        <v>83</v>
      </c>
      <c r="HN111" s="0" t="n">
        <v>47</v>
      </c>
      <c r="HO111" s="0" t="n">
        <v>-1.938</v>
      </c>
      <c r="HP111" s="0" t="n">
        <v>48</v>
      </c>
      <c r="HQ111" s="0" t="n">
        <v>-0.404</v>
      </c>
      <c r="HR111" s="0" t="s">
        <v>165</v>
      </c>
    </row>
    <row r="112" customFormat="false" ht="15" hidden="false" customHeight="false" outlineLevel="0" collapsed="false">
      <c r="A112" s="0" t="s">
        <v>896</v>
      </c>
      <c r="B112" s="0" t="s">
        <v>897</v>
      </c>
      <c r="C112" s="0" t="s">
        <v>898</v>
      </c>
      <c r="D112" s="0" t="s">
        <v>363</v>
      </c>
      <c r="E112" s="0" t="n">
        <v>13981</v>
      </c>
      <c r="F112" s="0" t="s">
        <v>99</v>
      </c>
      <c r="G112" s="0" t="n">
        <v>111.6</v>
      </c>
      <c r="H112" s="0" t="n">
        <v>38.04</v>
      </c>
      <c r="I112" s="0" t="n">
        <v>60</v>
      </c>
      <c r="J112" s="0" t="n">
        <v>223</v>
      </c>
      <c r="L112" s="0" t="s">
        <v>1538</v>
      </c>
      <c r="O112" s="0" t="n">
        <v>69.5</v>
      </c>
      <c r="T112" s="0" t="n">
        <v>22</v>
      </c>
      <c r="U112" s="0" t="n">
        <v>7</v>
      </c>
      <c r="V112" s="0" t="s">
        <v>363</v>
      </c>
      <c r="W112" s="0" t="s">
        <v>901</v>
      </c>
      <c r="X112" s="0" t="s">
        <v>221</v>
      </c>
      <c r="Y112" s="0" t="s">
        <v>1539</v>
      </c>
      <c r="Z112" s="0" t="n">
        <v>13981</v>
      </c>
      <c r="AA112" s="0" t="s">
        <v>1540</v>
      </c>
      <c r="AB112" s="0" t="s">
        <v>904</v>
      </c>
      <c r="AD112" s="0" t="s">
        <v>221</v>
      </c>
      <c r="AE112" s="0" t="s">
        <v>221</v>
      </c>
      <c r="AF112" s="0" t="s">
        <v>221</v>
      </c>
      <c r="AG112" s="0" t="s">
        <v>221</v>
      </c>
      <c r="AH112" s="0" t="s">
        <v>1541</v>
      </c>
      <c r="AI112" s="0" t="n">
        <v>2</v>
      </c>
      <c r="AJ112" s="0" t="s">
        <v>99</v>
      </c>
      <c r="AK112" s="0" t="n">
        <v>111</v>
      </c>
      <c r="AL112" s="0" t="n">
        <v>48</v>
      </c>
      <c r="AM112" s="0" t="s">
        <v>364</v>
      </c>
      <c r="AN112" s="0" t="n">
        <v>0</v>
      </c>
      <c r="AO112" s="0" t="n">
        <v>0</v>
      </c>
      <c r="AP112" s="0" t="n">
        <v>0</v>
      </c>
      <c r="AQ112" s="0" t="n">
        <v>0</v>
      </c>
      <c r="AR112" s="0" t="n">
        <v>0</v>
      </c>
      <c r="AS112" s="0" t="n">
        <v>0</v>
      </c>
      <c r="AT112" s="0" t="n">
        <v>0</v>
      </c>
      <c r="AU112" s="0" t="n">
        <v>0</v>
      </c>
      <c r="AV112" s="0" t="n">
        <v>0</v>
      </c>
      <c r="AW112" s="0" t="n">
        <v>0</v>
      </c>
      <c r="AX112" s="0" t="n">
        <v>0</v>
      </c>
      <c r="AY112" s="0" t="n">
        <v>0</v>
      </c>
      <c r="AZ112" s="0" t="n">
        <v>0</v>
      </c>
      <c r="BA112" s="0" t="n">
        <v>0</v>
      </c>
      <c r="BB112" s="0" t="n">
        <v>0</v>
      </c>
      <c r="BC112" s="0" t="n">
        <v>85</v>
      </c>
      <c r="BD112" s="0" t="n">
        <v>102</v>
      </c>
      <c r="BE112" s="0" t="n">
        <v>1013</v>
      </c>
      <c r="BF112" s="0" t="n">
        <v>4</v>
      </c>
      <c r="BG112" s="0" t="n">
        <v>871</v>
      </c>
      <c r="BH112" s="0" t="n">
        <v>354</v>
      </c>
      <c r="BI112" s="0" t="n">
        <v>51</v>
      </c>
      <c r="BJ112" s="0" t="n">
        <v>70.3703738886255</v>
      </c>
      <c r="BK112" s="0" t="n">
        <v>0</v>
      </c>
      <c r="BL112" s="0" t="n">
        <v>0</v>
      </c>
      <c r="BM112" s="0" t="n">
        <v>125.3</v>
      </c>
      <c r="BN112" s="0" t="n">
        <v>210.3</v>
      </c>
      <c r="BO112" s="0" t="n">
        <v>17</v>
      </c>
      <c r="BP112" s="0" t="s">
        <v>135</v>
      </c>
      <c r="BQ112" s="0" t="n">
        <v>1</v>
      </c>
      <c r="BR112" s="0" t="n">
        <v>167.8</v>
      </c>
      <c r="BS112" s="0" t="n">
        <v>0.2116</v>
      </c>
      <c r="BT112" s="0" t="n">
        <v>0</v>
      </c>
      <c r="BU112" s="0" t="n">
        <v>0.1946</v>
      </c>
      <c r="BV112" s="0" t="n">
        <v>0.2116</v>
      </c>
      <c r="BW112" s="0" t="n">
        <v>0</v>
      </c>
      <c r="BX112" s="0" t="n">
        <v>0.1946</v>
      </c>
      <c r="BY112" s="0" t="n">
        <v>0.4536</v>
      </c>
      <c r="BZ112" s="0" t="n">
        <v>17</v>
      </c>
      <c r="CA112" s="0" t="n">
        <v>5.8</v>
      </c>
      <c r="CB112" s="0" t="n">
        <v>21.06</v>
      </c>
      <c r="CC112" s="0" t="n">
        <v>11.7</v>
      </c>
      <c r="CD112" s="0" t="n">
        <v>6.81</v>
      </c>
      <c r="CE112" s="0" t="n">
        <v>4</v>
      </c>
      <c r="CF112" s="0" t="n">
        <v>0</v>
      </c>
      <c r="CG112" s="0" t="n">
        <v>17</v>
      </c>
      <c r="CH112" s="0" t="n">
        <v>0.235</v>
      </c>
      <c r="CI112" s="0" t="n">
        <v>0</v>
      </c>
      <c r="CJ112" s="0" t="n">
        <v>0.582</v>
      </c>
      <c r="CK112" s="0" t="n">
        <v>12</v>
      </c>
      <c r="CL112" s="0" t="n">
        <v>7</v>
      </c>
      <c r="CM112" s="0" t="n">
        <v>4</v>
      </c>
      <c r="CN112" s="0" t="n">
        <v>4</v>
      </c>
      <c r="CO112" s="0" t="n">
        <v>4.93371297887073</v>
      </c>
      <c r="CP112" s="0" t="n">
        <v>0</v>
      </c>
      <c r="CQ112" s="0" t="n">
        <v>0</v>
      </c>
      <c r="CR112" s="0" t="n">
        <v>0</v>
      </c>
      <c r="CS112" s="0" t="n">
        <v>0</v>
      </c>
      <c r="CT112" s="0" t="n">
        <v>0</v>
      </c>
      <c r="CU112" s="0" t="n">
        <v>12</v>
      </c>
      <c r="CV112" s="0" t="n">
        <v>7</v>
      </c>
      <c r="CW112" s="0" t="n">
        <v>4</v>
      </c>
      <c r="CX112" s="0" t="n">
        <v>4</v>
      </c>
      <c r="CY112" s="0" t="n">
        <v>4.93</v>
      </c>
      <c r="CZ112" s="0" t="n">
        <v>-0.93</v>
      </c>
      <c r="DA112" s="0" t="n">
        <v>3.02077582459322</v>
      </c>
      <c r="DB112" s="0" t="n">
        <v>5.83577319587629</v>
      </c>
      <c r="DC112" s="0" t="n">
        <v>8.53009803921569</v>
      </c>
      <c r="DD112" s="0" t="n">
        <v>19.7592741889698</v>
      </c>
      <c r="DE112" s="0" t="n">
        <v>0.845853533388673</v>
      </c>
      <c r="DF112" s="0" t="n">
        <v>83.3333333333333</v>
      </c>
      <c r="DM112" s="0" t="s">
        <v>1542</v>
      </c>
      <c r="DS112" s="0" t="n">
        <v>102</v>
      </c>
      <c r="DT112" s="0" t="n">
        <v>2</v>
      </c>
      <c r="DU112" s="0" t="n">
        <v>3</v>
      </c>
      <c r="DV112" s="0" t="n">
        <v>7.753</v>
      </c>
      <c r="DW112" s="0" t="n">
        <v>4.165</v>
      </c>
      <c r="DX112" s="0" t="n">
        <v>8.5</v>
      </c>
      <c r="DY112" s="0" t="n">
        <v>0.0294</v>
      </c>
      <c r="DZ112" s="0" t="n">
        <v>587</v>
      </c>
      <c r="EA112" s="0" t="n">
        <v>0.538</v>
      </c>
      <c r="EB112" s="0" t="n">
        <v>17</v>
      </c>
      <c r="EC112" s="0" t="s">
        <v>1543</v>
      </c>
      <c r="ED112" s="0" t="n">
        <v>2015</v>
      </c>
      <c r="EE112" s="0" t="n">
        <v>5</v>
      </c>
      <c r="EF112" s="0" t="n">
        <v>146</v>
      </c>
      <c r="EG112" s="0" t="n">
        <v>2015</v>
      </c>
      <c r="EH112" s="0" t="n">
        <v>2026</v>
      </c>
      <c r="EI112" s="0" t="n">
        <v>12</v>
      </c>
      <c r="EJ112" s="0" t="n">
        <v>72</v>
      </c>
      <c r="EK112" s="0" t="n">
        <v>191</v>
      </c>
      <c r="EL112" s="0" t="s">
        <v>1204</v>
      </c>
      <c r="EM112" s="0" t="n">
        <v>32.7</v>
      </c>
      <c r="EN112" s="15" t="b">
        <f aca="false">FALSE()</f>
        <v>0</v>
      </c>
      <c r="EO112" s="0" t="n">
        <v>345</v>
      </c>
      <c r="EP112" s="0" t="n">
        <v>3.01826086956522</v>
      </c>
      <c r="EQ112" s="0" t="n">
        <v>0.165217391304348</v>
      </c>
      <c r="ER112" s="0" t="n">
        <v>1.27246376811594</v>
      </c>
      <c r="ES112" s="0" t="n">
        <v>0.852173913043478</v>
      </c>
      <c r="ET112" s="0" t="n">
        <v>31</v>
      </c>
      <c r="EU112" s="0" t="n">
        <v>17</v>
      </c>
      <c r="EV112" s="0" t="n">
        <v>4.54782608695652</v>
      </c>
      <c r="EW112" s="0" t="n">
        <v>0.548387096774194</v>
      </c>
      <c r="EX112" s="0" t="n">
        <v>2.96856142572662</v>
      </c>
      <c r="EY112" s="0" t="n">
        <v>2.998</v>
      </c>
      <c r="EZ112" s="0" t="n">
        <v>0.1651</v>
      </c>
      <c r="FA112" s="0" t="n">
        <v>2.512</v>
      </c>
      <c r="FB112" s="0" t="n">
        <v>2.219</v>
      </c>
      <c r="FC112" s="0" t="n">
        <v>38</v>
      </c>
      <c r="FD112" s="0" t="n">
        <v>564</v>
      </c>
      <c r="FE112" s="0" t="n">
        <v>0.0656028368794326</v>
      </c>
      <c r="FF112" s="0" t="n">
        <v>0.0606</v>
      </c>
      <c r="FG112" s="0" t="n">
        <v>0.2217</v>
      </c>
      <c r="FH112" s="0" t="n">
        <v>2.36</v>
      </c>
      <c r="FI112" s="0" t="n">
        <v>979</v>
      </c>
      <c r="FJ112" s="0" t="n">
        <v>0.514811031664964</v>
      </c>
      <c r="FK112" s="0" t="n">
        <v>17</v>
      </c>
      <c r="FL112" s="0" t="n">
        <v>57.59</v>
      </c>
      <c r="FM112" s="0" t="n">
        <v>0.4747</v>
      </c>
      <c r="FN112" s="0" t="n">
        <v>0.5253</v>
      </c>
      <c r="FO112" s="0" t="n">
        <v>-0.0427</v>
      </c>
      <c r="FP112" s="0" t="n">
        <v>0.0192</v>
      </c>
      <c r="FQ112" s="0" t="n">
        <v>-0.0055</v>
      </c>
      <c r="FR112" s="0" t="n">
        <v>38</v>
      </c>
      <c r="FS112" s="0" t="n">
        <v>50</v>
      </c>
      <c r="FT112" s="0" t="n">
        <v>2.94</v>
      </c>
      <c r="FU112" s="0" t="n">
        <v>20.9</v>
      </c>
      <c r="FV112" s="0" t="n">
        <v>5375</v>
      </c>
      <c r="FW112" s="0" t="n">
        <v>3794</v>
      </c>
      <c r="FX112" s="0" t="n">
        <v>0.706</v>
      </c>
      <c r="FY112" s="0" t="n">
        <v>5</v>
      </c>
      <c r="FZ112" s="0" t="n">
        <v>4</v>
      </c>
      <c r="GA112" s="0" t="n">
        <v>0.036879143422903</v>
      </c>
      <c r="GB112" s="0" t="n">
        <v>50.7</v>
      </c>
      <c r="GC112" s="0" t="n">
        <v>56.8</v>
      </c>
      <c r="GD112" s="0" t="n">
        <v>54.8</v>
      </c>
      <c r="GE112" s="0" t="n">
        <v>432</v>
      </c>
      <c r="GF112" s="0" t="n">
        <v>484</v>
      </c>
      <c r="GG112" s="0" t="n">
        <v>138</v>
      </c>
      <c r="GH112" s="0" t="n">
        <v>142</v>
      </c>
      <c r="GI112" s="0" t="n">
        <v>138</v>
      </c>
      <c r="GJ112" s="0" t="n">
        <v>56</v>
      </c>
      <c r="GK112" s="0" t="n">
        <v>0.319</v>
      </c>
      <c r="GL112" s="0" t="n">
        <v>0.293</v>
      </c>
      <c r="GM112" s="0" t="n">
        <v>0.406</v>
      </c>
      <c r="GN112" s="0" t="n">
        <v>12.371</v>
      </c>
      <c r="GO112" s="0" t="n">
        <v>9.871</v>
      </c>
      <c r="GP112" s="0" t="n">
        <v>7.371</v>
      </c>
      <c r="GQ112" s="0" t="n">
        <v>6</v>
      </c>
      <c r="GR112" s="0" t="n">
        <v>0</v>
      </c>
      <c r="GS112" s="0" t="n">
        <v>102</v>
      </c>
      <c r="GT112" s="0" t="n">
        <v>2.062</v>
      </c>
      <c r="GU112" s="0" t="n">
        <v>0.358</v>
      </c>
      <c r="GV112" s="0" t="n">
        <v>9.931</v>
      </c>
      <c r="GW112" s="0" t="n">
        <v>11.918</v>
      </c>
      <c r="GX112" s="0" t="n">
        <v>0.833</v>
      </c>
      <c r="GZ112" s="0" t="n">
        <v>8.539</v>
      </c>
      <c r="HA112" s="0" t="n">
        <v>4.165</v>
      </c>
      <c r="HB112" s="0" t="n">
        <v>1.163</v>
      </c>
      <c r="HC112" s="0" t="n">
        <v>0.039</v>
      </c>
      <c r="HE112" s="0" t="n">
        <v>0.69</v>
      </c>
      <c r="HG112" s="0" t="n">
        <v>111.6</v>
      </c>
      <c r="HH112" s="0" t="n">
        <v>38.04</v>
      </c>
      <c r="HI112" s="0" t="n">
        <v>60</v>
      </c>
      <c r="HJ112" s="0" t="n">
        <v>223</v>
      </c>
      <c r="HK112" s="0" t="s">
        <v>909</v>
      </c>
      <c r="HL112" s="0" t="n">
        <v>0</v>
      </c>
      <c r="HM112" s="0" t="n">
        <v>17</v>
      </c>
      <c r="HN112" s="0" t="n">
        <v>48</v>
      </c>
      <c r="HO112" s="0" t="n">
        <v>0.99</v>
      </c>
      <c r="HP112" s="0" t="n">
        <v>26</v>
      </c>
      <c r="HQ112" s="0" t="n">
        <v>0.595</v>
      </c>
      <c r="HR112" s="0" t="s">
        <v>232</v>
      </c>
    </row>
    <row r="113" customFormat="false" ht="15" hidden="false" customHeight="false" outlineLevel="0" collapsed="false">
      <c r="A113" s="0" t="s">
        <v>896</v>
      </c>
      <c r="B113" s="0" t="s">
        <v>897</v>
      </c>
      <c r="C113" s="0" t="s">
        <v>898</v>
      </c>
      <c r="D113" s="0" t="s">
        <v>365</v>
      </c>
      <c r="E113" s="0" t="n">
        <v>23013</v>
      </c>
      <c r="F113" s="0" t="s">
        <v>104</v>
      </c>
      <c r="G113" s="0" t="n">
        <v>112.83</v>
      </c>
      <c r="H113" s="0" t="n">
        <v>13.44</v>
      </c>
      <c r="I113" s="0" t="n">
        <v>84</v>
      </c>
      <c r="J113" s="0" t="n">
        <v>145</v>
      </c>
      <c r="L113" s="0" t="s">
        <v>1544</v>
      </c>
      <c r="O113" s="0" t="n">
        <v>79.7</v>
      </c>
      <c r="U113" s="0" t="n">
        <v>11</v>
      </c>
      <c r="V113" s="0" t="s">
        <v>365</v>
      </c>
      <c r="W113" s="0" t="s">
        <v>901</v>
      </c>
      <c r="X113" s="0" t="s">
        <v>109</v>
      </c>
      <c r="Y113" s="0" t="s">
        <v>1545</v>
      </c>
      <c r="Z113" s="0" t="n">
        <v>23013</v>
      </c>
      <c r="AA113" s="0" t="s">
        <v>1546</v>
      </c>
      <c r="AB113" s="0" t="s">
        <v>904</v>
      </c>
      <c r="AC113" s="0" t="s">
        <v>109</v>
      </c>
      <c r="AD113" s="0" t="s">
        <v>109</v>
      </c>
      <c r="AE113" s="0" t="s">
        <v>109</v>
      </c>
      <c r="AF113" s="0" t="s">
        <v>109</v>
      </c>
      <c r="AG113" s="0" t="s">
        <v>109</v>
      </c>
      <c r="AH113" s="0" t="s">
        <v>905</v>
      </c>
      <c r="AI113" s="0" t="n">
        <v>2</v>
      </c>
      <c r="AJ113" s="0" t="s">
        <v>104</v>
      </c>
      <c r="AK113" s="0" t="n">
        <v>112</v>
      </c>
      <c r="AL113" s="0" t="n">
        <v>38</v>
      </c>
      <c r="AM113" s="0" t="s">
        <v>366</v>
      </c>
      <c r="AN113" s="0" t="n">
        <v>0</v>
      </c>
      <c r="AO113" s="0" t="n">
        <v>0</v>
      </c>
      <c r="AP113" s="0" t="n">
        <v>0</v>
      </c>
      <c r="AQ113" s="0" t="n">
        <v>0</v>
      </c>
      <c r="AR113" s="0" t="n">
        <v>0</v>
      </c>
      <c r="AS113" s="0" t="n">
        <v>0</v>
      </c>
      <c r="AT113" s="0" t="n">
        <v>0</v>
      </c>
      <c r="AU113" s="0" t="n">
        <v>0</v>
      </c>
      <c r="AV113" s="0" t="n">
        <v>0</v>
      </c>
      <c r="AW113" s="0" t="n">
        <v>145</v>
      </c>
      <c r="AX113" s="0" t="n">
        <v>746</v>
      </c>
      <c r="AY113" s="0" t="n">
        <v>6</v>
      </c>
      <c r="AZ113" s="0" t="n">
        <v>44</v>
      </c>
      <c r="BA113" s="0" t="n">
        <v>15.9285332328</v>
      </c>
      <c r="BB113" s="0" t="n">
        <v>0</v>
      </c>
      <c r="BC113" s="0" t="n">
        <v>8</v>
      </c>
      <c r="BD113" s="0" t="n">
        <v>14</v>
      </c>
      <c r="BE113" s="0" t="n">
        <v>36</v>
      </c>
      <c r="BF113" s="0" t="n">
        <v>0</v>
      </c>
      <c r="BG113" s="0" t="n">
        <v>25</v>
      </c>
      <c r="BH113" s="0" t="n">
        <v>37</v>
      </c>
      <c r="BI113" s="0" t="n">
        <v>2</v>
      </c>
      <c r="BJ113" s="0" t="n">
        <v>-5.86811343306908</v>
      </c>
      <c r="BK113" s="0" t="n">
        <v>0</v>
      </c>
      <c r="BL113" s="0" t="n">
        <v>0</v>
      </c>
      <c r="BM113" s="0" t="n">
        <v>114.2</v>
      </c>
      <c r="BN113" s="0" t="n">
        <v>122.2</v>
      </c>
      <c r="BO113" s="0" t="n">
        <v>17</v>
      </c>
      <c r="BP113" s="0" t="s">
        <v>109</v>
      </c>
      <c r="BQ113" s="0" t="n">
        <v>1</v>
      </c>
      <c r="BR113" s="0" t="n">
        <v>118.2</v>
      </c>
      <c r="BS113" s="0" t="n">
        <v>0.0241</v>
      </c>
      <c r="BT113" s="0" t="n">
        <v>0.3118</v>
      </c>
      <c r="BU113" s="0" t="n">
        <v>0.0046</v>
      </c>
      <c r="BV113" s="0" t="n">
        <v>0.0241</v>
      </c>
      <c r="BW113" s="0" t="n">
        <v>0.3118</v>
      </c>
      <c r="BX113" s="0" t="n">
        <v>0.0046</v>
      </c>
      <c r="BY113" s="0" t="n">
        <v>0.0394</v>
      </c>
      <c r="BZ113" s="0" t="n">
        <v>17</v>
      </c>
      <c r="CA113" s="0" t="n">
        <v>2.4</v>
      </c>
      <c r="CB113" s="0" t="n">
        <v>13.1</v>
      </c>
      <c r="CC113" s="0" t="n">
        <v>5.3</v>
      </c>
      <c r="CD113" s="0" t="n">
        <v>6.49</v>
      </c>
      <c r="CE113" s="0" t="n">
        <v>1</v>
      </c>
      <c r="CF113" s="0" t="n">
        <v>5</v>
      </c>
      <c r="CG113" s="0" t="n">
        <v>17</v>
      </c>
      <c r="CH113" s="0" t="n">
        <v>0.059</v>
      </c>
      <c r="CI113" s="0" t="n">
        <v>0.294</v>
      </c>
      <c r="CJ113" s="0" t="n">
        <v>1.225</v>
      </c>
      <c r="CK113" s="0" t="n">
        <v>1</v>
      </c>
      <c r="CL113" s="0" t="n">
        <v>0</v>
      </c>
      <c r="CM113" s="0" t="n">
        <v>0</v>
      </c>
      <c r="CN113" s="0" t="n">
        <v>0</v>
      </c>
      <c r="CO113" s="0" t="n">
        <v>0.26874376807321</v>
      </c>
      <c r="CP113" s="0" t="n">
        <v>27</v>
      </c>
      <c r="CQ113" s="0" t="n">
        <v>16</v>
      </c>
      <c r="CR113" s="0" t="n">
        <v>13</v>
      </c>
      <c r="CS113" s="0" t="n">
        <v>6</v>
      </c>
      <c r="CT113" s="0" t="n">
        <v>7.01890221115455</v>
      </c>
      <c r="CU113" s="0" t="n">
        <v>28</v>
      </c>
      <c r="CV113" s="0" t="n">
        <v>16</v>
      </c>
      <c r="CW113" s="0" t="n">
        <v>13</v>
      </c>
      <c r="CX113" s="0" t="n">
        <v>6</v>
      </c>
      <c r="CY113" s="0" t="n">
        <v>7.29</v>
      </c>
      <c r="CZ113" s="0" t="n">
        <v>-1.29</v>
      </c>
      <c r="DG113" s="0" t="n">
        <v>3.45561662198391</v>
      </c>
      <c r="DH113" s="0" t="n">
        <v>21.3793103448276</v>
      </c>
      <c r="DI113" s="0" t="n">
        <v>2.75004444444445</v>
      </c>
      <c r="DJ113" s="0" t="n">
        <v>123.006126344553</v>
      </c>
      <c r="DK113" s="0" t="n">
        <v>0.854209210726062</v>
      </c>
      <c r="DL113" s="0" t="n">
        <v>0.4375</v>
      </c>
      <c r="DM113" s="0" t="s">
        <v>1547</v>
      </c>
      <c r="DN113" s="0" t="n">
        <v>145</v>
      </c>
      <c r="DO113" s="0" t="n">
        <v>12</v>
      </c>
      <c r="DP113" s="0" t="n">
        <v>3.51</v>
      </c>
      <c r="DQ113" s="0" t="n">
        <v>1.634</v>
      </c>
      <c r="DR113" s="0" t="n">
        <v>12.08</v>
      </c>
      <c r="DS113" s="0" t="n">
        <v>14</v>
      </c>
      <c r="DT113" s="0" t="n">
        <v>0</v>
      </c>
      <c r="DU113" s="0" t="n">
        <v>3</v>
      </c>
      <c r="DV113" s="0" t="n">
        <v>-0.125</v>
      </c>
      <c r="DW113" s="0" t="n">
        <v>4.625</v>
      </c>
      <c r="DX113" s="0" t="n">
        <v>2.1</v>
      </c>
      <c r="DY113" s="0" t="n">
        <v>0.2143</v>
      </c>
      <c r="DZ113" s="0" t="n">
        <v>332</v>
      </c>
      <c r="EA113" s="0" t="n">
        <v>0.291</v>
      </c>
      <c r="EB113" s="0" t="n">
        <v>17</v>
      </c>
      <c r="EC113" s="0" t="s">
        <v>1548</v>
      </c>
      <c r="ED113" s="0" t="n">
        <v>2024</v>
      </c>
      <c r="EE113" s="0" t="n">
        <v>3</v>
      </c>
      <c r="EF113" s="0" t="n">
        <v>83</v>
      </c>
      <c r="EG113" s="0" t="n">
        <v>2024</v>
      </c>
      <c r="EH113" s="0" t="n">
        <v>2026</v>
      </c>
      <c r="EI113" s="0" t="n">
        <v>3</v>
      </c>
      <c r="EJ113" s="0" t="n">
        <v>68</v>
      </c>
      <c r="EK113" s="0" t="n">
        <v>202</v>
      </c>
      <c r="EL113" s="0" t="s">
        <v>983</v>
      </c>
      <c r="EM113" s="0" t="n">
        <v>25.7</v>
      </c>
      <c r="EN113" s="15" t="b">
        <f aca="false">FALSE()</f>
        <v>0</v>
      </c>
      <c r="EO113" s="0" t="n">
        <v>413</v>
      </c>
      <c r="EP113" s="0" t="n">
        <v>3.45544794188862</v>
      </c>
      <c r="EQ113" s="0" t="n">
        <v>0.123486682808717</v>
      </c>
      <c r="ER113" s="0" t="n">
        <v>1.50847457627119</v>
      </c>
      <c r="ES113" s="0" t="n">
        <v>0.711864406779661</v>
      </c>
      <c r="ET113" s="0" t="n">
        <v>47</v>
      </c>
      <c r="EU113" s="0" t="n">
        <v>30</v>
      </c>
      <c r="EV113" s="0" t="n">
        <v>4.94915254237288</v>
      </c>
      <c r="EW113" s="0" t="n">
        <v>0.638297872340426</v>
      </c>
      <c r="EX113" s="0" t="n">
        <v>2.94176720069723</v>
      </c>
      <c r="EY113" s="0" t="n">
        <v>3.462</v>
      </c>
      <c r="EZ113" s="0" t="n">
        <v>0.1266</v>
      </c>
      <c r="FA113" s="0" t="n">
        <v>2.811</v>
      </c>
      <c r="FB113" s="0" t="n">
        <v>1.817</v>
      </c>
      <c r="FC113" s="0" t="n">
        <v>35</v>
      </c>
      <c r="FD113" s="0" t="n">
        <v>624</v>
      </c>
      <c r="FE113" s="0" t="n">
        <v>0.0368589743589744</v>
      </c>
      <c r="FF113" s="0" t="n">
        <v>0.0424</v>
      </c>
      <c r="FG113" s="0" t="n">
        <v>0.194</v>
      </c>
      <c r="FH113" s="0" t="n">
        <v>2.396</v>
      </c>
      <c r="FI113" s="0" t="n">
        <v>1056</v>
      </c>
      <c r="FJ113" s="0" t="n">
        <v>0.584280303030303</v>
      </c>
      <c r="FK113" s="0" t="n">
        <v>17</v>
      </c>
      <c r="FL113" s="0" t="n">
        <v>62.12</v>
      </c>
      <c r="FM113" s="0" t="n">
        <v>0.6185</v>
      </c>
      <c r="FN113" s="0" t="n">
        <v>0.3815</v>
      </c>
      <c r="FO113" s="0" t="n">
        <v>0.0296</v>
      </c>
      <c r="FP113" s="0" t="n">
        <v>0.0262</v>
      </c>
      <c r="FQ113" s="0" t="n">
        <v>0.2292</v>
      </c>
      <c r="FR113" s="0" t="n">
        <v>37</v>
      </c>
      <c r="FS113" s="0" t="n">
        <v>76</v>
      </c>
      <c r="FT113" s="0" t="n">
        <v>4.47</v>
      </c>
      <c r="FU113" s="0" t="n">
        <v>30.5</v>
      </c>
      <c r="FV113" s="0" t="n">
        <v>5675</v>
      </c>
      <c r="FW113" s="0" t="n">
        <v>5129</v>
      </c>
      <c r="FX113" s="0" t="n">
        <v>0.904</v>
      </c>
      <c r="FY113" s="0" t="n">
        <v>5</v>
      </c>
      <c r="FZ113" s="0" t="n">
        <v>5</v>
      </c>
      <c r="GA113" s="0" t="n">
        <v>1.46228832359079</v>
      </c>
      <c r="GB113" s="0" t="n">
        <v>76.4</v>
      </c>
      <c r="GC113" s="0" t="n">
        <v>71.5</v>
      </c>
      <c r="GD113" s="0" t="n">
        <v>80.4</v>
      </c>
      <c r="GE113" s="0" t="n">
        <v>581</v>
      </c>
      <c r="GF113" s="0" t="n">
        <v>465</v>
      </c>
      <c r="GG113" s="0" t="n">
        <v>15</v>
      </c>
      <c r="GH113" s="0" t="n">
        <v>0</v>
      </c>
      <c r="GI113" s="0" t="n">
        <v>195</v>
      </c>
      <c r="GJ113" s="0" t="n">
        <v>1</v>
      </c>
      <c r="GK113" s="0" t="n">
        <v>0.026</v>
      </c>
      <c r="GL113" s="0" t="n">
        <v>0</v>
      </c>
      <c r="GM113" s="0" t="n">
        <v>0.005</v>
      </c>
      <c r="GN113" s="0" t="n">
        <v>7.188</v>
      </c>
      <c r="GO113" s="0" t="n">
        <v>6.953</v>
      </c>
      <c r="GP113" s="0" t="n">
        <v>6.718</v>
      </c>
      <c r="GQ113" s="0" t="n">
        <v>0.824</v>
      </c>
      <c r="GR113" s="0" t="n">
        <v>8.529</v>
      </c>
      <c r="GS113" s="0" t="n">
        <v>159</v>
      </c>
      <c r="GT113" s="0" t="n">
        <v>0.769</v>
      </c>
      <c r="GU113" s="0" t="n">
        <v>0.368</v>
      </c>
      <c r="GV113" s="0" t="n">
        <v>2.571</v>
      </c>
      <c r="GW113" s="0" t="n">
        <v>4.5</v>
      </c>
      <c r="GX113" s="0" t="n">
        <v>0.571</v>
      </c>
      <c r="GY113" s="0" t="n">
        <v>5.145</v>
      </c>
      <c r="GZ113" s="0" t="n">
        <v>1.786</v>
      </c>
      <c r="HA113" s="0" t="n">
        <v>4.625</v>
      </c>
      <c r="HB113" s="0" t="n">
        <v>1.44</v>
      </c>
      <c r="HC113" s="0" t="n">
        <v>0.038</v>
      </c>
      <c r="HD113" s="0" t="n">
        <v>0.11</v>
      </c>
      <c r="HE113" s="0" t="n">
        <v>-0.419</v>
      </c>
      <c r="HG113" s="0" t="n">
        <v>112.83</v>
      </c>
      <c r="HH113" s="0" t="n">
        <v>13.44</v>
      </c>
      <c r="HI113" s="0" t="n">
        <v>84</v>
      </c>
      <c r="HJ113" s="0" t="n">
        <v>145</v>
      </c>
      <c r="HK113" s="0" t="s">
        <v>909</v>
      </c>
      <c r="HL113" s="0" t="n">
        <v>0</v>
      </c>
      <c r="HM113" s="0" t="n">
        <v>39</v>
      </c>
      <c r="HN113" s="0" t="n">
        <v>38</v>
      </c>
      <c r="HO113" s="0" t="n">
        <v>-0.328</v>
      </c>
      <c r="HP113" s="0" t="n">
        <v>47</v>
      </c>
      <c r="HQ113" s="0" t="n">
        <v>-0.679</v>
      </c>
      <c r="HR113" s="0" t="s">
        <v>102</v>
      </c>
    </row>
    <row r="114" customFormat="false" ht="15" hidden="false" customHeight="false" outlineLevel="0" collapsed="false">
      <c r="A114" s="0" t="s">
        <v>896</v>
      </c>
      <c r="B114" s="0" t="s">
        <v>897</v>
      </c>
      <c r="C114" s="0" t="s">
        <v>898</v>
      </c>
      <c r="D114" s="0" t="s">
        <v>367</v>
      </c>
      <c r="E114" s="0" t="n">
        <v>18600</v>
      </c>
      <c r="F114" s="0" t="s">
        <v>172</v>
      </c>
      <c r="G114" s="0" t="n">
        <v>113.28</v>
      </c>
      <c r="H114" s="0" t="n">
        <v>9.12</v>
      </c>
      <c r="I114" s="0" t="n">
        <v>92</v>
      </c>
      <c r="J114" s="0" t="n">
        <v>134</v>
      </c>
      <c r="L114" s="0" t="s">
        <v>1549</v>
      </c>
      <c r="O114" s="0" t="n">
        <v>66</v>
      </c>
      <c r="U114" s="0" t="n">
        <v>6</v>
      </c>
      <c r="V114" s="0" t="s">
        <v>367</v>
      </c>
      <c r="W114" s="0" t="s">
        <v>901</v>
      </c>
      <c r="X114" s="0" t="s">
        <v>127</v>
      </c>
      <c r="Y114" s="0" t="s">
        <v>1550</v>
      </c>
      <c r="Z114" s="0" t="n">
        <v>18600</v>
      </c>
      <c r="AA114" s="0" t="s">
        <v>1551</v>
      </c>
      <c r="AB114" s="0" t="s">
        <v>904</v>
      </c>
      <c r="AC114" s="0" t="s">
        <v>127</v>
      </c>
      <c r="AD114" s="0" t="s">
        <v>127</v>
      </c>
      <c r="AE114" s="0" t="s">
        <v>127</v>
      </c>
      <c r="AF114" s="0" t="s">
        <v>127</v>
      </c>
      <c r="AG114" s="0" t="s">
        <v>127</v>
      </c>
      <c r="AH114" s="0" t="s">
        <v>905</v>
      </c>
      <c r="AI114" s="0" t="n">
        <v>1</v>
      </c>
      <c r="AJ114" s="0" t="s">
        <v>172</v>
      </c>
      <c r="AK114" s="0" t="n">
        <v>113</v>
      </c>
      <c r="AL114" s="0" t="n">
        <v>17</v>
      </c>
      <c r="AM114" s="0" t="s">
        <v>368</v>
      </c>
      <c r="AN114" s="0" t="n">
        <v>110</v>
      </c>
      <c r="AO114" s="0" t="n">
        <v>161</v>
      </c>
      <c r="AP114" s="0" t="n">
        <v>962</v>
      </c>
      <c r="AQ114" s="0" t="n">
        <v>6</v>
      </c>
      <c r="AR114" s="0" t="n">
        <v>3</v>
      </c>
      <c r="AS114" s="0" t="n">
        <v>16</v>
      </c>
      <c r="AT114" s="0" t="n">
        <v>941</v>
      </c>
      <c r="AU114" s="0" t="n">
        <v>50</v>
      </c>
      <c r="AV114" s="0" t="n">
        <v>5.72059112573841</v>
      </c>
      <c r="AW114" s="0" t="n">
        <v>29</v>
      </c>
      <c r="AX114" s="0" t="n">
        <v>173</v>
      </c>
      <c r="AY114" s="0" t="n">
        <v>1</v>
      </c>
      <c r="AZ114" s="0" t="n">
        <v>10</v>
      </c>
      <c r="BA114" s="0" t="n">
        <v>4.08874777617166</v>
      </c>
      <c r="BB114" s="0" t="n">
        <v>1</v>
      </c>
      <c r="BC114" s="0" t="n">
        <v>0</v>
      </c>
      <c r="BD114" s="0" t="n">
        <v>0</v>
      </c>
      <c r="BE114" s="0" t="n">
        <v>0</v>
      </c>
      <c r="BF114" s="0" t="n">
        <v>0</v>
      </c>
      <c r="BG114" s="0" t="n">
        <v>0</v>
      </c>
      <c r="BH114" s="0" t="n">
        <v>0</v>
      </c>
      <c r="BI114" s="0" t="n">
        <v>0</v>
      </c>
      <c r="BJ114" s="0" t="n">
        <v>0</v>
      </c>
      <c r="BK114" s="0" t="n">
        <v>0</v>
      </c>
      <c r="BL114" s="0" t="n">
        <v>0</v>
      </c>
      <c r="BM114" s="0" t="n">
        <v>77.78</v>
      </c>
      <c r="BN114" s="0" t="n">
        <v>77.78</v>
      </c>
      <c r="BO114" s="0" t="n">
        <v>5</v>
      </c>
      <c r="BP114" s="0" t="s">
        <v>151</v>
      </c>
      <c r="BQ114" s="0" t="n">
        <v>1</v>
      </c>
      <c r="BR114" s="0" t="n">
        <v>77.78</v>
      </c>
      <c r="BS114" s="0" t="n">
        <v>0</v>
      </c>
      <c r="BT114" s="0" t="n">
        <v>0.0792</v>
      </c>
      <c r="BU114" s="0" t="n">
        <v>0</v>
      </c>
      <c r="BV114" s="0" t="n">
        <v>0</v>
      </c>
      <c r="BW114" s="0" t="n">
        <v>0.2358</v>
      </c>
      <c r="BX114" s="0" t="n">
        <v>0</v>
      </c>
      <c r="BY114" s="0" t="n">
        <v>0</v>
      </c>
      <c r="BZ114" s="0" t="n">
        <v>5</v>
      </c>
      <c r="CA114" s="0" t="n">
        <v>14.06</v>
      </c>
      <c r="CB114" s="0" t="n">
        <v>16.99</v>
      </c>
      <c r="CC114" s="0" t="n">
        <v>15.3</v>
      </c>
      <c r="CD114" s="0" t="n">
        <v>1.78</v>
      </c>
      <c r="CE114" s="0" t="n">
        <v>0</v>
      </c>
      <c r="CF114" s="0" t="n">
        <v>0</v>
      </c>
      <c r="CG114" s="0" t="n">
        <v>5</v>
      </c>
      <c r="CH114" s="0" t="n">
        <v>0</v>
      </c>
      <c r="CI114" s="0" t="n">
        <v>0</v>
      </c>
      <c r="CJ114" s="0" t="n">
        <v>0.116</v>
      </c>
      <c r="CK114" s="0" t="n">
        <v>0</v>
      </c>
      <c r="CL114" s="0" t="n">
        <v>0</v>
      </c>
      <c r="CM114" s="0" t="n">
        <v>0</v>
      </c>
      <c r="CN114" s="0" t="n">
        <v>0</v>
      </c>
      <c r="CO114" s="0" t="n">
        <v>0</v>
      </c>
      <c r="CP114" s="0" t="n">
        <v>4</v>
      </c>
      <c r="CQ114" s="0" t="n">
        <v>2</v>
      </c>
      <c r="CR114" s="0" t="n">
        <v>1</v>
      </c>
      <c r="CS114" s="0" t="n">
        <v>1</v>
      </c>
      <c r="CT114" s="0" t="n">
        <v>0.636435751408907</v>
      </c>
      <c r="CU114" s="0" t="n">
        <v>4</v>
      </c>
      <c r="CV114" s="0" t="n">
        <v>2</v>
      </c>
      <c r="CW114" s="0" t="n">
        <v>1</v>
      </c>
      <c r="CX114" s="0" t="n">
        <v>1</v>
      </c>
      <c r="CY114" s="0" t="n">
        <v>0.64</v>
      </c>
      <c r="CZ114" s="0" t="n">
        <v>0.36</v>
      </c>
      <c r="DM114" s="0" t="s">
        <v>1552</v>
      </c>
      <c r="DN114" s="0" t="n">
        <v>29</v>
      </c>
      <c r="DO114" s="0" t="n">
        <v>2</v>
      </c>
      <c r="DP114" s="0" t="n">
        <v>4.483</v>
      </c>
      <c r="DQ114" s="0" t="n">
        <v>1.483</v>
      </c>
      <c r="DR114" s="0" t="n">
        <v>14.5</v>
      </c>
      <c r="DZ114" s="0" t="n">
        <v>318</v>
      </c>
      <c r="EA114" s="0" t="n">
        <v>0.988</v>
      </c>
      <c r="EB114" s="0" t="n">
        <v>5</v>
      </c>
      <c r="EC114" s="0" t="s">
        <v>1553</v>
      </c>
      <c r="ED114" s="0" t="n">
        <v>2019</v>
      </c>
      <c r="EE114" s="0" t="n">
        <v>1</v>
      </c>
      <c r="EF114" s="0" t="n">
        <v>1</v>
      </c>
      <c r="EG114" s="0" t="n">
        <v>2019</v>
      </c>
      <c r="EH114" s="0" t="n">
        <v>2026</v>
      </c>
      <c r="EI114" s="0" t="n">
        <v>8</v>
      </c>
      <c r="EJ114" s="0" t="n">
        <v>70</v>
      </c>
      <c r="EK114" s="0" t="n">
        <v>207</v>
      </c>
      <c r="EL114" s="0" t="s">
        <v>1554</v>
      </c>
      <c r="EM114" s="0" t="n">
        <v>29</v>
      </c>
      <c r="EN114" s="15" t="b">
        <f aca="false">FALSE()</f>
        <v>0</v>
      </c>
      <c r="EO114" s="0" t="n">
        <v>348</v>
      </c>
      <c r="EP114" s="0" t="n">
        <v>3.06781609195402</v>
      </c>
      <c r="EQ114" s="0" t="n">
        <v>0.160919540229885</v>
      </c>
      <c r="ER114" s="0" t="n">
        <v>1.27011494252874</v>
      </c>
      <c r="ES114" s="0" t="n">
        <v>0.548850574712644</v>
      </c>
      <c r="ET114" s="0" t="n">
        <v>30</v>
      </c>
      <c r="EU114" s="0" t="n">
        <v>21</v>
      </c>
      <c r="EV114" s="0" t="n">
        <v>4.28448275862069</v>
      </c>
      <c r="EW114" s="0" t="n">
        <v>0.7</v>
      </c>
      <c r="EX114" s="0" t="n">
        <v>3.05559506502035</v>
      </c>
      <c r="EY114" s="0" t="n">
        <v>2.961</v>
      </c>
      <c r="EZ114" s="0" t="n">
        <v>0.1751</v>
      </c>
      <c r="FA114" s="0" t="n">
        <v>2.441</v>
      </c>
      <c r="FB114" s="0" t="n">
        <v>2.049</v>
      </c>
      <c r="FC114" s="0" t="n">
        <v>27</v>
      </c>
      <c r="FD114" s="0" t="n">
        <v>571</v>
      </c>
      <c r="FE114" s="0" t="n">
        <v>0.10507880910683</v>
      </c>
      <c r="FF114" s="0" t="n">
        <v>0.1028</v>
      </c>
      <c r="FG114" s="0" t="n">
        <v>0.3037</v>
      </c>
      <c r="FH114" s="0" t="n">
        <v>2.429</v>
      </c>
      <c r="FI114" s="0" t="n">
        <v>943</v>
      </c>
      <c r="FJ114" s="0" t="n">
        <v>0.580063626723224</v>
      </c>
      <c r="FK114" s="0" t="n">
        <v>17</v>
      </c>
      <c r="FL114" s="0" t="n">
        <v>55.47</v>
      </c>
      <c r="FM114" s="0" t="n">
        <v>0.5369</v>
      </c>
      <c r="FN114" s="0" t="n">
        <v>0.4631</v>
      </c>
      <c r="FO114" s="0" t="n">
        <v>-0.012</v>
      </c>
      <c r="FP114" s="0" t="n">
        <v>-0.0149</v>
      </c>
      <c r="FQ114" s="0" t="n">
        <v>-0.1883</v>
      </c>
      <c r="FR114" s="0" t="n">
        <v>39</v>
      </c>
      <c r="FS114" s="0" t="n">
        <v>53</v>
      </c>
      <c r="FT114" s="0" t="n">
        <v>3.12</v>
      </c>
      <c r="FU114" s="0" t="n">
        <v>20.2</v>
      </c>
      <c r="FV114" s="0" t="n">
        <v>5009</v>
      </c>
      <c r="FW114" s="0" t="n">
        <v>4102</v>
      </c>
      <c r="FX114" s="0" t="n">
        <v>0.819</v>
      </c>
      <c r="FY114" s="0" t="n">
        <v>5</v>
      </c>
      <c r="FZ114" s="0" t="n">
        <v>5</v>
      </c>
      <c r="GA114" s="0" t="n">
        <v>0.100485160629548</v>
      </c>
      <c r="GB114" s="0" t="n">
        <v>51.8</v>
      </c>
      <c r="GC114" s="0" t="n">
        <v>26.2</v>
      </c>
      <c r="GD114" s="0" t="n">
        <v>36</v>
      </c>
      <c r="GE114" s="0" t="n">
        <v>468</v>
      </c>
      <c r="GF114" s="0" t="n">
        <v>410</v>
      </c>
      <c r="GG114" s="0" t="n">
        <v>82</v>
      </c>
      <c r="GH114" s="0" t="n">
        <v>24</v>
      </c>
      <c r="GI114" s="0" t="n">
        <v>131</v>
      </c>
      <c r="GJ114" s="0" t="n">
        <v>17</v>
      </c>
      <c r="GK114" s="0" t="n">
        <v>0.175</v>
      </c>
      <c r="GL114" s="0" t="n">
        <v>0.059</v>
      </c>
      <c r="GM114" s="0" t="n">
        <v>0.13</v>
      </c>
      <c r="GN114" s="0" t="n">
        <v>15.556</v>
      </c>
      <c r="GO114" s="0" t="n">
        <v>15.556</v>
      </c>
      <c r="GP114" s="0" t="n">
        <v>15.556</v>
      </c>
      <c r="GQ114" s="0" t="n">
        <v>0</v>
      </c>
      <c r="GR114" s="0" t="n">
        <v>5.8</v>
      </c>
      <c r="GS114" s="0" t="n">
        <v>29</v>
      </c>
      <c r="GT114" s="0" t="n">
        <v>2.682</v>
      </c>
      <c r="GU114" s="0" t="n">
        <v>0.245</v>
      </c>
      <c r="GY114" s="0" t="n">
        <v>5.966</v>
      </c>
      <c r="HC114" s="0" t="n">
        <v>0.034</v>
      </c>
      <c r="HD114" s="0" t="n">
        <v>0.141</v>
      </c>
      <c r="HG114" s="0" t="n">
        <v>113.28</v>
      </c>
      <c r="HH114" s="0" t="n">
        <v>9.12</v>
      </c>
      <c r="HI114" s="0" t="n">
        <v>92</v>
      </c>
      <c r="HJ114" s="0" t="n">
        <v>134</v>
      </c>
      <c r="HK114" s="0" t="s">
        <v>909</v>
      </c>
      <c r="HL114" s="0" t="n">
        <v>0</v>
      </c>
      <c r="HM114" s="0" t="n">
        <v>29</v>
      </c>
      <c r="HN114" s="0" t="n">
        <v>17</v>
      </c>
      <c r="HO114" s="0" t="n">
        <v>-0.634</v>
      </c>
      <c r="HP114" s="0" t="n">
        <v>21</v>
      </c>
      <c r="HQ114" s="0" t="n">
        <v>-0.283</v>
      </c>
      <c r="HR114" s="0" t="s">
        <v>121</v>
      </c>
    </row>
    <row r="115" customFormat="false" ht="15" hidden="false" customHeight="false" outlineLevel="0" collapsed="false">
      <c r="A115" s="0" t="s">
        <v>896</v>
      </c>
      <c r="B115" s="0" t="s">
        <v>897</v>
      </c>
      <c r="C115" s="0" t="s">
        <v>898</v>
      </c>
      <c r="D115" s="0" t="s">
        <v>369</v>
      </c>
      <c r="E115" s="0" t="n">
        <v>22718</v>
      </c>
      <c r="F115" s="0" t="s">
        <v>149</v>
      </c>
      <c r="G115" s="0" t="n">
        <v>113.4</v>
      </c>
      <c r="H115" s="0" t="n">
        <v>15.91</v>
      </c>
      <c r="I115" s="0" t="n">
        <v>73</v>
      </c>
      <c r="J115" s="0" t="n">
        <v>160</v>
      </c>
      <c r="L115" s="0" t="s">
        <v>1555</v>
      </c>
      <c r="O115" s="0" t="n">
        <v>85.5</v>
      </c>
      <c r="U115" s="0" t="n">
        <v>14</v>
      </c>
      <c r="V115" s="0" t="s">
        <v>369</v>
      </c>
      <c r="W115" s="0" t="s">
        <v>901</v>
      </c>
      <c r="X115" s="0" t="s">
        <v>120</v>
      </c>
      <c r="Y115" s="0" t="s">
        <v>1556</v>
      </c>
      <c r="Z115" s="0" t="n">
        <v>22718</v>
      </c>
      <c r="AA115" s="0" t="s">
        <v>1557</v>
      </c>
      <c r="AB115" s="0" t="s">
        <v>904</v>
      </c>
      <c r="AC115" s="0" t="s">
        <v>120</v>
      </c>
      <c r="AD115" s="0" t="s">
        <v>120</v>
      </c>
      <c r="AE115" s="0" t="s">
        <v>120</v>
      </c>
      <c r="AF115" s="0" t="s">
        <v>120</v>
      </c>
      <c r="AG115" s="0" t="s">
        <v>120</v>
      </c>
      <c r="AH115" s="0" t="s">
        <v>905</v>
      </c>
      <c r="AI115" s="0" t="n">
        <v>1</v>
      </c>
      <c r="AJ115" s="0" t="s">
        <v>149</v>
      </c>
      <c r="AK115" s="0" t="n">
        <v>114</v>
      </c>
      <c r="AL115" s="0" t="n">
        <v>11</v>
      </c>
      <c r="AM115" s="0" t="s">
        <v>370</v>
      </c>
      <c r="AN115" s="0" t="n">
        <v>0</v>
      </c>
      <c r="AO115" s="0" t="n">
        <v>0</v>
      </c>
      <c r="AP115" s="0" t="n">
        <v>0</v>
      </c>
      <c r="AQ115" s="0" t="n">
        <v>0</v>
      </c>
      <c r="AR115" s="0" t="n">
        <v>0</v>
      </c>
      <c r="AS115" s="0" t="n">
        <v>0</v>
      </c>
      <c r="AT115" s="0" t="n">
        <v>0</v>
      </c>
      <c r="AU115" s="0" t="n">
        <v>0</v>
      </c>
      <c r="AV115" s="0" t="n">
        <v>0</v>
      </c>
      <c r="AW115" s="0" t="n">
        <v>1</v>
      </c>
      <c r="AX115" s="0" t="n">
        <v>1</v>
      </c>
      <c r="AY115" s="0" t="n">
        <v>0</v>
      </c>
      <c r="AZ115" s="0" t="n">
        <v>0</v>
      </c>
      <c r="BA115" s="0" t="n">
        <v>-0.694362650625408</v>
      </c>
      <c r="BB115" s="0" t="n">
        <v>0</v>
      </c>
      <c r="BC115" s="0" t="n">
        <v>82</v>
      </c>
      <c r="BD115" s="0" t="n">
        <v>102</v>
      </c>
      <c r="BE115" s="0" t="n">
        <v>600</v>
      </c>
      <c r="BF115" s="0" t="n">
        <v>8</v>
      </c>
      <c r="BG115" s="0" t="n">
        <v>475</v>
      </c>
      <c r="BH115" s="0" t="n">
        <v>307</v>
      </c>
      <c r="BI115" s="0" t="n">
        <v>30</v>
      </c>
      <c r="BJ115" s="0" t="n">
        <v>19.060186915451</v>
      </c>
      <c r="BK115" s="0" t="n">
        <v>2</v>
      </c>
      <c r="BL115" s="0" t="n">
        <v>0</v>
      </c>
      <c r="BM115" s="0" t="n">
        <v>106.1</v>
      </c>
      <c r="BN115" s="0" t="n">
        <v>188.1</v>
      </c>
      <c r="BO115" s="0" t="n">
        <v>17</v>
      </c>
      <c r="BP115" s="0" t="s">
        <v>120</v>
      </c>
      <c r="BQ115" s="0" t="n">
        <v>1</v>
      </c>
      <c r="BR115" s="0" t="n">
        <v>147.1</v>
      </c>
      <c r="BS115" s="0" t="n">
        <v>0.168</v>
      </c>
      <c r="BT115" s="0" t="n">
        <v>0.0022</v>
      </c>
      <c r="BU115" s="0" t="n">
        <v>0.0964</v>
      </c>
      <c r="BV115" s="0" t="n">
        <v>0.168</v>
      </c>
      <c r="BW115" s="0" t="n">
        <v>0.0022</v>
      </c>
      <c r="BX115" s="0" t="n">
        <v>0.0964</v>
      </c>
      <c r="BY115" s="0" t="n">
        <v>0.3195</v>
      </c>
      <c r="BZ115" s="0" t="n">
        <v>17</v>
      </c>
      <c r="CA115" s="0" t="n">
        <v>7.3</v>
      </c>
      <c r="CB115" s="0" t="n">
        <v>19.52</v>
      </c>
      <c r="CC115" s="0" t="n">
        <v>10.8</v>
      </c>
      <c r="CD115" s="0" t="n">
        <v>7.09</v>
      </c>
      <c r="CE115" s="0" t="n">
        <v>5</v>
      </c>
      <c r="CF115" s="0" t="n">
        <v>2</v>
      </c>
      <c r="CG115" s="0" t="n">
        <v>17</v>
      </c>
      <c r="CH115" s="0" t="n">
        <v>0.294</v>
      </c>
      <c r="CI115" s="0" t="n">
        <v>0.118</v>
      </c>
      <c r="CJ115" s="0" t="n">
        <v>0.656</v>
      </c>
      <c r="CK115" s="0" t="n">
        <v>24</v>
      </c>
      <c r="CL115" s="0" t="n">
        <v>13</v>
      </c>
      <c r="CM115" s="0" t="n">
        <v>8</v>
      </c>
      <c r="CN115" s="0" t="n">
        <v>8</v>
      </c>
      <c r="CO115" s="0" t="n">
        <v>8.06045574544778</v>
      </c>
      <c r="CP115" s="0" t="n">
        <v>0</v>
      </c>
      <c r="CQ115" s="0" t="n">
        <v>0</v>
      </c>
      <c r="CR115" s="0" t="n">
        <v>0</v>
      </c>
      <c r="CS115" s="0" t="n">
        <v>0</v>
      </c>
      <c r="CT115" s="0" t="n">
        <v>0.00357091844022283</v>
      </c>
      <c r="CU115" s="0" t="n">
        <v>24</v>
      </c>
      <c r="CV115" s="0" t="n">
        <v>13</v>
      </c>
      <c r="CW115" s="0" t="n">
        <v>8</v>
      </c>
      <c r="CX115" s="0" t="n">
        <v>8</v>
      </c>
      <c r="CY115" s="0" t="n">
        <v>8.06</v>
      </c>
      <c r="CZ115" s="0" t="n">
        <v>-0.06</v>
      </c>
      <c r="DA115" s="0" t="n">
        <v>3.30694351807252</v>
      </c>
      <c r="DB115" s="0" t="n">
        <v>5.87453333333333</v>
      </c>
      <c r="DC115" s="0" t="n">
        <v>4.85107843137255</v>
      </c>
      <c r="DD115" s="0" t="n">
        <v>9.76492041000786</v>
      </c>
      <c r="DE115" s="0" t="n">
        <v>0.180553571777997</v>
      </c>
      <c r="DF115" s="0" t="n">
        <v>80.3921568627451</v>
      </c>
      <c r="DM115" s="0" t="s">
        <v>1558</v>
      </c>
      <c r="DN115" s="0" t="n">
        <v>1</v>
      </c>
      <c r="DO115" s="0" t="n">
        <v>0</v>
      </c>
      <c r="DS115" s="0" t="n">
        <v>102</v>
      </c>
      <c r="DT115" s="0" t="n">
        <v>6</v>
      </c>
      <c r="DU115" s="0" t="n">
        <v>2</v>
      </c>
      <c r="DV115" s="0" t="n">
        <v>3.573</v>
      </c>
      <c r="DW115" s="0" t="n">
        <v>3.744</v>
      </c>
      <c r="DX115" s="0" t="n">
        <v>4.7</v>
      </c>
      <c r="DY115" s="0" t="n">
        <v>0.0196</v>
      </c>
      <c r="DZ115" s="0" t="n">
        <v>786</v>
      </c>
      <c r="EA115" s="0" t="n">
        <v>0.667</v>
      </c>
      <c r="EB115" s="0" t="n">
        <v>17</v>
      </c>
      <c r="EC115" s="0" t="s">
        <v>1103</v>
      </c>
      <c r="ED115" s="0" t="n">
        <v>2022</v>
      </c>
      <c r="EE115" s="0" t="n">
        <v>4</v>
      </c>
      <c r="EF115" s="0" t="n">
        <v>129</v>
      </c>
      <c r="EG115" s="0" t="n">
        <v>2022</v>
      </c>
      <c r="EH115" s="0" t="n">
        <v>2026</v>
      </c>
      <c r="EI115" s="0" t="n">
        <v>5</v>
      </c>
      <c r="EJ115" s="0" t="n">
        <v>77</v>
      </c>
      <c r="EK115" s="0" t="n">
        <v>250</v>
      </c>
      <c r="EL115" s="0" t="s">
        <v>964</v>
      </c>
      <c r="EM115" s="0" t="n">
        <v>27.6</v>
      </c>
      <c r="EN115" s="15" t="b">
        <f aca="false">FALSE()</f>
        <v>0</v>
      </c>
      <c r="EO115" s="0" t="n">
        <v>383</v>
      </c>
      <c r="EP115" s="0" t="n">
        <v>3.16527415143603</v>
      </c>
      <c r="EQ115" s="0" t="n">
        <v>0.130548302872063</v>
      </c>
      <c r="ER115" s="0" t="n">
        <v>1.25587467362924</v>
      </c>
      <c r="ES115" s="0" t="n">
        <v>0.845953002610966</v>
      </c>
      <c r="ET115" s="0" t="n">
        <v>34</v>
      </c>
      <c r="EU115" s="0" t="n">
        <v>24</v>
      </c>
      <c r="EV115" s="0" t="n">
        <v>4.66318537859008</v>
      </c>
      <c r="EW115" s="0" t="n">
        <v>0.705882352941177</v>
      </c>
      <c r="EX115" s="0" t="n">
        <v>3.04016625444487</v>
      </c>
      <c r="EY115" s="0" t="n">
        <v>3.074</v>
      </c>
      <c r="EZ115" s="0" t="n">
        <v>0.1352</v>
      </c>
      <c r="FA115" s="0" t="n">
        <v>2.563</v>
      </c>
      <c r="FB115" s="0" t="n">
        <v>2.03</v>
      </c>
      <c r="FC115" s="0" t="n">
        <v>33</v>
      </c>
      <c r="FD115" s="0" t="n">
        <v>681</v>
      </c>
      <c r="FE115" s="0" t="n">
        <v>0.0455212922173275</v>
      </c>
      <c r="FF115" s="0" t="n">
        <v>0.044</v>
      </c>
      <c r="FG115" s="0" t="n">
        <v>0.2356</v>
      </c>
      <c r="FH115" s="0" t="n">
        <v>2.396</v>
      </c>
      <c r="FI115" s="0" t="n">
        <v>1104</v>
      </c>
      <c r="FJ115" s="0" t="n">
        <v>0.593297101449275</v>
      </c>
      <c r="FK115" s="0" t="n">
        <v>17</v>
      </c>
      <c r="FL115" s="0" t="n">
        <v>64.94</v>
      </c>
      <c r="FM115" s="0" t="n">
        <v>0.5628</v>
      </c>
      <c r="FN115" s="0" t="n">
        <v>0.4372</v>
      </c>
      <c r="FO115" s="0" t="n">
        <v>-0.0098</v>
      </c>
      <c r="FP115" s="0" t="n">
        <v>0.005</v>
      </c>
      <c r="FQ115" s="0" t="n">
        <v>0.1615</v>
      </c>
      <c r="FR115" s="0" t="n">
        <v>36</v>
      </c>
      <c r="FS115" s="0" t="n">
        <v>65</v>
      </c>
      <c r="FT115" s="0" t="n">
        <v>3.82</v>
      </c>
      <c r="FU115" s="0" t="n">
        <v>27.7</v>
      </c>
      <c r="FV115" s="0" t="n">
        <v>5938</v>
      </c>
      <c r="FW115" s="0" t="n">
        <v>5037</v>
      </c>
      <c r="FX115" s="0" t="n">
        <v>0.848</v>
      </c>
      <c r="FY115" s="0" t="n">
        <v>5</v>
      </c>
      <c r="FZ115" s="0" t="n">
        <v>5</v>
      </c>
      <c r="GA115" s="0" t="n">
        <v>0.642644133012613</v>
      </c>
      <c r="GB115" s="0" t="n">
        <v>61.6</v>
      </c>
      <c r="GC115" s="0" t="n">
        <v>62.2</v>
      </c>
      <c r="GD115" s="0" t="n">
        <v>65.1</v>
      </c>
      <c r="GE115" s="0" t="n">
        <v>607</v>
      </c>
      <c r="GF115" s="0" t="n">
        <v>465</v>
      </c>
      <c r="GG115" s="0" t="n">
        <v>34</v>
      </c>
      <c r="GH115" s="0" t="n">
        <v>0</v>
      </c>
      <c r="GI115" s="0" t="n">
        <v>187</v>
      </c>
      <c r="GJ115" s="0" t="n">
        <v>4</v>
      </c>
      <c r="GK115" s="0" t="n">
        <v>0.056</v>
      </c>
      <c r="GL115" s="0" t="n">
        <v>0</v>
      </c>
      <c r="GM115" s="0" t="n">
        <v>0.021</v>
      </c>
      <c r="GN115" s="0" t="n">
        <v>11.065</v>
      </c>
      <c r="GO115" s="0" t="n">
        <v>8.653</v>
      </c>
      <c r="GP115" s="0" t="n">
        <v>6.241</v>
      </c>
      <c r="GQ115" s="0" t="n">
        <v>6</v>
      </c>
      <c r="GR115" s="0" t="n">
        <v>0.059</v>
      </c>
      <c r="GS115" s="0" t="n">
        <v>103</v>
      </c>
      <c r="GT115" s="0" t="n">
        <v>1.826</v>
      </c>
      <c r="GU115" s="0" t="n">
        <v>0.239</v>
      </c>
      <c r="GV115" s="0" t="n">
        <v>5.882</v>
      </c>
      <c r="GW115" s="0" t="n">
        <v>7.317</v>
      </c>
      <c r="GX115" s="0" t="n">
        <v>0.804</v>
      </c>
      <c r="GZ115" s="0" t="n">
        <v>4.657</v>
      </c>
      <c r="HA115" s="0" t="n">
        <v>3.744</v>
      </c>
      <c r="HB115" s="0" t="n">
        <v>1.263</v>
      </c>
      <c r="HC115" s="0" t="n">
        <v>0.078</v>
      </c>
      <c r="HE115" s="0" t="n">
        <v>0.187</v>
      </c>
      <c r="HG115" s="0" t="n">
        <v>113.4</v>
      </c>
      <c r="HH115" s="0" t="n">
        <v>15.91</v>
      </c>
      <c r="HI115" s="0" t="n">
        <v>73</v>
      </c>
      <c r="HJ115" s="0" t="n">
        <v>160</v>
      </c>
      <c r="HK115" s="0" t="s">
        <v>909</v>
      </c>
      <c r="HL115" s="0" t="n">
        <v>0</v>
      </c>
      <c r="HM115" s="0" t="n">
        <v>5</v>
      </c>
      <c r="HN115" s="0" t="n">
        <v>11</v>
      </c>
      <c r="HO115" s="0" t="n">
        <v>0.206</v>
      </c>
      <c r="HP115" s="0" t="n">
        <v>11</v>
      </c>
      <c r="HQ115" s="0" t="n">
        <v>-0.058</v>
      </c>
      <c r="HR115" s="0" t="s">
        <v>102</v>
      </c>
    </row>
    <row r="116" customFormat="false" ht="15" hidden="false" customHeight="false" outlineLevel="0" collapsed="false">
      <c r="A116" s="0" t="s">
        <v>896</v>
      </c>
      <c r="B116" s="0" t="s">
        <v>897</v>
      </c>
      <c r="C116" s="0" t="s">
        <v>898</v>
      </c>
      <c r="D116" s="0" t="s">
        <v>371</v>
      </c>
      <c r="E116" s="0" t="n">
        <v>16673</v>
      </c>
      <c r="F116" s="0" t="s">
        <v>104</v>
      </c>
      <c r="G116" s="0" t="n">
        <v>113.67</v>
      </c>
      <c r="H116" s="0" t="n">
        <v>13.47</v>
      </c>
      <c r="I116" s="0" t="n">
        <v>77</v>
      </c>
      <c r="J116" s="0" t="n">
        <v>141</v>
      </c>
      <c r="L116" s="0" t="s">
        <v>1559</v>
      </c>
      <c r="O116" s="0" t="n">
        <v>76.9</v>
      </c>
      <c r="U116" s="0" t="n">
        <v>6</v>
      </c>
      <c r="V116" s="0" t="s">
        <v>1560</v>
      </c>
      <c r="W116" s="0" t="s">
        <v>901</v>
      </c>
      <c r="X116" s="0" t="s">
        <v>127</v>
      </c>
      <c r="Y116" s="0" t="s">
        <v>1561</v>
      </c>
      <c r="Z116" s="0" t="n">
        <v>16673</v>
      </c>
      <c r="AA116" s="0" t="s">
        <v>1562</v>
      </c>
      <c r="AB116" s="0" t="s">
        <v>904</v>
      </c>
      <c r="AC116" s="0" t="s">
        <v>127</v>
      </c>
      <c r="AD116" s="0" t="s">
        <v>127</v>
      </c>
      <c r="AE116" s="0" t="s">
        <v>127</v>
      </c>
      <c r="AF116" s="0" t="s">
        <v>127</v>
      </c>
      <c r="AG116" s="0" t="s">
        <v>127</v>
      </c>
      <c r="AH116" s="0" t="s">
        <v>905</v>
      </c>
      <c r="AI116" s="0" t="n">
        <v>1</v>
      </c>
      <c r="AJ116" s="0" t="s">
        <v>104</v>
      </c>
      <c r="AK116" s="0" t="n">
        <v>115</v>
      </c>
      <c r="AL116" s="0" t="n">
        <v>39</v>
      </c>
      <c r="AM116" s="0" t="s">
        <v>372</v>
      </c>
      <c r="AN116" s="0" t="n">
        <v>0</v>
      </c>
      <c r="AO116" s="0" t="n">
        <v>0</v>
      </c>
      <c r="AP116" s="0" t="n">
        <v>0</v>
      </c>
      <c r="AQ116" s="0" t="n">
        <v>0</v>
      </c>
      <c r="AR116" s="0" t="n">
        <v>0</v>
      </c>
      <c r="AS116" s="0" t="n">
        <v>0</v>
      </c>
      <c r="AT116" s="0" t="n">
        <v>0</v>
      </c>
      <c r="AU116" s="0" t="n">
        <v>0</v>
      </c>
      <c r="AV116" s="0" t="n">
        <v>0</v>
      </c>
      <c r="AW116" s="0" t="n">
        <v>132</v>
      </c>
      <c r="AX116" s="0" t="n">
        <v>548</v>
      </c>
      <c r="AY116" s="0" t="n">
        <v>2</v>
      </c>
      <c r="AZ116" s="0" t="n">
        <v>28</v>
      </c>
      <c r="BA116" s="0" t="n">
        <v>-2.3747202583086</v>
      </c>
      <c r="BB116" s="0" t="n">
        <v>0</v>
      </c>
      <c r="BC116" s="0" t="n">
        <v>28</v>
      </c>
      <c r="BD116" s="0" t="n">
        <v>41</v>
      </c>
      <c r="BE116" s="0" t="n">
        <v>199</v>
      </c>
      <c r="BF116" s="0" t="n">
        <v>1</v>
      </c>
      <c r="BG116" s="0" t="n">
        <v>-25</v>
      </c>
      <c r="BH116" s="0" t="n">
        <v>227</v>
      </c>
      <c r="BI116" s="0" t="n">
        <v>9</v>
      </c>
      <c r="BJ116" s="0" t="n">
        <v>-7.5507313445025</v>
      </c>
      <c r="BK116" s="0" t="n">
        <v>1</v>
      </c>
      <c r="BL116" s="0" t="n">
        <v>0</v>
      </c>
      <c r="BM116" s="0" t="n">
        <v>90.7</v>
      </c>
      <c r="BN116" s="0" t="n">
        <v>118.7</v>
      </c>
      <c r="BO116" s="0" t="n">
        <v>12</v>
      </c>
      <c r="BP116" s="0" t="s">
        <v>127</v>
      </c>
      <c r="BQ116" s="0" t="n">
        <v>1</v>
      </c>
      <c r="BR116" s="0" t="n">
        <v>104.7</v>
      </c>
      <c r="BS116" s="0" t="n">
        <v>0.0876</v>
      </c>
      <c r="BT116" s="0" t="n">
        <v>0.322</v>
      </c>
      <c r="BU116" s="0" t="n">
        <v>-0.0067</v>
      </c>
      <c r="BV116" s="0" t="n">
        <v>0.1376</v>
      </c>
      <c r="BW116" s="0" t="n">
        <v>0.4681</v>
      </c>
      <c r="BX116" s="0" t="n">
        <v>-0.0106</v>
      </c>
      <c r="BY116" s="0" t="n">
        <v>0.199</v>
      </c>
      <c r="BZ116" s="0" t="n">
        <v>12</v>
      </c>
      <c r="CA116" s="0" t="n">
        <v>6.95</v>
      </c>
      <c r="CB116" s="0" t="n">
        <v>15.44</v>
      </c>
      <c r="CC116" s="0" t="n">
        <v>10.3</v>
      </c>
      <c r="CD116" s="0" t="n">
        <v>4.51</v>
      </c>
      <c r="CE116" s="0" t="n">
        <v>2</v>
      </c>
      <c r="CF116" s="0" t="n">
        <v>1</v>
      </c>
      <c r="CG116" s="0" t="n">
        <v>12</v>
      </c>
      <c r="CH116" s="0" t="n">
        <v>0.167</v>
      </c>
      <c r="CI116" s="0" t="n">
        <v>0.083</v>
      </c>
      <c r="CJ116" s="0" t="n">
        <v>0.438</v>
      </c>
      <c r="CK116" s="0" t="n">
        <v>5</v>
      </c>
      <c r="CL116" s="0" t="n">
        <v>0</v>
      </c>
      <c r="CM116" s="0" t="n">
        <v>0</v>
      </c>
      <c r="CN116" s="0" t="n">
        <v>1</v>
      </c>
      <c r="CO116" s="0" t="n">
        <v>1.28508532913773</v>
      </c>
      <c r="CP116" s="0" t="n">
        <v>14</v>
      </c>
      <c r="CQ116" s="0" t="n">
        <v>6</v>
      </c>
      <c r="CR116" s="0" t="n">
        <v>3</v>
      </c>
      <c r="CS116" s="0" t="n">
        <v>2</v>
      </c>
      <c r="CT116" s="0" t="n">
        <v>2.52467384512537</v>
      </c>
      <c r="CU116" s="0" t="n">
        <v>19</v>
      </c>
      <c r="CV116" s="0" t="n">
        <v>6</v>
      </c>
      <c r="CW116" s="0" t="n">
        <v>3</v>
      </c>
      <c r="CX116" s="0" t="n">
        <v>3</v>
      </c>
      <c r="CY116" s="0" t="n">
        <v>3.81</v>
      </c>
      <c r="CZ116" s="0" t="n">
        <v>-0.81</v>
      </c>
      <c r="DG116" s="0" t="n">
        <v>3.91622262773723</v>
      </c>
      <c r="DH116" s="0" t="n">
        <v>25</v>
      </c>
      <c r="DI116" s="0" t="n">
        <v>2.89673770491803</v>
      </c>
      <c r="DJ116" s="0" t="n">
        <v>-15.2654724009947</v>
      </c>
      <c r="DK116" s="0" t="n">
        <v>-0.118336995356548</v>
      </c>
      <c r="DL116" s="0" t="n">
        <v>0.356589147286822</v>
      </c>
      <c r="DM116" s="0" t="s">
        <v>1563</v>
      </c>
      <c r="DN116" s="0" t="n">
        <v>132</v>
      </c>
      <c r="DO116" s="0" t="n">
        <v>5</v>
      </c>
      <c r="DP116" s="0" t="n">
        <v>2.379</v>
      </c>
      <c r="DQ116" s="0" t="n">
        <v>1.773</v>
      </c>
      <c r="DR116" s="0" t="n">
        <v>26.4</v>
      </c>
      <c r="DS116" s="0" t="n">
        <v>41</v>
      </c>
      <c r="DT116" s="0" t="n">
        <v>0</v>
      </c>
      <c r="DU116" s="0" t="n">
        <v>2</v>
      </c>
      <c r="DV116" s="0" t="n">
        <v>-1</v>
      </c>
      <c r="DW116" s="0" t="n">
        <v>8.107</v>
      </c>
      <c r="DX116" s="0" t="n">
        <v>-0.5</v>
      </c>
      <c r="DY116" s="0" t="n">
        <v>0.0488</v>
      </c>
      <c r="DZ116" s="0" t="n">
        <v>366</v>
      </c>
      <c r="EA116" s="0" t="n">
        <v>0.551</v>
      </c>
      <c r="EB116" s="0" t="n">
        <v>12</v>
      </c>
      <c r="EC116" s="0" t="s">
        <v>1564</v>
      </c>
      <c r="ED116" s="0" t="n">
        <v>2017</v>
      </c>
      <c r="EE116" s="0" t="n">
        <v>5</v>
      </c>
      <c r="EF116" s="0" t="n">
        <v>182</v>
      </c>
      <c r="EG116" s="0" t="n">
        <v>2017</v>
      </c>
      <c r="EH116" s="0" t="n">
        <v>2026</v>
      </c>
      <c r="EI116" s="0" t="n">
        <v>10</v>
      </c>
      <c r="EJ116" s="0" t="n">
        <v>69</v>
      </c>
      <c r="EK116" s="0" t="n">
        <v>208</v>
      </c>
      <c r="EL116" s="0" t="s">
        <v>1565</v>
      </c>
      <c r="EM116" s="0" t="n">
        <v>31.7</v>
      </c>
      <c r="EN116" s="15" t="b">
        <f aca="false">FALSE()</f>
        <v>0</v>
      </c>
      <c r="EO116" s="0" t="n">
        <v>348</v>
      </c>
      <c r="EP116" s="0" t="n">
        <v>3.06781609195402</v>
      </c>
      <c r="EQ116" s="0" t="n">
        <v>0.160919540229885</v>
      </c>
      <c r="ER116" s="0" t="n">
        <v>1.27011494252874</v>
      </c>
      <c r="ES116" s="0" t="n">
        <v>0.548850574712644</v>
      </c>
      <c r="ET116" s="0" t="n">
        <v>30</v>
      </c>
      <c r="EU116" s="0" t="n">
        <v>21</v>
      </c>
      <c r="EV116" s="0" t="n">
        <v>4.28448275862069</v>
      </c>
      <c r="EW116" s="0" t="n">
        <v>0.7</v>
      </c>
      <c r="EX116" s="0" t="n">
        <v>3.05559506502035</v>
      </c>
      <c r="EY116" s="0" t="n">
        <v>2.961</v>
      </c>
      <c r="EZ116" s="0" t="n">
        <v>0.1751</v>
      </c>
      <c r="FA116" s="0" t="n">
        <v>2.441</v>
      </c>
      <c r="FB116" s="0" t="n">
        <v>2.049</v>
      </c>
      <c r="FC116" s="0" t="n">
        <v>27</v>
      </c>
      <c r="FD116" s="0" t="n">
        <v>571</v>
      </c>
      <c r="FE116" s="0" t="n">
        <v>0.10507880910683</v>
      </c>
      <c r="FF116" s="0" t="n">
        <v>0.1028</v>
      </c>
      <c r="FG116" s="0" t="n">
        <v>0.3037</v>
      </c>
      <c r="FH116" s="0" t="n">
        <v>2.429</v>
      </c>
      <c r="FI116" s="0" t="n">
        <v>943</v>
      </c>
      <c r="FJ116" s="0" t="n">
        <v>0.580063626723224</v>
      </c>
      <c r="FK116" s="0" t="n">
        <v>17</v>
      </c>
      <c r="FL116" s="0" t="n">
        <v>55.47</v>
      </c>
      <c r="FM116" s="0" t="n">
        <v>0.5369</v>
      </c>
      <c r="FN116" s="0" t="n">
        <v>0.4631</v>
      </c>
      <c r="FO116" s="0" t="n">
        <v>-0.012</v>
      </c>
      <c r="FP116" s="0" t="n">
        <v>-0.0149</v>
      </c>
      <c r="FQ116" s="0" t="n">
        <v>-0.1883</v>
      </c>
      <c r="FR116" s="0" t="n">
        <v>39</v>
      </c>
      <c r="FS116" s="0" t="n">
        <v>53</v>
      </c>
      <c r="FT116" s="0" t="n">
        <v>3.12</v>
      </c>
      <c r="FU116" s="0" t="n">
        <v>20.2</v>
      </c>
      <c r="FV116" s="0" t="n">
        <v>5009</v>
      </c>
      <c r="FW116" s="0" t="n">
        <v>4102</v>
      </c>
      <c r="FX116" s="0" t="n">
        <v>0.819</v>
      </c>
      <c r="FY116" s="0" t="n">
        <v>5</v>
      </c>
      <c r="FZ116" s="0" t="n">
        <v>5</v>
      </c>
      <c r="GA116" s="0" t="n">
        <v>0.100485160629548</v>
      </c>
      <c r="GB116" s="0" t="n">
        <v>51.8</v>
      </c>
      <c r="GC116" s="0" t="n">
        <v>26.2</v>
      </c>
      <c r="GD116" s="0" t="n">
        <v>36</v>
      </c>
      <c r="GE116" s="0" t="n">
        <v>468</v>
      </c>
      <c r="GF116" s="0" t="n">
        <v>410</v>
      </c>
      <c r="GG116" s="0" t="n">
        <v>82</v>
      </c>
      <c r="GH116" s="0" t="n">
        <v>24</v>
      </c>
      <c r="GI116" s="0" t="n">
        <v>131</v>
      </c>
      <c r="GJ116" s="0" t="n">
        <v>17</v>
      </c>
      <c r="GK116" s="0" t="n">
        <v>0.175</v>
      </c>
      <c r="GL116" s="0" t="n">
        <v>0.059</v>
      </c>
      <c r="GM116" s="0" t="n">
        <v>0.13</v>
      </c>
      <c r="GN116" s="0" t="n">
        <v>9.892</v>
      </c>
      <c r="GO116" s="0" t="n">
        <v>8.725</v>
      </c>
      <c r="GP116" s="0" t="n">
        <v>7.558</v>
      </c>
      <c r="GQ116" s="0" t="n">
        <v>3.417</v>
      </c>
      <c r="GR116" s="0" t="n">
        <v>11</v>
      </c>
      <c r="GS116" s="0" t="n">
        <v>173</v>
      </c>
      <c r="GT116" s="0" t="n">
        <v>0.686</v>
      </c>
      <c r="GU116" s="0" t="n">
        <v>0.324</v>
      </c>
      <c r="GV116" s="0" t="n">
        <v>4.854</v>
      </c>
      <c r="GW116" s="0" t="n">
        <v>7.107</v>
      </c>
      <c r="GX116" s="0" t="n">
        <v>0.683</v>
      </c>
      <c r="GY116" s="0" t="n">
        <v>4.152</v>
      </c>
      <c r="GZ116" s="0" t="n">
        <v>-0.61</v>
      </c>
      <c r="HA116" s="0" t="n">
        <v>8.107</v>
      </c>
      <c r="HB116" s="0" t="n">
        <v>-7.96</v>
      </c>
      <c r="HC116" s="0" t="n">
        <v>0.017</v>
      </c>
      <c r="HD116" s="0" t="n">
        <v>-0.018</v>
      </c>
      <c r="HE116" s="0" t="n">
        <v>-0.184</v>
      </c>
      <c r="HG116" s="0" t="n">
        <v>113.67</v>
      </c>
      <c r="HH116" s="0" t="n">
        <v>13.47</v>
      </c>
      <c r="HI116" s="0" t="n">
        <v>77</v>
      </c>
      <c r="HJ116" s="0" t="n">
        <v>141</v>
      </c>
      <c r="HK116" s="0" t="s">
        <v>909</v>
      </c>
      <c r="HL116" s="0" t="n">
        <v>0</v>
      </c>
      <c r="HM116" s="0" t="n">
        <v>40</v>
      </c>
      <c r="HN116" s="0" t="n">
        <v>39</v>
      </c>
      <c r="HO116" s="0" t="n">
        <v>-0.337</v>
      </c>
      <c r="HP116" s="0" t="n">
        <v>33</v>
      </c>
      <c r="HQ116" s="0" t="n">
        <v>-0.03</v>
      </c>
      <c r="HR116" s="0" t="s">
        <v>102</v>
      </c>
    </row>
    <row r="117" customFormat="false" ht="15" hidden="false" customHeight="false" outlineLevel="0" collapsed="false">
      <c r="A117" s="0" t="s">
        <v>896</v>
      </c>
      <c r="B117" s="0" t="s">
        <v>897</v>
      </c>
      <c r="C117" s="0" t="s">
        <v>898</v>
      </c>
      <c r="D117" s="0" t="s">
        <v>373</v>
      </c>
      <c r="E117" s="0" t="n">
        <v>25247</v>
      </c>
      <c r="F117" s="0" t="s">
        <v>149</v>
      </c>
      <c r="G117" s="0" t="n">
        <v>114.64</v>
      </c>
      <c r="H117" s="0" t="n">
        <v>14.17</v>
      </c>
      <c r="I117" s="0" t="n">
        <v>95</v>
      </c>
      <c r="J117" s="0" t="n">
        <v>155</v>
      </c>
      <c r="L117" s="0" t="s">
        <v>1566</v>
      </c>
      <c r="O117" s="0" t="n">
        <v>80</v>
      </c>
      <c r="U117" s="0" t="n">
        <v>7</v>
      </c>
      <c r="V117" s="0" t="s">
        <v>373</v>
      </c>
      <c r="W117" s="0" t="s">
        <v>901</v>
      </c>
      <c r="X117" s="0" t="s">
        <v>147</v>
      </c>
      <c r="Y117" s="0" t="s">
        <v>1567</v>
      </c>
      <c r="Z117" s="0" t="n">
        <v>25247</v>
      </c>
      <c r="AA117" s="0" t="s">
        <v>1568</v>
      </c>
      <c r="AB117" s="0" t="s">
        <v>904</v>
      </c>
      <c r="AC117" s="0" t="s">
        <v>147</v>
      </c>
      <c r="AD117" s="0" t="s">
        <v>147</v>
      </c>
      <c r="AE117" s="0" t="s">
        <v>147</v>
      </c>
      <c r="AF117" s="0" t="s">
        <v>147</v>
      </c>
      <c r="AG117" s="0" t="s">
        <v>147</v>
      </c>
      <c r="AH117" s="0" t="s">
        <v>905</v>
      </c>
      <c r="AI117" s="0" t="n">
        <v>1</v>
      </c>
      <c r="AJ117" s="0" t="s">
        <v>149</v>
      </c>
      <c r="AK117" s="0" t="n">
        <v>116</v>
      </c>
      <c r="AL117" s="0" t="n">
        <v>12</v>
      </c>
      <c r="AM117" s="0" t="s">
        <v>374</v>
      </c>
      <c r="AN117" s="0" t="n">
        <v>0</v>
      </c>
      <c r="AO117" s="0" t="n">
        <v>0</v>
      </c>
      <c r="AP117" s="0" t="n">
        <v>0</v>
      </c>
      <c r="AQ117" s="0" t="n">
        <v>0</v>
      </c>
      <c r="AR117" s="0" t="n">
        <v>0</v>
      </c>
      <c r="AS117" s="0" t="n">
        <v>0</v>
      </c>
      <c r="AT117" s="0" t="n">
        <v>0</v>
      </c>
      <c r="AU117" s="0" t="n">
        <v>0</v>
      </c>
      <c r="AV117" s="0" t="n">
        <v>0</v>
      </c>
      <c r="AW117" s="0" t="n">
        <v>0</v>
      </c>
      <c r="AX117" s="0" t="n">
        <v>0</v>
      </c>
      <c r="AY117" s="0" t="n">
        <v>0</v>
      </c>
      <c r="AZ117" s="0" t="n">
        <v>0</v>
      </c>
      <c r="BA117" s="0" t="n">
        <v>0</v>
      </c>
      <c r="BB117" s="0" t="n">
        <v>0</v>
      </c>
      <c r="BC117" s="0" t="n">
        <v>39</v>
      </c>
      <c r="BD117" s="0" t="n">
        <v>49</v>
      </c>
      <c r="BE117" s="0" t="n">
        <v>571</v>
      </c>
      <c r="BF117" s="0" t="n">
        <v>5</v>
      </c>
      <c r="BG117" s="0" t="n">
        <v>465</v>
      </c>
      <c r="BH117" s="0" t="n">
        <v>259</v>
      </c>
      <c r="BI117" s="0" t="n">
        <v>27</v>
      </c>
      <c r="BJ117" s="0" t="n">
        <v>39.3884031626824</v>
      </c>
      <c r="BK117" s="0" t="n">
        <v>0</v>
      </c>
      <c r="BL117" s="0" t="n">
        <v>0</v>
      </c>
      <c r="BM117" s="0" t="n">
        <v>87.1</v>
      </c>
      <c r="BN117" s="0" t="n">
        <v>126.1</v>
      </c>
      <c r="BO117" s="0" t="n">
        <v>12</v>
      </c>
      <c r="BP117" s="0" t="s">
        <v>147</v>
      </c>
      <c r="BQ117" s="0" t="n">
        <v>1</v>
      </c>
      <c r="BR117" s="0" t="n">
        <v>106.6</v>
      </c>
      <c r="BS117" s="0" t="n">
        <v>0.1023</v>
      </c>
      <c r="BT117" s="0" t="n">
        <v>0</v>
      </c>
      <c r="BU117" s="0" t="n">
        <v>0.1332</v>
      </c>
      <c r="BV117" s="0" t="n">
        <v>0.1463</v>
      </c>
      <c r="BW117" s="0" t="n">
        <v>0</v>
      </c>
      <c r="BX117" s="0" t="n">
        <v>0.1931</v>
      </c>
      <c r="BY117" s="0" t="n">
        <v>0.3546</v>
      </c>
      <c r="BZ117" s="0" t="n">
        <v>12</v>
      </c>
      <c r="CA117" s="0" t="n">
        <v>6.22</v>
      </c>
      <c r="CB117" s="0" t="n">
        <v>17.08</v>
      </c>
      <c r="CC117" s="0" t="n">
        <v>8.8</v>
      </c>
      <c r="CD117" s="0" t="n">
        <v>6.56</v>
      </c>
      <c r="CE117" s="0" t="n">
        <v>3</v>
      </c>
      <c r="CF117" s="0" t="n">
        <v>1</v>
      </c>
      <c r="CG117" s="0" t="n">
        <v>12</v>
      </c>
      <c r="CH117" s="0" t="n">
        <v>0.25</v>
      </c>
      <c r="CI117" s="0" t="n">
        <v>0.083</v>
      </c>
      <c r="CJ117" s="0" t="n">
        <v>0.746</v>
      </c>
      <c r="CK117" s="0" t="n">
        <v>8</v>
      </c>
      <c r="CL117" s="0" t="n">
        <v>4</v>
      </c>
      <c r="CM117" s="0" t="n">
        <v>1</v>
      </c>
      <c r="CN117" s="0" t="n">
        <v>5</v>
      </c>
      <c r="CO117" s="0" t="n">
        <v>2.55472186101777</v>
      </c>
      <c r="CP117" s="0" t="n">
        <v>0</v>
      </c>
      <c r="CQ117" s="0" t="n">
        <v>0</v>
      </c>
      <c r="CR117" s="0" t="n">
        <v>0</v>
      </c>
      <c r="CS117" s="0" t="n">
        <v>0</v>
      </c>
      <c r="CT117" s="0" t="n">
        <v>0</v>
      </c>
      <c r="CU117" s="0" t="n">
        <v>8</v>
      </c>
      <c r="CV117" s="0" t="n">
        <v>4</v>
      </c>
      <c r="CW117" s="0" t="n">
        <v>1</v>
      </c>
      <c r="CX117" s="0" t="n">
        <v>5</v>
      </c>
      <c r="CY117" s="0" t="n">
        <v>2.55</v>
      </c>
      <c r="CZ117" s="0" t="n">
        <v>2.45</v>
      </c>
      <c r="DA117" s="0" t="n">
        <v>3.42080991315709</v>
      </c>
      <c r="DB117" s="0" t="n">
        <v>5.96763157894737</v>
      </c>
      <c r="DC117" s="0" t="n">
        <v>9.09102040816327</v>
      </c>
      <c r="DD117" s="0" t="n">
        <v>12.9883837559189</v>
      </c>
      <c r="DE117" s="0" t="n">
        <v>1.02367101195219</v>
      </c>
      <c r="DF117" s="0" t="n">
        <v>79.5918367346939</v>
      </c>
      <c r="DM117" s="0" t="s">
        <v>1569</v>
      </c>
      <c r="DS117" s="0" t="n">
        <v>49</v>
      </c>
      <c r="DT117" s="0" t="n">
        <v>1</v>
      </c>
      <c r="DU117" s="0" t="n">
        <v>1</v>
      </c>
      <c r="DV117" s="0" t="n">
        <v>8</v>
      </c>
      <c r="DW117" s="0" t="n">
        <v>6.641</v>
      </c>
      <c r="DX117" s="0" t="n">
        <v>9.5</v>
      </c>
      <c r="DY117" s="0" t="n">
        <v>0.0204</v>
      </c>
      <c r="DZ117" s="0" t="n">
        <v>302</v>
      </c>
      <c r="EA117" s="0" t="n">
        <v>0.374</v>
      </c>
      <c r="EB117" s="0" t="n">
        <v>12</v>
      </c>
      <c r="EC117" s="0" t="s">
        <v>1570</v>
      </c>
      <c r="ED117" s="0" t="n">
        <v>2023</v>
      </c>
      <c r="EE117" s="0" t="n">
        <v>1</v>
      </c>
      <c r="EF117" s="0" t="n">
        <v>25</v>
      </c>
      <c r="EG117" s="0" t="n">
        <v>2023</v>
      </c>
      <c r="EH117" s="0" t="n">
        <v>2026</v>
      </c>
      <c r="EI117" s="0" t="n">
        <v>4</v>
      </c>
      <c r="EJ117" s="0" t="n">
        <v>75</v>
      </c>
      <c r="EK117" s="0" t="n">
        <v>246</v>
      </c>
      <c r="EL117" s="0" t="s">
        <v>1571</v>
      </c>
      <c r="EM117" s="0" t="n">
        <v>26.8</v>
      </c>
      <c r="EN117" s="15" t="b">
        <f aca="false">FALSE()</f>
        <v>0</v>
      </c>
      <c r="EO117" s="0" t="n">
        <v>419</v>
      </c>
      <c r="EP117" s="0" t="n">
        <v>3.36658711217184</v>
      </c>
      <c r="EQ117" s="0" t="n">
        <v>0.126491646778043</v>
      </c>
      <c r="ER117" s="0" t="n">
        <v>1.44630071599045</v>
      </c>
      <c r="ES117" s="0" t="n">
        <v>0.897374701670644</v>
      </c>
      <c r="ET117" s="0" t="n">
        <v>37</v>
      </c>
      <c r="EU117" s="0" t="n">
        <v>20</v>
      </c>
      <c r="EV117" s="0" t="n">
        <v>5.01193317422434</v>
      </c>
      <c r="EW117" s="0" t="n">
        <v>0.540540540540541</v>
      </c>
      <c r="EX117" s="0" t="n">
        <v>2.91817960590113</v>
      </c>
      <c r="EY117" s="0" t="n">
        <v>3.397</v>
      </c>
      <c r="EZ117" s="0" t="n">
        <v>0.1265</v>
      </c>
      <c r="FA117" s="0" t="n">
        <v>2.905</v>
      </c>
      <c r="FB117" s="0" t="n">
        <v>2.057</v>
      </c>
      <c r="FC117" s="0" t="n">
        <v>35</v>
      </c>
      <c r="FD117" s="0" t="n">
        <v>584</v>
      </c>
      <c r="FE117" s="0" t="n">
        <v>0.0684931506849315</v>
      </c>
      <c r="FF117" s="0" t="n">
        <v>0.0702</v>
      </c>
      <c r="FG117" s="0" t="n">
        <v>0.2</v>
      </c>
      <c r="FH117" s="0" t="n">
        <v>2.507</v>
      </c>
      <c r="FI117" s="0" t="n">
        <v>1065</v>
      </c>
      <c r="FJ117" s="0" t="n">
        <v>0.509859154929578</v>
      </c>
      <c r="FK117" s="0" t="n">
        <v>17</v>
      </c>
      <c r="FL117" s="0" t="n">
        <v>62.65</v>
      </c>
      <c r="FM117" s="0" t="n">
        <v>0.5028</v>
      </c>
      <c r="FN117" s="0" t="n">
        <v>0.4972</v>
      </c>
      <c r="FO117" s="0" t="n">
        <v>-0.0352</v>
      </c>
      <c r="FP117" s="0" t="n">
        <v>0.1102</v>
      </c>
      <c r="FQ117" s="0" t="n">
        <v>0.1599</v>
      </c>
      <c r="FR117" s="0" t="n">
        <v>40</v>
      </c>
      <c r="FS117" s="0" t="n">
        <v>68</v>
      </c>
      <c r="FT117" s="0" t="n">
        <v>4</v>
      </c>
      <c r="FU117" s="0" t="n">
        <v>28.3</v>
      </c>
      <c r="FV117" s="0" t="n">
        <v>5677</v>
      </c>
      <c r="FW117" s="0" t="n">
        <v>4330</v>
      </c>
      <c r="FX117" s="0" t="n">
        <v>0.763</v>
      </c>
      <c r="FY117" s="0" t="n">
        <v>5</v>
      </c>
      <c r="FZ117" s="0" t="n">
        <v>4</v>
      </c>
      <c r="GA117" s="0" t="n">
        <v>1.26194193528219</v>
      </c>
      <c r="GB117" s="0" t="n">
        <v>72.8</v>
      </c>
      <c r="GC117" s="0" t="n">
        <v>64.4</v>
      </c>
      <c r="GD117" s="0" t="n">
        <v>73.6</v>
      </c>
      <c r="GE117" s="0" t="n">
        <v>479</v>
      </c>
      <c r="GF117" s="0" t="n">
        <v>547</v>
      </c>
      <c r="GG117" s="0" t="n">
        <v>19</v>
      </c>
      <c r="GH117" s="0" t="n">
        <v>17</v>
      </c>
      <c r="GI117" s="0" t="n">
        <v>180</v>
      </c>
      <c r="GJ117" s="0" t="n">
        <v>2</v>
      </c>
      <c r="GK117" s="0" t="n">
        <v>0.04</v>
      </c>
      <c r="GL117" s="0" t="n">
        <v>0.031</v>
      </c>
      <c r="GM117" s="0" t="n">
        <v>0.011</v>
      </c>
      <c r="GN117" s="0" t="n">
        <v>10.508</v>
      </c>
      <c r="GO117" s="0" t="n">
        <v>8.883</v>
      </c>
      <c r="GP117" s="0" t="n">
        <v>7.258</v>
      </c>
      <c r="GQ117" s="0" t="n">
        <v>4.083</v>
      </c>
      <c r="GR117" s="0" t="n">
        <v>0</v>
      </c>
      <c r="GS117" s="0" t="n">
        <v>49</v>
      </c>
      <c r="GT117" s="0" t="n">
        <v>2.573</v>
      </c>
      <c r="GU117" s="0" t="n">
        <v>0.418</v>
      </c>
      <c r="GV117" s="0" t="n">
        <v>11.653</v>
      </c>
      <c r="GW117" s="0" t="n">
        <v>14.641</v>
      </c>
      <c r="GX117" s="0" t="n">
        <v>0.796</v>
      </c>
      <c r="GZ117" s="0" t="n">
        <v>9.49</v>
      </c>
      <c r="HA117" s="0" t="n">
        <v>6.641</v>
      </c>
      <c r="HB117" s="0" t="n">
        <v>1.228</v>
      </c>
      <c r="HC117" s="0" t="n">
        <v>0.102</v>
      </c>
      <c r="HE117" s="0" t="n">
        <v>0.804</v>
      </c>
      <c r="HG117" s="0" t="n">
        <v>114.64</v>
      </c>
      <c r="HH117" s="0" t="n">
        <v>14.17</v>
      </c>
      <c r="HI117" s="0" t="n">
        <v>95</v>
      </c>
      <c r="HJ117" s="0" t="n">
        <v>155</v>
      </c>
      <c r="HK117" s="0" t="s">
        <v>909</v>
      </c>
      <c r="HL117" s="0" t="n">
        <v>0</v>
      </c>
      <c r="HM117" s="0" t="n">
        <v>18</v>
      </c>
      <c r="HN117" s="0" t="n">
        <v>12</v>
      </c>
      <c r="HO117" s="0" t="n">
        <v>-0.329</v>
      </c>
      <c r="HP117" s="0" t="n">
        <v>14</v>
      </c>
      <c r="HQ117" s="0" t="n">
        <v>-0.154</v>
      </c>
      <c r="HR117" s="0" t="s">
        <v>102</v>
      </c>
    </row>
    <row r="118" customFormat="false" ht="15" hidden="false" customHeight="false" outlineLevel="0" collapsed="false">
      <c r="A118" s="0" t="s">
        <v>896</v>
      </c>
      <c r="B118" s="0" t="s">
        <v>897</v>
      </c>
      <c r="C118" s="0" t="s">
        <v>898</v>
      </c>
      <c r="D118" s="0" t="s">
        <v>375</v>
      </c>
      <c r="E118" s="0" t="n">
        <v>23781</v>
      </c>
      <c r="F118" s="0" t="s">
        <v>149</v>
      </c>
      <c r="G118" s="0" t="n">
        <v>116.67</v>
      </c>
      <c r="H118" s="0" t="n">
        <v>25.51</v>
      </c>
      <c r="I118" s="0" t="n">
        <v>85</v>
      </c>
      <c r="J118" s="0" t="n">
        <v>229</v>
      </c>
      <c r="L118" s="0" t="s">
        <v>1572</v>
      </c>
      <c r="O118" s="0" t="n">
        <v>82</v>
      </c>
      <c r="U118" s="0" t="n">
        <v>8</v>
      </c>
      <c r="V118" s="0" t="s">
        <v>375</v>
      </c>
      <c r="W118" s="0" t="s">
        <v>901</v>
      </c>
      <c r="X118" s="0" t="s">
        <v>178</v>
      </c>
      <c r="Y118" s="0" t="s">
        <v>1573</v>
      </c>
      <c r="Z118" s="0" t="n">
        <v>23781</v>
      </c>
      <c r="AA118" s="0" t="s">
        <v>1574</v>
      </c>
      <c r="AB118" s="0" t="s">
        <v>904</v>
      </c>
      <c r="AC118" s="0" t="s">
        <v>178</v>
      </c>
      <c r="AD118" s="0" t="s">
        <v>178</v>
      </c>
      <c r="AE118" s="0" t="s">
        <v>178</v>
      </c>
      <c r="AF118" s="0" t="s">
        <v>178</v>
      </c>
      <c r="AG118" s="0" t="s">
        <v>178</v>
      </c>
      <c r="AH118" s="0" t="s">
        <v>905</v>
      </c>
      <c r="AI118" s="0" t="n">
        <v>1</v>
      </c>
      <c r="AJ118" s="0" t="s">
        <v>149</v>
      </c>
      <c r="AK118" s="0" t="n">
        <v>117</v>
      </c>
      <c r="AL118" s="0" t="n">
        <v>13</v>
      </c>
      <c r="AM118" s="0" t="s">
        <v>376</v>
      </c>
      <c r="AN118" s="0" t="n">
        <v>0</v>
      </c>
      <c r="AO118" s="0" t="n">
        <v>0</v>
      </c>
      <c r="AP118" s="0" t="n">
        <v>0</v>
      </c>
      <c r="AQ118" s="0" t="n">
        <v>0</v>
      </c>
      <c r="AR118" s="0" t="n">
        <v>0</v>
      </c>
      <c r="AS118" s="0" t="n">
        <v>0</v>
      </c>
      <c r="AT118" s="0" t="n">
        <v>0</v>
      </c>
      <c r="AU118" s="0" t="n">
        <v>0</v>
      </c>
      <c r="AV118" s="0" t="n">
        <v>0</v>
      </c>
      <c r="AW118" s="0" t="n">
        <v>0</v>
      </c>
      <c r="AX118" s="0" t="n">
        <v>0</v>
      </c>
      <c r="AY118" s="0" t="n">
        <v>0</v>
      </c>
      <c r="AZ118" s="0" t="n">
        <v>0</v>
      </c>
      <c r="BA118" s="0" t="n">
        <v>0</v>
      </c>
      <c r="BB118" s="0" t="n">
        <v>0</v>
      </c>
      <c r="BC118" s="0" t="n">
        <v>27</v>
      </c>
      <c r="BD118" s="0" t="n">
        <v>36</v>
      </c>
      <c r="BE118" s="0" t="n">
        <v>307</v>
      </c>
      <c r="BF118" s="0" t="n">
        <v>1</v>
      </c>
      <c r="BG118" s="0" t="n">
        <v>287</v>
      </c>
      <c r="BH118" s="0" t="n">
        <v>117</v>
      </c>
      <c r="BI118" s="0" t="n">
        <v>11</v>
      </c>
      <c r="BJ118" s="0" t="n">
        <v>5.39542026744853</v>
      </c>
      <c r="BK118" s="0" t="n">
        <v>1</v>
      </c>
      <c r="BL118" s="0" t="n">
        <v>0</v>
      </c>
      <c r="BM118" s="0" t="n">
        <v>34.7</v>
      </c>
      <c r="BN118" s="0" t="n">
        <v>61.7</v>
      </c>
      <c r="BO118" s="0" t="n">
        <v>12</v>
      </c>
      <c r="BP118" s="0" t="s">
        <v>183</v>
      </c>
      <c r="BQ118" s="0" t="n">
        <v>1</v>
      </c>
      <c r="BR118" s="0" t="n">
        <v>48.2</v>
      </c>
      <c r="BS118" s="0" t="n">
        <v>0.0885</v>
      </c>
      <c r="BT118" s="0" t="n">
        <v>0</v>
      </c>
      <c r="BU118" s="0" t="n">
        <v>0.085</v>
      </c>
      <c r="BV118" s="0" t="n">
        <v>0.1241</v>
      </c>
      <c r="BW118" s="0" t="n">
        <v>0</v>
      </c>
      <c r="BX118" s="0" t="n">
        <v>0.1211</v>
      </c>
      <c r="BY118" s="0" t="n">
        <v>0.2709</v>
      </c>
      <c r="BZ118" s="0" t="n">
        <v>12</v>
      </c>
      <c r="CA118" s="0" t="n">
        <v>2.5</v>
      </c>
      <c r="CB118" s="0" t="n">
        <v>10.22</v>
      </c>
      <c r="CC118" s="0" t="n">
        <v>3.6</v>
      </c>
      <c r="CD118" s="0" t="n">
        <v>4.1</v>
      </c>
      <c r="CE118" s="0" t="n">
        <v>0</v>
      </c>
      <c r="CF118" s="0" t="n">
        <v>1</v>
      </c>
      <c r="CG118" s="0" t="n">
        <v>12</v>
      </c>
      <c r="CH118" s="0" t="n">
        <v>0</v>
      </c>
      <c r="CI118" s="0" t="n">
        <v>0.083</v>
      </c>
      <c r="CJ118" s="0" t="n">
        <v>1.14</v>
      </c>
      <c r="CK118" s="0" t="n">
        <v>6</v>
      </c>
      <c r="CL118" s="0" t="n">
        <v>2</v>
      </c>
      <c r="CM118" s="0" t="n">
        <v>2</v>
      </c>
      <c r="CN118" s="0" t="n">
        <v>1</v>
      </c>
      <c r="CO118" s="0" t="n">
        <v>2.06944687031382</v>
      </c>
      <c r="CP118" s="0" t="n">
        <v>0</v>
      </c>
      <c r="CQ118" s="0" t="n">
        <v>0</v>
      </c>
      <c r="CR118" s="0" t="n">
        <v>0</v>
      </c>
      <c r="CS118" s="0" t="n">
        <v>0</v>
      </c>
      <c r="CT118" s="0" t="n">
        <v>0</v>
      </c>
      <c r="CU118" s="0" t="n">
        <v>6</v>
      </c>
      <c r="CV118" s="0" t="n">
        <v>2</v>
      </c>
      <c r="CW118" s="0" t="n">
        <v>2</v>
      </c>
      <c r="CX118" s="0" t="n">
        <v>1</v>
      </c>
      <c r="CY118" s="0" t="n">
        <v>2.07</v>
      </c>
      <c r="CZ118" s="0" t="n">
        <v>-1.07</v>
      </c>
      <c r="DM118" s="0" t="s">
        <v>1575</v>
      </c>
      <c r="DS118" s="0" t="n">
        <v>36</v>
      </c>
      <c r="DT118" s="0" t="n">
        <v>1</v>
      </c>
      <c r="DU118" s="0" t="n">
        <v>1</v>
      </c>
      <c r="DV118" s="0" t="n">
        <v>7.037</v>
      </c>
      <c r="DW118" s="0" t="n">
        <v>4.333</v>
      </c>
      <c r="DX118" s="0" t="n">
        <v>8</v>
      </c>
      <c r="DY118" s="0" t="n">
        <v>0.0278</v>
      </c>
      <c r="DZ118" s="0" t="n">
        <v>487</v>
      </c>
      <c r="EA118" s="0" t="n">
        <v>0.559</v>
      </c>
      <c r="EB118" s="0" t="n">
        <v>14</v>
      </c>
      <c r="EC118" s="0" t="s">
        <v>1576</v>
      </c>
      <c r="ED118" s="0" t="n">
        <v>2022</v>
      </c>
      <c r="EE118" s="0" t="n">
        <v>4</v>
      </c>
      <c r="EF118" s="0" t="n">
        <v>139</v>
      </c>
      <c r="EG118" s="0" t="n">
        <v>2022</v>
      </c>
      <c r="EH118" s="0" t="n">
        <v>2026</v>
      </c>
      <c r="EI118" s="0" t="n">
        <v>5</v>
      </c>
      <c r="EJ118" s="0" t="n">
        <v>76</v>
      </c>
      <c r="EK118" s="0" t="n">
        <v>245</v>
      </c>
      <c r="EL118" s="0" t="s">
        <v>1577</v>
      </c>
      <c r="EM118" s="0" t="n">
        <v>26.3</v>
      </c>
      <c r="EN118" s="15" t="b">
        <f aca="false">FALSE()</f>
        <v>0</v>
      </c>
      <c r="EO118" s="0" t="n">
        <v>396</v>
      </c>
      <c r="EP118" s="0" t="n">
        <v>2.99646464646465</v>
      </c>
      <c r="EQ118" s="0" t="n">
        <v>0.146464646464647</v>
      </c>
      <c r="ER118" s="0" t="n">
        <v>1.08080808080808</v>
      </c>
      <c r="ES118" s="0" t="n">
        <v>0.441919191919192</v>
      </c>
      <c r="ET118" s="0" t="n">
        <v>24</v>
      </c>
      <c r="EU118" s="0" t="n">
        <v>15</v>
      </c>
      <c r="EV118" s="0" t="n">
        <v>4.00757575757576</v>
      </c>
      <c r="EW118" s="0" t="n">
        <v>0.625</v>
      </c>
      <c r="EX118" s="0" t="n">
        <v>2.97085160992848</v>
      </c>
      <c r="EY118" s="0" t="n">
        <v>2.974</v>
      </c>
      <c r="EZ118" s="0" t="n">
        <v>0.1475</v>
      </c>
      <c r="FA118" s="0" t="n">
        <v>2.714</v>
      </c>
      <c r="FB118" s="0" t="n">
        <v>1.581</v>
      </c>
      <c r="FC118" s="0" t="n">
        <v>16</v>
      </c>
      <c r="FD118" s="0" t="n">
        <v>624</v>
      </c>
      <c r="FE118" s="0" t="n">
        <v>0.0769230769230769</v>
      </c>
      <c r="FF118" s="0" t="n">
        <v>0.076</v>
      </c>
      <c r="FG118" s="0" t="n">
        <v>0.2947</v>
      </c>
      <c r="FH118" s="0" t="n">
        <v>2.388</v>
      </c>
      <c r="FI118" s="0" t="n">
        <v>1079</v>
      </c>
      <c r="FJ118" s="0" t="n">
        <v>0.533827618164968</v>
      </c>
      <c r="FK118" s="0" t="n">
        <v>17</v>
      </c>
      <c r="FL118" s="0" t="n">
        <v>63.47</v>
      </c>
      <c r="FM118" s="0" t="n">
        <v>0.494</v>
      </c>
      <c r="FN118" s="0" t="n">
        <v>0.506</v>
      </c>
      <c r="FO118" s="0" t="n">
        <v>-0.0466</v>
      </c>
      <c r="FP118" s="0" t="n">
        <v>0.0356</v>
      </c>
      <c r="FQ118" s="0" t="n">
        <v>-0.008</v>
      </c>
      <c r="FR118" s="0" t="n">
        <v>36</v>
      </c>
      <c r="FS118" s="0" t="n">
        <v>61</v>
      </c>
      <c r="FT118" s="0" t="n">
        <v>3.59</v>
      </c>
      <c r="FU118" s="0" t="n">
        <v>22.4</v>
      </c>
      <c r="FV118" s="0" t="n">
        <v>5756</v>
      </c>
      <c r="FW118" s="0" t="n">
        <v>4159</v>
      </c>
      <c r="FX118" s="0" t="n">
        <v>0.723</v>
      </c>
      <c r="FY118" s="0" t="n">
        <v>5</v>
      </c>
      <c r="FZ118" s="0" t="n">
        <v>4</v>
      </c>
      <c r="GA118" s="0" t="n">
        <v>0.375872277758655</v>
      </c>
      <c r="GB118" s="0" t="n">
        <v>56.8</v>
      </c>
      <c r="GC118" s="0" t="n">
        <v>36.8</v>
      </c>
      <c r="GD118" s="0" t="n">
        <v>45.9</v>
      </c>
      <c r="GE118" s="0" t="n">
        <v>503</v>
      </c>
      <c r="GF118" s="0" t="n">
        <v>511</v>
      </c>
      <c r="GG118" s="0" t="n">
        <v>177</v>
      </c>
      <c r="GH118" s="0" t="n">
        <v>3</v>
      </c>
      <c r="GI118" s="0" t="n">
        <v>162</v>
      </c>
      <c r="GJ118" s="0" t="n">
        <v>21</v>
      </c>
      <c r="GK118" s="0" t="n">
        <v>0.352</v>
      </c>
      <c r="GL118" s="0" t="n">
        <v>0.006</v>
      </c>
      <c r="GM118" s="0" t="n">
        <v>0.13</v>
      </c>
      <c r="GN118" s="0" t="n">
        <v>5.142</v>
      </c>
      <c r="GO118" s="0" t="n">
        <v>4.017</v>
      </c>
      <c r="GP118" s="0" t="n">
        <v>2.892</v>
      </c>
      <c r="GQ118" s="0" t="n">
        <v>3</v>
      </c>
      <c r="GR118" s="0" t="n">
        <v>0</v>
      </c>
      <c r="GS118" s="0" t="n">
        <v>36</v>
      </c>
      <c r="GT118" s="0" t="n">
        <v>1.714</v>
      </c>
      <c r="GU118" s="0" t="n">
        <v>0.127</v>
      </c>
      <c r="GV118" s="0" t="n">
        <v>8.528</v>
      </c>
      <c r="GW118" s="0" t="n">
        <v>11.37</v>
      </c>
      <c r="GX118" s="0" t="n">
        <v>0.75</v>
      </c>
      <c r="GZ118" s="0" t="n">
        <v>7.972</v>
      </c>
      <c r="HA118" s="0" t="n">
        <v>4.333</v>
      </c>
      <c r="HB118" s="0" t="n">
        <v>1.07</v>
      </c>
      <c r="HC118" s="0" t="n">
        <v>0.028</v>
      </c>
      <c r="HE118" s="0" t="n">
        <v>0.15</v>
      </c>
      <c r="HG118" s="0" t="n">
        <v>116.67</v>
      </c>
      <c r="HH118" s="0" t="n">
        <v>25.51</v>
      </c>
      <c r="HI118" s="0" t="n">
        <v>85</v>
      </c>
      <c r="HJ118" s="0" t="n">
        <v>229</v>
      </c>
      <c r="HK118" s="0" t="s">
        <v>909</v>
      </c>
      <c r="HL118" s="0" t="n">
        <v>0</v>
      </c>
      <c r="HM118" s="0" t="n">
        <v>31</v>
      </c>
      <c r="HN118" s="0" t="n">
        <v>13</v>
      </c>
      <c r="HO118" s="0" t="n">
        <v>-0.863</v>
      </c>
      <c r="HP118" s="0" t="n">
        <v>31</v>
      </c>
      <c r="HQ118" s="0" t="n">
        <v>-0.863</v>
      </c>
      <c r="HR118" s="0" t="s">
        <v>121</v>
      </c>
    </row>
    <row r="119" customFormat="false" ht="15" hidden="false" customHeight="false" outlineLevel="0" collapsed="false">
      <c r="A119" s="0" t="s">
        <v>896</v>
      </c>
      <c r="B119" s="0" t="s">
        <v>897</v>
      </c>
      <c r="C119" s="0" t="s">
        <v>898</v>
      </c>
      <c r="D119" s="0" t="s">
        <v>377</v>
      </c>
      <c r="E119" s="0" t="n">
        <v>17237</v>
      </c>
      <c r="F119" s="0" t="s">
        <v>172</v>
      </c>
      <c r="G119" s="0" t="n">
        <v>117.48</v>
      </c>
      <c r="H119" s="0" t="n">
        <v>9.55</v>
      </c>
      <c r="I119" s="0" t="n">
        <v>74</v>
      </c>
      <c r="J119" s="0" t="n">
        <v>136</v>
      </c>
      <c r="L119" s="0" t="s">
        <v>1578</v>
      </c>
      <c r="O119" s="0" t="n">
        <v>58.1</v>
      </c>
      <c r="U119" s="0" t="n">
        <v>10</v>
      </c>
      <c r="V119" s="0" t="s">
        <v>377</v>
      </c>
      <c r="W119" s="0" t="s">
        <v>901</v>
      </c>
      <c r="X119" s="0" t="s">
        <v>1111</v>
      </c>
      <c r="Y119" s="0" t="s">
        <v>1579</v>
      </c>
      <c r="Z119" s="0" t="n">
        <v>17237</v>
      </c>
      <c r="AA119" s="0" t="s">
        <v>1580</v>
      </c>
      <c r="AB119" s="0" t="s">
        <v>904</v>
      </c>
      <c r="AC119" s="0" t="s">
        <v>198</v>
      </c>
      <c r="AD119" s="0" t="s">
        <v>198</v>
      </c>
      <c r="AE119" s="0" t="s">
        <v>198</v>
      </c>
      <c r="AF119" s="0" t="s">
        <v>198</v>
      </c>
      <c r="AG119" s="0" t="s">
        <v>198</v>
      </c>
      <c r="AH119" s="0" t="s">
        <v>905</v>
      </c>
      <c r="AI119" s="0" t="n">
        <v>1</v>
      </c>
      <c r="AJ119" s="0" t="s">
        <v>172</v>
      </c>
      <c r="AK119" s="0" t="n">
        <v>118</v>
      </c>
      <c r="AL119" s="0" t="n">
        <v>18</v>
      </c>
      <c r="AM119" s="0" t="s">
        <v>378</v>
      </c>
      <c r="AN119" s="0" t="n">
        <v>343</v>
      </c>
      <c r="AO119" s="0" t="n">
        <v>543</v>
      </c>
      <c r="AP119" s="0" t="n">
        <v>3693</v>
      </c>
      <c r="AQ119" s="0" t="n">
        <v>26</v>
      </c>
      <c r="AR119" s="0" t="n">
        <v>11</v>
      </c>
      <c r="AS119" s="0" t="n">
        <v>36</v>
      </c>
      <c r="AT119" s="0" t="n">
        <v>4406</v>
      </c>
      <c r="AU119" s="0" t="n">
        <v>172</v>
      </c>
      <c r="AV119" s="0" t="n">
        <v>0.677550827275322</v>
      </c>
      <c r="AW119" s="0" t="n">
        <v>55</v>
      </c>
      <c r="AX119" s="0" t="n">
        <v>382</v>
      </c>
      <c r="AY119" s="0" t="n">
        <v>1</v>
      </c>
      <c r="AZ119" s="0" t="n">
        <v>27</v>
      </c>
      <c r="BA119" s="0" t="n">
        <v>35.7214688725108</v>
      </c>
      <c r="BB119" s="0" t="n">
        <v>0</v>
      </c>
      <c r="BC119" s="0" t="n">
        <v>0</v>
      </c>
      <c r="BD119" s="0" t="n">
        <v>0</v>
      </c>
      <c r="BE119" s="0" t="n">
        <v>0</v>
      </c>
      <c r="BF119" s="0" t="n">
        <v>0</v>
      </c>
      <c r="BG119" s="0" t="n">
        <v>0</v>
      </c>
      <c r="BH119" s="0" t="n">
        <v>0</v>
      </c>
      <c r="BI119" s="0" t="n">
        <v>0</v>
      </c>
      <c r="BJ119" s="0" t="n">
        <v>0</v>
      </c>
      <c r="BK119" s="0" t="n">
        <v>0</v>
      </c>
      <c r="BL119" s="0" t="n">
        <v>0</v>
      </c>
      <c r="BM119" s="0" t="n">
        <v>271.92</v>
      </c>
      <c r="BN119" s="0" t="n">
        <v>271.92</v>
      </c>
      <c r="BO119" s="0" t="n">
        <v>17</v>
      </c>
      <c r="BP119" s="0" t="s">
        <v>198</v>
      </c>
      <c r="BQ119" s="0" t="n">
        <v>1</v>
      </c>
      <c r="BR119" s="0" t="n">
        <v>271.92</v>
      </c>
      <c r="BS119" s="0" t="n">
        <v>0</v>
      </c>
      <c r="BT119" s="0" t="n">
        <v>0.1165</v>
      </c>
      <c r="BU119" s="0" t="n">
        <v>0</v>
      </c>
      <c r="BV119" s="0" t="n">
        <v>0</v>
      </c>
      <c r="BW119" s="0" t="n">
        <v>0.1165</v>
      </c>
      <c r="BX119" s="0" t="n">
        <v>0</v>
      </c>
      <c r="BY119" s="0" t="n">
        <v>0</v>
      </c>
      <c r="BZ119" s="0" t="n">
        <v>17</v>
      </c>
      <c r="CA119" s="0" t="n">
        <v>12.7</v>
      </c>
      <c r="CB119" s="0" t="n">
        <v>21.51</v>
      </c>
      <c r="CC119" s="0" t="n">
        <v>17.44</v>
      </c>
      <c r="CD119" s="0" t="n">
        <v>6.24</v>
      </c>
      <c r="CE119" s="0" t="n">
        <v>8</v>
      </c>
      <c r="CF119" s="0" t="n">
        <v>2</v>
      </c>
      <c r="CG119" s="0" t="n">
        <v>17</v>
      </c>
      <c r="CH119" s="0" t="n">
        <v>0.471</v>
      </c>
      <c r="CI119" s="0" t="n">
        <v>0.118</v>
      </c>
      <c r="CJ119" s="0" t="n">
        <v>0.358</v>
      </c>
      <c r="CK119" s="0" t="n">
        <v>0</v>
      </c>
      <c r="CL119" s="0" t="n">
        <v>0</v>
      </c>
      <c r="CM119" s="0" t="n">
        <v>0</v>
      </c>
      <c r="CN119" s="0" t="n">
        <v>0</v>
      </c>
      <c r="CO119" s="0" t="n">
        <v>0</v>
      </c>
      <c r="CP119" s="0" t="n">
        <v>4</v>
      </c>
      <c r="CQ119" s="0" t="n">
        <v>1</v>
      </c>
      <c r="CR119" s="0" t="n">
        <v>1</v>
      </c>
      <c r="CS119" s="0" t="n">
        <v>1</v>
      </c>
      <c r="CT119" s="0" t="n">
        <v>0.73460909093147</v>
      </c>
      <c r="CU119" s="0" t="n">
        <v>4</v>
      </c>
      <c r="CV119" s="0" t="n">
        <v>1</v>
      </c>
      <c r="CW119" s="0" t="n">
        <v>1</v>
      </c>
      <c r="CX119" s="0" t="n">
        <v>1</v>
      </c>
      <c r="CY119" s="0" t="n">
        <v>0.73</v>
      </c>
      <c r="CZ119" s="0" t="n">
        <v>0.27</v>
      </c>
      <c r="DM119" s="0" t="s">
        <v>1581</v>
      </c>
      <c r="DN119" s="0" t="n">
        <v>55</v>
      </c>
      <c r="DO119" s="0" t="n">
        <v>7</v>
      </c>
      <c r="DP119" s="0" t="n">
        <v>5.109</v>
      </c>
      <c r="DQ119" s="0" t="n">
        <v>1.836</v>
      </c>
      <c r="DR119" s="0" t="n">
        <v>7.86</v>
      </c>
      <c r="DZ119" s="0" t="n">
        <v>1099</v>
      </c>
      <c r="EA119" s="0" t="n">
        <v>0.971</v>
      </c>
      <c r="EB119" s="0" t="n">
        <v>17</v>
      </c>
      <c r="EC119" s="0" t="s">
        <v>1582</v>
      </c>
      <c r="ED119" s="0" t="n">
        <v>2018</v>
      </c>
      <c r="EE119" s="0" t="n">
        <v>1</v>
      </c>
      <c r="EF119" s="0" t="n">
        <v>1</v>
      </c>
      <c r="EG119" s="0" t="n">
        <v>2018</v>
      </c>
      <c r="EH119" s="0" t="n">
        <v>2026</v>
      </c>
      <c r="EI119" s="0" t="n">
        <v>9</v>
      </c>
      <c r="EJ119" s="0" t="n">
        <v>73</v>
      </c>
      <c r="EK119" s="0" t="n">
        <v>215</v>
      </c>
      <c r="EL119" s="0" t="s">
        <v>1583</v>
      </c>
      <c r="EM119" s="0" t="n">
        <v>31.3</v>
      </c>
      <c r="EN119" s="15" t="b">
        <f aca="false">FALSE()</f>
        <v>0</v>
      </c>
      <c r="EO119" s="0" t="n">
        <v>398</v>
      </c>
      <c r="EP119" s="0" t="n">
        <v>2.76407035175879</v>
      </c>
      <c r="EQ119" s="0" t="n">
        <v>0.183417085427136</v>
      </c>
      <c r="ER119" s="0" t="n">
        <v>1.05276381909548</v>
      </c>
      <c r="ES119" s="0" t="n">
        <v>0.42462311557789</v>
      </c>
      <c r="ET119" s="0" t="n">
        <v>48</v>
      </c>
      <c r="EU119" s="0" t="n">
        <v>34</v>
      </c>
      <c r="EV119" s="0" t="n">
        <v>3.76130653266332</v>
      </c>
      <c r="EW119" s="0" t="n">
        <v>0.708333333333333</v>
      </c>
      <c r="EX119" s="0" t="n">
        <v>2.97696363334511</v>
      </c>
      <c r="EY119" s="0" t="n">
        <v>2.736</v>
      </c>
      <c r="EZ119" s="0" t="n">
        <v>0.1938</v>
      </c>
      <c r="FA119" s="0" t="n">
        <v>2.699</v>
      </c>
      <c r="FB119" s="0" t="n">
        <v>1.426</v>
      </c>
      <c r="FC119" s="0" t="n">
        <v>31</v>
      </c>
      <c r="FD119" s="0" t="n">
        <v>638</v>
      </c>
      <c r="FE119" s="0" t="n">
        <v>0.0595611285266458</v>
      </c>
      <c r="FF119" s="0" t="n">
        <v>0.0571</v>
      </c>
      <c r="FG119" s="0" t="n">
        <v>0.172</v>
      </c>
      <c r="FH119" s="0" t="n">
        <v>2.292</v>
      </c>
      <c r="FI119" s="0" t="n">
        <v>1065</v>
      </c>
      <c r="FJ119" s="0" t="n">
        <v>0.564319248826291</v>
      </c>
      <c r="FK119" s="0" t="n">
        <v>17</v>
      </c>
      <c r="FL119" s="0" t="n">
        <v>62.65</v>
      </c>
      <c r="FM119" s="0" t="n">
        <v>0.5148</v>
      </c>
      <c r="FN119" s="0" t="n">
        <v>0.4852</v>
      </c>
      <c r="FO119" s="0" t="n">
        <v>-0.0347</v>
      </c>
      <c r="FP119" s="0" t="n">
        <v>0.0138</v>
      </c>
      <c r="FQ119" s="0" t="n">
        <v>-0.0264</v>
      </c>
      <c r="FR119" s="0" t="n">
        <v>41</v>
      </c>
      <c r="FS119" s="0" t="n">
        <v>53</v>
      </c>
      <c r="FT119" s="0" t="n">
        <v>3.12</v>
      </c>
      <c r="FU119" s="0" t="n">
        <v>22.4</v>
      </c>
      <c r="FV119" s="0" t="n">
        <v>5692</v>
      </c>
      <c r="FW119" s="0" t="n">
        <v>4502</v>
      </c>
      <c r="FX119" s="0" t="n">
        <v>0.791</v>
      </c>
      <c r="FY119" s="0" t="n">
        <v>5</v>
      </c>
      <c r="FZ119" s="0" t="n">
        <v>4</v>
      </c>
      <c r="GA119" s="0" t="n">
        <v>-0.202503543001561</v>
      </c>
      <c r="GB119" s="0" t="n">
        <v>46.3</v>
      </c>
      <c r="GC119" s="0" t="n">
        <v>65.4</v>
      </c>
      <c r="GD119" s="0" t="n">
        <v>57.4</v>
      </c>
      <c r="GE119" s="0" t="n">
        <v>541</v>
      </c>
      <c r="GF119" s="0" t="n">
        <v>472</v>
      </c>
      <c r="GG119" s="0" t="n">
        <v>111</v>
      </c>
      <c r="GH119" s="0" t="n">
        <v>138</v>
      </c>
      <c r="GI119" s="0" t="n">
        <v>136</v>
      </c>
      <c r="GJ119" s="0" t="n">
        <v>38</v>
      </c>
      <c r="GK119" s="0" t="n">
        <v>0.205</v>
      </c>
      <c r="GL119" s="0" t="n">
        <v>0.292</v>
      </c>
      <c r="GM119" s="0" t="n">
        <v>0.279</v>
      </c>
      <c r="GN119" s="0" t="n">
        <v>15.995</v>
      </c>
      <c r="GO119" s="0" t="n">
        <v>15.995</v>
      </c>
      <c r="GP119" s="0" t="n">
        <v>15.995</v>
      </c>
      <c r="GQ119" s="0" t="n">
        <v>0</v>
      </c>
      <c r="GR119" s="0" t="n">
        <v>3.235</v>
      </c>
      <c r="GS119" s="0" t="n">
        <v>55</v>
      </c>
      <c r="GT119" s="0" t="n">
        <v>4.944</v>
      </c>
      <c r="GU119" s="0" t="n">
        <v>0.247</v>
      </c>
      <c r="GY119" s="0" t="n">
        <v>6.945</v>
      </c>
      <c r="HC119" s="0" t="n">
        <v>0.018</v>
      </c>
      <c r="HD119" s="0" t="n">
        <v>0.649</v>
      </c>
      <c r="HG119" s="0" t="n">
        <v>117.48</v>
      </c>
      <c r="HH119" s="0" t="n">
        <v>9.55</v>
      </c>
      <c r="HI119" s="0" t="n">
        <v>74</v>
      </c>
      <c r="HJ119" s="0" t="n">
        <v>136</v>
      </c>
      <c r="HK119" s="0" t="s">
        <v>909</v>
      </c>
      <c r="HL119" s="0" t="n">
        <v>0</v>
      </c>
      <c r="HM119" s="0" t="n">
        <v>12</v>
      </c>
      <c r="HN119" s="0" t="n">
        <v>18</v>
      </c>
      <c r="HO119" s="0" t="n">
        <v>0.147</v>
      </c>
      <c r="HP119" s="0" t="n">
        <v>19</v>
      </c>
      <c r="HQ119" s="0" t="n">
        <v>-0.16</v>
      </c>
      <c r="HR119" s="0" t="s">
        <v>102</v>
      </c>
    </row>
    <row r="120" customFormat="false" ht="15" hidden="false" customHeight="false" outlineLevel="0" collapsed="false">
      <c r="A120" s="0" t="s">
        <v>896</v>
      </c>
      <c r="B120" s="0" t="s">
        <v>897</v>
      </c>
      <c r="C120" s="0" t="s">
        <v>898</v>
      </c>
      <c r="D120" s="0" t="s">
        <v>379</v>
      </c>
      <c r="E120" s="0" t="n">
        <v>19246</v>
      </c>
      <c r="F120" s="0" t="s">
        <v>172</v>
      </c>
      <c r="G120" s="0" t="n">
        <v>119.28</v>
      </c>
      <c r="H120" s="0" t="n">
        <v>9.6</v>
      </c>
      <c r="I120" s="0" t="n">
        <v>92</v>
      </c>
      <c r="J120" s="0" t="n">
        <v>145</v>
      </c>
      <c r="L120" s="0" t="s">
        <v>1584</v>
      </c>
      <c r="O120" s="0" t="n">
        <v>54.1</v>
      </c>
      <c r="U120" s="0" t="n">
        <v>11</v>
      </c>
      <c r="V120" s="0" t="s">
        <v>379</v>
      </c>
      <c r="W120" s="0" t="s">
        <v>901</v>
      </c>
      <c r="X120" s="0" t="s">
        <v>1153</v>
      </c>
      <c r="Y120" s="0" t="s">
        <v>1585</v>
      </c>
      <c r="Z120" s="0" t="n">
        <v>19246</v>
      </c>
      <c r="AA120" s="0" t="s">
        <v>1586</v>
      </c>
      <c r="AB120" s="0" t="s">
        <v>904</v>
      </c>
      <c r="AC120" s="0" t="s">
        <v>218</v>
      </c>
      <c r="AD120" s="0" t="s">
        <v>218</v>
      </c>
      <c r="AE120" s="0" t="s">
        <v>218</v>
      </c>
      <c r="AF120" s="0" t="s">
        <v>218</v>
      </c>
      <c r="AG120" s="0" t="s">
        <v>218</v>
      </c>
      <c r="AH120" s="0" t="s">
        <v>905</v>
      </c>
      <c r="AI120" s="0" t="n">
        <v>1</v>
      </c>
      <c r="AJ120" s="0" t="s">
        <v>172</v>
      </c>
      <c r="AK120" s="0" t="n">
        <v>119</v>
      </c>
      <c r="AL120" s="0" t="n">
        <v>19</v>
      </c>
      <c r="AM120" s="0" t="s">
        <v>380</v>
      </c>
      <c r="AN120" s="0" t="n">
        <v>291</v>
      </c>
      <c r="AO120" s="0" t="n">
        <v>439</v>
      </c>
      <c r="AP120" s="0" t="n">
        <v>3381</v>
      </c>
      <c r="AQ120" s="0" t="n">
        <v>23</v>
      </c>
      <c r="AR120" s="0" t="n">
        <v>6</v>
      </c>
      <c r="AS120" s="0" t="n">
        <v>21</v>
      </c>
      <c r="AT120" s="0" t="n">
        <v>3871</v>
      </c>
      <c r="AU120" s="0" t="n">
        <v>159</v>
      </c>
      <c r="AV120" s="0" t="n">
        <v>110.611287832903</v>
      </c>
      <c r="AW120" s="0" t="n">
        <v>47</v>
      </c>
      <c r="AX120" s="0" t="n">
        <v>199</v>
      </c>
      <c r="AY120" s="0" t="n">
        <v>0</v>
      </c>
      <c r="AZ120" s="0" t="n">
        <v>14</v>
      </c>
      <c r="BA120" s="0" t="n">
        <v>12.3389958464351</v>
      </c>
      <c r="BB120" s="0" t="n">
        <v>0</v>
      </c>
      <c r="BC120" s="0" t="n">
        <v>0</v>
      </c>
      <c r="BD120" s="0" t="n">
        <v>0</v>
      </c>
      <c r="BE120" s="0" t="n">
        <v>0</v>
      </c>
      <c r="BF120" s="0" t="n">
        <v>0</v>
      </c>
      <c r="BG120" s="0" t="n">
        <v>0</v>
      </c>
      <c r="BH120" s="0" t="n">
        <v>0</v>
      </c>
      <c r="BI120" s="0" t="n">
        <v>0</v>
      </c>
      <c r="BJ120" s="0" t="n">
        <v>0</v>
      </c>
      <c r="BK120" s="0" t="n">
        <v>0</v>
      </c>
      <c r="BL120" s="0" t="n">
        <v>0</v>
      </c>
      <c r="BM120" s="0" t="n">
        <v>235.14</v>
      </c>
      <c r="BN120" s="0" t="n">
        <v>235.14</v>
      </c>
      <c r="BO120" s="0" t="n">
        <v>15</v>
      </c>
      <c r="BP120" s="0" t="s">
        <v>218</v>
      </c>
      <c r="BQ120" s="0" t="n">
        <v>1</v>
      </c>
      <c r="BR120" s="0" t="n">
        <v>235.14</v>
      </c>
      <c r="BS120" s="0" t="n">
        <v>0</v>
      </c>
      <c r="BT120" s="0" t="n">
        <v>0.0955</v>
      </c>
      <c r="BU120" s="0" t="n">
        <v>0</v>
      </c>
      <c r="BV120" s="0" t="n">
        <v>0</v>
      </c>
      <c r="BW120" s="0" t="n">
        <v>0.1068</v>
      </c>
      <c r="BX120" s="0" t="n">
        <v>0</v>
      </c>
      <c r="BY120" s="0" t="n">
        <v>0</v>
      </c>
      <c r="BZ120" s="0" t="n">
        <v>15</v>
      </c>
      <c r="CA120" s="0" t="n">
        <v>10.07</v>
      </c>
      <c r="CB120" s="0" t="n">
        <v>25.27</v>
      </c>
      <c r="CC120" s="0" t="n">
        <v>14.96</v>
      </c>
      <c r="CD120" s="0" t="n">
        <v>7.41</v>
      </c>
      <c r="CE120" s="0" t="n">
        <v>6</v>
      </c>
      <c r="CF120" s="0" t="n">
        <v>1</v>
      </c>
      <c r="CG120" s="0" t="n">
        <v>15</v>
      </c>
      <c r="CH120" s="0" t="n">
        <v>0.4</v>
      </c>
      <c r="CI120" s="0" t="n">
        <v>0.067</v>
      </c>
      <c r="CJ120" s="0" t="n">
        <v>0.495</v>
      </c>
      <c r="CK120" s="0" t="n">
        <v>0</v>
      </c>
      <c r="CL120" s="0" t="n">
        <v>0</v>
      </c>
      <c r="CM120" s="0" t="n">
        <v>0</v>
      </c>
      <c r="CN120" s="0" t="n">
        <v>0</v>
      </c>
      <c r="CO120" s="0" t="n">
        <v>0</v>
      </c>
      <c r="CP120" s="0" t="n">
        <v>6</v>
      </c>
      <c r="CQ120" s="0" t="n">
        <v>3</v>
      </c>
      <c r="CR120" s="0" t="n">
        <v>2</v>
      </c>
      <c r="CS120" s="0" t="n">
        <v>0</v>
      </c>
      <c r="CT120" s="0" t="n">
        <v>1.00781544638703</v>
      </c>
      <c r="CU120" s="0" t="n">
        <v>6</v>
      </c>
      <c r="CV120" s="0" t="n">
        <v>3</v>
      </c>
      <c r="CW120" s="0" t="n">
        <v>2</v>
      </c>
      <c r="CX120" s="0" t="n">
        <v>0</v>
      </c>
      <c r="CY120" s="0" t="n">
        <v>1.01</v>
      </c>
      <c r="CZ120" s="0" t="n">
        <v>-1.01</v>
      </c>
      <c r="DM120" s="0" t="s">
        <v>1587</v>
      </c>
      <c r="DN120" s="0" t="n">
        <v>47</v>
      </c>
      <c r="DO120" s="0" t="n">
        <v>2</v>
      </c>
      <c r="DP120" s="0" t="n">
        <v>3.149</v>
      </c>
      <c r="DQ120" s="0" t="n">
        <v>1.085</v>
      </c>
      <c r="DR120" s="0" t="n">
        <v>23.5</v>
      </c>
      <c r="DZ120" s="0" t="n">
        <v>894</v>
      </c>
      <c r="EA120" s="0" t="n">
        <v>0.943</v>
      </c>
      <c r="EB120" s="0" t="n">
        <v>15</v>
      </c>
      <c r="EC120" s="0" t="s">
        <v>1588</v>
      </c>
      <c r="ED120" s="0" t="n">
        <v>2020</v>
      </c>
      <c r="EE120" s="0" t="n">
        <v>1</v>
      </c>
      <c r="EF120" s="0" t="n">
        <v>26</v>
      </c>
      <c r="EG120" s="0" t="n">
        <v>2020</v>
      </c>
      <c r="EH120" s="0" t="n">
        <v>2026</v>
      </c>
      <c r="EI120" s="0" t="n">
        <v>7</v>
      </c>
      <c r="EJ120" s="0" t="n">
        <v>76</v>
      </c>
      <c r="EK120" s="0" t="n">
        <v>219</v>
      </c>
      <c r="EL120" s="0" t="s">
        <v>1589</v>
      </c>
      <c r="EM120" s="0" t="n">
        <v>27.8</v>
      </c>
      <c r="EN120" s="15" t="b">
        <f aca="false">FALSE()</f>
        <v>0</v>
      </c>
      <c r="EO120" s="0" t="n">
        <v>386</v>
      </c>
      <c r="EP120" s="0" t="n">
        <v>2.97227979274611</v>
      </c>
      <c r="EQ120" s="0" t="n">
        <v>0.155440414507772</v>
      </c>
      <c r="ER120" s="0" t="n">
        <v>1.12694300518135</v>
      </c>
      <c r="ES120" s="0" t="n">
        <v>0.39119170984456</v>
      </c>
      <c r="ET120" s="0" t="n">
        <v>43</v>
      </c>
      <c r="EU120" s="0" t="n">
        <v>26</v>
      </c>
      <c r="EV120" s="0" t="n">
        <v>3.96632124352332</v>
      </c>
      <c r="EW120" s="0" t="n">
        <v>0.604651162790698</v>
      </c>
      <c r="EX120" s="0" t="n">
        <v>3.01595136627878</v>
      </c>
      <c r="EY120" s="0" t="n">
        <v>2.905</v>
      </c>
      <c r="EZ120" s="0" t="n">
        <v>0.1629</v>
      </c>
      <c r="FA120" s="0" t="n">
        <v>2.199</v>
      </c>
      <c r="FB120" s="0" t="n">
        <v>1.941</v>
      </c>
      <c r="FC120" s="0" t="n">
        <v>30</v>
      </c>
      <c r="FD120" s="0" t="n">
        <v>552</v>
      </c>
      <c r="FE120" s="0" t="n">
        <v>0.052536231884058</v>
      </c>
      <c r="FF120" s="0" t="n">
        <v>0.0493</v>
      </c>
      <c r="FG120" s="0" t="n">
        <v>0.2454</v>
      </c>
      <c r="FH120" s="0" t="n">
        <v>2.41</v>
      </c>
      <c r="FI120" s="0" t="n">
        <v>993</v>
      </c>
      <c r="FJ120" s="0" t="n">
        <v>0.522658610271903</v>
      </c>
      <c r="FK120" s="0" t="n">
        <v>17</v>
      </c>
      <c r="FL120" s="0" t="n">
        <v>58.41</v>
      </c>
      <c r="FM120" s="0" t="n">
        <v>0.5063</v>
      </c>
      <c r="FN120" s="0" t="n">
        <v>0.4937</v>
      </c>
      <c r="FO120" s="0" t="n">
        <v>-0.0441</v>
      </c>
      <c r="FP120" s="0" t="n">
        <v>-0.0102</v>
      </c>
      <c r="FQ120" s="0" t="n">
        <v>0.229</v>
      </c>
      <c r="FR120" s="0" t="n">
        <v>39</v>
      </c>
      <c r="FS120" s="0" t="n">
        <v>59</v>
      </c>
      <c r="FT120" s="0" t="n">
        <v>3.47</v>
      </c>
      <c r="FU120" s="0" t="n">
        <v>23</v>
      </c>
      <c r="FV120" s="0" t="n">
        <v>5321</v>
      </c>
      <c r="FW120" s="0" t="n">
        <v>3745</v>
      </c>
      <c r="FX120" s="0" t="n">
        <v>0.704</v>
      </c>
      <c r="FY120" s="0" t="n">
        <v>5</v>
      </c>
      <c r="FZ120" s="0" t="n">
        <v>4</v>
      </c>
      <c r="GA120" s="0" t="n">
        <v>-0.261697082182323</v>
      </c>
      <c r="GB120" s="0" t="n">
        <v>45.3</v>
      </c>
      <c r="GC120" s="0" t="n">
        <v>58.7</v>
      </c>
      <c r="GD120" s="0" t="n">
        <v>52.5</v>
      </c>
      <c r="GE120" s="0" t="n">
        <v>460</v>
      </c>
      <c r="GF120" s="0" t="n">
        <v>492</v>
      </c>
      <c r="GG120" s="0" t="n">
        <v>155</v>
      </c>
      <c r="GH120" s="0" t="n">
        <v>148</v>
      </c>
      <c r="GI120" s="0" t="n">
        <v>161</v>
      </c>
      <c r="GJ120" s="0" t="n">
        <v>52</v>
      </c>
      <c r="GK120" s="0" t="n">
        <v>0.337</v>
      </c>
      <c r="GL120" s="0" t="n">
        <v>0.301</v>
      </c>
      <c r="GM120" s="0" t="n">
        <v>0.323</v>
      </c>
      <c r="GN120" s="0" t="n">
        <v>15.676</v>
      </c>
      <c r="GO120" s="0" t="n">
        <v>15.676</v>
      </c>
      <c r="GP120" s="0" t="n">
        <v>15.676</v>
      </c>
      <c r="GQ120" s="0" t="n">
        <v>0</v>
      </c>
      <c r="GR120" s="0" t="n">
        <v>3.133</v>
      </c>
      <c r="GS120" s="0" t="n">
        <v>47</v>
      </c>
      <c r="GT120" s="0" t="n">
        <v>5.003</v>
      </c>
      <c r="GU120" s="0" t="n">
        <v>0.263</v>
      </c>
      <c r="GY120" s="0" t="n">
        <v>4.234</v>
      </c>
      <c r="HC120" s="0" t="n">
        <v>0</v>
      </c>
      <c r="HD120" s="0" t="n">
        <v>0.263</v>
      </c>
      <c r="HG120" s="0" t="n">
        <v>119.28</v>
      </c>
      <c r="HH120" s="0" t="n">
        <v>9.6</v>
      </c>
      <c r="HI120" s="0" t="n">
        <v>92</v>
      </c>
      <c r="HJ120" s="0" t="n">
        <v>145</v>
      </c>
      <c r="HK120" s="0" t="s">
        <v>909</v>
      </c>
      <c r="HL120" s="0" t="n">
        <v>0</v>
      </c>
      <c r="HM120" s="0" t="n">
        <v>15</v>
      </c>
      <c r="HN120" s="0" t="n">
        <v>19</v>
      </c>
      <c r="HO120" s="0" t="n">
        <v>0.051</v>
      </c>
      <c r="HP120" s="0" t="n">
        <v>20</v>
      </c>
      <c r="HQ120" s="0" t="n">
        <v>-0.169</v>
      </c>
      <c r="HR120" s="0" t="s">
        <v>102</v>
      </c>
    </row>
    <row r="121" customFormat="false" ht="15" hidden="false" customHeight="false" outlineLevel="0" collapsed="false">
      <c r="A121" s="0" t="s">
        <v>896</v>
      </c>
      <c r="B121" s="0" t="s">
        <v>897</v>
      </c>
      <c r="C121" s="0" t="s">
        <v>898</v>
      </c>
      <c r="D121" s="0" t="s">
        <v>381</v>
      </c>
      <c r="E121" s="0" t="n">
        <v>27316</v>
      </c>
      <c r="F121" s="0" t="s">
        <v>104</v>
      </c>
      <c r="G121" s="0" t="n">
        <v>119.51</v>
      </c>
      <c r="H121" s="0" t="n">
        <v>13.21</v>
      </c>
      <c r="I121" s="0" t="n">
        <v>78</v>
      </c>
      <c r="J121" s="0" t="n">
        <v>143</v>
      </c>
      <c r="L121" s="0" t="s">
        <v>1590</v>
      </c>
      <c r="O121" s="0" t="n">
        <v>73.6</v>
      </c>
      <c r="U121" s="0" t="n">
        <v>7</v>
      </c>
      <c r="V121" s="0" t="s">
        <v>381</v>
      </c>
      <c r="W121" s="0" t="s">
        <v>901</v>
      </c>
      <c r="X121" s="0" t="s">
        <v>221</v>
      </c>
      <c r="Y121" s="0" t="s">
        <v>1591</v>
      </c>
      <c r="Z121" s="0" t="n">
        <v>27316</v>
      </c>
      <c r="AA121" s="0" t="s">
        <v>1592</v>
      </c>
      <c r="AB121" s="0" t="s">
        <v>904</v>
      </c>
      <c r="AC121" s="0" t="s">
        <v>221</v>
      </c>
      <c r="AD121" s="0" t="s">
        <v>221</v>
      </c>
      <c r="AE121" s="0" t="s">
        <v>221</v>
      </c>
      <c r="AF121" s="0" t="s">
        <v>221</v>
      </c>
      <c r="AG121" s="0" t="s">
        <v>221</v>
      </c>
      <c r="AH121" s="0" t="s">
        <v>905</v>
      </c>
      <c r="AI121" s="0" t="n">
        <v>1</v>
      </c>
      <c r="AJ121" s="0" t="s">
        <v>104</v>
      </c>
      <c r="AK121" s="0" t="n">
        <v>120</v>
      </c>
      <c r="AL121" s="0" t="n">
        <v>40</v>
      </c>
      <c r="AM121" s="0" t="s">
        <v>382</v>
      </c>
      <c r="AN121" s="0" t="n">
        <v>0</v>
      </c>
      <c r="AO121" s="0" t="n">
        <v>0</v>
      </c>
      <c r="AP121" s="0" t="n">
        <v>0</v>
      </c>
      <c r="AQ121" s="0" t="n">
        <v>0</v>
      </c>
      <c r="AR121" s="0" t="n">
        <v>0</v>
      </c>
      <c r="AS121" s="0" t="n">
        <v>0</v>
      </c>
      <c r="AT121" s="0" t="n">
        <v>0</v>
      </c>
      <c r="AU121" s="0" t="n">
        <v>0</v>
      </c>
      <c r="AV121" s="0" t="n">
        <v>0</v>
      </c>
      <c r="AW121" s="0" t="n">
        <v>175</v>
      </c>
      <c r="AX121" s="0" t="n">
        <v>805</v>
      </c>
      <c r="AY121" s="0" t="n">
        <v>8</v>
      </c>
      <c r="AZ121" s="0" t="n">
        <v>41</v>
      </c>
      <c r="BA121" s="0" t="n">
        <v>-6.5307797417189</v>
      </c>
      <c r="BB121" s="0" t="n">
        <v>2</v>
      </c>
      <c r="BC121" s="0" t="n">
        <v>9</v>
      </c>
      <c r="BD121" s="0" t="n">
        <v>13</v>
      </c>
      <c r="BE121" s="0" t="n">
        <v>68</v>
      </c>
      <c r="BF121" s="0" t="n">
        <v>0</v>
      </c>
      <c r="BG121" s="0" t="n">
        <v>-19</v>
      </c>
      <c r="BH121" s="0" t="n">
        <v>77</v>
      </c>
      <c r="BI121" s="0" t="n">
        <v>3</v>
      </c>
      <c r="BJ121" s="0" t="n">
        <v>1.0342133147642</v>
      </c>
      <c r="BK121" s="0" t="n">
        <v>0</v>
      </c>
      <c r="BL121" s="0" t="n">
        <v>0</v>
      </c>
      <c r="BM121" s="0" t="n">
        <v>131.3</v>
      </c>
      <c r="BN121" s="0" t="n">
        <v>140.3</v>
      </c>
      <c r="BO121" s="0" t="n">
        <v>17</v>
      </c>
      <c r="BP121" s="0" t="s">
        <v>221</v>
      </c>
      <c r="BQ121" s="0" t="n">
        <v>1</v>
      </c>
      <c r="BR121" s="0" t="n">
        <v>135.8</v>
      </c>
      <c r="BS121" s="0" t="n">
        <v>0.0301</v>
      </c>
      <c r="BT121" s="0" t="n">
        <v>0.3616</v>
      </c>
      <c r="BU121" s="0" t="n">
        <v>-0.0051</v>
      </c>
      <c r="BV121" s="0" t="n">
        <v>0.0301</v>
      </c>
      <c r="BW121" s="0" t="n">
        <v>0.3616</v>
      </c>
      <c r="BX121" s="0" t="n">
        <v>-0.0051</v>
      </c>
      <c r="BY121" s="0" t="n">
        <v>0.0416</v>
      </c>
      <c r="BZ121" s="0" t="n">
        <v>17</v>
      </c>
      <c r="CA121" s="0" t="n">
        <v>3</v>
      </c>
      <c r="CB121" s="0" t="n">
        <v>15.04</v>
      </c>
      <c r="CC121" s="0" t="n">
        <v>5.1</v>
      </c>
      <c r="CD121" s="0" t="n">
        <v>7.47</v>
      </c>
      <c r="CE121" s="0" t="n">
        <v>2</v>
      </c>
      <c r="CF121" s="0" t="n">
        <v>2</v>
      </c>
      <c r="CG121" s="0" t="n">
        <v>17</v>
      </c>
      <c r="CH121" s="0" t="n">
        <v>0.118</v>
      </c>
      <c r="CI121" s="0" t="n">
        <v>0.118</v>
      </c>
      <c r="CJ121" s="0" t="n">
        <v>1.464</v>
      </c>
      <c r="CK121" s="0" t="n">
        <v>1</v>
      </c>
      <c r="CL121" s="0" t="n">
        <v>0</v>
      </c>
      <c r="CM121" s="0" t="n">
        <v>0</v>
      </c>
      <c r="CN121" s="0" t="n">
        <v>0</v>
      </c>
      <c r="CO121" s="0" t="n">
        <v>0.336304740891077</v>
      </c>
      <c r="CP121" s="0" t="n">
        <v>31</v>
      </c>
      <c r="CQ121" s="0" t="n">
        <v>20</v>
      </c>
      <c r="CR121" s="0" t="n">
        <v>12</v>
      </c>
      <c r="CS121" s="0" t="n">
        <v>8</v>
      </c>
      <c r="CT121" s="0" t="n">
        <v>7.18126926919821</v>
      </c>
      <c r="CU121" s="0" t="n">
        <v>32</v>
      </c>
      <c r="CV121" s="0" t="n">
        <v>20</v>
      </c>
      <c r="CW121" s="0" t="n">
        <v>12</v>
      </c>
      <c r="CX121" s="0" t="n">
        <v>8</v>
      </c>
      <c r="CY121" s="0" t="n">
        <v>7.52</v>
      </c>
      <c r="CZ121" s="0" t="n">
        <v>0.48</v>
      </c>
      <c r="DG121" s="0" t="n">
        <v>3.47539130434783</v>
      </c>
      <c r="DH121" s="0" t="n">
        <v>28</v>
      </c>
      <c r="DI121" s="0" t="n">
        <v>2.82529113924051</v>
      </c>
      <c r="DJ121" s="0" t="n">
        <v>138.066452282031</v>
      </c>
      <c r="DK121" s="0" t="n">
        <v>0.788951155897321</v>
      </c>
      <c r="DL121" s="0" t="n">
        <v>0.382857142857143</v>
      </c>
      <c r="DM121" s="0" t="s">
        <v>1593</v>
      </c>
      <c r="DN121" s="0" t="n">
        <v>175</v>
      </c>
      <c r="DO121" s="0" t="n">
        <v>13</v>
      </c>
      <c r="DP121" s="0" t="n">
        <v>2.531</v>
      </c>
      <c r="DQ121" s="0" t="n">
        <v>2.069</v>
      </c>
      <c r="DR121" s="0" t="n">
        <v>13.46</v>
      </c>
      <c r="DS121" s="0" t="n">
        <v>13</v>
      </c>
      <c r="DT121" s="0" t="n">
        <v>0</v>
      </c>
      <c r="DU121" s="0" t="n">
        <v>0</v>
      </c>
      <c r="DV121" s="0" t="n">
        <v>-1</v>
      </c>
      <c r="DW121" s="0" t="n">
        <v>8.556</v>
      </c>
      <c r="DX121" s="0" t="n">
        <v>-1.5</v>
      </c>
      <c r="DY121" s="0" t="n">
        <v>0</v>
      </c>
      <c r="DZ121" s="0" t="n">
        <v>406</v>
      </c>
      <c r="EA121" s="0" t="n">
        <v>0.395</v>
      </c>
      <c r="EB121" s="0" t="n">
        <v>17</v>
      </c>
      <c r="EC121" s="0" t="s">
        <v>1594</v>
      </c>
      <c r="ED121" s="0" t="n">
        <v>2025</v>
      </c>
      <c r="EE121" s="0" t="n">
        <v>7</v>
      </c>
      <c r="EF121" s="0" t="n">
        <v>245</v>
      </c>
      <c r="EG121" s="0" t="n">
        <v>2025</v>
      </c>
      <c r="EH121" s="0" t="n">
        <v>2026</v>
      </c>
      <c r="EI121" s="0" t="n">
        <v>2</v>
      </c>
      <c r="EJ121" s="0" t="n">
        <v>71</v>
      </c>
      <c r="EK121" s="0" t="n">
        <v>208</v>
      </c>
      <c r="EL121" s="0" t="s">
        <v>1595</v>
      </c>
      <c r="EM121" s="0" t="n">
        <v>25.3</v>
      </c>
      <c r="EN121" s="15" t="b">
        <f aca="false">FALSE()</f>
        <v>0</v>
      </c>
      <c r="EO121" s="0" t="n">
        <v>345</v>
      </c>
      <c r="EP121" s="0" t="n">
        <v>3.01826086956522</v>
      </c>
      <c r="EQ121" s="0" t="n">
        <v>0.165217391304348</v>
      </c>
      <c r="ER121" s="0" t="n">
        <v>1.27246376811594</v>
      </c>
      <c r="ES121" s="0" t="n">
        <v>0.852173913043478</v>
      </c>
      <c r="ET121" s="0" t="n">
        <v>31</v>
      </c>
      <c r="EU121" s="0" t="n">
        <v>17</v>
      </c>
      <c r="EV121" s="0" t="n">
        <v>4.54782608695652</v>
      </c>
      <c r="EW121" s="0" t="n">
        <v>0.548387096774194</v>
      </c>
      <c r="EX121" s="0" t="n">
        <v>2.96856142572662</v>
      </c>
      <c r="EY121" s="0" t="n">
        <v>2.998</v>
      </c>
      <c r="EZ121" s="0" t="n">
        <v>0.1651</v>
      </c>
      <c r="FA121" s="0" t="n">
        <v>2.512</v>
      </c>
      <c r="FB121" s="0" t="n">
        <v>2.219</v>
      </c>
      <c r="FC121" s="0" t="n">
        <v>38</v>
      </c>
      <c r="FD121" s="0" t="n">
        <v>564</v>
      </c>
      <c r="FE121" s="0" t="n">
        <v>0.0656028368794326</v>
      </c>
      <c r="FF121" s="0" t="n">
        <v>0.0606</v>
      </c>
      <c r="FG121" s="0" t="n">
        <v>0.2217</v>
      </c>
      <c r="FH121" s="0" t="n">
        <v>2.36</v>
      </c>
      <c r="FI121" s="0" t="n">
        <v>979</v>
      </c>
      <c r="FJ121" s="0" t="n">
        <v>0.514811031664964</v>
      </c>
      <c r="FK121" s="0" t="n">
        <v>17</v>
      </c>
      <c r="FL121" s="0" t="n">
        <v>57.59</v>
      </c>
      <c r="FM121" s="0" t="n">
        <v>0.4747</v>
      </c>
      <c r="FN121" s="0" t="n">
        <v>0.5253</v>
      </c>
      <c r="FO121" s="0" t="n">
        <v>-0.0427</v>
      </c>
      <c r="FP121" s="0" t="n">
        <v>0.0192</v>
      </c>
      <c r="FQ121" s="0" t="n">
        <v>-0.0055</v>
      </c>
      <c r="FR121" s="0" t="n">
        <v>38</v>
      </c>
      <c r="FS121" s="0" t="n">
        <v>50</v>
      </c>
      <c r="FT121" s="0" t="n">
        <v>2.94</v>
      </c>
      <c r="FU121" s="0" t="n">
        <v>20.9</v>
      </c>
      <c r="FV121" s="0" t="n">
        <v>5375</v>
      </c>
      <c r="FW121" s="0" t="n">
        <v>3794</v>
      </c>
      <c r="FX121" s="0" t="n">
        <v>0.706</v>
      </c>
      <c r="FY121" s="0" t="n">
        <v>5</v>
      </c>
      <c r="FZ121" s="0" t="n">
        <v>4</v>
      </c>
      <c r="GA121" s="0" t="n">
        <v>0.036879143422903</v>
      </c>
      <c r="GB121" s="0" t="n">
        <v>50.7</v>
      </c>
      <c r="GC121" s="0" t="n">
        <v>56.8</v>
      </c>
      <c r="GD121" s="0" t="n">
        <v>54.8</v>
      </c>
      <c r="GE121" s="0" t="n">
        <v>432</v>
      </c>
      <c r="GF121" s="0" t="n">
        <v>484</v>
      </c>
      <c r="GG121" s="0" t="n">
        <v>138</v>
      </c>
      <c r="GH121" s="0" t="n">
        <v>142</v>
      </c>
      <c r="GI121" s="0" t="n">
        <v>138</v>
      </c>
      <c r="GJ121" s="0" t="n">
        <v>56</v>
      </c>
      <c r="GK121" s="0" t="n">
        <v>0.319</v>
      </c>
      <c r="GL121" s="0" t="n">
        <v>0.293</v>
      </c>
      <c r="GM121" s="0" t="n">
        <v>0.406</v>
      </c>
      <c r="GN121" s="0" t="n">
        <v>8.253</v>
      </c>
      <c r="GO121" s="0" t="n">
        <v>7.988</v>
      </c>
      <c r="GP121" s="0" t="n">
        <v>7.724</v>
      </c>
      <c r="GQ121" s="0" t="n">
        <v>0.765</v>
      </c>
      <c r="GR121" s="0" t="n">
        <v>10.294</v>
      </c>
      <c r="GS121" s="0" t="n">
        <v>188</v>
      </c>
      <c r="GT121" s="0" t="n">
        <v>0.746</v>
      </c>
      <c r="GU121" s="0" t="n">
        <v>0.346</v>
      </c>
      <c r="GV121" s="0" t="n">
        <v>5.231</v>
      </c>
      <c r="GW121" s="0" t="n">
        <v>7.556</v>
      </c>
      <c r="GX121" s="0" t="n">
        <v>0.692</v>
      </c>
      <c r="GY121" s="0" t="n">
        <v>4.6</v>
      </c>
      <c r="GZ121" s="0" t="n">
        <v>-1.462</v>
      </c>
      <c r="HA121" s="0" t="n">
        <v>8.556</v>
      </c>
      <c r="HB121" s="0" t="n">
        <v>-3.579</v>
      </c>
      <c r="HC121" s="0" t="n">
        <v>0.043</v>
      </c>
      <c r="HD121" s="0" t="n">
        <v>-0.037</v>
      </c>
      <c r="HE121" s="0" t="n">
        <v>0.08</v>
      </c>
      <c r="HG121" s="0" t="n">
        <v>119.51</v>
      </c>
      <c r="HH121" s="0" t="n">
        <v>13.21</v>
      </c>
      <c r="HI121" s="0" t="n">
        <v>78</v>
      </c>
      <c r="HJ121" s="0" t="n">
        <v>143</v>
      </c>
      <c r="HK121" s="0" t="s">
        <v>909</v>
      </c>
      <c r="HL121" s="0" t="n">
        <v>0</v>
      </c>
      <c r="HM121" s="0" t="n">
        <v>32</v>
      </c>
      <c r="HN121" s="0" t="n">
        <v>40</v>
      </c>
      <c r="HO121" s="0" t="n">
        <v>0.049</v>
      </c>
      <c r="HP121" s="0" t="n">
        <v>43</v>
      </c>
      <c r="HQ121" s="0" t="n">
        <v>-0.433</v>
      </c>
      <c r="HR121" s="0" t="s">
        <v>102</v>
      </c>
    </row>
    <row r="122" customFormat="false" ht="15" hidden="false" customHeight="false" outlineLevel="0" collapsed="false">
      <c r="A122" s="0" t="s">
        <v>896</v>
      </c>
      <c r="B122" s="0" t="s">
        <v>897</v>
      </c>
      <c r="C122" s="0" t="s">
        <v>898</v>
      </c>
      <c r="D122" s="0" t="s">
        <v>383</v>
      </c>
      <c r="E122" s="0" t="n">
        <v>23748</v>
      </c>
      <c r="F122" s="0" t="s">
        <v>99</v>
      </c>
      <c r="G122" s="0" t="n">
        <v>120.35</v>
      </c>
      <c r="H122" s="0" t="n">
        <v>16.98</v>
      </c>
      <c r="I122" s="0" t="n">
        <v>83</v>
      </c>
      <c r="J122" s="0" t="n">
        <v>173</v>
      </c>
      <c r="L122" s="0" t="s">
        <v>1596</v>
      </c>
      <c r="O122" s="0" t="n">
        <v>59.1</v>
      </c>
      <c r="U122" s="0" t="n">
        <v>7</v>
      </c>
      <c r="V122" s="0" t="s">
        <v>383</v>
      </c>
      <c r="W122" s="0" t="s">
        <v>901</v>
      </c>
      <c r="X122" s="0" t="s">
        <v>147</v>
      </c>
      <c r="Y122" s="0" t="s">
        <v>1597</v>
      </c>
      <c r="Z122" s="0" t="n">
        <v>23748</v>
      </c>
      <c r="AA122" s="0" t="s">
        <v>1598</v>
      </c>
      <c r="AB122" s="0" t="s">
        <v>904</v>
      </c>
      <c r="AC122" s="0" t="s">
        <v>147</v>
      </c>
      <c r="AD122" s="0" t="s">
        <v>147</v>
      </c>
      <c r="AE122" s="0" t="s">
        <v>147</v>
      </c>
      <c r="AF122" s="0" t="s">
        <v>147</v>
      </c>
      <c r="AG122" s="0" t="s">
        <v>147</v>
      </c>
      <c r="AH122" s="0" t="s">
        <v>905</v>
      </c>
      <c r="AI122" s="0" t="n">
        <v>1</v>
      </c>
      <c r="AJ122" s="0" t="s">
        <v>270</v>
      </c>
      <c r="AK122" s="0" t="n">
        <v>121</v>
      </c>
      <c r="AL122" s="0" t="n">
        <v>49</v>
      </c>
      <c r="AM122" s="0" t="s">
        <v>384</v>
      </c>
      <c r="AN122" s="0" t="n">
        <v>0</v>
      </c>
      <c r="AO122" s="0" t="n">
        <v>0</v>
      </c>
      <c r="AP122" s="0" t="n">
        <v>0</v>
      </c>
      <c r="AQ122" s="0" t="n">
        <v>0</v>
      </c>
      <c r="AR122" s="0" t="n">
        <v>0</v>
      </c>
      <c r="AS122" s="0" t="n">
        <v>0</v>
      </c>
      <c r="AT122" s="0" t="n">
        <v>0</v>
      </c>
      <c r="AU122" s="0" t="n">
        <v>0</v>
      </c>
      <c r="AV122" s="0" t="n">
        <v>0</v>
      </c>
      <c r="AW122" s="0" t="n">
        <v>1</v>
      </c>
      <c r="AX122" s="0" t="n">
        <v>5</v>
      </c>
      <c r="AY122" s="0" t="n">
        <v>0</v>
      </c>
      <c r="AZ122" s="0" t="n">
        <v>0</v>
      </c>
      <c r="BA122" s="0" t="n">
        <v>-0.105408141389489</v>
      </c>
      <c r="BB122" s="0" t="n">
        <v>0</v>
      </c>
      <c r="BC122" s="0" t="n">
        <v>72</v>
      </c>
      <c r="BD122" s="0" t="n">
        <v>95</v>
      </c>
      <c r="BE122" s="0" t="n">
        <v>719</v>
      </c>
      <c r="BF122" s="0" t="n">
        <v>4</v>
      </c>
      <c r="BG122" s="0" t="n">
        <v>349</v>
      </c>
      <c r="BH122" s="0" t="n">
        <v>541</v>
      </c>
      <c r="BI122" s="0" t="n">
        <v>28</v>
      </c>
      <c r="BJ122" s="0" t="n">
        <v>7.50213203008042</v>
      </c>
      <c r="BK122" s="0" t="n">
        <v>1</v>
      </c>
      <c r="BL122" s="0" t="n">
        <v>0</v>
      </c>
      <c r="BM122" s="0" t="n">
        <v>94.4</v>
      </c>
      <c r="BN122" s="0" t="n">
        <v>166.4</v>
      </c>
      <c r="BO122" s="0" t="n">
        <v>16</v>
      </c>
      <c r="BP122" s="0" t="s">
        <v>147</v>
      </c>
      <c r="BQ122" s="0" t="n">
        <v>1</v>
      </c>
      <c r="BR122" s="0" t="n">
        <v>130.4</v>
      </c>
      <c r="BS122" s="0" t="n">
        <v>0.1983</v>
      </c>
      <c r="BT122" s="0" t="n">
        <v>0.0018</v>
      </c>
      <c r="BU122" s="0" t="n">
        <v>0.0999</v>
      </c>
      <c r="BV122" s="0" t="n">
        <v>0.2106</v>
      </c>
      <c r="BW122" s="0" t="n">
        <v>0.002</v>
      </c>
      <c r="BX122" s="0" t="n">
        <v>0.1055</v>
      </c>
      <c r="BY122" s="0" t="n">
        <v>0.3898</v>
      </c>
      <c r="BZ122" s="0" t="n">
        <v>16</v>
      </c>
      <c r="CA122" s="0" t="n">
        <v>7.12</v>
      </c>
      <c r="CB122" s="0" t="n">
        <v>16.38</v>
      </c>
      <c r="CC122" s="0" t="n">
        <v>11.15</v>
      </c>
      <c r="CD122" s="0" t="n">
        <v>5.8</v>
      </c>
      <c r="CE122" s="0" t="n">
        <v>1</v>
      </c>
      <c r="CF122" s="0" t="n">
        <v>3</v>
      </c>
      <c r="CG122" s="0" t="n">
        <v>16</v>
      </c>
      <c r="CH122" s="0" t="n">
        <v>0.062</v>
      </c>
      <c r="CI122" s="0" t="n">
        <v>0.188</v>
      </c>
      <c r="CJ122" s="0" t="n">
        <v>0.52</v>
      </c>
      <c r="CK122" s="0" t="n">
        <v>13</v>
      </c>
      <c r="CL122" s="0" t="n">
        <v>4</v>
      </c>
      <c r="CM122" s="0" t="n">
        <v>1</v>
      </c>
      <c r="CN122" s="0" t="n">
        <v>4</v>
      </c>
      <c r="CO122" s="0" t="n">
        <v>4.1214894548341</v>
      </c>
      <c r="CP122" s="0" t="n">
        <v>0</v>
      </c>
      <c r="CQ122" s="0" t="n">
        <v>0</v>
      </c>
      <c r="CR122" s="0" t="n">
        <v>0</v>
      </c>
      <c r="CS122" s="0" t="n">
        <v>0</v>
      </c>
      <c r="CT122" s="0" t="n">
        <v>0.00858704137392662</v>
      </c>
      <c r="CU122" s="0" t="n">
        <v>13</v>
      </c>
      <c r="CV122" s="0" t="n">
        <v>4</v>
      </c>
      <c r="CW122" s="0" t="n">
        <v>1</v>
      </c>
      <c r="CX122" s="0" t="n">
        <v>4</v>
      </c>
      <c r="CY122" s="0" t="n">
        <v>4.13</v>
      </c>
      <c r="CZ122" s="0" t="n">
        <v>-0.13</v>
      </c>
      <c r="DA122" s="0" t="n">
        <v>3.80399819335592</v>
      </c>
      <c r="DB122" s="0" t="n">
        <v>6.6916</v>
      </c>
      <c r="DC122" s="0" t="n">
        <v>3.53652631578947</v>
      </c>
      <c r="DD122" s="0" t="n">
        <v>9.79595764036295</v>
      </c>
      <c r="DE122" s="0" t="n">
        <v>1.88374170640483</v>
      </c>
      <c r="DF122" s="0" t="n">
        <v>75.7894736842105</v>
      </c>
      <c r="DM122" s="0" t="s">
        <v>1599</v>
      </c>
      <c r="DN122" s="0" t="n">
        <v>1</v>
      </c>
      <c r="DO122" s="0" t="n">
        <v>0</v>
      </c>
      <c r="DS122" s="0" t="n">
        <v>95</v>
      </c>
      <c r="DT122" s="0" t="n">
        <v>7</v>
      </c>
      <c r="DU122" s="0" t="n">
        <v>3</v>
      </c>
      <c r="DV122" s="0" t="n">
        <v>2.472</v>
      </c>
      <c r="DW122" s="0" t="n">
        <v>7.514</v>
      </c>
      <c r="DX122" s="0" t="n">
        <v>3.7</v>
      </c>
      <c r="DY122" s="0" t="n">
        <v>0.0316</v>
      </c>
      <c r="DZ122" s="0" t="n">
        <v>635</v>
      </c>
      <c r="EA122" s="0" t="n">
        <v>0.598</v>
      </c>
      <c r="EB122" s="0" t="n">
        <v>16</v>
      </c>
      <c r="EC122" s="0" t="s">
        <v>1600</v>
      </c>
      <c r="ED122" s="0" t="n">
        <v>2022</v>
      </c>
      <c r="EE122" s="0" t="n">
        <v>5</v>
      </c>
      <c r="EF122" s="0" t="n">
        <v>148</v>
      </c>
      <c r="EG122" s="0" t="n">
        <v>2022</v>
      </c>
      <c r="EH122" s="0" t="n">
        <v>2026</v>
      </c>
      <c r="EI122" s="0" t="n">
        <v>5</v>
      </c>
      <c r="EJ122" s="0" t="n">
        <v>72</v>
      </c>
      <c r="EK122" s="0" t="n">
        <v>190</v>
      </c>
      <c r="EL122" s="0" t="s">
        <v>990</v>
      </c>
      <c r="EM122" s="0" t="n">
        <v>26.5</v>
      </c>
      <c r="EN122" s="15" t="b">
        <f aca="false">FALSE()</f>
        <v>0</v>
      </c>
      <c r="EO122" s="0" t="n">
        <v>419</v>
      </c>
      <c r="EP122" s="0" t="n">
        <v>3.36658711217184</v>
      </c>
      <c r="EQ122" s="0" t="n">
        <v>0.126491646778043</v>
      </c>
      <c r="ER122" s="0" t="n">
        <v>1.44630071599045</v>
      </c>
      <c r="ES122" s="0" t="n">
        <v>0.897374701670644</v>
      </c>
      <c r="ET122" s="0" t="n">
        <v>37</v>
      </c>
      <c r="EU122" s="0" t="n">
        <v>20</v>
      </c>
      <c r="EV122" s="0" t="n">
        <v>5.01193317422434</v>
      </c>
      <c r="EW122" s="0" t="n">
        <v>0.540540540540541</v>
      </c>
      <c r="EX122" s="0" t="n">
        <v>2.91817960590113</v>
      </c>
      <c r="EY122" s="0" t="n">
        <v>3.397</v>
      </c>
      <c r="EZ122" s="0" t="n">
        <v>0.1265</v>
      </c>
      <c r="FA122" s="0" t="n">
        <v>2.905</v>
      </c>
      <c r="FB122" s="0" t="n">
        <v>2.057</v>
      </c>
      <c r="FC122" s="0" t="n">
        <v>35</v>
      </c>
      <c r="FD122" s="0" t="n">
        <v>584</v>
      </c>
      <c r="FE122" s="0" t="n">
        <v>0.0684931506849315</v>
      </c>
      <c r="FF122" s="0" t="n">
        <v>0.0702</v>
      </c>
      <c r="FG122" s="0" t="n">
        <v>0.2</v>
      </c>
      <c r="FH122" s="0" t="n">
        <v>2.507</v>
      </c>
      <c r="FI122" s="0" t="n">
        <v>1065</v>
      </c>
      <c r="FJ122" s="0" t="n">
        <v>0.509859154929578</v>
      </c>
      <c r="FK122" s="0" t="n">
        <v>17</v>
      </c>
      <c r="FL122" s="0" t="n">
        <v>62.65</v>
      </c>
      <c r="FM122" s="0" t="n">
        <v>0.5028</v>
      </c>
      <c r="FN122" s="0" t="n">
        <v>0.4972</v>
      </c>
      <c r="FO122" s="0" t="n">
        <v>-0.0352</v>
      </c>
      <c r="FP122" s="0" t="n">
        <v>0.1102</v>
      </c>
      <c r="FQ122" s="0" t="n">
        <v>0.1599</v>
      </c>
      <c r="FR122" s="0" t="n">
        <v>40</v>
      </c>
      <c r="FS122" s="0" t="n">
        <v>68</v>
      </c>
      <c r="FT122" s="0" t="n">
        <v>4</v>
      </c>
      <c r="FU122" s="0" t="n">
        <v>28.3</v>
      </c>
      <c r="FV122" s="0" t="n">
        <v>5677</v>
      </c>
      <c r="FW122" s="0" t="n">
        <v>4330</v>
      </c>
      <c r="FX122" s="0" t="n">
        <v>0.763</v>
      </c>
      <c r="FY122" s="0" t="n">
        <v>5</v>
      </c>
      <c r="FZ122" s="0" t="n">
        <v>4</v>
      </c>
      <c r="GA122" s="0" t="n">
        <v>1.26194193528219</v>
      </c>
      <c r="GB122" s="0" t="n">
        <v>72.8</v>
      </c>
      <c r="GC122" s="0" t="n">
        <v>64.4</v>
      </c>
      <c r="GD122" s="0" t="n">
        <v>73.6</v>
      </c>
      <c r="GE122" s="0" t="n">
        <v>479</v>
      </c>
      <c r="GF122" s="0" t="n">
        <v>547</v>
      </c>
      <c r="GG122" s="0" t="n">
        <v>19</v>
      </c>
      <c r="GH122" s="0" t="n">
        <v>17</v>
      </c>
      <c r="GI122" s="0" t="n">
        <v>180</v>
      </c>
      <c r="GJ122" s="0" t="n">
        <v>2</v>
      </c>
      <c r="GK122" s="0" t="n">
        <v>0.04</v>
      </c>
      <c r="GL122" s="0" t="n">
        <v>0.031</v>
      </c>
      <c r="GM122" s="0" t="n">
        <v>0.011</v>
      </c>
      <c r="GN122" s="0" t="n">
        <v>10.4</v>
      </c>
      <c r="GO122" s="0" t="n">
        <v>8.15</v>
      </c>
      <c r="GP122" s="0" t="n">
        <v>5.9</v>
      </c>
      <c r="GQ122" s="0" t="n">
        <v>5.938</v>
      </c>
      <c r="GR122" s="0" t="n">
        <v>0.062</v>
      </c>
      <c r="GS122" s="0" t="n">
        <v>96</v>
      </c>
      <c r="GT122" s="0" t="n">
        <v>1.733</v>
      </c>
      <c r="GU122" s="0" t="n">
        <v>0.262</v>
      </c>
      <c r="GV122" s="0" t="n">
        <v>7.568</v>
      </c>
      <c r="GW122" s="0" t="n">
        <v>9.986</v>
      </c>
      <c r="GX122" s="0" t="n">
        <v>0.758</v>
      </c>
      <c r="GZ122" s="0" t="n">
        <v>3.674</v>
      </c>
      <c r="HA122" s="0" t="n">
        <v>7.514</v>
      </c>
      <c r="HB122" s="0" t="n">
        <v>2.06</v>
      </c>
      <c r="HC122" s="0" t="n">
        <v>0.042</v>
      </c>
      <c r="HE122" s="0" t="n">
        <v>0.079</v>
      </c>
      <c r="HG122" s="0" t="n">
        <v>120.35</v>
      </c>
      <c r="HH122" s="0" t="n">
        <v>16.98</v>
      </c>
      <c r="HI122" s="0" t="n">
        <v>83</v>
      </c>
      <c r="HJ122" s="0" t="n">
        <v>173</v>
      </c>
      <c r="HK122" s="0" t="s">
        <v>909</v>
      </c>
      <c r="HL122" s="0" t="n">
        <v>0</v>
      </c>
      <c r="HM122" s="0" t="n">
        <v>36</v>
      </c>
      <c r="HN122" s="0" t="n">
        <v>49</v>
      </c>
      <c r="HO122" s="0" t="n">
        <v>0.193</v>
      </c>
      <c r="HP122" s="0" t="n">
        <v>44</v>
      </c>
      <c r="HQ122" s="0" t="n">
        <v>-0.158</v>
      </c>
      <c r="HR122" s="0" t="s">
        <v>102</v>
      </c>
    </row>
    <row r="123" customFormat="false" ht="15" hidden="false" customHeight="false" outlineLevel="0" collapsed="false">
      <c r="A123" s="0" t="s">
        <v>896</v>
      </c>
      <c r="B123" s="0" t="s">
        <v>897</v>
      </c>
      <c r="C123" s="0" t="s">
        <v>898</v>
      </c>
      <c r="D123" s="0" t="s">
        <v>385</v>
      </c>
      <c r="E123" s="0" t="n">
        <v>17270</v>
      </c>
      <c r="F123" s="0" t="s">
        <v>149</v>
      </c>
      <c r="G123" s="0" t="n">
        <v>122.31</v>
      </c>
      <c r="H123" s="0" t="n">
        <v>16.33</v>
      </c>
      <c r="I123" s="0" t="n">
        <v>87</v>
      </c>
      <c r="J123" s="0" t="n">
        <v>158</v>
      </c>
      <c r="L123" s="0" t="s">
        <v>1601</v>
      </c>
      <c r="O123" s="0" t="n">
        <v>85.2</v>
      </c>
      <c r="U123" s="0" t="n">
        <v>10</v>
      </c>
      <c r="V123" s="0" t="s">
        <v>385</v>
      </c>
      <c r="W123" s="0" t="s">
        <v>901</v>
      </c>
      <c r="X123" s="0" t="s">
        <v>136</v>
      </c>
      <c r="Y123" s="0" t="s">
        <v>1602</v>
      </c>
      <c r="Z123" s="0" t="n">
        <v>17270</v>
      </c>
      <c r="AA123" s="0" t="s">
        <v>1603</v>
      </c>
      <c r="AB123" s="0" t="s">
        <v>904</v>
      </c>
      <c r="AC123" s="0" t="s">
        <v>136</v>
      </c>
      <c r="AD123" s="0" t="s">
        <v>136</v>
      </c>
      <c r="AE123" s="0" t="s">
        <v>136</v>
      </c>
      <c r="AF123" s="0" t="s">
        <v>136</v>
      </c>
      <c r="AG123" s="0" t="s">
        <v>136</v>
      </c>
      <c r="AH123" s="0" t="s">
        <v>905</v>
      </c>
      <c r="AI123" s="0" t="n">
        <v>1</v>
      </c>
      <c r="AJ123" s="0" t="s">
        <v>149</v>
      </c>
      <c r="AK123" s="0" t="n">
        <v>122</v>
      </c>
      <c r="AL123" s="0" t="n">
        <v>14</v>
      </c>
      <c r="AM123" s="0" t="s">
        <v>386</v>
      </c>
      <c r="AN123" s="0" t="n">
        <v>0</v>
      </c>
      <c r="AO123" s="0" t="n">
        <v>0</v>
      </c>
      <c r="AP123" s="0" t="n">
        <v>0</v>
      </c>
      <c r="AQ123" s="0" t="n">
        <v>0</v>
      </c>
      <c r="AR123" s="0" t="n">
        <v>0</v>
      </c>
      <c r="AS123" s="0" t="n">
        <v>0</v>
      </c>
      <c r="AT123" s="0" t="n">
        <v>0</v>
      </c>
      <c r="AU123" s="0" t="n">
        <v>0</v>
      </c>
      <c r="AV123" s="0" t="n">
        <v>0</v>
      </c>
      <c r="AW123" s="0" t="n">
        <v>0</v>
      </c>
      <c r="AX123" s="0" t="n">
        <v>0</v>
      </c>
      <c r="AY123" s="0" t="n">
        <v>0</v>
      </c>
      <c r="AZ123" s="0" t="n">
        <v>0</v>
      </c>
      <c r="BA123" s="0" t="n">
        <v>0</v>
      </c>
      <c r="BB123" s="0" t="n">
        <v>0</v>
      </c>
      <c r="BC123" s="0" t="n">
        <v>60</v>
      </c>
      <c r="BD123" s="0" t="n">
        <v>82</v>
      </c>
      <c r="BE123" s="0" t="n">
        <v>591</v>
      </c>
      <c r="BF123" s="0" t="n">
        <v>11</v>
      </c>
      <c r="BG123" s="0" t="n">
        <v>583</v>
      </c>
      <c r="BH123" s="0" t="n">
        <v>234</v>
      </c>
      <c r="BI123" s="0" t="n">
        <v>34</v>
      </c>
      <c r="BJ123" s="0" t="n">
        <v>36.1227757875291</v>
      </c>
      <c r="BK123" s="0" t="n">
        <v>0</v>
      </c>
      <c r="BL123" s="0" t="n">
        <v>0</v>
      </c>
      <c r="BM123" s="0" t="n">
        <v>125.1</v>
      </c>
      <c r="BN123" s="0" t="n">
        <v>185.1</v>
      </c>
      <c r="BO123" s="0" t="n">
        <v>15</v>
      </c>
      <c r="BP123" s="0" t="s">
        <v>136</v>
      </c>
      <c r="BQ123" s="0" t="n">
        <v>1</v>
      </c>
      <c r="BR123" s="0" t="n">
        <v>155.1</v>
      </c>
      <c r="BS123" s="0" t="n">
        <v>0.1767</v>
      </c>
      <c r="BT123" s="0" t="n">
        <v>0</v>
      </c>
      <c r="BU123" s="0" t="n">
        <v>0.1384</v>
      </c>
      <c r="BV123" s="0" t="n">
        <v>0.2005</v>
      </c>
      <c r="BW123" s="0" t="n">
        <v>0</v>
      </c>
      <c r="BX123" s="0" t="n">
        <v>0.1565</v>
      </c>
      <c r="BY123" s="0" t="n">
        <v>0.4103</v>
      </c>
      <c r="BZ123" s="0" t="n">
        <v>15</v>
      </c>
      <c r="CA123" s="0" t="n">
        <v>6.55</v>
      </c>
      <c r="CB123" s="0" t="n">
        <v>19.51</v>
      </c>
      <c r="CC123" s="0" t="n">
        <v>10.9</v>
      </c>
      <c r="CD123" s="0" t="n">
        <v>7.17</v>
      </c>
      <c r="CE123" s="0" t="n">
        <v>5</v>
      </c>
      <c r="CF123" s="0" t="n">
        <v>0</v>
      </c>
      <c r="CG123" s="0" t="n">
        <v>15</v>
      </c>
      <c r="CH123" s="0" t="n">
        <v>0.333</v>
      </c>
      <c r="CI123" s="0" t="n">
        <v>0</v>
      </c>
      <c r="CJ123" s="0" t="n">
        <v>0.658</v>
      </c>
      <c r="CK123" s="0" t="n">
        <v>15</v>
      </c>
      <c r="CL123" s="0" t="n">
        <v>9</v>
      </c>
      <c r="CM123" s="0" t="n">
        <v>8</v>
      </c>
      <c r="CN123" s="0" t="n">
        <v>11</v>
      </c>
      <c r="CO123" s="0" t="n">
        <v>6.36157583058147</v>
      </c>
      <c r="CP123" s="0" t="n">
        <v>0</v>
      </c>
      <c r="CQ123" s="0" t="n">
        <v>0</v>
      </c>
      <c r="CR123" s="0" t="n">
        <v>0</v>
      </c>
      <c r="CS123" s="0" t="n">
        <v>0</v>
      </c>
      <c r="CT123" s="0" t="n">
        <v>0</v>
      </c>
      <c r="CU123" s="0" t="n">
        <v>15</v>
      </c>
      <c r="CV123" s="0" t="n">
        <v>9</v>
      </c>
      <c r="CW123" s="0" t="n">
        <v>8</v>
      </c>
      <c r="CX123" s="0" t="n">
        <v>11</v>
      </c>
      <c r="CY123" s="0" t="n">
        <v>6.36</v>
      </c>
      <c r="CZ123" s="0" t="n">
        <v>4.64</v>
      </c>
      <c r="DA123" s="0" t="n">
        <v>3.36071490356762</v>
      </c>
      <c r="DB123" s="0" t="n">
        <v>5.98582089552239</v>
      </c>
      <c r="DC123" s="0" t="n">
        <v>7.11585365853659</v>
      </c>
      <c r="DD123" s="0" t="n">
        <v>13.9127988211675</v>
      </c>
      <c r="DE123" s="0" t="n">
        <v>0.107270280217043</v>
      </c>
      <c r="DF123" s="0" t="n">
        <v>73.1707317073171</v>
      </c>
      <c r="DM123" s="0" t="s">
        <v>1604</v>
      </c>
      <c r="DS123" s="0" t="n">
        <v>82</v>
      </c>
      <c r="DT123" s="0" t="n">
        <v>3</v>
      </c>
      <c r="DU123" s="0" t="n">
        <v>4</v>
      </c>
      <c r="DV123" s="0" t="n">
        <v>5.95</v>
      </c>
      <c r="DW123" s="0" t="n">
        <v>3.9</v>
      </c>
      <c r="DX123" s="0" t="n">
        <v>7.1</v>
      </c>
      <c r="DY123" s="0" t="n">
        <v>0.0488</v>
      </c>
      <c r="DZ123" s="0" t="n">
        <v>787</v>
      </c>
      <c r="EA123" s="0" t="n">
        <v>0.846</v>
      </c>
      <c r="EB123" s="0" t="n">
        <v>15</v>
      </c>
      <c r="EC123" s="0" t="s">
        <v>1605</v>
      </c>
      <c r="ED123" s="0" t="n">
        <v>2018</v>
      </c>
      <c r="EE123" s="0" t="n">
        <v>2</v>
      </c>
      <c r="EF123" s="0" t="n">
        <v>49</v>
      </c>
      <c r="EG123" s="0" t="n">
        <v>2018</v>
      </c>
      <c r="EH123" s="0" t="n">
        <v>2026</v>
      </c>
      <c r="EI123" s="0" t="n">
        <v>9</v>
      </c>
      <c r="EJ123" s="0" t="n">
        <v>77</v>
      </c>
      <c r="EK123" s="0" t="n">
        <v>256</v>
      </c>
      <c r="EL123" s="0" t="s">
        <v>1311</v>
      </c>
      <c r="EM123" s="0" t="n">
        <v>31.6</v>
      </c>
      <c r="EN123" s="15" t="b">
        <f aca="false">FALSE()</f>
        <v>0</v>
      </c>
      <c r="EO123" s="0" t="n">
        <v>364</v>
      </c>
      <c r="EP123" s="0" t="n">
        <v>2.7760989010989</v>
      </c>
      <c r="EQ123" s="0" t="n">
        <v>0.222527472527473</v>
      </c>
      <c r="ER123" s="0" t="n">
        <v>1.3489010989011</v>
      </c>
      <c r="ES123" s="0" t="n">
        <v>0.862637362637363</v>
      </c>
      <c r="ET123" s="0" t="n">
        <v>15</v>
      </c>
      <c r="EU123" s="0" t="n">
        <v>7</v>
      </c>
      <c r="EV123" s="0" t="n">
        <v>4.37637362637363</v>
      </c>
      <c r="EW123" s="0" t="n">
        <v>0.466666666666667</v>
      </c>
      <c r="EX123" s="0" t="n">
        <v>2.97533830221885</v>
      </c>
      <c r="EY123" s="0" t="n">
        <v>2.749</v>
      </c>
      <c r="EZ123" s="0" t="n">
        <v>0.2192</v>
      </c>
      <c r="FA123" s="0" t="n">
        <v>2.6</v>
      </c>
      <c r="FB123" s="0" t="n">
        <v>1.559</v>
      </c>
      <c r="FC123" s="0" t="n">
        <v>33</v>
      </c>
      <c r="FD123" s="0" t="n">
        <v>573</v>
      </c>
      <c r="FE123" s="0" t="n">
        <v>0.0610820244328098</v>
      </c>
      <c r="FF123" s="0" t="n">
        <v>0.0577</v>
      </c>
      <c r="FG123" s="0" t="n">
        <v>0.2334</v>
      </c>
      <c r="FH123" s="0" t="n">
        <v>2.491</v>
      </c>
      <c r="FI123" s="0" t="n">
        <v>995</v>
      </c>
      <c r="FJ123" s="0" t="n">
        <v>0.534673366834171</v>
      </c>
      <c r="FK123" s="0" t="n">
        <v>17</v>
      </c>
      <c r="FL123" s="0" t="n">
        <v>58.53</v>
      </c>
      <c r="FM123" s="0" t="n">
        <v>0.5347</v>
      </c>
      <c r="FN123" s="0" t="n">
        <v>0.4653</v>
      </c>
      <c r="FO123" s="0" t="n">
        <v>-0.0248</v>
      </c>
      <c r="FP123" s="0" t="n">
        <v>0.0054</v>
      </c>
      <c r="FQ123" s="0" t="n">
        <v>0.0436</v>
      </c>
      <c r="FR123" s="0" t="n">
        <v>39</v>
      </c>
      <c r="FS123" s="0" t="n">
        <v>47</v>
      </c>
      <c r="FT123" s="0" t="n">
        <v>2.76</v>
      </c>
      <c r="FU123" s="0" t="n">
        <v>22.3</v>
      </c>
      <c r="FV123" s="0" t="n">
        <v>5320</v>
      </c>
      <c r="FW123" s="0" t="n">
        <v>4835</v>
      </c>
      <c r="FX123" s="0" t="n">
        <v>0.909</v>
      </c>
      <c r="FY123" s="0" t="n">
        <v>5</v>
      </c>
      <c r="FZ123" s="0" t="n">
        <v>5</v>
      </c>
      <c r="GA123" s="0" t="n">
        <v>-0.79459899751177</v>
      </c>
      <c r="GB123" s="0" t="n">
        <v>35.6</v>
      </c>
      <c r="GC123" s="0" t="n">
        <v>61.6</v>
      </c>
      <c r="GD123" s="0" t="n">
        <v>48.2</v>
      </c>
      <c r="GE123" s="0" t="n">
        <v>464</v>
      </c>
      <c r="GF123" s="0" t="n">
        <v>478</v>
      </c>
      <c r="GG123" s="0" t="n">
        <v>175</v>
      </c>
      <c r="GH123" s="0" t="n">
        <v>12</v>
      </c>
      <c r="GI123" s="0" t="n">
        <v>148</v>
      </c>
      <c r="GJ123" s="0" t="n">
        <v>23</v>
      </c>
      <c r="GK123" s="0" t="n">
        <v>0.377</v>
      </c>
      <c r="GL123" s="0" t="n">
        <v>0.025</v>
      </c>
      <c r="GM123" s="0" t="n">
        <v>0.155</v>
      </c>
      <c r="GN123" s="0" t="n">
        <v>12.34</v>
      </c>
      <c r="GO123" s="0" t="n">
        <v>10.34</v>
      </c>
      <c r="GP123" s="0" t="n">
        <v>8.34</v>
      </c>
      <c r="GQ123" s="0" t="n">
        <v>5.467</v>
      </c>
      <c r="GR123" s="0" t="n">
        <v>0</v>
      </c>
      <c r="GS123" s="0" t="n">
        <v>82</v>
      </c>
      <c r="GT123" s="0" t="n">
        <v>2.257</v>
      </c>
      <c r="GU123" s="0" t="n">
        <v>0.235</v>
      </c>
      <c r="GV123" s="0" t="n">
        <v>7.207</v>
      </c>
      <c r="GW123" s="0" t="n">
        <v>9.85</v>
      </c>
      <c r="GX123" s="0" t="n">
        <v>0.732</v>
      </c>
      <c r="GZ123" s="0" t="n">
        <v>7.11</v>
      </c>
      <c r="HA123" s="0" t="n">
        <v>3.9</v>
      </c>
      <c r="HB123" s="0" t="n">
        <v>1.014</v>
      </c>
      <c r="HC123" s="0" t="n">
        <v>0.134</v>
      </c>
      <c r="HE123" s="0" t="n">
        <v>0.441</v>
      </c>
      <c r="HG123" s="0" t="n">
        <v>122.31</v>
      </c>
      <c r="HH123" s="0" t="n">
        <v>16.33</v>
      </c>
      <c r="HI123" s="0" t="n">
        <v>87</v>
      </c>
      <c r="HJ123" s="0" t="n">
        <v>158</v>
      </c>
      <c r="HK123" s="0" t="s">
        <v>909</v>
      </c>
      <c r="HL123" s="0" t="n">
        <v>0</v>
      </c>
      <c r="HM123" s="0" t="n">
        <v>7</v>
      </c>
      <c r="HN123" s="0" t="n">
        <v>14</v>
      </c>
      <c r="HO123" s="0" t="n">
        <v>0.224</v>
      </c>
      <c r="HP123" s="0" t="n">
        <v>6</v>
      </c>
      <c r="HQ123" s="0" t="n">
        <v>0.268</v>
      </c>
      <c r="HR123" s="0" t="s">
        <v>102</v>
      </c>
    </row>
    <row r="124" customFormat="false" ht="15" hidden="false" customHeight="false" outlineLevel="0" collapsed="false">
      <c r="A124" s="0" t="s">
        <v>896</v>
      </c>
      <c r="B124" s="0" t="s">
        <v>897</v>
      </c>
      <c r="C124" s="0" t="s">
        <v>898</v>
      </c>
      <c r="D124" s="0" t="s">
        <v>387</v>
      </c>
      <c r="E124" s="0" t="n">
        <v>23096</v>
      </c>
      <c r="F124" s="0" t="s">
        <v>172</v>
      </c>
      <c r="G124" s="0" t="n">
        <v>122.47</v>
      </c>
      <c r="H124" s="0" t="n">
        <v>14.13</v>
      </c>
      <c r="I124" s="0" t="n">
        <v>104</v>
      </c>
      <c r="J124" s="0" t="n">
        <v>195</v>
      </c>
      <c r="L124" s="0" t="s">
        <v>1606</v>
      </c>
      <c r="O124" s="0" t="n">
        <v>47.8</v>
      </c>
      <c r="U124" s="0" t="n">
        <v>8</v>
      </c>
      <c r="V124" s="0" t="s">
        <v>387</v>
      </c>
      <c r="W124" s="0" t="s">
        <v>901</v>
      </c>
      <c r="X124" s="0" t="s">
        <v>1021</v>
      </c>
      <c r="Y124" s="0" t="s">
        <v>1607</v>
      </c>
      <c r="Z124" s="0" t="n">
        <v>23096</v>
      </c>
      <c r="AA124" s="0" t="s">
        <v>1608</v>
      </c>
      <c r="AB124" s="0" t="s">
        <v>904</v>
      </c>
      <c r="AC124" s="0" t="s">
        <v>158</v>
      </c>
      <c r="AD124" s="0" t="s">
        <v>158</v>
      </c>
      <c r="AE124" s="0" t="s">
        <v>158</v>
      </c>
      <c r="AF124" s="0" t="s">
        <v>158</v>
      </c>
      <c r="AG124" s="0" t="s">
        <v>158</v>
      </c>
      <c r="AH124" s="0" t="s">
        <v>905</v>
      </c>
      <c r="AI124" s="0" t="n">
        <v>1</v>
      </c>
      <c r="AJ124" s="0" t="s">
        <v>172</v>
      </c>
      <c r="AK124" s="0" t="n">
        <v>123</v>
      </c>
      <c r="AL124" s="0" t="n">
        <v>20</v>
      </c>
      <c r="AM124" s="0" t="s">
        <v>388</v>
      </c>
      <c r="AN124" s="0" t="n">
        <v>221</v>
      </c>
      <c r="AO124" s="0" t="n">
        <v>327</v>
      </c>
      <c r="AP124" s="0" t="n">
        <v>2384</v>
      </c>
      <c r="AQ124" s="0" t="n">
        <v>10</v>
      </c>
      <c r="AR124" s="0" t="n">
        <v>6</v>
      </c>
      <c r="AS124" s="0" t="n">
        <v>31</v>
      </c>
      <c r="AT124" s="0" t="n">
        <v>2708</v>
      </c>
      <c r="AU124" s="0" t="n">
        <v>107</v>
      </c>
      <c r="AV124" s="0" t="n">
        <v>2.05993894432119</v>
      </c>
      <c r="AW124" s="0" t="n">
        <v>45</v>
      </c>
      <c r="AX124" s="0" t="n">
        <v>186</v>
      </c>
      <c r="AY124" s="0" t="n">
        <v>3</v>
      </c>
      <c r="AZ124" s="0" t="n">
        <v>11</v>
      </c>
      <c r="BA124" s="0" t="n">
        <v>1.02317729410436</v>
      </c>
      <c r="BB124" s="0" t="n">
        <v>1</v>
      </c>
      <c r="BC124" s="0" t="n">
        <v>0</v>
      </c>
      <c r="BD124" s="0" t="n">
        <v>0</v>
      </c>
      <c r="BE124" s="0" t="n">
        <v>0</v>
      </c>
      <c r="BF124" s="0" t="n">
        <v>0</v>
      </c>
      <c r="BG124" s="0" t="n">
        <v>0</v>
      </c>
      <c r="BH124" s="0" t="n">
        <v>0</v>
      </c>
      <c r="BI124" s="0" t="n">
        <v>0</v>
      </c>
      <c r="BJ124" s="0" t="n">
        <v>0</v>
      </c>
      <c r="BK124" s="0" t="n">
        <v>0</v>
      </c>
      <c r="BL124" s="0" t="n">
        <v>0</v>
      </c>
      <c r="BM124" s="0" t="n">
        <v>157.96</v>
      </c>
      <c r="BN124" s="0" t="n">
        <v>157.96</v>
      </c>
      <c r="BO124" s="0" t="n">
        <v>11</v>
      </c>
      <c r="BP124" s="0" t="s">
        <v>158</v>
      </c>
      <c r="BQ124" s="0" t="n">
        <v>1</v>
      </c>
      <c r="BR124" s="0" t="n">
        <v>157.96</v>
      </c>
      <c r="BS124" s="0" t="n">
        <v>0</v>
      </c>
      <c r="BT124" s="0" t="n">
        <v>0.1034</v>
      </c>
      <c r="BU124" s="0" t="n">
        <v>0</v>
      </c>
      <c r="BV124" s="0" t="n">
        <v>0</v>
      </c>
      <c r="BW124" s="0" t="n">
        <v>0.1613</v>
      </c>
      <c r="BX124" s="0" t="n">
        <v>0</v>
      </c>
      <c r="BY124" s="0" t="n">
        <v>0</v>
      </c>
      <c r="BZ124" s="0" t="n">
        <v>11</v>
      </c>
      <c r="CA124" s="0" t="n">
        <v>8.58</v>
      </c>
      <c r="CB124" s="0" t="n">
        <v>21.51</v>
      </c>
      <c r="CC124" s="0" t="n">
        <v>17.36</v>
      </c>
      <c r="CD124" s="0" t="n">
        <v>7.66</v>
      </c>
      <c r="CE124" s="0" t="n">
        <v>5</v>
      </c>
      <c r="CF124" s="0" t="n">
        <v>2</v>
      </c>
      <c r="CG124" s="0" t="n">
        <v>11</v>
      </c>
      <c r="CH124" s="0" t="n">
        <v>0.455</v>
      </c>
      <c r="CI124" s="0" t="n">
        <v>0.182</v>
      </c>
      <c r="CJ124" s="0" t="n">
        <v>0.441</v>
      </c>
      <c r="CK124" s="0" t="n">
        <v>0</v>
      </c>
      <c r="CL124" s="0" t="n">
        <v>0</v>
      </c>
      <c r="CM124" s="0" t="n">
        <v>0</v>
      </c>
      <c r="CN124" s="0" t="n">
        <v>0</v>
      </c>
      <c r="CO124" s="0" t="n">
        <v>0</v>
      </c>
      <c r="CP124" s="0" t="n">
        <v>10</v>
      </c>
      <c r="CQ124" s="0" t="n">
        <v>7</v>
      </c>
      <c r="CR124" s="0" t="n">
        <v>4</v>
      </c>
      <c r="CS124" s="0" t="n">
        <v>3</v>
      </c>
      <c r="CT124" s="0" t="n">
        <v>2.54579265561869</v>
      </c>
      <c r="CU124" s="0" t="n">
        <v>10</v>
      </c>
      <c r="CV124" s="0" t="n">
        <v>7</v>
      </c>
      <c r="CW124" s="0" t="n">
        <v>4</v>
      </c>
      <c r="CX124" s="0" t="n">
        <v>3</v>
      </c>
      <c r="CY124" s="0" t="n">
        <v>2.55</v>
      </c>
      <c r="CZ124" s="0" t="n">
        <v>0.45</v>
      </c>
      <c r="DM124" s="0" t="s">
        <v>1609</v>
      </c>
      <c r="DN124" s="0" t="n">
        <v>45</v>
      </c>
      <c r="DO124" s="0" t="n">
        <v>2</v>
      </c>
      <c r="DP124" s="0" t="n">
        <v>3.333</v>
      </c>
      <c r="DQ124" s="0" t="n">
        <v>0.8</v>
      </c>
      <c r="DR124" s="0" t="n">
        <v>22.5</v>
      </c>
      <c r="DZ124" s="0" t="n">
        <v>605</v>
      </c>
      <c r="EA124" s="0" t="n">
        <v>0.835</v>
      </c>
      <c r="EB124" s="0" t="n">
        <v>11</v>
      </c>
      <c r="EC124" s="0" t="s">
        <v>1610</v>
      </c>
      <c r="ED124" s="0" t="n">
        <v>2025</v>
      </c>
      <c r="EE124" s="0" t="n">
        <v>2</v>
      </c>
      <c r="EF124" s="0" t="n">
        <v>40</v>
      </c>
      <c r="EG124" s="0" t="n">
        <v>2025</v>
      </c>
      <c r="EH124" s="0" t="n">
        <v>2026</v>
      </c>
      <c r="EI124" s="0" t="n">
        <v>2</v>
      </c>
      <c r="EJ124" s="0" t="n">
        <v>77</v>
      </c>
      <c r="EK124" s="0" t="n">
        <v>219</v>
      </c>
      <c r="EL124" s="0" t="s">
        <v>1611</v>
      </c>
      <c r="EM124" s="0" t="n">
        <v>26.9</v>
      </c>
      <c r="EN124" s="15" t="b">
        <f aca="false">FALSE()</f>
        <v>0</v>
      </c>
      <c r="EO124" s="0" t="n">
        <v>300</v>
      </c>
      <c r="EP124" s="0" t="n">
        <v>2.89633333333333</v>
      </c>
      <c r="EQ124" s="0" t="n">
        <v>0.15</v>
      </c>
      <c r="ER124" s="0" t="n">
        <v>0.956666666666667</v>
      </c>
      <c r="ES124" s="0" t="n">
        <v>0.316666666666667</v>
      </c>
      <c r="ET124" s="0" t="n">
        <v>20</v>
      </c>
      <c r="EU124" s="0" t="n">
        <v>11</v>
      </c>
      <c r="EV124" s="0" t="n">
        <v>3.72</v>
      </c>
      <c r="EW124" s="0" t="n">
        <v>0.55</v>
      </c>
      <c r="EX124" s="0" t="n">
        <v>2.96200332598839</v>
      </c>
      <c r="EY124" s="0" t="n">
        <v>2.883</v>
      </c>
      <c r="EZ124" s="0" t="n">
        <v>0.1505</v>
      </c>
      <c r="FA124" s="0" t="n">
        <v>2.057</v>
      </c>
      <c r="FB124" s="0" t="n">
        <v>1.628</v>
      </c>
      <c r="FC124" s="0" t="n">
        <v>31</v>
      </c>
      <c r="FD124" s="0" t="n">
        <v>670</v>
      </c>
      <c r="FE124" s="0" t="n">
        <v>0.073134328358209</v>
      </c>
      <c r="FF124" s="0" t="n">
        <v>0.0763</v>
      </c>
      <c r="FG124" s="0" t="n">
        <v>0.2132</v>
      </c>
      <c r="FH124" s="0" t="n">
        <v>2.2</v>
      </c>
      <c r="FI124" s="0" t="n">
        <v>1064</v>
      </c>
      <c r="FJ124" s="0" t="n">
        <v>0.596804511278195</v>
      </c>
      <c r="FK124" s="0" t="n">
        <v>17</v>
      </c>
      <c r="FL124" s="0" t="n">
        <v>62.59</v>
      </c>
      <c r="FM124" s="0" t="n">
        <v>0.5383</v>
      </c>
      <c r="FN124" s="0" t="n">
        <v>0.4617</v>
      </c>
      <c r="FO124" s="0" t="n">
        <v>-0.0301</v>
      </c>
      <c r="FP124" s="0" t="n">
        <v>-0.1008</v>
      </c>
      <c r="FQ124" s="0" t="n">
        <v>-0.0795</v>
      </c>
      <c r="FR124" s="0" t="n">
        <v>35</v>
      </c>
      <c r="FS124" s="0" t="n">
        <v>48</v>
      </c>
      <c r="FT124" s="0" t="n">
        <v>2.82</v>
      </c>
      <c r="FU124" s="0" t="n">
        <v>18</v>
      </c>
      <c r="FV124" s="0" t="n">
        <v>5643</v>
      </c>
      <c r="FW124" s="0" t="n">
        <v>4426</v>
      </c>
      <c r="FX124" s="0" t="n">
        <v>0.784</v>
      </c>
      <c r="FY124" s="0" t="n">
        <v>5</v>
      </c>
      <c r="FZ124" s="0" t="n">
        <v>4</v>
      </c>
      <c r="GA124" s="0" t="n">
        <v>-0.421361894882305</v>
      </c>
      <c r="GB124" s="0" t="n">
        <v>42.4</v>
      </c>
      <c r="GC124" s="0" t="n">
        <v>44.9</v>
      </c>
      <c r="GD124" s="0" t="n">
        <v>41.9</v>
      </c>
      <c r="GE124" s="0" t="n">
        <v>565</v>
      </c>
      <c r="GF124" s="0" t="n">
        <v>435</v>
      </c>
      <c r="GG124" s="0" t="n">
        <v>127</v>
      </c>
      <c r="GH124" s="0" t="n">
        <v>21</v>
      </c>
      <c r="GI124" s="0" t="n">
        <v>113</v>
      </c>
      <c r="GJ124" s="0" t="n">
        <v>15</v>
      </c>
      <c r="GK124" s="0" t="n">
        <v>0.225</v>
      </c>
      <c r="GL124" s="0" t="n">
        <v>0.048</v>
      </c>
      <c r="GM124" s="0" t="n">
        <v>0.133</v>
      </c>
      <c r="GN124" s="0" t="n">
        <v>14.36</v>
      </c>
      <c r="GO124" s="0" t="n">
        <v>14.36</v>
      </c>
      <c r="GP124" s="0" t="n">
        <v>14.36</v>
      </c>
      <c r="GQ124" s="0" t="n">
        <v>0</v>
      </c>
      <c r="GR124" s="0" t="n">
        <v>4.091</v>
      </c>
      <c r="GS124" s="0" t="n">
        <v>45</v>
      </c>
      <c r="GT124" s="0" t="n">
        <v>3.51</v>
      </c>
      <c r="GU124" s="0" t="n">
        <v>0.261</v>
      </c>
      <c r="GY124" s="0" t="n">
        <v>4.133</v>
      </c>
      <c r="HC124" s="0" t="n">
        <v>0.067</v>
      </c>
      <c r="HD124" s="0" t="n">
        <v>0.023</v>
      </c>
      <c r="HG124" s="0" t="n">
        <v>122.47</v>
      </c>
      <c r="HH124" s="0" t="n">
        <v>14.13</v>
      </c>
      <c r="HI124" s="0" t="n">
        <v>104</v>
      </c>
      <c r="HJ124" s="0" t="n">
        <v>195</v>
      </c>
      <c r="HK124" s="0" t="s">
        <v>909</v>
      </c>
      <c r="HL124" s="0" t="n">
        <v>0</v>
      </c>
      <c r="HM124" s="0" t="n">
        <v>26</v>
      </c>
      <c r="HN124" s="0" t="n">
        <v>20</v>
      </c>
      <c r="HO124" s="0" t="n">
        <v>-0.396</v>
      </c>
      <c r="HP124" s="0" t="n">
        <v>23</v>
      </c>
      <c r="HQ124" s="0" t="n">
        <v>-0.265</v>
      </c>
      <c r="HR124" s="0" t="s">
        <v>121</v>
      </c>
    </row>
    <row r="125" customFormat="false" ht="15" hidden="false" customHeight="false" outlineLevel="0" collapsed="false">
      <c r="A125" s="0" t="s">
        <v>896</v>
      </c>
      <c r="B125" s="0" t="s">
        <v>897</v>
      </c>
      <c r="C125" s="0" t="s">
        <v>898</v>
      </c>
      <c r="D125" s="0" t="s">
        <v>389</v>
      </c>
      <c r="E125" s="0" t="n">
        <v>22969</v>
      </c>
      <c r="F125" s="0" t="s">
        <v>104</v>
      </c>
      <c r="G125" s="0" t="n">
        <v>122.48</v>
      </c>
      <c r="H125" s="0" t="n">
        <v>13.87</v>
      </c>
      <c r="I125" s="0" t="n">
        <v>84</v>
      </c>
      <c r="J125" s="0" t="n">
        <v>146</v>
      </c>
      <c r="L125" s="0" t="s">
        <v>1612</v>
      </c>
      <c r="O125" s="0" t="n">
        <v>65.7</v>
      </c>
      <c r="U125" s="0" t="n">
        <v>6</v>
      </c>
      <c r="V125" s="0" t="s">
        <v>389</v>
      </c>
      <c r="W125" s="0" t="s">
        <v>901</v>
      </c>
      <c r="X125" s="0" t="s">
        <v>127</v>
      </c>
      <c r="Y125" s="0" t="s">
        <v>1613</v>
      </c>
      <c r="Z125" s="0" t="n">
        <v>22969</v>
      </c>
      <c r="AA125" s="0" t="s">
        <v>1614</v>
      </c>
      <c r="AB125" s="0" t="s">
        <v>904</v>
      </c>
      <c r="AC125" s="0" t="s">
        <v>127</v>
      </c>
      <c r="AD125" s="0" t="s">
        <v>127</v>
      </c>
      <c r="AE125" s="0" t="s">
        <v>127</v>
      </c>
      <c r="AF125" s="0" t="s">
        <v>127</v>
      </c>
      <c r="AG125" s="0" t="s">
        <v>127</v>
      </c>
      <c r="AH125" s="0" t="s">
        <v>905</v>
      </c>
      <c r="AI125" s="0" t="n">
        <v>2</v>
      </c>
      <c r="AJ125" s="0" t="s">
        <v>104</v>
      </c>
      <c r="AK125" s="0" t="n">
        <v>124</v>
      </c>
      <c r="AL125" s="0" t="n">
        <v>41</v>
      </c>
      <c r="AM125" s="0" t="s">
        <v>390</v>
      </c>
      <c r="AN125" s="0" t="n">
        <v>0</v>
      </c>
      <c r="AO125" s="0" t="n">
        <v>0</v>
      </c>
      <c r="AP125" s="0" t="n">
        <v>0</v>
      </c>
      <c r="AQ125" s="0" t="n">
        <v>0</v>
      </c>
      <c r="AR125" s="0" t="n">
        <v>0</v>
      </c>
      <c r="AS125" s="0" t="n">
        <v>0</v>
      </c>
      <c r="AT125" s="0" t="n">
        <v>0</v>
      </c>
      <c r="AU125" s="0" t="n">
        <v>0</v>
      </c>
      <c r="AV125" s="0" t="n">
        <v>0</v>
      </c>
      <c r="AW125" s="0" t="n">
        <v>159</v>
      </c>
      <c r="AX125" s="0" t="n">
        <v>758</v>
      </c>
      <c r="AY125" s="0" t="n">
        <v>6</v>
      </c>
      <c r="AZ125" s="0" t="n">
        <v>45</v>
      </c>
      <c r="BA125" s="0" t="n">
        <v>-5.77345446837717</v>
      </c>
      <c r="BB125" s="0" t="n">
        <v>1</v>
      </c>
      <c r="BC125" s="0" t="n">
        <v>14</v>
      </c>
      <c r="BD125" s="0" t="n">
        <v>16</v>
      </c>
      <c r="BE125" s="0" t="n">
        <v>51</v>
      </c>
      <c r="BF125" s="0" t="n">
        <v>0</v>
      </c>
      <c r="BG125" s="0" t="n">
        <v>-52</v>
      </c>
      <c r="BH125" s="0" t="n">
        <v>102</v>
      </c>
      <c r="BI125" s="0" t="n">
        <v>1</v>
      </c>
      <c r="BJ125" s="0" t="n">
        <v>-4.60773309636953</v>
      </c>
      <c r="BK125" s="0" t="n">
        <v>0</v>
      </c>
      <c r="BL125" s="0" t="n">
        <v>0</v>
      </c>
      <c r="BM125" s="0" t="n">
        <v>114.9</v>
      </c>
      <c r="BN125" s="0" t="n">
        <v>128.9</v>
      </c>
      <c r="BO125" s="0" t="n">
        <v>16</v>
      </c>
      <c r="BP125" s="0" t="s">
        <v>127</v>
      </c>
      <c r="BQ125" s="0" t="n">
        <v>1</v>
      </c>
      <c r="BR125" s="0" t="n">
        <v>121.9</v>
      </c>
      <c r="BS125" s="0" t="n">
        <v>0.0342</v>
      </c>
      <c r="BT125" s="0" t="n">
        <v>0.3878</v>
      </c>
      <c r="BU125" s="0" t="n">
        <v>-0.014</v>
      </c>
      <c r="BV125" s="0" t="n">
        <v>0.0352</v>
      </c>
      <c r="BW125" s="0" t="n">
        <v>0.4162</v>
      </c>
      <c r="BX125" s="0" t="n">
        <v>-0.0142</v>
      </c>
      <c r="BY125" s="0" t="n">
        <v>0.0429</v>
      </c>
      <c r="BZ125" s="0" t="n">
        <v>16</v>
      </c>
      <c r="CA125" s="0" t="n">
        <v>4.18</v>
      </c>
      <c r="CB125" s="0" t="n">
        <v>11.58</v>
      </c>
      <c r="CC125" s="0" t="n">
        <v>7.15</v>
      </c>
      <c r="CD125" s="0" t="n">
        <v>5.5</v>
      </c>
      <c r="CE125" s="0" t="n">
        <v>1</v>
      </c>
      <c r="CF125" s="0" t="n">
        <v>2</v>
      </c>
      <c r="CG125" s="0" t="n">
        <v>16</v>
      </c>
      <c r="CH125" s="0" t="n">
        <v>0.062</v>
      </c>
      <c r="CI125" s="0" t="n">
        <v>0.125</v>
      </c>
      <c r="CJ125" s="0" t="n">
        <v>0.769</v>
      </c>
      <c r="CK125" s="0" t="n">
        <v>1</v>
      </c>
      <c r="CL125" s="0" t="n">
        <v>0</v>
      </c>
      <c r="CM125" s="0" t="n">
        <v>0</v>
      </c>
      <c r="CN125" s="0" t="n">
        <v>0</v>
      </c>
      <c r="CO125" s="0" t="n">
        <v>0.330961225880306</v>
      </c>
      <c r="CP125" s="0" t="n">
        <v>29</v>
      </c>
      <c r="CQ125" s="0" t="n">
        <v>9</v>
      </c>
      <c r="CR125" s="0" t="n">
        <v>7</v>
      </c>
      <c r="CS125" s="0" t="n">
        <v>6</v>
      </c>
      <c r="CT125" s="0" t="n">
        <v>4.53492180152475</v>
      </c>
      <c r="CU125" s="0" t="n">
        <v>30</v>
      </c>
      <c r="CV125" s="0" t="n">
        <v>9</v>
      </c>
      <c r="CW125" s="0" t="n">
        <v>7</v>
      </c>
      <c r="CX125" s="0" t="n">
        <v>6</v>
      </c>
      <c r="CY125" s="0" t="n">
        <v>4.87</v>
      </c>
      <c r="CZ125" s="0" t="n">
        <v>1.13</v>
      </c>
      <c r="DG125" s="0" t="n">
        <v>3.70106860158312</v>
      </c>
      <c r="DH125" s="0" t="n">
        <v>24.5283018867925</v>
      </c>
      <c r="DI125" s="0" t="n">
        <v>2.86467832167832</v>
      </c>
      <c r="DJ125" s="0" t="n">
        <v>158.26997907133</v>
      </c>
      <c r="DK125" s="0" t="n">
        <v>1.02109663916987</v>
      </c>
      <c r="DL125" s="0" t="n">
        <v>0.438709677419355</v>
      </c>
      <c r="DM125" s="0" t="s">
        <v>1615</v>
      </c>
      <c r="DN125" s="0" t="n">
        <v>159</v>
      </c>
      <c r="DO125" s="0" t="n">
        <v>13</v>
      </c>
      <c r="DP125" s="0" t="n">
        <v>2.346</v>
      </c>
      <c r="DQ125" s="0" t="n">
        <v>2.421</v>
      </c>
      <c r="DR125" s="0" t="n">
        <v>12.23</v>
      </c>
      <c r="DS125" s="0" t="n">
        <v>16</v>
      </c>
      <c r="DT125" s="0" t="n">
        <v>1</v>
      </c>
      <c r="DU125" s="0" t="n">
        <v>0</v>
      </c>
      <c r="DV125" s="0" t="n">
        <v>-3.643</v>
      </c>
      <c r="DW125" s="0" t="n">
        <v>7.286</v>
      </c>
      <c r="DX125" s="0" t="n">
        <v>-3.3</v>
      </c>
      <c r="DY125" s="0" t="n">
        <v>0</v>
      </c>
      <c r="DZ125" s="0" t="n">
        <v>413</v>
      </c>
      <c r="EA125" s="0" t="n">
        <v>0.428</v>
      </c>
      <c r="EB125" s="0" t="n">
        <v>16</v>
      </c>
      <c r="EC125" s="0" t="s">
        <v>1616</v>
      </c>
      <c r="EG125" s="0" t="n">
        <v>2022</v>
      </c>
      <c r="EH125" s="0" t="n">
        <v>2026</v>
      </c>
      <c r="EI125" s="0" t="n">
        <v>5</v>
      </c>
      <c r="EJ125" s="0" t="n">
        <v>71</v>
      </c>
      <c r="EK125" s="0" t="n">
        <v>230</v>
      </c>
      <c r="EL125" s="0" t="s">
        <v>1617</v>
      </c>
      <c r="EM125" s="0" t="n">
        <v>27.2</v>
      </c>
      <c r="EN125" s="15" t="b">
        <f aca="false">FALSE()</f>
        <v>0</v>
      </c>
      <c r="EO125" s="0" t="n">
        <v>348</v>
      </c>
      <c r="EP125" s="0" t="n">
        <v>3.06781609195402</v>
      </c>
      <c r="EQ125" s="0" t="n">
        <v>0.160919540229885</v>
      </c>
      <c r="ER125" s="0" t="n">
        <v>1.27011494252874</v>
      </c>
      <c r="ES125" s="0" t="n">
        <v>0.548850574712644</v>
      </c>
      <c r="ET125" s="0" t="n">
        <v>30</v>
      </c>
      <c r="EU125" s="0" t="n">
        <v>21</v>
      </c>
      <c r="EV125" s="0" t="n">
        <v>4.28448275862069</v>
      </c>
      <c r="EW125" s="0" t="n">
        <v>0.7</v>
      </c>
      <c r="EX125" s="0" t="n">
        <v>3.05559506502035</v>
      </c>
      <c r="EY125" s="0" t="n">
        <v>2.961</v>
      </c>
      <c r="EZ125" s="0" t="n">
        <v>0.1751</v>
      </c>
      <c r="FA125" s="0" t="n">
        <v>2.441</v>
      </c>
      <c r="FB125" s="0" t="n">
        <v>2.049</v>
      </c>
      <c r="FC125" s="0" t="n">
        <v>27</v>
      </c>
      <c r="FD125" s="0" t="n">
        <v>571</v>
      </c>
      <c r="FE125" s="0" t="n">
        <v>0.10507880910683</v>
      </c>
      <c r="FF125" s="0" t="n">
        <v>0.1028</v>
      </c>
      <c r="FG125" s="0" t="n">
        <v>0.3037</v>
      </c>
      <c r="FH125" s="0" t="n">
        <v>2.429</v>
      </c>
      <c r="FI125" s="0" t="n">
        <v>943</v>
      </c>
      <c r="FJ125" s="0" t="n">
        <v>0.580063626723224</v>
      </c>
      <c r="FK125" s="0" t="n">
        <v>17</v>
      </c>
      <c r="FL125" s="0" t="n">
        <v>55.47</v>
      </c>
      <c r="FM125" s="0" t="n">
        <v>0.5369</v>
      </c>
      <c r="FN125" s="0" t="n">
        <v>0.4631</v>
      </c>
      <c r="FO125" s="0" t="n">
        <v>-0.012</v>
      </c>
      <c r="FP125" s="0" t="n">
        <v>-0.0149</v>
      </c>
      <c r="FQ125" s="0" t="n">
        <v>-0.1883</v>
      </c>
      <c r="FR125" s="0" t="n">
        <v>39</v>
      </c>
      <c r="FS125" s="0" t="n">
        <v>53</v>
      </c>
      <c r="FT125" s="0" t="n">
        <v>3.12</v>
      </c>
      <c r="FU125" s="0" t="n">
        <v>20.2</v>
      </c>
      <c r="FV125" s="0" t="n">
        <v>5009</v>
      </c>
      <c r="FW125" s="0" t="n">
        <v>4102</v>
      </c>
      <c r="FX125" s="0" t="n">
        <v>0.819</v>
      </c>
      <c r="FY125" s="0" t="n">
        <v>5</v>
      </c>
      <c r="FZ125" s="0" t="n">
        <v>5</v>
      </c>
      <c r="GA125" s="0" t="n">
        <v>0.100485160629548</v>
      </c>
      <c r="GB125" s="0" t="n">
        <v>51.8</v>
      </c>
      <c r="GC125" s="0" t="n">
        <v>26.2</v>
      </c>
      <c r="GD125" s="0" t="n">
        <v>36</v>
      </c>
      <c r="GE125" s="0" t="n">
        <v>468</v>
      </c>
      <c r="GF125" s="0" t="n">
        <v>410</v>
      </c>
      <c r="GG125" s="0" t="n">
        <v>82</v>
      </c>
      <c r="GH125" s="0" t="n">
        <v>24</v>
      </c>
      <c r="GI125" s="0" t="n">
        <v>131</v>
      </c>
      <c r="GJ125" s="0" t="n">
        <v>17</v>
      </c>
      <c r="GK125" s="0" t="n">
        <v>0.175</v>
      </c>
      <c r="GL125" s="0" t="n">
        <v>0.059</v>
      </c>
      <c r="GM125" s="0" t="n">
        <v>0.13</v>
      </c>
      <c r="GN125" s="0" t="n">
        <v>8.056</v>
      </c>
      <c r="GO125" s="0" t="n">
        <v>7.619</v>
      </c>
      <c r="GP125" s="0" t="n">
        <v>7.181</v>
      </c>
      <c r="GQ125" s="0" t="n">
        <v>1</v>
      </c>
      <c r="GR125" s="0" t="n">
        <v>9.938</v>
      </c>
      <c r="GS125" s="0" t="n">
        <v>175</v>
      </c>
      <c r="GT125" s="0" t="n">
        <v>0.737</v>
      </c>
      <c r="GU125" s="0" t="n">
        <v>0.312</v>
      </c>
      <c r="GV125" s="0" t="n">
        <v>3.188</v>
      </c>
      <c r="GW125" s="0" t="n">
        <v>3.643</v>
      </c>
      <c r="GX125" s="0" t="n">
        <v>0.875</v>
      </c>
      <c r="GY125" s="0" t="n">
        <v>4.767</v>
      </c>
      <c r="GZ125" s="0" t="n">
        <v>-3.25</v>
      </c>
      <c r="HA125" s="0" t="n">
        <v>7.286</v>
      </c>
      <c r="HB125" s="0" t="n">
        <v>-0.981</v>
      </c>
      <c r="HC125" s="0" t="n">
        <v>0.034</v>
      </c>
      <c r="HD125" s="0" t="n">
        <v>-0.036</v>
      </c>
      <c r="HE125" s="0" t="n">
        <v>-0.288</v>
      </c>
      <c r="HG125" s="0" t="n">
        <v>122.48</v>
      </c>
      <c r="HH125" s="0" t="n">
        <v>13.87</v>
      </c>
      <c r="HI125" s="0" t="n">
        <v>84</v>
      </c>
      <c r="HJ125" s="0" t="n">
        <v>146</v>
      </c>
      <c r="HK125" s="0" t="s">
        <v>909</v>
      </c>
      <c r="HL125" s="0" t="n">
        <v>0</v>
      </c>
      <c r="HM125" s="0" t="n">
        <v>35</v>
      </c>
      <c r="HN125" s="0" t="n">
        <v>41</v>
      </c>
      <c r="HO125" s="0" t="n">
        <v>-0.047</v>
      </c>
      <c r="HP125" s="0" t="n">
        <v>44</v>
      </c>
      <c r="HQ125" s="0" t="n">
        <v>-0.441</v>
      </c>
      <c r="HR125" s="0" t="s">
        <v>102</v>
      </c>
    </row>
    <row r="126" customFormat="false" ht="15" hidden="false" customHeight="false" outlineLevel="0" collapsed="false">
      <c r="A126" s="0" t="s">
        <v>896</v>
      </c>
      <c r="B126" s="0" t="s">
        <v>897</v>
      </c>
      <c r="C126" s="0" t="s">
        <v>898</v>
      </c>
      <c r="D126" s="0" t="s">
        <v>391</v>
      </c>
      <c r="E126" s="0" t="n">
        <v>27077</v>
      </c>
      <c r="F126" s="0" t="s">
        <v>99</v>
      </c>
      <c r="G126" s="0" t="n">
        <v>122.79</v>
      </c>
      <c r="H126" s="0" t="n">
        <v>13.21</v>
      </c>
      <c r="I126" s="0" t="n">
        <v>94</v>
      </c>
      <c r="J126" s="0" t="n">
        <v>176</v>
      </c>
      <c r="L126" s="0" t="s">
        <v>1618</v>
      </c>
      <c r="O126" s="0" t="n">
        <v>46.8</v>
      </c>
      <c r="U126" s="0" t="n">
        <v>8</v>
      </c>
      <c r="V126" s="0" t="s">
        <v>391</v>
      </c>
      <c r="W126" s="0" t="s">
        <v>901</v>
      </c>
      <c r="X126" s="0" t="s">
        <v>139</v>
      </c>
      <c r="Y126" s="0" t="s">
        <v>1619</v>
      </c>
      <c r="Z126" s="0" t="n">
        <v>27077</v>
      </c>
      <c r="AA126" s="0" t="s">
        <v>1620</v>
      </c>
      <c r="AB126" s="0" t="s">
        <v>904</v>
      </c>
      <c r="AC126" s="0" t="s">
        <v>139</v>
      </c>
      <c r="AD126" s="0" t="s">
        <v>139</v>
      </c>
      <c r="AE126" s="0" t="s">
        <v>139</v>
      </c>
      <c r="AF126" s="0" t="s">
        <v>139</v>
      </c>
      <c r="AG126" s="0" t="s">
        <v>139</v>
      </c>
      <c r="AH126" s="0" t="s">
        <v>905</v>
      </c>
      <c r="AI126" s="0" t="n">
        <v>2</v>
      </c>
      <c r="AJ126" s="0" t="s">
        <v>99</v>
      </c>
      <c r="AK126" s="0" t="n">
        <v>125</v>
      </c>
      <c r="AL126" s="0" t="n">
        <v>50</v>
      </c>
      <c r="AM126" s="0" t="s">
        <v>392</v>
      </c>
      <c r="AN126" s="0" t="n">
        <v>0</v>
      </c>
      <c r="AO126" s="0" t="n">
        <v>0</v>
      </c>
      <c r="AP126" s="0" t="n">
        <v>0</v>
      </c>
      <c r="AQ126" s="0" t="n">
        <v>0</v>
      </c>
      <c r="AR126" s="0" t="n">
        <v>0</v>
      </c>
      <c r="AS126" s="0" t="n">
        <v>0</v>
      </c>
      <c r="AT126" s="0" t="n">
        <v>0</v>
      </c>
      <c r="AU126" s="0" t="n">
        <v>0</v>
      </c>
      <c r="AV126" s="0" t="n">
        <v>0</v>
      </c>
      <c r="AW126" s="0" t="n">
        <v>0</v>
      </c>
      <c r="AX126" s="0" t="n">
        <v>0</v>
      </c>
      <c r="AY126" s="0" t="n">
        <v>0</v>
      </c>
      <c r="AZ126" s="0" t="n">
        <v>0</v>
      </c>
      <c r="BA126" s="0" t="n">
        <v>0</v>
      </c>
      <c r="BB126" s="0" t="n">
        <v>0</v>
      </c>
      <c r="BC126" s="0" t="n">
        <v>41</v>
      </c>
      <c r="BD126" s="0" t="n">
        <v>68</v>
      </c>
      <c r="BE126" s="0" t="n">
        <v>525</v>
      </c>
      <c r="BF126" s="0" t="n">
        <v>6</v>
      </c>
      <c r="BG126" s="0" t="n">
        <v>839</v>
      </c>
      <c r="BH126" s="0" t="n">
        <v>123</v>
      </c>
      <c r="BI126" s="0" t="n">
        <v>28</v>
      </c>
      <c r="BJ126" s="0" t="n">
        <v>16.7576827847953</v>
      </c>
      <c r="BK126" s="0" t="n">
        <v>0</v>
      </c>
      <c r="BL126" s="0" t="n">
        <v>0</v>
      </c>
      <c r="BM126" s="0" t="n">
        <v>88.5</v>
      </c>
      <c r="BN126" s="0" t="n">
        <v>129.5</v>
      </c>
      <c r="BO126" s="0" t="n">
        <v>17</v>
      </c>
      <c r="BP126" s="0" t="s">
        <v>139</v>
      </c>
      <c r="BQ126" s="0" t="n">
        <v>1</v>
      </c>
      <c r="BR126" s="0" t="n">
        <v>109</v>
      </c>
      <c r="BS126" s="0" t="n">
        <v>0.123</v>
      </c>
      <c r="BT126" s="0" t="n">
        <v>0</v>
      </c>
      <c r="BU126" s="0" t="n">
        <v>0.1826</v>
      </c>
      <c r="BV126" s="0" t="n">
        <v>0.123</v>
      </c>
      <c r="BW126" s="0" t="n">
        <v>0</v>
      </c>
      <c r="BX126" s="0" t="n">
        <v>0.1826</v>
      </c>
      <c r="BY126" s="0" t="n">
        <v>0.3123</v>
      </c>
      <c r="BZ126" s="0" t="n">
        <v>17</v>
      </c>
      <c r="CA126" s="0" t="n">
        <v>2.7</v>
      </c>
      <c r="CB126" s="0" t="n">
        <v>13.64</v>
      </c>
      <c r="CC126" s="0" t="n">
        <v>7.2</v>
      </c>
      <c r="CD126" s="0" t="n">
        <v>5.37</v>
      </c>
      <c r="CE126" s="0" t="n">
        <v>1</v>
      </c>
      <c r="CF126" s="0" t="n">
        <v>4</v>
      </c>
      <c r="CG126" s="0" t="n">
        <v>17</v>
      </c>
      <c r="CH126" s="0" t="n">
        <v>0.059</v>
      </c>
      <c r="CI126" s="0" t="n">
        <v>0.235</v>
      </c>
      <c r="CJ126" s="0" t="n">
        <v>0.746</v>
      </c>
      <c r="CK126" s="0" t="n">
        <v>8</v>
      </c>
      <c r="CL126" s="0" t="n">
        <v>3</v>
      </c>
      <c r="CM126" s="0" t="n">
        <v>1</v>
      </c>
      <c r="CN126" s="0" t="n">
        <v>6</v>
      </c>
      <c r="CO126" s="0" t="n">
        <v>2.93933239954055</v>
      </c>
      <c r="CP126" s="0" t="n">
        <v>0</v>
      </c>
      <c r="CQ126" s="0" t="n">
        <v>0</v>
      </c>
      <c r="CR126" s="0" t="n">
        <v>0</v>
      </c>
      <c r="CS126" s="0" t="n">
        <v>0</v>
      </c>
      <c r="CT126" s="0" t="n">
        <v>0</v>
      </c>
      <c r="CU126" s="0" t="n">
        <v>8</v>
      </c>
      <c r="CV126" s="0" t="n">
        <v>3</v>
      </c>
      <c r="CW126" s="0" t="n">
        <v>1</v>
      </c>
      <c r="CX126" s="0" t="n">
        <v>6</v>
      </c>
      <c r="CY126" s="0" t="n">
        <v>2.94</v>
      </c>
      <c r="CZ126" s="0" t="n">
        <v>3.06</v>
      </c>
      <c r="DA126" s="0" t="n">
        <v>2.69887169910163</v>
      </c>
      <c r="DB126" s="0" t="n">
        <v>5.73820895522388</v>
      </c>
      <c r="DC126" s="0" t="n">
        <v>12.0344117647059</v>
      </c>
      <c r="DD126" s="0" t="n">
        <v>18.0176887493477</v>
      </c>
      <c r="DE126" s="0" t="n">
        <v>-0.092312284365053</v>
      </c>
      <c r="DF126" s="0" t="n">
        <v>60.2941176470588</v>
      </c>
      <c r="DM126" s="0" t="s">
        <v>1621</v>
      </c>
      <c r="DS126" s="0" t="n">
        <v>68</v>
      </c>
      <c r="DT126" s="0" t="n">
        <v>1</v>
      </c>
      <c r="DU126" s="0" t="n">
        <v>3</v>
      </c>
      <c r="DV126" s="0" t="n">
        <v>9.805</v>
      </c>
      <c r="DW126" s="0" t="n">
        <v>3</v>
      </c>
      <c r="DX126" s="0" t="n">
        <v>11</v>
      </c>
      <c r="DY126" s="0" t="n">
        <v>0.0441</v>
      </c>
      <c r="DZ126" s="0" t="n">
        <v>671</v>
      </c>
      <c r="EA126" s="0" t="n">
        <v>0.572</v>
      </c>
      <c r="EB126" s="0" t="n">
        <v>17</v>
      </c>
      <c r="EC126" s="0" t="s">
        <v>1622</v>
      </c>
      <c r="ED126" s="0" t="n">
        <v>2025</v>
      </c>
      <c r="EE126" s="0" t="n">
        <v>2</v>
      </c>
      <c r="EF126" s="0" t="n">
        <v>34</v>
      </c>
      <c r="EG126" s="0" t="n">
        <v>2025</v>
      </c>
      <c r="EH126" s="0" t="n">
        <v>2026</v>
      </c>
      <c r="EI126" s="0" t="n">
        <v>2</v>
      </c>
      <c r="EJ126" s="0" t="n">
        <v>76</v>
      </c>
      <c r="EK126" s="0" t="n">
        <v>215</v>
      </c>
      <c r="EL126" s="0" t="s">
        <v>1623</v>
      </c>
      <c r="EM126" s="0" t="n">
        <v>23.7</v>
      </c>
      <c r="EN126" s="15" t="b">
        <f aca="false">FALSE()</f>
        <v>0</v>
      </c>
      <c r="EO126" s="0" t="n">
        <v>399</v>
      </c>
      <c r="EP126" s="0" t="n">
        <v>2.7453634085213</v>
      </c>
      <c r="EQ126" s="0" t="n">
        <v>0.203007518796993</v>
      </c>
      <c r="ER126" s="0" t="n">
        <v>1.1077694235589</v>
      </c>
      <c r="ES126" s="0" t="n">
        <v>0.496240601503759</v>
      </c>
      <c r="ET126" s="0" t="n">
        <v>35</v>
      </c>
      <c r="EU126" s="0" t="n">
        <v>17</v>
      </c>
      <c r="EV126" s="0" t="n">
        <v>3.83709273182957</v>
      </c>
      <c r="EW126" s="0" t="n">
        <v>0.485714285714286</v>
      </c>
      <c r="EX126" s="0" t="n">
        <v>2.88168562194261</v>
      </c>
      <c r="EY126" s="0" t="n">
        <v>2.812</v>
      </c>
      <c r="EZ126" s="0" t="n">
        <v>0.1937</v>
      </c>
      <c r="FA126" s="0" t="n">
        <v>2.099</v>
      </c>
      <c r="FB126" s="0" t="n">
        <v>1.8</v>
      </c>
      <c r="FC126" s="0" t="n">
        <v>23</v>
      </c>
      <c r="FD126" s="0" t="n">
        <v>643</v>
      </c>
      <c r="FE126" s="0" t="n">
        <v>0.0482115085536547</v>
      </c>
      <c r="FF126" s="0" t="n">
        <v>0.0526</v>
      </c>
      <c r="FG126" s="0" t="n">
        <v>0.2216</v>
      </c>
      <c r="FH126" s="0" t="n">
        <v>2.345</v>
      </c>
      <c r="FI126" s="0" t="n">
        <v>1078</v>
      </c>
      <c r="FJ126" s="0" t="n">
        <v>0.570500927643785</v>
      </c>
      <c r="FK126" s="0" t="n">
        <v>17</v>
      </c>
      <c r="FL126" s="0" t="n">
        <v>63.41</v>
      </c>
      <c r="FM126" s="0" t="n">
        <v>0.5638</v>
      </c>
      <c r="FN126" s="0" t="n">
        <v>0.4362</v>
      </c>
      <c r="FO126" s="0" t="n">
        <v>-0.0098</v>
      </c>
      <c r="FP126" s="0" t="n">
        <v>-0.0779</v>
      </c>
      <c r="FQ126" s="0" t="n">
        <v>0.036</v>
      </c>
      <c r="FR126" s="0" t="n">
        <v>38</v>
      </c>
      <c r="FS126" s="0" t="n">
        <v>58</v>
      </c>
      <c r="FT126" s="0" t="n">
        <v>3.41</v>
      </c>
      <c r="FU126" s="0" t="n">
        <v>23.8</v>
      </c>
      <c r="FV126" s="0" t="n">
        <v>6010</v>
      </c>
      <c r="FW126" s="0" t="n">
        <v>4286</v>
      </c>
      <c r="FX126" s="0" t="n">
        <v>0.713</v>
      </c>
      <c r="FY126" s="0" t="n">
        <v>5</v>
      </c>
      <c r="FZ126" s="0" t="n">
        <v>2</v>
      </c>
      <c r="GA126" s="0" t="n">
        <v>-0.878307115745538</v>
      </c>
      <c r="GB126" s="0" t="n">
        <v>34.1</v>
      </c>
      <c r="GC126" s="0" t="n">
        <v>59.3</v>
      </c>
      <c r="GD126" s="0" t="n">
        <v>45.8</v>
      </c>
      <c r="GE126" s="0" t="n">
        <v>553</v>
      </c>
      <c r="GF126" s="0" t="n">
        <v>475</v>
      </c>
      <c r="GG126" s="0" t="n">
        <v>82</v>
      </c>
      <c r="GH126" s="0" t="n">
        <v>21</v>
      </c>
      <c r="GI126" s="0" t="n">
        <v>150</v>
      </c>
      <c r="GJ126" s="0" t="n">
        <v>18</v>
      </c>
      <c r="GK126" s="0" t="n">
        <v>0.148</v>
      </c>
      <c r="GL126" s="0" t="n">
        <v>0.044</v>
      </c>
      <c r="GM126" s="0" t="n">
        <v>0.12</v>
      </c>
      <c r="GN126" s="0" t="n">
        <v>7.618</v>
      </c>
      <c r="GO126" s="0" t="n">
        <v>6.412</v>
      </c>
      <c r="GP126" s="0" t="n">
        <v>5.206</v>
      </c>
      <c r="GQ126" s="0" t="n">
        <v>4</v>
      </c>
      <c r="GR126" s="0" t="n">
        <v>0</v>
      </c>
      <c r="GS126" s="0" t="n">
        <v>68</v>
      </c>
      <c r="GT126" s="0" t="n">
        <v>1.904</v>
      </c>
      <c r="GU126" s="0" t="n">
        <v>0.193</v>
      </c>
      <c r="GV126" s="0" t="n">
        <v>7.721</v>
      </c>
      <c r="GW126" s="0" t="n">
        <v>12.805</v>
      </c>
      <c r="GX126" s="0" t="n">
        <v>0.603</v>
      </c>
      <c r="GZ126" s="0" t="n">
        <v>12.338</v>
      </c>
      <c r="HA126" s="0" t="n">
        <v>3</v>
      </c>
      <c r="HB126" s="0" t="n">
        <v>0.626</v>
      </c>
      <c r="HC126" s="0" t="n">
        <v>0.088</v>
      </c>
      <c r="HE126" s="0" t="n">
        <v>0.246</v>
      </c>
      <c r="HG126" s="0" t="n">
        <v>122.79</v>
      </c>
      <c r="HH126" s="0" t="n">
        <v>13.21</v>
      </c>
      <c r="HI126" s="0" t="n">
        <v>94</v>
      </c>
      <c r="HJ126" s="0" t="n">
        <v>176</v>
      </c>
      <c r="HK126" s="0" t="s">
        <v>909</v>
      </c>
      <c r="HL126" s="0" t="n">
        <v>0</v>
      </c>
      <c r="HM126" s="0" t="n">
        <v>46</v>
      </c>
      <c r="HN126" s="0" t="n">
        <v>50</v>
      </c>
      <c r="HO126" s="0" t="n">
        <v>-0.21</v>
      </c>
      <c r="HP126" s="0" t="n">
        <v>61</v>
      </c>
      <c r="HQ126" s="0" t="n">
        <v>-0.868</v>
      </c>
      <c r="HR126" s="0" t="s">
        <v>102</v>
      </c>
    </row>
    <row r="127" customFormat="false" ht="15" hidden="false" customHeight="false" outlineLevel="0" collapsed="false">
      <c r="A127" s="0" t="s">
        <v>896</v>
      </c>
      <c r="B127" s="0" t="s">
        <v>897</v>
      </c>
      <c r="C127" s="0" t="s">
        <v>898</v>
      </c>
      <c r="D127" s="0" t="s">
        <v>393</v>
      </c>
      <c r="E127" s="0" t="n">
        <v>26403</v>
      </c>
      <c r="F127" s="0" t="s">
        <v>99</v>
      </c>
      <c r="G127" s="0" t="n">
        <v>125.3</v>
      </c>
      <c r="H127" s="0" t="n">
        <v>13.93</v>
      </c>
      <c r="I127" s="0" t="n">
        <v>90</v>
      </c>
      <c r="J127" s="0" t="n">
        <v>163</v>
      </c>
      <c r="L127" s="0" t="s">
        <v>1624</v>
      </c>
      <c r="O127" s="0" t="n">
        <v>45.2</v>
      </c>
      <c r="U127" s="0" t="n">
        <v>5</v>
      </c>
      <c r="V127" s="0" t="s">
        <v>393</v>
      </c>
      <c r="W127" s="0" t="s">
        <v>901</v>
      </c>
      <c r="X127" s="0" t="s">
        <v>191</v>
      </c>
      <c r="Y127" s="0" t="s">
        <v>1625</v>
      </c>
      <c r="Z127" s="0" t="n">
        <v>26403</v>
      </c>
      <c r="AA127" s="0" t="s">
        <v>1626</v>
      </c>
      <c r="AB127" s="0" t="s">
        <v>904</v>
      </c>
      <c r="AC127" s="0" t="s">
        <v>191</v>
      </c>
      <c r="AD127" s="0" t="s">
        <v>191</v>
      </c>
      <c r="AE127" s="0" t="s">
        <v>191</v>
      </c>
      <c r="AF127" s="0" t="s">
        <v>191</v>
      </c>
      <c r="AG127" s="0" t="s">
        <v>191</v>
      </c>
      <c r="AH127" s="0" t="s">
        <v>905</v>
      </c>
      <c r="AI127" s="0" t="n">
        <v>2</v>
      </c>
      <c r="AJ127" s="0" t="s">
        <v>99</v>
      </c>
      <c r="AK127" s="0" t="n">
        <v>126</v>
      </c>
      <c r="AL127" s="0" t="n">
        <v>51</v>
      </c>
      <c r="AM127" s="0" t="s">
        <v>394</v>
      </c>
      <c r="AN127" s="0" t="n">
        <v>0</v>
      </c>
      <c r="AO127" s="0" t="n">
        <v>0</v>
      </c>
      <c r="AP127" s="0" t="n">
        <v>0</v>
      </c>
      <c r="AQ127" s="0" t="n">
        <v>0</v>
      </c>
      <c r="AR127" s="0" t="n">
        <v>0</v>
      </c>
      <c r="AS127" s="0" t="n">
        <v>0</v>
      </c>
      <c r="AT127" s="0" t="n">
        <v>0</v>
      </c>
      <c r="AU127" s="0" t="n">
        <v>0</v>
      </c>
      <c r="AV127" s="0" t="n">
        <v>0</v>
      </c>
      <c r="AW127" s="0" t="n">
        <v>0</v>
      </c>
      <c r="AX127" s="0" t="n">
        <v>0</v>
      </c>
      <c r="AY127" s="0" t="n">
        <v>0</v>
      </c>
      <c r="AZ127" s="0" t="n">
        <v>0</v>
      </c>
      <c r="BA127" s="0" t="n">
        <v>0</v>
      </c>
      <c r="BB127" s="0" t="n">
        <v>0</v>
      </c>
      <c r="BC127" s="0" t="n">
        <v>33</v>
      </c>
      <c r="BD127" s="0" t="n">
        <v>43</v>
      </c>
      <c r="BE127" s="0" t="n">
        <v>394</v>
      </c>
      <c r="BF127" s="0" t="n">
        <v>3</v>
      </c>
      <c r="BG127" s="0" t="n">
        <v>435</v>
      </c>
      <c r="BH127" s="0" t="n">
        <v>102</v>
      </c>
      <c r="BI127" s="0" t="n">
        <v>22</v>
      </c>
      <c r="BJ127" s="0" t="n">
        <v>21.8557562759381</v>
      </c>
      <c r="BK127" s="0" t="n">
        <v>1</v>
      </c>
      <c r="BL127" s="0" t="n">
        <v>0</v>
      </c>
      <c r="BM127" s="0" t="n">
        <v>57.4</v>
      </c>
      <c r="BN127" s="0" t="n">
        <v>90.4</v>
      </c>
      <c r="BO127" s="0" t="n">
        <v>11</v>
      </c>
      <c r="BP127" s="0" t="s">
        <v>191</v>
      </c>
      <c r="BQ127" s="0" t="n">
        <v>1</v>
      </c>
      <c r="BR127" s="0" t="n">
        <v>73.9</v>
      </c>
      <c r="BS127" s="0" t="n">
        <v>0.0896</v>
      </c>
      <c r="BT127" s="0" t="n">
        <v>0</v>
      </c>
      <c r="BU127" s="0" t="n">
        <v>0.1335</v>
      </c>
      <c r="BV127" s="0" t="n">
        <v>0.1488</v>
      </c>
      <c r="BW127" s="0" t="n">
        <v>0</v>
      </c>
      <c r="BX127" s="0" t="n">
        <v>0.2211</v>
      </c>
      <c r="BY127" s="0" t="n">
        <v>0.378</v>
      </c>
      <c r="BZ127" s="0" t="n">
        <v>11</v>
      </c>
      <c r="CA127" s="0" t="n">
        <v>4.35</v>
      </c>
      <c r="CB127" s="0" t="n">
        <v>15.35</v>
      </c>
      <c r="CC127" s="0" t="n">
        <v>6.6</v>
      </c>
      <c r="CD127" s="0" t="n">
        <v>5.87</v>
      </c>
      <c r="CE127" s="0" t="n">
        <v>1</v>
      </c>
      <c r="CF127" s="0" t="n">
        <v>1</v>
      </c>
      <c r="CG127" s="0" t="n">
        <v>11</v>
      </c>
      <c r="CH127" s="0" t="n">
        <v>0.091</v>
      </c>
      <c r="CI127" s="0" t="n">
        <v>0.091</v>
      </c>
      <c r="CJ127" s="0" t="n">
        <v>0.889</v>
      </c>
      <c r="CK127" s="0" t="n">
        <v>3</v>
      </c>
      <c r="CL127" s="0" t="n">
        <v>2</v>
      </c>
      <c r="CM127" s="0" t="n">
        <v>0</v>
      </c>
      <c r="CN127" s="0" t="n">
        <v>3</v>
      </c>
      <c r="CO127" s="0" t="n">
        <v>1.33570311269789</v>
      </c>
      <c r="CP127" s="0" t="n">
        <v>0</v>
      </c>
      <c r="CQ127" s="0" t="n">
        <v>0</v>
      </c>
      <c r="CR127" s="0" t="n">
        <v>0</v>
      </c>
      <c r="CS127" s="0" t="n">
        <v>0</v>
      </c>
      <c r="CT127" s="0" t="n">
        <v>0</v>
      </c>
      <c r="CU127" s="0" t="n">
        <v>3</v>
      </c>
      <c r="CV127" s="0" t="n">
        <v>2</v>
      </c>
      <c r="CW127" s="0" t="n">
        <v>0</v>
      </c>
      <c r="CX127" s="0" t="n">
        <v>3</v>
      </c>
      <c r="CY127" s="0" t="n">
        <v>1.34</v>
      </c>
      <c r="CZ127" s="0" t="n">
        <v>1.66</v>
      </c>
      <c r="DM127" s="0" t="s">
        <v>1627</v>
      </c>
      <c r="DS127" s="0" t="n">
        <v>43</v>
      </c>
      <c r="DT127" s="0" t="n">
        <v>1</v>
      </c>
      <c r="DU127" s="0" t="n">
        <v>0</v>
      </c>
      <c r="DV127" s="0" t="n">
        <v>8.848</v>
      </c>
      <c r="DW127" s="0" t="n">
        <v>3.091</v>
      </c>
      <c r="DX127" s="0" t="n">
        <v>10</v>
      </c>
      <c r="DY127" s="0" t="n">
        <v>0</v>
      </c>
      <c r="DZ127" s="0" t="n">
        <v>439</v>
      </c>
      <c r="EA127" s="0" t="n">
        <v>0.694</v>
      </c>
      <c r="EB127" s="0" t="n">
        <v>11</v>
      </c>
      <c r="EC127" s="0" t="s">
        <v>1628</v>
      </c>
      <c r="EG127" s="0" t="n">
        <v>2024</v>
      </c>
      <c r="EH127" s="0" t="n">
        <v>2026</v>
      </c>
      <c r="EI127" s="0" t="n">
        <v>3</v>
      </c>
      <c r="EJ127" s="0" t="n">
        <v>75</v>
      </c>
      <c r="EK127" s="0" t="n">
        <v>213</v>
      </c>
      <c r="EL127" s="0" t="s">
        <v>1629</v>
      </c>
      <c r="EM127" s="0" t="n">
        <v>24.8</v>
      </c>
      <c r="EN127" s="15" t="b">
        <f aca="false">FALSE()</f>
        <v>0</v>
      </c>
      <c r="EO127" s="0" t="n">
        <v>391</v>
      </c>
      <c r="EP127" s="0" t="n">
        <v>3.16700767263427</v>
      </c>
      <c r="EQ127" s="0" t="n">
        <v>0.138107416879795</v>
      </c>
      <c r="ER127" s="0" t="n">
        <v>1.15856777493606</v>
      </c>
      <c r="ES127" s="0" t="n">
        <v>0.534526854219949</v>
      </c>
      <c r="ET127" s="0" t="n">
        <v>29</v>
      </c>
      <c r="EU127" s="0" t="n">
        <v>20</v>
      </c>
      <c r="EV127" s="0" t="n">
        <v>4.29923273657289</v>
      </c>
      <c r="EW127" s="0" t="n">
        <v>0.689655172413793</v>
      </c>
      <c r="EX127" s="0" t="n">
        <v>2.93615385596069</v>
      </c>
      <c r="EY127" s="0" t="n">
        <v>3.179</v>
      </c>
      <c r="EZ127" s="0" t="n">
        <v>0.1391</v>
      </c>
      <c r="FA127" s="0" t="n">
        <v>2.49</v>
      </c>
      <c r="FB127" s="0" t="n">
        <v>1.798</v>
      </c>
      <c r="FC127" s="0" t="n">
        <v>18</v>
      </c>
      <c r="FD127" s="0" t="n">
        <v>582</v>
      </c>
      <c r="FE127" s="0" t="n">
        <v>0.0601374570446735</v>
      </c>
      <c r="FF127" s="0" t="n">
        <v>0.0629</v>
      </c>
      <c r="FG127" s="0" t="n">
        <v>0.2718</v>
      </c>
      <c r="FH127" s="0" t="n">
        <v>2.4</v>
      </c>
      <c r="FI127" s="0" t="n">
        <v>996</v>
      </c>
      <c r="FJ127" s="0" t="n">
        <v>0.553212851405623</v>
      </c>
      <c r="FK127" s="0" t="n">
        <v>17</v>
      </c>
      <c r="FL127" s="0" t="n">
        <v>58.59</v>
      </c>
      <c r="FM127" s="0" t="n">
        <v>0.5106</v>
      </c>
      <c r="FN127" s="0" t="n">
        <v>0.4894</v>
      </c>
      <c r="FO127" s="0" t="n">
        <v>-0.061</v>
      </c>
      <c r="FP127" s="0" t="n">
        <v>-0.0262</v>
      </c>
      <c r="FQ127" s="0" t="n">
        <v>-0.0498</v>
      </c>
      <c r="FR127" s="0" t="n">
        <v>39</v>
      </c>
      <c r="FS127" s="0" t="n">
        <v>48</v>
      </c>
      <c r="FT127" s="0" t="n">
        <v>2.82</v>
      </c>
      <c r="FU127" s="0" t="n">
        <v>18.3</v>
      </c>
      <c r="FV127" s="0" t="n">
        <v>5317</v>
      </c>
      <c r="FW127" s="0" t="n">
        <v>3170</v>
      </c>
      <c r="FX127" s="0" t="n">
        <v>0.596</v>
      </c>
      <c r="FY127" s="0" t="n">
        <v>5</v>
      </c>
      <c r="FZ127" s="0" t="n">
        <v>3</v>
      </c>
      <c r="GA127" s="0" t="n">
        <v>0.724248193828235</v>
      </c>
      <c r="GB127" s="0" t="n">
        <v>63.1</v>
      </c>
      <c r="GC127" s="0" t="n">
        <v>47.3</v>
      </c>
      <c r="GD127" s="0" t="n">
        <v>56.6</v>
      </c>
      <c r="GE127" s="0" t="n">
        <v>480</v>
      </c>
      <c r="GF127" s="0" t="n">
        <v>461</v>
      </c>
      <c r="GG127" s="0" t="n">
        <v>50</v>
      </c>
      <c r="GH127" s="0" t="n">
        <v>242</v>
      </c>
      <c r="GI127" s="0" t="n">
        <v>136</v>
      </c>
      <c r="GJ127" s="0" t="n">
        <v>40</v>
      </c>
      <c r="GK127" s="0" t="n">
        <v>0.104</v>
      </c>
      <c r="GL127" s="0" t="n">
        <v>0.525</v>
      </c>
      <c r="GM127" s="0" t="n">
        <v>0.294</v>
      </c>
      <c r="GN127" s="0" t="n">
        <v>8.218</v>
      </c>
      <c r="GO127" s="0" t="n">
        <v>6.718</v>
      </c>
      <c r="GP127" s="0" t="n">
        <v>5.218</v>
      </c>
      <c r="GQ127" s="0" t="n">
        <v>3.909</v>
      </c>
      <c r="GR127" s="0" t="n">
        <v>0</v>
      </c>
      <c r="GS127" s="0" t="n">
        <v>43</v>
      </c>
      <c r="GT127" s="0" t="n">
        <v>2.102</v>
      </c>
      <c r="GU127" s="0" t="n">
        <v>0.206</v>
      </c>
      <c r="GV127" s="0" t="n">
        <v>9.163</v>
      </c>
      <c r="GW127" s="0" t="n">
        <v>11.939</v>
      </c>
      <c r="GX127" s="0" t="n">
        <v>0.767</v>
      </c>
      <c r="GZ127" s="0" t="n">
        <v>10.116</v>
      </c>
      <c r="HA127" s="0" t="n">
        <v>3.091</v>
      </c>
      <c r="HB127" s="0" t="n">
        <v>0.906</v>
      </c>
      <c r="HC127" s="0" t="n">
        <v>0.07</v>
      </c>
      <c r="HE127" s="0" t="n">
        <v>0.508</v>
      </c>
      <c r="HG127" s="0" t="n">
        <v>125.3</v>
      </c>
      <c r="HH127" s="0" t="n">
        <v>13.93</v>
      </c>
      <c r="HI127" s="0" t="n">
        <v>90</v>
      </c>
      <c r="HJ127" s="0" t="n">
        <v>163</v>
      </c>
      <c r="HK127" s="0" t="s">
        <v>909</v>
      </c>
      <c r="HL127" s="0" t="n">
        <v>0</v>
      </c>
      <c r="HM127" s="0" t="n">
        <v>63</v>
      </c>
      <c r="HN127" s="0" t="n">
        <v>51</v>
      </c>
      <c r="HO127" s="0" t="n">
        <v>-0.919</v>
      </c>
      <c r="HP127" s="0" t="n">
        <v>58</v>
      </c>
      <c r="HQ127" s="0" t="n">
        <v>-0.701</v>
      </c>
      <c r="HR127" s="0" t="s">
        <v>121</v>
      </c>
    </row>
    <row r="128" customFormat="false" ht="15" hidden="false" customHeight="false" outlineLevel="0" collapsed="false">
      <c r="A128" s="0" t="s">
        <v>896</v>
      </c>
      <c r="B128" s="0" t="s">
        <v>897</v>
      </c>
      <c r="C128" s="0" t="s">
        <v>898</v>
      </c>
      <c r="D128" s="0" t="s">
        <v>395</v>
      </c>
      <c r="E128" s="0" t="n">
        <v>23019</v>
      </c>
      <c r="F128" s="0" t="s">
        <v>99</v>
      </c>
      <c r="G128" s="0" t="n">
        <v>127.07</v>
      </c>
      <c r="H128" s="0" t="n">
        <v>13.27</v>
      </c>
      <c r="I128" s="0" t="n">
        <v>90</v>
      </c>
      <c r="J128" s="0" t="n">
        <v>180</v>
      </c>
      <c r="L128" s="0" t="s">
        <v>1630</v>
      </c>
      <c r="O128" s="0" t="n">
        <v>67.3</v>
      </c>
      <c r="U128" s="0" t="n">
        <v>5</v>
      </c>
      <c r="V128" s="0" t="s">
        <v>395</v>
      </c>
      <c r="W128" s="0" t="s">
        <v>901</v>
      </c>
      <c r="X128" s="0" t="s">
        <v>1034</v>
      </c>
      <c r="Y128" s="0" t="s">
        <v>1631</v>
      </c>
      <c r="Z128" s="0" t="n">
        <v>23019</v>
      </c>
      <c r="AA128" s="0" t="s">
        <v>1632</v>
      </c>
      <c r="AB128" s="0" t="s">
        <v>904</v>
      </c>
      <c r="AC128" s="0" t="s">
        <v>164</v>
      </c>
      <c r="AD128" s="0" t="s">
        <v>164</v>
      </c>
      <c r="AE128" s="0" t="s">
        <v>164</v>
      </c>
      <c r="AF128" s="0" t="s">
        <v>164</v>
      </c>
      <c r="AG128" s="0" t="s">
        <v>164</v>
      </c>
      <c r="AH128" s="0" t="s">
        <v>905</v>
      </c>
      <c r="AI128" s="0" t="n">
        <v>2</v>
      </c>
      <c r="AJ128" s="0" t="s">
        <v>99</v>
      </c>
      <c r="AK128" s="0" t="n">
        <v>127</v>
      </c>
      <c r="AL128" s="0" t="n">
        <v>52</v>
      </c>
      <c r="AM128" s="0" t="s">
        <v>396</v>
      </c>
      <c r="AN128" s="0" t="n">
        <v>0</v>
      </c>
      <c r="AO128" s="0" t="n">
        <v>0</v>
      </c>
      <c r="AP128" s="0" t="n">
        <v>0</v>
      </c>
      <c r="AQ128" s="0" t="n">
        <v>0</v>
      </c>
      <c r="AR128" s="0" t="n">
        <v>0</v>
      </c>
      <c r="AS128" s="0" t="n">
        <v>0</v>
      </c>
      <c r="AT128" s="0" t="n">
        <v>0</v>
      </c>
      <c r="AU128" s="0" t="n">
        <v>0</v>
      </c>
      <c r="AV128" s="0" t="n">
        <v>0</v>
      </c>
      <c r="AW128" s="0" t="n">
        <v>11</v>
      </c>
      <c r="AX128" s="0" t="n">
        <v>87</v>
      </c>
      <c r="AY128" s="0" t="n">
        <v>0</v>
      </c>
      <c r="AZ128" s="0" t="n">
        <v>4</v>
      </c>
      <c r="BA128" s="0" t="n">
        <v>3.58479074464412</v>
      </c>
      <c r="BB128" s="0" t="n">
        <v>0</v>
      </c>
      <c r="BC128" s="0" t="n">
        <v>42</v>
      </c>
      <c r="BD128" s="0" t="n">
        <v>73</v>
      </c>
      <c r="BE128" s="0" t="n">
        <v>532</v>
      </c>
      <c r="BF128" s="0" t="n">
        <v>1</v>
      </c>
      <c r="BG128" s="0" t="n">
        <v>944</v>
      </c>
      <c r="BH128" s="0" t="n">
        <v>193</v>
      </c>
      <c r="BI128" s="0" t="n">
        <v>22</v>
      </c>
      <c r="BJ128" s="0" t="n">
        <v>14.8280123686038</v>
      </c>
      <c r="BK128" s="0" t="n">
        <v>0</v>
      </c>
      <c r="BL128" s="0" t="n">
        <v>0</v>
      </c>
      <c r="BM128" s="0" t="n">
        <v>67.9</v>
      </c>
      <c r="BN128" s="0" t="n">
        <v>109.9</v>
      </c>
      <c r="BO128" s="0" t="n">
        <v>14</v>
      </c>
      <c r="BP128" s="0" t="s">
        <v>164</v>
      </c>
      <c r="BQ128" s="0" t="n">
        <v>1</v>
      </c>
      <c r="BR128" s="0" t="n">
        <v>88.9</v>
      </c>
      <c r="BS128" s="0" t="n">
        <v>0.133</v>
      </c>
      <c r="BT128" s="0" t="n">
        <v>0.0256</v>
      </c>
      <c r="BU128" s="0" t="n">
        <v>0.2196</v>
      </c>
      <c r="BV128" s="0" t="n">
        <v>0.1604</v>
      </c>
      <c r="BW128" s="0" t="n">
        <v>0.0312</v>
      </c>
      <c r="BX128" s="0" t="n">
        <v>0.2729</v>
      </c>
      <c r="BY128" s="0" t="n">
        <v>0.4316</v>
      </c>
      <c r="BZ128" s="0" t="n">
        <v>14</v>
      </c>
      <c r="CA128" s="0" t="n">
        <v>5.62</v>
      </c>
      <c r="CB128" s="0" t="n">
        <v>11.12</v>
      </c>
      <c r="CC128" s="0" t="n">
        <v>8.15</v>
      </c>
      <c r="CD128" s="0" t="n">
        <v>4.52</v>
      </c>
      <c r="CE128" s="0" t="n">
        <v>0</v>
      </c>
      <c r="CF128" s="0" t="n">
        <v>2</v>
      </c>
      <c r="CG128" s="0" t="n">
        <v>14</v>
      </c>
      <c r="CH128" s="0" t="n">
        <v>0</v>
      </c>
      <c r="CI128" s="0" t="n">
        <v>0.143</v>
      </c>
      <c r="CJ128" s="0" t="n">
        <v>0.555</v>
      </c>
      <c r="CK128" s="0" t="n">
        <v>6</v>
      </c>
      <c r="CL128" s="0" t="n">
        <v>2</v>
      </c>
      <c r="CM128" s="0" t="n">
        <v>1</v>
      </c>
      <c r="CN128" s="0" t="n">
        <v>1</v>
      </c>
      <c r="CO128" s="0" t="n">
        <v>2.35227288397208</v>
      </c>
      <c r="CP128" s="0" t="n">
        <v>0</v>
      </c>
      <c r="CQ128" s="0" t="n">
        <v>0</v>
      </c>
      <c r="CR128" s="0" t="n">
        <v>0</v>
      </c>
      <c r="CS128" s="0" t="n">
        <v>0</v>
      </c>
      <c r="CT128" s="0" t="n">
        <v>0.0691001778598912</v>
      </c>
      <c r="CU128" s="0" t="n">
        <v>6</v>
      </c>
      <c r="CV128" s="0" t="n">
        <v>2</v>
      </c>
      <c r="CW128" s="0" t="n">
        <v>1</v>
      </c>
      <c r="CX128" s="0" t="n">
        <v>1</v>
      </c>
      <c r="CY128" s="0" t="n">
        <v>2.42</v>
      </c>
      <c r="CZ128" s="0" t="n">
        <v>-1.42</v>
      </c>
      <c r="DA128" s="0" t="n">
        <v>3.45903024945309</v>
      </c>
      <c r="DB128" s="0" t="n">
        <v>6.29442857142857</v>
      </c>
      <c r="DC128" s="0" t="n">
        <v>12.3582191780822</v>
      </c>
      <c r="DD128" s="0" t="n">
        <v>21.8997150111908</v>
      </c>
      <c r="DE128" s="0" t="n">
        <v>-0.46204643103519</v>
      </c>
      <c r="DF128" s="0" t="n">
        <v>57.5342465753425</v>
      </c>
      <c r="DM128" s="0" t="s">
        <v>1633</v>
      </c>
      <c r="DN128" s="0" t="n">
        <v>11</v>
      </c>
      <c r="DO128" s="0" t="n">
        <v>1</v>
      </c>
      <c r="DS128" s="0" t="n">
        <v>73</v>
      </c>
      <c r="DT128" s="0" t="n">
        <v>2</v>
      </c>
      <c r="DU128" s="0" t="n">
        <v>1</v>
      </c>
      <c r="DV128" s="0" t="n">
        <v>8.071</v>
      </c>
      <c r="DW128" s="0" t="n">
        <v>4.595</v>
      </c>
      <c r="DX128" s="0" t="n">
        <v>12.1</v>
      </c>
      <c r="DY128" s="0" t="n">
        <v>0.0137</v>
      </c>
      <c r="DZ128" s="0" t="n">
        <v>645</v>
      </c>
      <c r="EA128" s="0" t="n">
        <v>0.706</v>
      </c>
      <c r="EB128" s="0" t="n">
        <v>14</v>
      </c>
      <c r="EC128" s="0" t="s">
        <v>1634</v>
      </c>
      <c r="ED128" s="0" t="n">
        <v>2024</v>
      </c>
      <c r="EE128" s="0" t="n">
        <v>1</v>
      </c>
      <c r="EF128" s="0" t="n">
        <v>28</v>
      </c>
      <c r="EG128" s="0" t="n">
        <v>2024</v>
      </c>
      <c r="EH128" s="0" t="n">
        <v>2026</v>
      </c>
      <c r="EI128" s="0" t="n">
        <v>3</v>
      </c>
      <c r="EJ128" s="0" t="n">
        <v>71</v>
      </c>
      <c r="EK128" s="0" t="n">
        <v>165</v>
      </c>
      <c r="EL128" s="0" t="s">
        <v>927</v>
      </c>
      <c r="EM128" s="0" t="n">
        <v>23.3</v>
      </c>
      <c r="EN128" s="15" t="b">
        <f aca="false">FALSE()</f>
        <v>0</v>
      </c>
      <c r="EO128" s="0" t="n">
        <v>336</v>
      </c>
      <c r="EP128" s="0" t="n">
        <v>3.01964285714286</v>
      </c>
      <c r="EQ128" s="0" t="n">
        <v>0.133928571428571</v>
      </c>
      <c r="ER128" s="0" t="n">
        <v>0.958333333333333</v>
      </c>
      <c r="ES128" s="0" t="n">
        <v>0.196428571428571</v>
      </c>
      <c r="ET128" s="0" t="n">
        <v>48</v>
      </c>
      <c r="EU128" s="0" t="n">
        <v>39</v>
      </c>
      <c r="EV128" s="0" t="n">
        <v>3.71130952380952</v>
      </c>
      <c r="EW128" s="0" t="n">
        <v>0.8125</v>
      </c>
      <c r="EX128" s="0" t="n">
        <v>2.90619800347793</v>
      </c>
      <c r="EY128" s="0" t="n">
        <v>3.062</v>
      </c>
      <c r="EZ128" s="0" t="n">
        <v>0.1258</v>
      </c>
      <c r="FA128" s="0" t="n">
        <v>2.623</v>
      </c>
      <c r="FB128" s="0" t="n">
        <v>1.591</v>
      </c>
      <c r="FC128" s="0" t="n">
        <v>14</v>
      </c>
      <c r="FD128" s="0" t="n">
        <v>686</v>
      </c>
      <c r="FE128" s="0" t="n">
        <v>0.0685131195335277</v>
      </c>
      <c r="FF128" s="0" t="n">
        <v>0.0659</v>
      </c>
      <c r="FG128" s="0" t="n">
        <v>0.2877</v>
      </c>
      <c r="FH128" s="0" t="n">
        <v>2.212</v>
      </c>
      <c r="FI128" s="0" t="n">
        <v>1048</v>
      </c>
      <c r="FJ128" s="0" t="n">
        <v>0.602099236641221</v>
      </c>
      <c r="FK128" s="0" t="n">
        <v>17</v>
      </c>
      <c r="FL128" s="0" t="n">
        <v>61.65</v>
      </c>
      <c r="FM128" s="0" t="n">
        <v>0.5721</v>
      </c>
      <c r="FN128" s="0" t="n">
        <v>0.4279</v>
      </c>
      <c r="FO128" s="0" t="n">
        <v>0.0395</v>
      </c>
      <c r="FP128" s="0" t="n">
        <v>0.0273</v>
      </c>
      <c r="FQ128" s="0" t="n">
        <v>0.0399</v>
      </c>
      <c r="FR128" s="0" t="n">
        <v>38</v>
      </c>
      <c r="FS128" s="0" t="n">
        <v>63</v>
      </c>
      <c r="FT128" s="0" t="n">
        <v>3.71</v>
      </c>
      <c r="FU128" s="0" t="n">
        <v>21.3</v>
      </c>
      <c r="FV128" s="0" t="n">
        <v>5605</v>
      </c>
      <c r="FW128" s="0" t="n">
        <v>4845</v>
      </c>
      <c r="FX128" s="0" t="n">
        <v>0.864</v>
      </c>
      <c r="FY128" s="0" t="n">
        <v>5</v>
      </c>
      <c r="FZ128" s="0" t="n">
        <v>5</v>
      </c>
      <c r="GA128" s="0" t="n">
        <v>0.894249870072499</v>
      </c>
      <c r="GB128" s="0" t="n">
        <v>66.2</v>
      </c>
      <c r="GC128" s="0" t="n">
        <v>34</v>
      </c>
      <c r="GD128" s="0" t="n">
        <v>50.1</v>
      </c>
      <c r="GE128" s="0" t="n">
        <v>549</v>
      </c>
      <c r="GF128" s="0" t="n">
        <v>430</v>
      </c>
      <c r="GG128" s="0" t="n">
        <v>147</v>
      </c>
      <c r="GH128" s="0" t="n">
        <v>129</v>
      </c>
      <c r="GI128" s="0" t="n">
        <v>166</v>
      </c>
      <c r="GJ128" s="0" t="n">
        <v>43</v>
      </c>
      <c r="GK128" s="0" t="n">
        <v>0.268</v>
      </c>
      <c r="GL128" s="0" t="n">
        <v>0.3</v>
      </c>
      <c r="GM128" s="0" t="n">
        <v>0.259</v>
      </c>
      <c r="GN128" s="0" t="n">
        <v>7.85</v>
      </c>
      <c r="GO128" s="0" t="n">
        <v>6.35</v>
      </c>
      <c r="GP128" s="0" t="n">
        <v>4.85</v>
      </c>
      <c r="GQ128" s="0" t="n">
        <v>5.214</v>
      </c>
      <c r="GR128" s="0" t="n">
        <v>0.786</v>
      </c>
      <c r="GS128" s="0" t="n">
        <v>84</v>
      </c>
      <c r="GT128" s="0" t="n">
        <v>1.308</v>
      </c>
      <c r="GU128" s="0" t="n">
        <v>0.17</v>
      </c>
      <c r="GV128" s="0" t="n">
        <v>7.288</v>
      </c>
      <c r="GW128" s="0" t="n">
        <v>12.667</v>
      </c>
      <c r="GX128" s="0" t="n">
        <v>0.575</v>
      </c>
      <c r="GZ128" s="0" t="n">
        <v>12.932</v>
      </c>
      <c r="HA128" s="0" t="n">
        <v>4.595</v>
      </c>
      <c r="HB128" s="0" t="n">
        <v>0.564</v>
      </c>
      <c r="HC128" s="0" t="n">
        <v>0.012</v>
      </c>
      <c r="HE128" s="0" t="n">
        <v>0.203</v>
      </c>
      <c r="HG128" s="0" t="n">
        <v>127.07</v>
      </c>
      <c r="HH128" s="0" t="n">
        <v>13.27</v>
      </c>
      <c r="HI128" s="0" t="n">
        <v>90</v>
      </c>
      <c r="HJ128" s="0" t="n">
        <v>180</v>
      </c>
      <c r="HK128" s="0" t="s">
        <v>909</v>
      </c>
      <c r="HL128" s="0" t="n">
        <v>0</v>
      </c>
      <c r="HM128" s="0" t="n">
        <v>57</v>
      </c>
      <c r="HN128" s="0" t="n">
        <v>52</v>
      </c>
      <c r="HO128" s="0" t="n">
        <v>-0.621</v>
      </c>
      <c r="HP128" s="0" t="n">
        <v>60</v>
      </c>
      <c r="HQ128" s="0" t="n">
        <v>-0.753</v>
      </c>
      <c r="HR128" s="0" t="s">
        <v>121</v>
      </c>
    </row>
    <row r="129" customFormat="false" ht="15" hidden="false" customHeight="false" outlineLevel="0" collapsed="false">
      <c r="A129" s="0" t="s">
        <v>896</v>
      </c>
      <c r="B129" s="0" t="s">
        <v>897</v>
      </c>
      <c r="C129" s="0" t="s">
        <v>898</v>
      </c>
      <c r="D129" s="0" t="s">
        <v>397</v>
      </c>
      <c r="E129" s="0" t="n">
        <v>17269</v>
      </c>
      <c r="F129" s="0" t="s">
        <v>149</v>
      </c>
      <c r="G129" s="0" t="n">
        <v>127.48</v>
      </c>
      <c r="H129" s="0" t="n">
        <v>20.12</v>
      </c>
      <c r="I129" s="0" t="n">
        <v>95</v>
      </c>
      <c r="J129" s="0" t="n">
        <v>173</v>
      </c>
      <c r="L129" s="0" t="s">
        <v>1635</v>
      </c>
      <c r="O129" s="0" t="n">
        <v>81.9</v>
      </c>
      <c r="U129" s="0" t="n">
        <v>13</v>
      </c>
      <c r="V129" s="0" t="s">
        <v>397</v>
      </c>
      <c r="W129" s="0" t="s">
        <v>901</v>
      </c>
      <c r="X129" s="0" t="s">
        <v>183</v>
      </c>
      <c r="Y129" s="0" t="s">
        <v>1636</v>
      </c>
      <c r="Z129" s="0" t="n">
        <v>17269</v>
      </c>
      <c r="AA129" s="0" t="s">
        <v>1637</v>
      </c>
      <c r="AB129" s="0" t="s">
        <v>904</v>
      </c>
      <c r="AC129" s="0" t="s">
        <v>183</v>
      </c>
      <c r="AD129" s="0" t="s">
        <v>183</v>
      </c>
      <c r="AE129" s="0" t="s">
        <v>183</v>
      </c>
      <c r="AF129" s="0" t="s">
        <v>183</v>
      </c>
      <c r="AG129" s="0" t="s">
        <v>183</v>
      </c>
      <c r="AH129" s="0" t="s">
        <v>905</v>
      </c>
      <c r="AI129" s="0" t="n">
        <v>1</v>
      </c>
      <c r="AJ129" s="0" t="s">
        <v>149</v>
      </c>
      <c r="AK129" s="0" t="n">
        <v>128</v>
      </c>
      <c r="AL129" s="0" t="n">
        <v>15</v>
      </c>
      <c r="AM129" s="0" t="s">
        <v>398</v>
      </c>
      <c r="AN129" s="0" t="n">
        <v>0</v>
      </c>
      <c r="AO129" s="0" t="n">
        <v>0</v>
      </c>
      <c r="AP129" s="0" t="n">
        <v>0</v>
      </c>
      <c r="AQ129" s="0" t="n">
        <v>0</v>
      </c>
      <c r="AR129" s="0" t="n">
        <v>0</v>
      </c>
      <c r="AS129" s="0" t="n">
        <v>0</v>
      </c>
      <c r="AT129" s="0" t="n">
        <v>0</v>
      </c>
      <c r="AU129" s="0" t="n">
        <v>0</v>
      </c>
      <c r="AV129" s="0" t="n">
        <v>0</v>
      </c>
      <c r="AW129" s="0" t="n">
        <v>10</v>
      </c>
      <c r="AX129" s="0" t="n">
        <v>48</v>
      </c>
      <c r="AY129" s="0" t="n">
        <v>1</v>
      </c>
      <c r="AZ129" s="0" t="n">
        <v>7</v>
      </c>
      <c r="BA129" s="0" t="n">
        <v>6.52073954662774</v>
      </c>
      <c r="BB129" s="0" t="n">
        <v>0</v>
      </c>
      <c r="BC129" s="0" t="n">
        <v>48</v>
      </c>
      <c r="BD129" s="0" t="n">
        <v>70</v>
      </c>
      <c r="BE129" s="0" t="n">
        <v>422</v>
      </c>
      <c r="BF129" s="0" t="n">
        <v>5</v>
      </c>
      <c r="BG129" s="0" t="n">
        <v>508</v>
      </c>
      <c r="BH129" s="0" t="n">
        <v>101</v>
      </c>
      <c r="BI129" s="0" t="n">
        <v>24</v>
      </c>
      <c r="BJ129" s="0" t="n">
        <v>1.5476467463453</v>
      </c>
      <c r="BK129" s="0" t="n">
        <v>0</v>
      </c>
      <c r="BL129" s="0" t="n">
        <v>0</v>
      </c>
      <c r="BM129" s="0" t="n">
        <v>83</v>
      </c>
      <c r="BN129" s="0" t="n">
        <v>131</v>
      </c>
      <c r="BO129" s="0" t="n">
        <v>17</v>
      </c>
      <c r="BP129" s="0" t="s">
        <v>183</v>
      </c>
      <c r="BQ129" s="0" t="n">
        <v>1</v>
      </c>
      <c r="BR129" s="0" t="n">
        <v>107</v>
      </c>
      <c r="BS129" s="0" t="n">
        <v>0.172</v>
      </c>
      <c r="BT129" s="0" t="n">
        <v>0.0197</v>
      </c>
      <c r="BU129" s="0" t="n">
        <v>0.1505</v>
      </c>
      <c r="BV129" s="0" t="n">
        <v>0.172</v>
      </c>
      <c r="BW129" s="0" t="n">
        <v>0.0197</v>
      </c>
      <c r="BX129" s="0" t="n">
        <v>0.1505</v>
      </c>
      <c r="BY129" s="0" t="n">
        <v>0.3634</v>
      </c>
      <c r="BZ129" s="0" t="n">
        <v>17</v>
      </c>
      <c r="CA129" s="0" t="n">
        <v>3.4</v>
      </c>
      <c r="CB129" s="0" t="n">
        <v>13.58</v>
      </c>
      <c r="CC129" s="0" t="n">
        <v>6.4</v>
      </c>
      <c r="CD129" s="0" t="n">
        <v>6.79</v>
      </c>
      <c r="CE129" s="0" t="n">
        <v>3</v>
      </c>
      <c r="CF129" s="0" t="n">
        <v>1</v>
      </c>
      <c r="CG129" s="0" t="n">
        <v>17</v>
      </c>
      <c r="CH129" s="0" t="n">
        <v>0.176</v>
      </c>
      <c r="CI129" s="0" t="n">
        <v>0.059</v>
      </c>
      <c r="CJ129" s="0" t="n">
        <v>1.06</v>
      </c>
      <c r="CK129" s="0" t="n">
        <v>15</v>
      </c>
      <c r="CL129" s="0" t="n">
        <v>9</v>
      </c>
      <c r="CM129" s="0" t="n">
        <v>7</v>
      </c>
      <c r="CN129" s="0" t="n">
        <v>5</v>
      </c>
      <c r="CO129" s="0" t="n">
        <v>5.8997682004122</v>
      </c>
      <c r="CP129" s="0" t="n">
        <v>3</v>
      </c>
      <c r="CQ129" s="0" t="n">
        <v>3</v>
      </c>
      <c r="CR129" s="0" t="n">
        <v>3</v>
      </c>
      <c r="CS129" s="0" t="n">
        <v>1</v>
      </c>
      <c r="CT129" s="0" t="n">
        <v>1.36775074005412</v>
      </c>
      <c r="CU129" s="0" t="n">
        <v>18</v>
      </c>
      <c r="CV129" s="0" t="n">
        <v>12</v>
      </c>
      <c r="CW129" s="0" t="n">
        <v>10</v>
      </c>
      <c r="CX129" s="0" t="n">
        <v>6</v>
      </c>
      <c r="CY129" s="0" t="n">
        <v>7.27</v>
      </c>
      <c r="CZ129" s="0" t="n">
        <v>-1.27</v>
      </c>
      <c r="DA129" s="0" t="n">
        <v>2.91067902892665</v>
      </c>
      <c r="DB129" s="0" t="n">
        <v>4.64952380952381</v>
      </c>
      <c r="DC129" s="0" t="n">
        <v>7.81671428571428</v>
      </c>
      <c r="DD129" s="0" t="n">
        <v>16.2334637738346</v>
      </c>
      <c r="DE129" s="0" t="n">
        <v>-0.408672437986961</v>
      </c>
      <c r="DF129" s="0" t="n">
        <v>68.5714285714286</v>
      </c>
      <c r="DM129" s="0" t="s">
        <v>1638</v>
      </c>
      <c r="DN129" s="0" t="n">
        <v>10</v>
      </c>
      <c r="DO129" s="0" t="n">
        <v>0</v>
      </c>
      <c r="DS129" s="0" t="n">
        <v>70</v>
      </c>
      <c r="DT129" s="0" t="n">
        <v>1</v>
      </c>
      <c r="DU129" s="0" t="n">
        <v>3</v>
      </c>
      <c r="DV129" s="0" t="n">
        <v>6.688</v>
      </c>
      <c r="DW129" s="0" t="n">
        <v>2.104</v>
      </c>
      <c r="DX129" s="0" t="n">
        <v>7.4</v>
      </c>
      <c r="DY129" s="0" t="n">
        <v>0.0429</v>
      </c>
      <c r="DZ129" s="0" t="n">
        <v>630</v>
      </c>
      <c r="EA129" s="0" t="n">
        <v>0.617</v>
      </c>
      <c r="EB129" s="0" t="n">
        <v>17</v>
      </c>
      <c r="EC129" s="0" t="s">
        <v>1639</v>
      </c>
      <c r="ED129" s="0" t="n">
        <v>2018</v>
      </c>
      <c r="EE129" s="0" t="n">
        <v>3</v>
      </c>
      <c r="EF129" s="0" t="n">
        <v>86</v>
      </c>
      <c r="EG129" s="0" t="n">
        <v>2018</v>
      </c>
      <c r="EH129" s="0" t="n">
        <v>2026</v>
      </c>
      <c r="EI129" s="0" t="n">
        <v>9</v>
      </c>
      <c r="EJ129" s="0" t="n">
        <v>77</v>
      </c>
      <c r="EK129" s="0" t="n">
        <v>250</v>
      </c>
      <c r="EL129" s="0" t="s">
        <v>946</v>
      </c>
      <c r="EM129" s="0" t="n">
        <v>30.9</v>
      </c>
      <c r="EN129" s="15" t="b">
        <f aca="false">FALSE()</f>
        <v>0</v>
      </c>
      <c r="EO129" s="0" t="n">
        <v>392</v>
      </c>
      <c r="EP129" s="0" t="n">
        <v>3.03673469387755</v>
      </c>
      <c r="EQ129" s="0" t="n">
        <v>0.153061224489796</v>
      </c>
      <c r="ER129" s="0" t="n">
        <v>1.31122448979592</v>
      </c>
      <c r="ES129" s="0" t="n">
        <v>1.51275510204082</v>
      </c>
      <c r="ET129" s="0" t="n">
        <v>37</v>
      </c>
      <c r="EU129" s="0" t="n">
        <v>24</v>
      </c>
      <c r="EV129" s="0" t="n">
        <v>5.24489795918367</v>
      </c>
      <c r="EW129" s="0" t="n">
        <v>0.648648648648649</v>
      </c>
      <c r="EX129" s="0" t="n">
        <v>2.95276427199016</v>
      </c>
      <c r="EY129" s="0" t="n">
        <v>3.032</v>
      </c>
      <c r="EZ129" s="0" t="n">
        <v>0.1574</v>
      </c>
      <c r="FA129" s="0" t="n">
        <v>3.144</v>
      </c>
      <c r="FB129" s="0" t="n">
        <v>2.107</v>
      </c>
      <c r="FC129" s="0" t="n">
        <v>24</v>
      </c>
      <c r="FD129" s="0" t="n">
        <v>501</v>
      </c>
      <c r="FE129" s="0" t="n">
        <v>0.0898203592814371</v>
      </c>
      <c r="FF129" s="0" t="n">
        <v>0.0849</v>
      </c>
      <c r="FG129" s="0" t="n">
        <v>0.2725</v>
      </c>
      <c r="FH129" s="0" t="n">
        <v>2.454</v>
      </c>
      <c r="FI129" s="0" t="n">
        <v>956</v>
      </c>
      <c r="FJ129" s="0" t="n">
        <v>0.48744769874477</v>
      </c>
      <c r="FK129" s="0" t="n">
        <v>17</v>
      </c>
      <c r="FL129" s="0" t="n">
        <v>56.24</v>
      </c>
      <c r="FM129" s="0" t="n">
        <v>0.4667</v>
      </c>
      <c r="FN129" s="0" t="n">
        <v>0.5333</v>
      </c>
      <c r="FO129" s="0" t="n">
        <v>-0.0884</v>
      </c>
      <c r="FP129" s="0" t="n">
        <v>0.0996</v>
      </c>
      <c r="FQ129" s="0" t="n">
        <v>-0.035</v>
      </c>
      <c r="FR129" s="0" t="n">
        <v>39</v>
      </c>
      <c r="FS129" s="0" t="n">
        <v>61</v>
      </c>
      <c r="FT129" s="0" t="n">
        <v>3.59</v>
      </c>
      <c r="FU129" s="0" t="n">
        <v>24.9</v>
      </c>
      <c r="FV129" s="0" t="n">
        <v>5080</v>
      </c>
      <c r="FW129" s="0" t="n">
        <v>2908</v>
      </c>
      <c r="FX129" s="0" t="n">
        <v>0.572</v>
      </c>
      <c r="FY129" s="0" t="n">
        <v>5</v>
      </c>
      <c r="FZ129" s="0" t="n">
        <v>2</v>
      </c>
      <c r="GA129" s="0" t="n">
        <v>0.782789362458</v>
      </c>
      <c r="GB129" s="0" t="n">
        <v>64.1</v>
      </c>
      <c r="GC129" s="0" t="n">
        <v>41</v>
      </c>
      <c r="GD129" s="0" t="n">
        <v>53.2</v>
      </c>
      <c r="GE129" s="0" t="n">
        <v>407</v>
      </c>
      <c r="GF129" s="0" t="n">
        <v>507</v>
      </c>
      <c r="GG129" s="0" t="n">
        <v>75</v>
      </c>
      <c r="GH129" s="0" t="n">
        <v>64</v>
      </c>
      <c r="GI129" s="0" t="n">
        <v>160</v>
      </c>
      <c r="GJ129" s="0" t="n">
        <v>26</v>
      </c>
      <c r="GK129" s="0" t="n">
        <v>0.184</v>
      </c>
      <c r="GL129" s="0" t="n">
        <v>0.126</v>
      </c>
      <c r="GM129" s="0" t="n">
        <v>0.162</v>
      </c>
      <c r="GN129" s="0" t="n">
        <v>7.706</v>
      </c>
      <c r="GO129" s="0" t="n">
        <v>6.294</v>
      </c>
      <c r="GP129" s="0" t="n">
        <v>4.882</v>
      </c>
      <c r="GQ129" s="0" t="n">
        <v>4.118</v>
      </c>
      <c r="GR129" s="0" t="n">
        <v>0.588</v>
      </c>
      <c r="GS129" s="0" t="n">
        <v>80</v>
      </c>
      <c r="GT129" s="0" t="n">
        <v>1.638</v>
      </c>
      <c r="GU129" s="0" t="n">
        <v>0.208</v>
      </c>
      <c r="GV129" s="0" t="n">
        <v>6.029</v>
      </c>
      <c r="GW129" s="0" t="n">
        <v>8.792</v>
      </c>
      <c r="GX129" s="0" t="n">
        <v>0.686</v>
      </c>
      <c r="GZ129" s="0" t="n">
        <v>7.257</v>
      </c>
      <c r="HA129" s="0" t="n">
        <v>2.104</v>
      </c>
      <c r="HB129" s="0" t="n">
        <v>0.831</v>
      </c>
      <c r="HC129" s="0" t="n">
        <v>0.075</v>
      </c>
      <c r="HE129" s="0" t="n">
        <v>0.022</v>
      </c>
      <c r="HG129" s="0" t="n">
        <v>127.48</v>
      </c>
      <c r="HH129" s="0" t="n">
        <v>20.12</v>
      </c>
      <c r="HI129" s="0" t="n">
        <v>95</v>
      </c>
      <c r="HJ129" s="0" t="n">
        <v>173</v>
      </c>
      <c r="HK129" s="0" t="s">
        <v>909</v>
      </c>
      <c r="HL129" s="0" t="n">
        <v>0</v>
      </c>
      <c r="HM129" s="0" t="n">
        <v>16</v>
      </c>
      <c r="HN129" s="0" t="n">
        <v>15</v>
      </c>
      <c r="HO129" s="0" t="n">
        <v>-0.135</v>
      </c>
      <c r="HP129" s="0" t="n">
        <v>23</v>
      </c>
      <c r="HQ129" s="0" t="n">
        <v>-0.442</v>
      </c>
      <c r="HR129" s="0" t="s">
        <v>102</v>
      </c>
    </row>
    <row r="130" customFormat="false" ht="15" hidden="false" customHeight="false" outlineLevel="0" collapsed="false">
      <c r="A130" s="0" t="s">
        <v>896</v>
      </c>
      <c r="B130" s="0" t="s">
        <v>897</v>
      </c>
      <c r="C130" s="0" t="s">
        <v>898</v>
      </c>
      <c r="D130" s="0" t="s">
        <v>399</v>
      </c>
      <c r="E130" s="0" t="n">
        <v>23794</v>
      </c>
      <c r="F130" s="0" t="s">
        <v>99</v>
      </c>
      <c r="G130" s="0" t="n">
        <v>129.36</v>
      </c>
      <c r="H130" s="0" t="n">
        <v>13.92</v>
      </c>
      <c r="I130" s="0" t="n">
        <v>96</v>
      </c>
      <c r="J130" s="0" t="n">
        <v>170</v>
      </c>
      <c r="L130" s="0" t="s">
        <v>1640</v>
      </c>
      <c r="O130" s="0" t="n">
        <v>58.8</v>
      </c>
      <c r="U130" s="0" t="n">
        <v>11</v>
      </c>
      <c r="V130" s="0" t="s">
        <v>399</v>
      </c>
      <c r="W130" s="0" t="s">
        <v>901</v>
      </c>
      <c r="X130" s="0" t="s">
        <v>972</v>
      </c>
      <c r="Y130" s="0" t="s">
        <v>1641</v>
      </c>
      <c r="Z130" s="0" t="n">
        <v>23794</v>
      </c>
      <c r="AA130" s="0" t="s">
        <v>1642</v>
      </c>
      <c r="AB130" s="0" t="s">
        <v>904</v>
      </c>
      <c r="AC130" s="0" t="s">
        <v>135</v>
      </c>
      <c r="AD130" s="0" t="s">
        <v>135</v>
      </c>
      <c r="AE130" s="0" t="s">
        <v>135</v>
      </c>
      <c r="AF130" s="0" t="s">
        <v>135</v>
      </c>
      <c r="AG130" s="0" t="s">
        <v>135</v>
      </c>
      <c r="AH130" s="0" t="s">
        <v>905</v>
      </c>
      <c r="AI130" s="0" t="n">
        <v>2</v>
      </c>
      <c r="AJ130" s="0" t="s">
        <v>99</v>
      </c>
      <c r="AK130" s="0" t="n">
        <v>129</v>
      </c>
      <c r="AL130" s="0" t="n">
        <v>53</v>
      </c>
      <c r="AM130" s="0" t="s">
        <v>400</v>
      </c>
      <c r="AN130" s="0" t="n">
        <v>0</v>
      </c>
      <c r="AO130" s="0" t="n">
        <v>0</v>
      </c>
      <c r="AP130" s="0" t="n">
        <v>0</v>
      </c>
      <c r="AQ130" s="0" t="n">
        <v>0</v>
      </c>
      <c r="AR130" s="0" t="n">
        <v>0</v>
      </c>
      <c r="AS130" s="0" t="n">
        <v>0</v>
      </c>
      <c r="AT130" s="0" t="n">
        <v>0</v>
      </c>
      <c r="AU130" s="0" t="n">
        <v>0</v>
      </c>
      <c r="AV130" s="0" t="n">
        <v>0</v>
      </c>
      <c r="AW130" s="0" t="n">
        <v>0</v>
      </c>
      <c r="AX130" s="0" t="n">
        <v>0</v>
      </c>
      <c r="AY130" s="0" t="n">
        <v>0</v>
      </c>
      <c r="AZ130" s="0" t="n">
        <v>0</v>
      </c>
      <c r="BA130" s="0" t="n">
        <v>0</v>
      </c>
      <c r="BB130" s="0" t="n">
        <v>0</v>
      </c>
      <c r="BC130" s="0" t="n">
        <v>55</v>
      </c>
      <c r="BD130" s="0" t="n">
        <v>85</v>
      </c>
      <c r="BE130" s="0" t="n">
        <v>724</v>
      </c>
      <c r="BF130" s="0" t="n">
        <v>6</v>
      </c>
      <c r="BG130" s="0" t="n">
        <v>1085</v>
      </c>
      <c r="BH130" s="0" t="n">
        <v>163</v>
      </c>
      <c r="BI130" s="0" t="n">
        <v>41</v>
      </c>
      <c r="BJ130" s="0" t="n">
        <v>34.6454725600901</v>
      </c>
      <c r="BK130" s="0" t="n">
        <v>0</v>
      </c>
      <c r="BL130" s="0" t="n">
        <v>0</v>
      </c>
      <c r="BM130" s="0" t="n">
        <v>110.4</v>
      </c>
      <c r="BN130" s="0" t="n">
        <v>165.4</v>
      </c>
      <c r="BO130" s="0" t="n">
        <v>16</v>
      </c>
      <c r="BP130" s="0" t="s">
        <v>218</v>
      </c>
      <c r="BQ130" s="0" t="n">
        <v>1</v>
      </c>
      <c r="BR130" s="0" t="n">
        <v>137.9</v>
      </c>
      <c r="BS130" s="0" t="n">
        <v>0.1848</v>
      </c>
      <c r="BT130" s="0" t="n">
        <v>0</v>
      </c>
      <c r="BU130" s="0" t="n">
        <v>0.2654</v>
      </c>
      <c r="BV130" s="0" t="n">
        <v>0.1889</v>
      </c>
      <c r="BW130" s="0" t="n">
        <v>0</v>
      </c>
      <c r="BX130" s="0" t="n">
        <v>0.267</v>
      </c>
      <c r="BY130" s="0" t="n">
        <v>0.4702</v>
      </c>
      <c r="BZ130" s="0" t="n">
        <v>16</v>
      </c>
      <c r="CA130" s="0" t="n">
        <v>5.32</v>
      </c>
      <c r="CB130" s="0" t="n">
        <v>15.38</v>
      </c>
      <c r="CC130" s="0" t="n">
        <v>9.35</v>
      </c>
      <c r="CD130" s="0" t="n">
        <v>7.26</v>
      </c>
      <c r="CE130" s="0" t="n">
        <v>1</v>
      </c>
      <c r="CF130" s="0" t="n">
        <v>2</v>
      </c>
      <c r="CG130" s="0" t="n">
        <v>16</v>
      </c>
      <c r="CH130" s="0" t="n">
        <v>0.062</v>
      </c>
      <c r="CI130" s="0" t="n">
        <v>0.125</v>
      </c>
      <c r="CJ130" s="0" t="n">
        <v>0.777</v>
      </c>
      <c r="CK130" s="0" t="n">
        <v>17</v>
      </c>
      <c r="CL130" s="0" t="n">
        <v>8</v>
      </c>
      <c r="CM130" s="0" t="n">
        <v>5</v>
      </c>
      <c r="CN130" s="0" t="n">
        <v>6</v>
      </c>
      <c r="CO130" s="0" t="n">
        <v>6.03437572389928</v>
      </c>
      <c r="CP130" s="0" t="n">
        <v>0</v>
      </c>
      <c r="CQ130" s="0" t="n">
        <v>0</v>
      </c>
      <c r="CR130" s="0" t="n">
        <v>0</v>
      </c>
      <c r="CS130" s="0" t="n">
        <v>0</v>
      </c>
      <c r="CT130" s="0" t="n">
        <v>0</v>
      </c>
      <c r="CU130" s="0" t="n">
        <v>17</v>
      </c>
      <c r="CV130" s="0" t="n">
        <v>8</v>
      </c>
      <c r="CW130" s="0" t="n">
        <v>5</v>
      </c>
      <c r="CX130" s="0" t="n">
        <v>6</v>
      </c>
      <c r="CY130" s="0" t="n">
        <v>6.03</v>
      </c>
      <c r="CZ130" s="0" t="n">
        <v>-0.03</v>
      </c>
      <c r="DA130" s="0" t="n">
        <v>2.26600953315946</v>
      </c>
      <c r="DB130" s="0" t="n">
        <v>5.98717647058823</v>
      </c>
      <c r="DC130" s="0" t="n">
        <v>12.7951764705882</v>
      </c>
      <c r="DD130" s="0" t="n">
        <v>27.0509784803956</v>
      </c>
      <c r="DE130" s="0" t="n">
        <v>0.362418291722585</v>
      </c>
      <c r="DF130" s="0" t="n">
        <v>64.7058823529412</v>
      </c>
      <c r="DM130" s="0" t="s">
        <v>1643</v>
      </c>
      <c r="DS130" s="0" t="n">
        <v>85</v>
      </c>
      <c r="DT130" s="0" t="n">
        <v>2</v>
      </c>
      <c r="DU130" s="0" t="n">
        <v>3</v>
      </c>
      <c r="DV130" s="0" t="n">
        <v>10.2</v>
      </c>
      <c r="DW130" s="0" t="n">
        <v>2.964</v>
      </c>
      <c r="DX130" s="0" t="n">
        <v>12.2</v>
      </c>
      <c r="DY130" s="0" t="n">
        <v>0.0353</v>
      </c>
      <c r="DZ130" s="0" t="n">
        <v>780</v>
      </c>
      <c r="EA130" s="0" t="n">
        <v>0.776</v>
      </c>
      <c r="EB130" s="0" t="n">
        <v>16</v>
      </c>
      <c r="EC130" s="0" t="s">
        <v>1644</v>
      </c>
      <c r="ED130" s="0" t="n">
        <v>2022</v>
      </c>
      <c r="EE130" s="0" t="n">
        <v>4</v>
      </c>
      <c r="EF130" s="0" t="n">
        <v>132</v>
      </c>
      <c r="EG130" s="0" t="n">
        <v>2022</v>
      </c>
      <c r="EH130" s="0" t="n">
        <v>2026</v>
      </c>
      <c r="EI130" s="0" t="n">
        <v>5</v>
      </c>
      <c r="EJ130" s="0" t="n">
        <v>74</v>
      </c>
      <c r="EK130" s="0" t="n">
        <v>210</v>
      </c>
      <c r="EL130" s="0" t="s">
        <v>1645</v>
      </c>
      <c r="EM130" s="0" t="n">
        <v>26.3</v>
      </c>
      <c r="EN130" s="15" t="b">
        <f aca="false">FALSE()</f>
        <v>0</v>
      </c>
      <c r="EO130" s="0" t="n">
        <v>371</v>
      </c>
      <c r="EP130" s="0" t="n">
        <v>2.77951482479784</v>
      </c>
      <c r="EQ130" s="0" t="n">
        <v>0.194070080862534</v>
      </c>
      <c r="ER130" s="0" t="n">
        <v>1.19676549865229</v>
      </c>
      <c r="ES130" s="0" t="n">
        <v>1.20485175202156</v>
      </c>
      <c r="ET130" s="0" t="n">
        <v>33</v>
      </c>
      <c r="EU130" s="0" t="n">
        <v>19</v>
      </c>
      <c r="EV130" s="0" t="n">
        <v>4.63072776280323</v>
      </c>
      <c r="EW130" s="0" t="n">
        <v>0.575757575757576</v>
      </c>
      <c r="EX130" s="0" t="n">
        <v>2.9254952414656</v>
      </c>
      <c r="EY130" s="0" t="n">
        <v>2.802</v>
      </c>
      <c r="EZ130" s="0" t="n">
        <v>0.1883</v>
      </c>
      <c r="FA130" s="0" t="n">
        <v>2.561</v>
      </c>
      <c r="FB130" s="0" t="n">
        <v>1.874</v>
      </c>
      <c r="FC130" s="0" t="n">
        <v>33</v>
      </c>
      <c r="FD130" s="0" t="n">
        <v>613</v>
      </c>
      <c r="FE130" s="0" t="n">
        <v>0.0783034257748776</v>
      </c>
      <c r="FF130" s="0" t="n">
        <v>0.0789</v>
      </c>
      <c r="FG130" s="0" t="n">
        <v>0.261</v>
      </c>
      <c r="FH130" s="0" t="n">
        <v>2.406</v>
      </c>
      <c r="FI130" s="0" t="n">
        <v>1017</v>
      </c>
      <c r="FJ130" s="0" t="n">
        <v>0.541789577187807</v>
      </c>
      <c r="FK130" s="0" t="n">
        <v>17</v>
      </c>
      <c r="FL130" s="0" t="n">
        <v>59.82</v>
      </c>
      <c r="FM130" s="0" t="n">
        <v>0.5691</v>
      </c>
      <c r="FN130" s="0" t="n">
        <v>0.4309</v>
      </c>
      <c r="FO130" s="0" t="n">
        <v>0.0242</v>
      </c>
      <c r="FP130" s="0" t="n">
        <v>0.0077</v>
      </c>
      <c r="FQ130" s="0" t="n">
        <v>0.2873</v>
      </c>
      <c r="FR130" s="0" t="n">
        <v>38</v>
      </c>
      <c r="FS130" s="0" t="n">
        <v>64</v>
      </c>
      <c r="FT130" s="0" t="n">
        <v>3.76</v>
      </c>
      <c r="FU130" s="0" t="n">
        <v>28.8</v>
      </c>
      <c r="FV130" s="0" t="n">
        <v>5553</v>
      </c>
      <c r="FW130" s="0" t="n">
        <v>2959</v>
      </c>
      <c r="FX130" s="0" t="n">
        <v>0.533</v>
      </c>
      <c r="FY130" s="0" t="n">
        <v>5</v>
      </c>
      <c r="FZ130" s="0" t="n">
        <v>3</v>
      </c>
      <c r="GA130" s="0" t="n">
        <v>-0.369404903105602</v>
      </c>
      <c r="GB130" s="0" t="n">
        <v>43.3</v>
      </c>
      <c r="GC130" s="0" t="n">
        <v>43.5</v>
      </c>
      <c r="GD130" s="0" t="n">
        <v>41.6</v>
      </c>
      <c r="GE130" s="0" t="n">
        <v>482</v>
      </c>
      <c r="GF130" s="0" t="n">
        <v>494</v>
      </c>
      <c r="GG130" s="0" t="n">
        <v>128</v>
      </c>
      <c r="GH130" s="0" t="n">
        <v>10</v>
      </c>
      <c r="GI130" s="0" t="n">
        <v>154</v>
      </c>
      <c r="GJ130" s="0" t="n">
        <v>17</v>
      </c>
      <c r="GK130" s="0" t="n">
        <v>0.266</v>
      </c>
      <c r="GL130" s="0" t="n">
        <v>0.02</v>
      </c>
      <c r="GM130" s="0" t="n">
        <v>0.11</v>
      </c>
      <c r="GN130" s="0" t="n">
        <v>10.338</v>
      </c>
      <c r="GO130" s="0" t="n">
        <v>8.619</v>
      </c>
      <c r="GP130" s="0" t="n">
        <v>6.9</v>
      </c>
      <c r="GQ130" s="0" t="n">
        <v>5.312</v>
      </c>
      <c r="GR130" s="0" t="n">
        <v>0</v>
      </c>
      <c r="GS130" s="0" t="n">
        <v>85</v>
      </c>
      <c r="GT130" s="0" t="n">
        <v>1.946</v>
      </c>
      <c r="GU130" s="0" t="n">
        <v>0.212</v>
      </c>
      <c r="GV130" s="0" t="n">
        <v>8.518</v>
      </c>
      <c r="GW130" s="0" t="n">
        <v>13.164</v>
      </c>
      <c r="GX130" s="0" t="n">
        <v>0.647</v>
      </c>
      <c r="GZ130" s="0" t="n">
        <v>12.765</v>
      </c>
      <c r="HA130" s="0" t="n">
        <v>2.964</v>
      </c>
      <c r="HB130" s="0" t="n">
        <v>0.667</v>
      </c>
      <c r="HC130" s="0" t="n">
        <v>0.071</v>
      </c>
      <c r="HE130" s="0" t="n">
        <v>0.408</v>
      </c>
      <c r="HG130" s="0" t="n">
        <v>129.36</v>
      </c>
      <c r="HH130" s="0" t="n">
        <v>13.92</v>
      </c>
      <c r="HI130" s="0" t="n">
        <v>96</v>
      </c>
      <c r="HJ130" s="0" t="n">
        <v>170</v>
      </c>
      <c r="HK130" s="0" t="s">
        <v>909</v>
      </c>
      <c r="HL130" s="0" t="n">
        <v>0</v>
      </c>
      <c r="HM130" s="0" t="n">
        <v>37</v>
      </c>
      <c r="HN130" s="0" t="n">
        <v>53</v>
      </c>
      <c r="HO130" s="0" t="n">
        <v>0.291</v>
      </c>
      <c r="HP130" s="0" t="n">
        <v>45</v>
      </c>
      <c r="HQ130" s="0" t="n">
        <v>-0.06</v>
      </c>
      <c r="HR130" s="0" t="s">
        <v>102</v>
      </c>
    </row>
    <row r="131" customFormat="false" ht="15" hidden="false" customHeight="false" outlineLevel="0" collapsed="false">
      <c r="A131" s="0" t="s">
        <v>896</v>
      </c>
      <c r="B131" s="0" t="s">
        <v>897</v>
      </c>
      <c r="C131" s="0" t="s">
        <v>898</v>
      </c>
      <c r="D131" s="0" t="s">
        <v>401</v>
      </c>
      <c r="E131" s="0" t="n">
        <v>23499</v>
      </c>
      <c r="F131" s="0" t="s">
        <v>172</v>
      </c>
      <c r="G131" s="0" t="n">
        <v>130.22</v>
      </c>
      <c r="H131" s="0" t="n">
        <v>23.63</v>
      </c>
      <c r="I131" s="0" t="n">
        <v>101</v>
      </c>
      <c r="J131" s="0" t="n">
        <v>300</v>
      </c>
      <c r="L131" s="0" t="s">
        <v>1646</v>
      </c>
      <c r="O131" s="0" t="n">
        <v>37.4</v>
      </c>
      <c r="U131" s="0" t="n">
        <v>6</v>
      </c>
      <c r="V131" s="0" t="s">
        <v>401</v>
      </c>
      <c r="W131" s="0" t="s">
        <v>901</v>
      </c>
      <c r="X131" s="0" t="s">
        <v>161</v>
      </c>
      <c r="Y131" s="0" t="s">
        <v>1647</v>
      </c>
      <c r="Z131" s="0" t="n">
        <v>23499</v>
      </c>
      <c r="AA131" s="0" t="s">
        <v>1648</v>
      </c>
      <c r="AB131" s="0" t="s">
        <v>904</v>
      </c>
      <c r="AC131" s="0" t="s">
        <v>161</v>
      </c>
      <c r="AD131" s="0" t="s">
        <v>161</v>
      </c>
      <c r="AE131" s="0" t="s">
        <v>161</v>
      </c>
      <c r="AF131" s="0" t="s">
        <v>161</v>
      </c>
      <c r="AG131" s="0" t="s">
        <v>161</v>
      </c>
      <c r="AH131" s="0" t="s">
        <v>905</v>
      </c>
      <c r="AI131" s="0" t="n">
        <v>1</v>
      </c>
      <c r="AJ131" s="0" t="s">
        <v>172</v>
      </c>
      <c r="AK131" s="0" t="n">
        <v>130</v>
      </c>
      <c r="AL131" s="0" t="n">
        <v>21</v>
      </c>
      <c r="AM131" s="0" t="s">
        <v>402</v>
      </c>
      <c r="AN131" s="0" t="n">
        <v>30</v>
      </c>
      <c r="AO131" s="0" t="n">
        <v>35</v>
      </c>
      <c r="AP131" s="0" t="n">
        <v>422</v>
      </c>
      <c r="AQ131" s="0" t="n">
        <v>3</v>
      </c>
      <c r="AR131" s="0" t="n">
        <v>0</v>
      </c>
      <c r="AS131" s="0" t="n">
        <v>3</v>
      </c>
      <c r="AT131" s="0" t="n">
        <v>354</v>
      </c>
      <c r="AU131" s="0" t="n">
        <v>19</v>
      </c>
      <c r="AV131" s="0" t="n">
        <v>28.0844250857353</v>
      </c>
      <c r="AW131" s="0" t="n">
        <v>22</v>
      </c>
      <c r="AX131" s="0" t="n">
        <v>123</v>
      </c>
      <c r="AY131" s="0" t="n">
        <v>2</v>
      </c>
      <c r="AZ131" s="0" t="n">
        <v>9</v>
      </c>
      <c r="BA131" s="0" t="n">
        <v>1.06311157406586</v>
      </c>
      <c r="BB131" s="0" t="n">
        <v>1</v>
      </c>
      <c r="BC131" s="0" t="n">
        <v>0</v>
      </c>
      <c r="BD131" s="0" t="n">
        <v>0</v>
      </c>
      <c r="BE131" s="0" t="n">
        <v>0</v>
      </c>
      <c r="BF131" s="0" t="n">
        <v>0</v>
      </c>
      <c r="BG131" s="0" t="n">
        <v>0</v>
      </c>
      <c r="BH131" s="0" t="n">
        <v>0</v>
      </c>
      <c r="BI131" s="0" t="n">
        <v>0</v>
      </c>
      <c r="BJ131" s="0" t="n">
        <v>0</v>
      </c>
      <c r="BK131" s="0" t="n">
        <v>0</v>
      </c>
      <c r="BL131" s="0" t="n">
        <v>0</v>
      </c>
      <c r="BM131" s="0" t="n">
        <v>51.18</v>
      </c>
      <c r="BN131" s="0" t="n">
        <v>51.18</v>
      </c>
      <c r="BO131" s="0" t="n">
        <v>4</v>
      </c>
      <c r="BP131" s="0" t="s">
        <v>218</v>
      </c>
      <c r="BQ131" s="0" t="n">
        <v>1</v>
      </c>
      <c r="BR131" s="0" t="n">
        <v>51.18</v>
      </c>
      <c r="BS131" s="0" t="n">
        <v>0</v>
      </c>
      <c r="BT131" s="0" t="n">
        <v>0.0447</v>
      </c>
      <c r="BU131" s="0" t="n">
        <v>0</v>
      </c>
      <c r="BV131" s="0" t="n">
        <v>0</v>
      </c>
      <c r="BW131" s="0" t="n">
        <v>0.1746</v>
      </c>
      <c r="BX131" s="0" t="n">
        <v>0</v>
      </c>
      <c r="BY131" s="0" t="n">
        <v>0</v>
      </c>
      <c r="BZ131" s="0" t="n">
        <v>4</v>
      </c>
      <c r="CA131" s="0" t="n">
        <v>4.53</v>
      </c>
      <c r="CB131" s="0" t="n">
        <v>23.29</v>
      </c>
      <c r="CC131" s="0" t="n">
        <v>9.54</v>
      </c>
      <c r="CD131" s="0" t="n">
        <v>13.52</v>
      </c>
      <c r="CE131" s="0" t="n">
        <v>1</v>
      </c>
      <c r="CF131" s="0" t="n">
        <v>2</v>
      </c>
      <c r="CG131" s="0" t="n">
        <v>4</v>
      </c>
      <c r="CH131" s="0" t="n">
        <v>0.25</v>
      </c>
      <c r="CI131" s="0" t="n">
        <v>0.5</v>
      </c>
      <c r="CJ131" s="0" t="n">
        <v>1.417</v>
      </c>
      <c r="CK131" s="0" t="n">
        <v>0</v>
      </c>
      <c r="CL131" s="0" t="n">
        <v>0</v>
      </c>
      <c r="CM131" s="0" t="n">
        <v>0</v>
      </c>
      <c r="CN131" s="0" t="n">
        <v>0</v>
      </c>
      <c r="CO131" s="0" t="n">
        <v>0</v>
      </c>
      <c r="CP131" s="0" t="n">
        <v>5</v>
      </c>
      <c r="CQ131" s="0" t="n">
        <v>3</v>
      </c>
      <c r="CR131" s="0" t="n">
        <v>1</v>
      </c>
      <c r="CS131" s="0" t="n">
        <v>2</v>
      </c>
      <c r="CT131" s="0" t="n">
        <v>0.725773059208683</v>
      </c>
      <c r="CU131" s="0" t="n">
        <v>5</v>
      </c>
      <c r="CV131" s="0" t="n">
        <v>3</v>
      </c>
      <c r="CW131" s="0" t="n">
        <v>1</v>
      </c>
      <c r="CX131" s="0" t="n">
        <v>2</v>
      </c>
      <c r="CY131" s="0" t="n">
        <v>0.73</v>
      </c>
      <c r="CZ131" s="0" t="n">
        <v>1.27</v>
      </c>
      <c r="DM131" s="0" t="s">
        <v>1649</v>
      </c>
      <c r="DN131" s="0" t="n">
        <v>22</v>
      </c>
      <c r="DO131" s="0" t="n">
        <v>0</v>
      </c>
      <c r="DP131" s="0" t="n">
        <v>4.545</v>
      </c>
      <c r="DQ131" s="0" t="n">
        <v>1.045</v>
      </c>
      <c r="DZ131" s="0" t="n">
        <v>98</v>
      </c>
      <c r="EA131" s="0" t="n">
        <v>0.422</v>
      </c>
      <c r="EB131" s="0" t="n">
        <v>4</v>
      </c>
      <c r="EC131" s="0" t="s">
        <v>1650</v>
      </c>
      <c r="ED131" s="0" t="n">
        <v>2022</v>
      </c>
      <c r="EE131" s="0" t="n">
        <v>3</v>
      </c>
      <c r="EF131" s="0" t="n">
        <v>86</v>
      </c>
      <c r="EG131" s="0" t="n">
        <v>2022</v>
      </c>
      <c r="EH131" s="0" t="n">
        <v>2026</v>
      </c>
      <c r="EI131" s="0" t="n">
        <v>5</v>
      </c>
      <c r="EJ131" s="0" t="n">
        <v>73</v>
      </c>
      <c r="EK131" s="0" t="n">
        <v>225</v>
      </c>
      <c r="EL131" s="0" t="s">
        <v>1651</v>
      </c>
      <c r="EM131" s="0" t="n">
        <v>27.2</v>
      </c>
      <c r="EN131" s="15" t="b">
        <f aca="false">FALSE()</f>
        <v>0</v>
      </c>
      <c r="EO131" s="0" t="n">
        <v>380</v>
      </c>
      <c r="EP131" s="0" t="n">
        <v>2.83552631578947</v>
      </c>
      <c r="EQ131" s="0" t="n">
        <v>0.213157894736842</v>
      </c>
      <c r="ER131" s="0" t="n">
        <v>1.46578947368421</v>
      </c>
      <c r="ES131" s="0" t="n">
        <v>1.22631578947368</v>
      </c>
      <c r="ET131" s="0" t="n">
        <v>29</v>
      </c>
      <c r="EU131" s="0" t="n">
        <v>17</v>
      </c>
      <c r="EV131" s="0" t="n">
        <v>4.85789473684211</v>
      </c>
      <c r="EW131" s="0" t="n">
        <v>0.586206896551724</v>
      </c>
      <c r="EX131" s="0" t="n">
        <v>2.94501561107985</v>
      </c>
      <c r="EY131" s="0" t="n">
        <v>2.839</v>
      </c>
      <c r="EZ131" s="0" t="n">
        <v>0.2101</v>
      </c>
      <c r="FA131" s="0" t="n">
        <v>2.199</v>
      </c>
      <c r="FB131" s="0" t="n">
        <v>2.532</v>
      </c>
      <c r="FC131" s="0" t="n">
        <v>38</v>
      </c>
      <c r="FD131" s="0" t="n">
        <v>530</v>
      </c>
      <c r="FE131" s="0" t="n">
        <v>0.0716981132075472</v>
      </c>
      <c r="FF131" s="0" t="n">
        <v>0.0727</v>
      </c>
      <c r="FG131" s="0" t="n">
        <v>0.2422</v>
      </c>
      <c r="FH131" s="0" t="n">
        <v>2.29</v>
      </c>
      <c r="FI131" s="0" t="n">
        <v>942</v>
      </c>
      <c r="FJ131" s="0" t="n">
        <v>0.549893842887473</v>
      </c>
      <c r="FK131" s="0" t="n">
        <v>17</v>
      </c>
      <c r="FL131" s="0" t="n">
        <v>55.41</v>
      </c>
      <c r="FM131" s="0" t="n">
        <v>0.5279</v>
      </c>
      <c r="FN131" s="0" t="n">
        <v>0.4721</v>
      </c>
      <c r="FO131" s="0" t="n">
        <v>-0.0584</v>
      </c>
      <c r="FP131" s="0" t="n">
        <v>-0.026</v>
      </c>
      <c r="FQ131" s="0" t="n">
        <v>-0.0093</v>
      </c>
      <c r="FR131" s="0" t="n">
        <v>41</v>
      </c>
      <c r="FS131" s="0" t="n">
        <v>48</v>
      </c>
      <c r="FT131" s="0" t="n">
        <v>2.82</v>
      </c>
      <c r="FU131" s="0" t="n">
        <v>20.4</v>
      </c>
      <c r="FV131" s="0" t="n">
        <v>5041</v>
      </c>
      <c r="FW131" s="0" t="n">
        <v>3387</v>
      </c>
      <c r="FX131" s="0" t="n">
        <v>0.672</v>
      </c>
      <c r="FY131" s="0" t="n">
        <v>5</v>
      </c>
      <c r="FZ131" s="0" t="n">
        <v>4</v>
      </c>
      <c r="GA131" s="0" t="n">
        <v>-0.692098435941776</v>
      </c>
      <c r="GB131" s="0" t="n">
        <v>37.5</v>
      </c>
      <c r="GC131" s="0" t="n">
        <v>44.5</v>
      </c>
      <c r="GD131" s="0" t="n">
        <v>38.6</v>
      </c>
      <c r="GE131" s="0" t="n">
        <v>462</v>
      </c>
      <c r="GF131" s="0" t="n">
        <v>432</v>
      </c>
      <c r="GG131" s="0" t="n">
        <v>209</v>
      </c>
      <c r="GH131" s="0" t="n">
        <v>28</v>
      </c>
      <c r="GI131" s="0" t="n">
        <v>134</v>
      </c>
      <c r="GJ131" s="0" t="n">
        <v>32</v>
      </c>
      <c r="GK131" s="0" t="n">
        <v>0.452</v>
      </c>
      <c r="GL131" s="0" t="n">
        <v>0.065</v>
      </c>
      <c r="GM131" s="0" t="n">
        <v>0.239</v>
      </c>
      <c r="GN131" s="0" t="n">
        <v>12.795</v>
      </c>
      <c r="GO131" s="0" t="n">
        <v>12.795</v>
      </c>
      <c r="GP131" s="0" t="n">
        <v>12.795</v>
      </c>
      <c r="GQ131" s="0" t="n">
        <v>0</v>
      </c>
      <c r="GR131" s="0" t="n">
        <v>5.5</v>
      </c>
      <c r="GS131" s="0" t="n">
        <v>22</v>
      </c>
      <c r="GT131" s="0" t="n">
        <v>2.326</v>
      </c>
      <c r="GU131" s="0" t="n">
        <v>0.522</v>
      </c>
      <c r="GY131" s="0" t="n">
        <v>5.591</v>
      </c>
      <c r="HC131" s="0" t="n">
        <v>0.091</v>
      </c>
      <c r="HD131" s="0" t="n">
        <v>0.048</v>
      </c>
      <c r="HG131" s="0" t="n">
        <v>130.22</v>
      </c>
      <c r="HH131" s="0" t="n">
        <v>23.63</v>
      </c>
      <c r="HI131" s="0" t="n">
        <v>101</v>
      </c>
      <c r="HJ131" s="0" t="n">
        <v>300</v>
      </c>
      <c r="HK131" s="0" t="s">
        <v>909</v>
      </c>
      <c r="HL131" s="0" t="n">
        <v>0</v>
      </c>
      <c r="HM131" s="0" t="n">
        <v>30</v>
      </c>
      <c r="HN131" s="0" t="n">
        <v>21</v>
      </c>
      <c r="HO131" s="0" t="n">
        <v>-0.536</v>
      </c>
      <c r="HP131" s="0" t="n">
        <v>27</v>
      </c>
      <c r="HQ131" s="0" t="n">
        <v>-0.405</v>
      </c>
      <c r="HR131" s="0" t="s">
        <v>121</v>
      </c>
    </row>
    <row r="132" customFormat="false" ht="15" hidden="false" customHeight="false" outlineLevel="0" collapsed="false">
      <c r="A132" s="0" t="s">
        <v>896</v>
      </c>
      <c r="B132" s="0" t="s">
        <v>897</v>
      </c>
      <c r="C132" s="0" t="s">
        <v>898</v>
      </c>
      <c r="D132" s="0" t="s">
        <v>403</v>
      </c>
      <c r="E132" s="0" t="n">
        <v>26024</v>
      </c>
      <c r="F132" s="0" t="s">
        <v>99</v>
      </c>
      <c r="G132" s="0" t="n">
        <v>131.5</v>
      </c>
      <c r="H132" s="0" t="n">
        <v>17.42</v>
      </c>
      <c r="I132" s="0" t="n">
        <v>82</v>
      </c>
      <c r="J132" s="0" t="n">
        <v>183</v>
      </c>
      <c r="L132" s="0" t="s">
        <v>1652</v>
      </c>
      <c r="O132" s="0" t="n">
        <v>68.4</v>
      </c>
      <c r="U132" s="0" t="n">
        <v>11</v>
      </c>
      <c r="V132" s="0" t="s">
        <v>403</v>
      </c>
      <c r="W132" s="0" t="s">
        <v>901</v>
      </c>
      <c r="X132" s="0" t="s">
        <v>1153</v>
      </c>
      <c r="Y132" s="0" t="s">
        <v>1653</v>
      </c>
      <c r="Z132" s="0" t="n">
        <v>26024</v>
      </c>
      <c r="AA132" s="0" t="s">
        <v>1654</v>
      </c>
      <c r="AB132" s="0" t="s">
        <v>904</v>
      </c>
      <c r="AC132" s="0" t="s">
        <v>218</v>
      </c>
      <c r="AD132" s="0" t="s">
        <v>218</v>
      </c>
      <c r="AE132" s="0" t="s">
        <v>218</v>
      </c>
      <c r="AF132" s="0" t="s">
        <v>218</v>
      </c>
      <c r="AG132" s="0" t="s">
        <v>218</v>
      </c>
      <c r="AH132" s="0" t="s">
        <v>905</v>
      </c>
      <c r="AI132" s="0" t="n">
        <v>3</v>
      </c>
      <c r="AJ132" s="0" t="s">
        <v>99</v>
      </c>
      <c r="AK132" s="0" t="n">
        <v>131</v>
      </c>
      <c r="AL132" s="0" t="n">
        <v>54</v>
      </c>
      <c r="AM132" s="0" t="s">
        <v>404</v>
      </c>
      <c r="AN132" s="0" t="n">
        <v>0</v>
      </c>
      <c r="AO132" s="0" t="n">
        <v>0</v>
      </c>
      <c r="AP132" s="0" t="n">
        <v>0</v>
      </c>
      <c r="AQ132" s="0" t="n">
        <v>0</v>
      </c>
      <c r="AR132" s="0" t="n">
        <v>0</v>
      </c>
      <c r="AS132" s="0" t="n">
        <v>0</v>
      </c>
      <c r="AT132" s="0" t="n">
        <v>0</v>
      </c>
      <c r="AU132" s="0" t="n">
        <v>0</v>
      </c>
      <c r="AV132" s="0" t="n">
        <v>0</v>
      </c>
      <c r="AW132" s="0" t="n">
        <v>10</v>
      </c>
      <c r="AX132" s="0" t="n">
        <v>49</v>
      </c>
      <c r="AY132" s="0" t="n">
        <v>0</v>
      </c>
      <c r="AZ132" s="0" t="n">
        <v>3</v>
      </c>
      <c r="BA132" s="0" t="n">
        <v>1.6796603409457</v>
      </c>
      <c r="BB132" s="0" t="n">
        <v>0</v>
      </c>
      <c r="BC132" s="0" t="n">
        <v>29</v>
      </c>
      <c r="BD132" s="0" t="n">
        <v>44</v>
      </c>
      <c r="BE132" s="0" t="n">
        <v>361</v>
      </c>
      <c r="BF132" s="0" t="n">
        <v>0</v>
      </c>
      <c r="BG132" s="0" t="n">
        <v>552</v>
      </c>
      <c r="BH132" s="0" t="n">
        <v>101</v>
      </c>
      <c r="BI132" s="0" t="n">
        <v>16</v>
      </c>
      <c r="BJ132" s="0" t="n">
        <v>16.798845552615</v>
      </c>
      <c r="BK132" s="0" t="n">
        <v>0</v>
      </c>
      <c r="BL132" s="0" t="n">
        <v>0</v>
      </c>
      <c r="BM132" s="0" t="n">
        <v>41</v>
      </c>
      <c r="BN132" s="0" t="n">
        <v>70</v>
      </c>
      <c r="BO132" s="0" t="n">
        <v>14</v>
      </c>
      <c r="BP132" s="0" t="s">
        <v>218</v>
      </c>
      <c r="BQ132" s="0" t="n">
        <v>1</v>
      </c>
      <c r="BR132" s="0" t="n">
        <v>55.5</v>
      </c>
      <c r="BS132" s="0" t="n">
        <v>0.0957</v>
      </c>
      <c r="BT132" s="0" t="n">
        <v>0.0203</v>
      </c>
      <c r="BU132" s="0" t="n">
        <v>0.135</v>
      </c>
      <c r="BV132" s="0" t="n">
        <v>0.1167</v>
      </c>
      <c r="BW132" s="0" t="n">
        <v>0.0254</v>
      </c>
      <c r="BX132" s="0" t="n">
        <v>0.1683</v>
      </c>
      <c r="BY132" s="0" t="n">
        <v>0.2929</v>
      </c>
      <c r="BZ132" s="0" t="n">
        <v>14</v>
      </c>
      <c r="CA132" s="0" t="n">
        <v>1.9</v>
      </c>
      <c r="CB132" s="0" t="n">
        <v>10.16</v>
      </c>
      <c r="CC132" s="0" t="n">
        <v>3.4</v>
      </c>
      <c r="CD132" s="0" t="n">
        <v>4.3</v>
      </c>
      <c r="CE132" s="0" t="n">
        <v>0</v>
      </c>
      <c r="CF132" s="0" t="n">
        <v>3</v>
      </c>
      <c r="CG132" s="0" t="n">
        <v>14</v>
      </c>
      <c r="CH132" s="0" t="n">
        <v>0</v>
      </c>
      <c r="CI132" s="0" t="n">
        <v>0.214</v>
      </c>
      <c r="CJ132" s="0" t="n">
        <v>1.265</v>
      </c>
      <c r="CK132" s="0" t="n">
        <v>2</v>
      </c>
      <c r="CL132" s="0" t="n">
        <v>0</v>
      </c>
      <c r="CM132" s="0" t="n">
        <v>0</v>
      </c>
      <c r="CN132" s="0" t="n">
        <v>0</v>
      </c>
      <c r="CO132" s="0" t="n">
        <v>1.0115798068065</v>
      </c>
      <c r="CP132" s="0" t="n">
        <v>2</v>
      </c>
      <c r="CQ132" s="0" t="n">
        <v>0</v>
      </c>
      <c r="CR132" s="0" t="n">
        <v>0</v>
      </c>
      <c r="CS132" s="0" t="n">
        <v>0</v>
      </c>
      <c r="CT132" s="0" t="n">
        <v>0.127957838718191</v>
      </c>
      <c r="CU132" s="0" t="n">
        <v>4</v>
      </c>
      <c r="CV132" s="0" t="n">
        <v>0</v>
      </c>
      <c r="CW132" s="0" t="n">
        <v>0</v>
      </c>
      <c r="CX132" s="0" t="n">
        <v>0</v>
      </c>
      <c r="CY132" s="0" t="n">
        <v>1.14</v>
      </c>
      <c r="CZ132" s="0" t="n">
        <v>-1.14</v>
      </c>
      <c r="DM132" s="0" t="s">
        <v>1655</v>
      </c>
      <c r="DN132" s="0" t="n">
        <v>10</v>
      </c>
      <c r="DO132" s="0" t="n">
        <v>1</v>
      </c>
      <c r="DS132" s="0" t="n">
        <v>44</v>
      </c>
      <c r="DT132" s="0" t="n">
        <v>0</v>
      </c>
      <c r="DU132" s="0" t="n">
        <v>1</v>
      </c>
      <c r="DV132" s="0" t="n">
        <v>8.966</v>
      </c>
      <c r="DW132" s="0" t="n">
        <v>3.483</v>
      </c>
      <c r="DX132" s="0" t="n">
        <v>12.5</v>
      </c>
      <c r="DY132" s="0" t="n">
        <v>0.0227</v>
      </c>
      <c r="DZ132" s="0" t="n">
        <v>452</v>
      </c>
      <c r="EA132" s="0" t="n">
        <v>0.532</v>
      </c>
      <c r="EB132" s="0" t="n">
        <v>14</v>
      </c>
      <c r="EC132" s="0" t="s">
        <v>1656</v>
      </c>
      <c r="ED132" s="0" t="n">
        <v>2025</v>
      </c>
      <c r="EE132" s="0" t="n">
        <v>1</v>
      </c>
      <c r="EF132" s="0" t="n">
        <v>23</v>
      </c>
      <c r="EG132" s="0" t="n">
        <v>2025</v>
      </c>
      <c r="EH132" s="0" t="n">
        <v>2026</v>
      </c>
      <c r="EI132" s="0" t="n">
        <v>2</v>
      </c>
      <c r="EJ132" s="0" t="n">
        <v>71</v>
      </c>
      <c r="EK132" s="0" t="n">
        <v>191</v>
      </c>
      <c r="EL132" s="0" t="s">
        <v>1657</v>
      </c>
      <c r="EM132" s="0" t="n">
        <v>23</v>
      </c>
      <c r="EN132" s="15" t="b">
        <f aca="false">FALSE()</f>
        <v>0</v>
      </c>
      <c r="EO132" s="0" t="n">
        <v>386</v>
      </c>
      <c r="EP132" s="0" t="n">
        <v>2.97227979274611</v>
      </c>
      <c r="EQ132" s="0" t="n">
        <v>0.155440414507772</v>
      </c>
      <c r="ER132" s="0" t="n">
        <v>1.12694300518135</v>
      </c>
      <c r="ES132" s="0" t="n">
        <v>0.39119170984456</v>
      </c>
      <c r="ET132" s="0" t="n">
        <v>43</v>
      </c>
      <c r="EU132" s="0" t="n">
        <v>26</v>
      </c>
      <c r="EV132" s="0" t="n">
        <v>3.96632124352332</v>
      </c>
      <c r="EW132" s="0" t="n">
        <v>0.604651162790698</v>
      </c>
      <c r="EX132" s="0" t="n">
        <v>3.01595136627878</v>
      </c>
      <c r="EY132" s="0" t="n">
        <v>2.905</v>
      </c>
      <c r="EZ132" s="0" t="n">
        <v>0.1629</v>
      </c>
      <c r="FA132" s="0" t="n">
        <v>2.199</v>
      </c>
      <c r="FB132" s="0" t="n">
        <v>1.941</v>
      </c>
      <c r="FC132" s="0" t="n">
        <v>30</v>
      </c>
      <c r="FD132" s="0" t="n">
        <v>552</v>
      </c>
      <c r="FE132" s="0" t="n">
        <v>0.052536231884058</v>
      </c>
      <c r="FF132" s="0" t="n">
        <v>0.0493</v>
      </c>
      <c r="FG132" s="0" t="n">
        <v>0.2454</v>
      </c>
      <c r="FH132" s="0" t="n">
        <v>2.41</v>
      </c>
      <c r="FI132" s="0" t="n">
        <v>993</v>
      </c>
      <c r="FJ132" s="0" t="n">
        <v>0.522658610271903</v>
      </c>
      <c r="FK132" s="0" t="n">
        <v>17</v>
      </c>
      <c r="FL132" s="0" t="n">
        <v>58.41</v>
      </c>
      <c r="FM132" s="0" t="n">
        <v>0.5063</v>
      </c>
      <c r="FN132" s="0" t="n">
        <v>0.4937</v>
      </c>
      <c r="FO132" s="0" t="n">
        <v>-0.0441</v>
      </c>
      <c r="FP132" s="0" t="n">
        <v>-0.0102</v>
      </c>
      <c r="FQ132" s="0" t="n">
        <v>0.229</v>
      </c>
      <c r="FR132" s="0" t="n">
        <v>39</v>
      </c>
      <c r="FS132" s="0" t="n">
        <v>59</v>
      </c>
      <c r="FT132" s="0" t="n">
        <v>3.47</v>
      </c>
      <c r="FU132" s="0" t="n">
        <v>23</v>
      </c>
      <c r="FV132" s="0" t="n">
        <v>5321</v>
      </c>
      <c r="FW132" s="0" t="n">
        <v>3745</v>
      </c>
      <c r="FX132" s="0" t="n">
        <v>0.704</v>
      </c>
      <c r="FY132" s="0" t="n">
        <v>5</v>
      </c>
      <c r="FZ132" s="0" t="n">
        <v>4</v>
      </c>
      <c r="GA132" s="0" t="n">
        <v>-0.261697082182323</v>
      </c>
      <c r="GB132" s="0" t="n">
        <v>45.3</v>
      </c>
      <c r="GC132" s="0" t="n">
        <v>58.7</v>
      </c>
      <c r="GD132" s="0" t="n">
        <v>52.5</v>
      </c>
      <c r="GE132" s="0" t="n">
        <v>460</v>
      </c>
      <c r="GF132" s="0" t="n">
        <v>492</v>
      </c>
      <c r="GG132" s="0" t="n">
        <v>155</v>
      </c>
      <c r="GH132" s="0" t="n">
        <v>148</v>
      </c>
      <c r="GI132" s="0" t="n">
        <v>161</v>
      </c>
      <c r="GJ132" s="0" t="n">
        <v>52</v>
      </c>
      <c r="GK132" s="0" t="n">
        <v>0.337</v>
      </c>
      <c r="GL132" s="0" t="n">
        <v>0.301</v>
      </c>
      <c r="GM132" s="0" t="n">
        <v>0.323</v>
      </c>
      <c r="GN132" s="0" t="n">
        <v>5</v>
      </c>
      <c r="GO132" s="0" t="n">
        <v>3.964</v>
      </c>
      <c r="GP132" s="0" t="n">
        <v>2.929</v>
      </c>
      <c r="GQ132" s="0" t="n">
        <v>3.143</v>
      </c>
      <c r="GR132" s="0" t="n">
        <v>0.714</v>
      </c>
      <c r="GS132" s="0" t="n">
        <v>54</v>
      </c>
      <c r="GT132" s="0" t="n">
        <v>1.296</v>
      </c>
      <c r="GU132" s="0" t="n">
        <v>0.155</v>
      </c>
      <c r="GV132" s="0" t="n">
        <v>8.205</v>
      </c>
      <c r="GW132" s="0" t="n">
        <v>12.448</v>
      </c>
      <c r="GX132" s="0" t="n">
        <v>0.659</v>
      </c>
      <c r="GZ132" s="0" t="n">
        <v>12.545</v>
      </c>
      <c r="HA132" s="0" t="n">
        <v>3.483</v>
      </c>
      <c r="HB132" s="0" t="n">
        <v>0.654</v>
      </c>
      <c r="HC132" s="0" t="n">
        <v>0</v>
      </c>
      <c r="HE132" s="0" t="n">
        <v>0.382</v>
      </c>
      <c r="HG132" s="0" t="n">
        <v>131.5</v>
      </c>
      <c r="HH132" s="0" t="n">
        <v>17.42</v>
      </c>
      <c r="HI132" s="0" t="n">
        <v>82</v>
      </c>
      <c r="HJ132" s="0" t="n">
        <v>183</v>
      </c>
      <c r="HK132" s="0" t="s">
        <v>909</v>
      </c>
      <c r="HL132" s="0" t="n">
        <v>0</v>
      </c>
      <c r="HM132" s="0" t="n">
        <v>73</v>
      </c>
      <c r="HN132" s="0" t="n">
        <v>54</v>
      </c>
      <c r="HO132" s="0" t="n">
        <v>-1.251</v>
      </c>
      <c r="HP132" s="0" t="n">
        <v>81</v>
      </c>
      <c r="HQ132" s="0" t="n">
        <v>-1.602</v>
      </c>
      <c r="HR132" s="0" t="s">
        <v>165</v>
      </c>
    </row>
    <row r="133" customFormat="false" ht="15" hidden="false" customHeight="false" outlineLevel="0" collapsed="false">
      <c r="A133" s="0" t="s">
        <v>896</v>
      </c>
      <c r="B133" s="0" t="s">
        <v>897</v>
      </c>
      <c r="C133" s="0" t="s">
        <v>898</v>
      </c>
      <c r="D133" s="0" t="s">
        <v>405</v>
      </c>
      <c r="E133" s="0" t="n">
        <v>27331</v>
      </c>
      <c r="F133" s="0" t="s">
        <v>99</v>
      </c>
      <c r="G133" s="0" t="n">
        <v>131.55</v>
      </c>
      <c r="H133" s="0" t="n">
        <v>30.01</v>
      </c>
      <c r="I133" s="0" t="n">
        <v>90</v>
      </c>
      <c r="J133" s="0" t="n">
        <v>298</v>
      </c>
      <c r="L133" s="0" t="s">
        <v>1658</v>
      </c>
      <c r="O133" s="0" t="n">
        <v>59.2</v>
      </c>
      <c r="U133" s="0" t="n">
        <v>11</v>
      </c>
      <c r="V133" s="0" t="s">
        <v>405</v>
      </c>
      <c r="W133" s="0" t="s">
        <v>901</v>
      </c>
      <c r="X133" s="0" t="s">
        <v>258</v>
      </c>
      <c r="Y133" s="0" t="s">
        <v>1659</v>
      </c>
      <c r="Z133" s="0" t="n">
        <v>27331</v>
      </c>
      <c r="AA133" s="0" t="s">
        <v>1660</v>
      </c>
      <c r="AB133" s="0" t="s">
        <v>904</v>
      </c>
      <c r="AC133" s="0" t="s">
        <v>258</v>
      </c>
      <c r="AD133" s="0" t="s">
        <v>258</v>
      </c>
      <c r="AE133" s="0" t="s">
        <v>258</v>
      </c>
      <c r="AF133" s="0" t="s">
        <v>258</v>
      </c>
      <c r="AG133" s="0" t="s">
        <v>258</v>
      </c>
      <c r="AH133" s="0" t="s">
        <v>905</v>
      </c>
      <c r="AI133" s="0" t="n">
        <v>2</v>
      </c>
      <c r="AJ133" s="0" t="s">
        <v>99</v>
      </c>
      <c r="AK133" s="0" t="n">
        <v>132</v>
      </c>
      <c r="AL133" s="0" t="n">
        <v>55</v>
      </c>
      <c r="AM133" s="0" t="s">
        <v>406</v>
      </c>
      <c r="EC133" s="0" t="s">
        <v>1661</v>
      </c>
      <c r="EG133" s="0" t="n">
        <v>2026</v>
      </c>
      <c r="EH133" s="0" t="n">
        <v>2026</v>
      </c>
      <c r="EI133" s="0" t="n">
        <v>0</v>
      </c>
      <c r="EJ133" s="0" t="n">
        <v>72</v>
      </c>
      <c r="EK133" s="0" t="n">
        <v>190</v>
      </c>
      <c r="EL133" s="0" t="s">
        <v>1662</v>
      </c>
      <c r="EM133" s="0" t="n">
        <v>21.9</v>
      </c>
      <c r="EN133" s="15" t="b">
        <f aca="false">TRUE()</f>
        <v>1</v>
      </c>
      <c r="EO133" s="0" t="n">
        <v>353</v>
      </c>
      <c r="EP133" s="0" t="n">
        <v>2.40311614730878</v>
      </c>
      <c r="EQ133" s="0" t="n">
        <v>0.223796033994334</v>
      </c>
      <c r="ER133" s="0" t="n">
        <v>0.875354107648725</v>
      </c>
      <c r="ES133" s="0" t="n">
        <v>0.521246458923513</v>
      </c>
      <c r="ET133" s="0" t="n">
        <v>42</v>
      </c>
      <c r="EU133" s="0" t="n">
        <v>28</v>
      </c>
      <c r="EV133" s="0" t="n">
        <v>3.41076487252125</v>
      </c>
      <c r="EW133" s="0" t="n">
        <v>0.666666666666667</v>
      </c>
      <c r="EX133" s="0" t="n">
        <v>2.95974106155856</v>
      </c>
      <c r="EY133" s="0" t="n">
        <v>2.392</v>
      </c>
      <c r="EZ133" s="0" t="n">
        <v>0.225</v>
      </c>
      <c r="FA133" s="0" t="n">
        <v>1.808</v>
      </c>
      <c r="FB133" s="0" t="n">
        <v>2.109</v>
      </c>
      <c r="FC133" s="0" t="n">
        <v>31</v>
      </c>
      <c r="FD133" s="0" t="n">
        <v>639</v>
      </c>
      <c r="FE133" s="0" t="n">
        <v>0.07981220657277</v>
      </c>
      <c r="FF133" s="0" t="n">
        <v>0.0842</v>
      </c>
      <c r="FG133" s="0" t="n">
        <v>0.3405</v>
      </c>
      <c r="FH133" s="0" t="n">
        <v>2.444</v>
      </c>
      <c r="FI133" s="0" t="n">
        <v>1028</v>
      </c>
      <c r="FJ133" s="0" t="n">
        <v>0.592412451361868</v>
      </c>
      <c r="FK133" s="0" t="n">
        <v>17</v>
      </c>
      <c r="FL133" s="0" t="n">
        <v>60.47</v>
      </c>
      <c r="FM133" s="0" t="n">
        <v>0.5161</v>
      </c>
      <c r="FN133" s="0" t="n">
        <v>0.4839</v>
      </c>
      <c r="FO133" s="0" t="n">
        <v>-0.0372</v>
      </c>
      <c r="FP133" s="0" t="n">
        <v>-0.0478</v>
      </c>
      <c r="FQ133" s="0" t="n">
        <v>-0.2882</v>
      </c>
      <c r="FR133" s="0" t="n">
        <v>39</v>
      </c>
      <c r="FS133" s="0" t="n">
        <v>42</v>
      </c>
      <c r="FT133" s="0" t="n">
        <v>2.47</v>
      </c>
      <c r="FU133" s="0" t="n">
        <v>16.4</v>
      </c>
      <c r="FV133" s="0" t="n">
        <v>5503</v>
      </c>
      <c r="FW133" s="0" t="n">
        <v>1435</v>
      </c>
      <c r="FX133" s="0" t="n">
        <v>0.261</v>
      </c>
      <c r="FY133" s="0" t="n">
        <v>5</v>
      </c>
      <c r="FZ133" s="0" t="n">
        <v>1</v>
      </c>
      <c r="GA133" s="0" t="n">
        <v>-1.74193649230018</v>
      </c>
      <c r="GB133" s="0" t="n">
        <v>18.5</v>
      </c>
      <c r="GC133" s="0" t="n">
        <v>26.5</v>
      </c>
      <c r="GD133" s="0" t="n">
        <v>15.1</v>
      </c>
      <c r="GE133" s="0" t="n">
        <v>522</v>
      </c>
      <c r="GF133" s="0" t="n">
        <v>421</v>
      </c>
      <c r="GG133" s="0" t="n">
        <v>88</v>
      </c>
      <c r="GH133" s="0" t="n">
        <v>37</v>
      </c>
      <c r="GI133" s="0" t="n">
        <v>114</v>
      </c>
      <c r="GJ133" s="0" t="n">
        <v>23</v>
      </c>
      <c r="GK133" s="0" t="n">
        <v>0.169</v>
      </c>
      <c r="GL133" s="0" t="n">
        <v>0.088</v>
      </c>
      <c r="GM133" s="0" t="n">
        <v>0.202</v>
      </c>
      <c r="HF133" s="0" t="s">
        <v>206</v>
      </c>
      <c r="HG133" s="0" t="n">
        <v>131.55</v>
      </c>
      <c r="HH133" s="0" t="n">
        <v>30.01</v>
      </c>
      <c r="HI133" s="0" t="n">
        <v>90</v>
      </c>
      <c r="HJ133" s="0" t="n">
        <v>298</v>
      </c>
      <c r="HK133" s="0" t="s">
        <v>909</v>
      </c>
      <c r="HL133" s="0" t="n">
        <v>0</v>
      </c>
      <c r="HN133" s="0" t="n">
        <v>55</v>
      </c>
    </row>
    <row r="134" customFormat="false" ht="15" hidden="false" customHeight="false" outlineLevel="0" collapsed="false">
      <c r="A134" s="0" t="s">
        <v>896</v>
      </c>
      <c r="B134" s="0" t="s">
        <v>897</v>
      </c>
      <c r="C134" s="0" t="s">
        <v>898</v>
      </c>
      <c r="D134" s="0" t="s">
        <v>407</v>
      </c>
      <c r="E134" s="0" t="n">
        <v>22980</v>
      </c>
      <c r="F134" s="0" t="s">
        <v>104</v>
      </c>
      <c r="G134" s="0" t="n">
        <v>132.07</v>
      </c>
      <c r="H134" s="0" t="n">
        <v>10.77</v>
      </c>
      <c r="I134" s="0" t="n">
        <v>113</v>
      </c>
      <c r="J134" s="0" t="n">
        <v>177</v>
      </c>
      <c r="L134" s="0" t="s">
        <v>1663</v>
      </c>
      <c r="O134" s="0" t="n">
        <v>38</v>
      </c>
      <c r="U134" s="0" t="n">
        <v>8</v>
      </c>
      <c r="V134" s="0" t="s">
        <v>1664</v>
      </c>
      <c r="W134" s="0" t="s">
        <v>901</v>
      </c>
      <c r="X134" s="0" t="s">
        <v>178</v>
      </c>
      <c r="Y134" s="0" t="s">
        <v>1665</v>
      </c>
      <c r="Z134" s="0" t="n">
        <v>22980</v>
      </c>
      <c r="AA134" s="0" t="s">
        <v>1666</v>
      </c>
      <c r="AB134" s="0" t="s">
        <v>904</v>
      </c>
      <c r="AC134" s="0" t="s">
        <v>178</v>
      </c>
      <c r="AD134" s="0" t="s">
        <v>178</v>
      </c>
      <c r="AE134" s="0" t="s">
        <v>178</v>
      </c>
      <c r="AF134" s="0" t="s">
        <v>178</v>
      </c>
      <c r="AG134" s="0" t="s">
        <v>178</v>
      </c>
      <c r="AH134" s="0" t="s">
        <v>905</v>
      </c>
      <c r="AI134" s="0" t="n">
        <v>2</v>
      </c>
      <c r="AJ134" s="0" t="s">
        <v>104</v>
      </c>
      <c r="AK134" s="0" t="n">
        <v>133</v>
      </c>
      <c r="AL134" s="0" t="n">
        <v>42</v>
      </c>
      <c r="AM134" s="0" t="s">
        <v>408</v>
      </c>
      <c r="AN134" s="0" t="n">
        <v>0</v>
      </c>
      <c r="AO134" s="0" t="n">
        <v>0</v>
      </c>
      <c r="AP134" s="0" t="n">
        <v>0</v>
      </c>
      <c r="AQ134" s="0" t="n">
        <v>0</v>
      </c>
      <c r="AR134" s="0" t="n">
        <v>0</v>
      </c>
      <c r="AS134" s="0" t="n">
        <v>0</v>
      </c>
      <c r="AT134" s="0" t="n">
        <v>0</v>
      </c>
      <c r="AU134" s="0" t="n">
        <v>0</v>
      </c>
      <c r="AV134" s="0" t="n">
        <v>0</v>
      </c>
      <c r="AW134" s="0" t="n">
        <v>176</v>
      </c>
      <c r="AX134" s="0" t="n">
        <v>740</v>
      </c>
      <c r="AY134" s="0" t="n">
        <v>2</v>
      </c>
      <c r="AZ134" s="0" t="n">
        <v>39</v>
      </c>
      <c r="BA134" s="0" t="n">
        <v>-9.78628891990221</v>
      </c>
      <c r="BB134" s="0" t="n">
        <v>0</v>
      </c>
      <c r="BC134" s="0" t="n">
        <v>36</v>
      </c>
      <c r="BD134" s="0" t="n">
        <v>48</v>
      </c>
      <c r="BE134" s="0" t="n">
        <v>288</v>
      </c>
      <c r="BF134" s="0" t="n">
        <v>2</v>
      </c>
      <c r="BG134" s="0" t="n">
        <v>19</v>
      </c>
      <c r="BH134" s="0" t="n">
        <v>314</v>
      </c>
      <c r="BI134" s="0" t="n">
        <v>14</v>
      </c>
      <c r="BJ134" s="0" t="n">
        <v>0.0405658570330427</v>
      </c>
      <c r="BK134" s="0" t="n">
        <v>1</v>
      </c>
      <c r="BL134" s="0" t="n">
        <v>0</v>
      </c>
      <c r="BM134" s="0" t="n">
        <v>124.8</v>
      </c>
      <c r="BN134" s="0" t="n">
        <v>160.8</v>
      </c>
      <c r="BO134" s="0" t="n">
        <v>15</v>
      </c>
      <c r="BP134" s="0" t="s">
        <v>178</v>
      </c>
      <c r="BQ134" s="0" t="n">
        <v>1</v>
      </c>
      <c r="BR134" s="0" t="n">
        <v>142.8</v>
      </c>
      <c r="BS134" s="0" t="n">
        <v>0.0954</v>
      </c>
      <c r="BT134" s="0" t="n">
        <v>0.3444</v>
      </c>
      <c r="BU134" s="0" t="n">
        <v>0.0044</v>
      </c>
      <c r="BV134" s="0" t="n">
        <v>0.1081</v>
      </c>
      <c r="BW134" s="0" t="n">
        <v>0.4</v>
      </c>
      <c r="BX134" s="0" t="n">
        <v>0.0049</v>
      </c>
      <c r="BY134" s="0" t="n">
        <v>0.1656</v>
      </c>
      <c r="BZ134" s="0" t="n">
        <v>15</v>
      </c>
      <c r="CA134" s="0" t="n">
        <v>6.15</v>
      </c>
      <c r="CB134" s="0" t="n">
        <v>17.71</v>
      </c>
      <c r="CC134" s="0" t="n">
        <v>8.1</v>
      </c>
      <c r="CD134" s="0" t="n">
        <v>7.66</v>
      </c>
      <c r="CE134" s="0" t="n">
        <v>3</v>
      </c>
      <c r="CF134" s="0" t="n">
        <v>1</v>
      </c>
      <c r="CG134" s="0" t="n">
        <v>15</v>
      </c>
      <c r="CH134" s="0" t="n">
        <v>0.2</v>
      </c>
      <c r="CI134" s="0" t="n">
        <v>0.067</v>
      </c>
      <c r="CJ134" s="0" t="n">
        <v>0.946</v>
      </c>
      <c r="CK134" s="0" t="n">
        <v>5</v>
      </c>
      <c r="CL134" s="0" t="n">
        <v>1</v>
      </c>
      <c r="CM134" s="0" t="n">
        <v>0</v>
      </c>
      <c r="CN134" s="0" t="n">
        <v>2</v>
      </c>
      <c r="CO134" s="0" t="n">
        <v>1.68235003945151</v>
      </c>
      <c r="CP134" s="0" t="n">
        <v>21</v>
      </c>
      <c r="CQ134" s="0" t="n">
        <v>6</v>
      </c>
      <c r="CR134" s="0" t="n">
        <v>2</v>
      </c>
      <c r="CS134" s="0" t="n">
        <v>2</v>
      </c>
      <c r="CT134" s="0" t="n">
        <v>2.80428122295377</v>
      </c>
      <c r="CU134" s="0" t="n">
        <v>26</v>
      </c>
      <c r="CV134" s="0" t="n">
        <v>7</v>
      </c>
      <c r="CW134" s="0" t="n">
        <v>2</v>
      </c>
      <c r="CX134" s="0" t="n">
        <v>4</v>
      </c>
      <c r="CY134" s="0" t="n">
        <v>4.49</v>
      </c>
      <c r="CZ134" s="0" t="n">
        <v>-0.49</v>
      </c>
      <c r="DG134" s="0" t="n">
        <v>3.9590945945946</v>
      </c>
      <c r="DH134" s="0" t="n">
        <v>17.0454545454545</v>
      </c>
      <c r="DI134" s="0" t="n">
        <v>2.73692073170732</v>
      </c>
      <c r="DJ134" s="0" t="n">
        <v>15.0257317530005</v>
      </c>
      <c r="DK134" s="0" t="n">
        <v>0.0883866573705913</v>
      </c>
      <c r="DL134" s="0" t="n">
        <v>0.388235294117647</v>
      </c>
      <c r="DM134" s="0" t="s">
        <v>1667</v>
      </c>
      <c r="DN134" s="0" t="n">
        <v>176</v>
      </c>
      <c r="DO134" s="0" t="n">
        <v>5</v>
      </c>
      <c r="DP134" s="0" t="n">
        <v>2.494</v>
      </c>
      <c r="DQ134" s="0" t="n">
        <v>1.71</v>
      </c>
      <c r="DR134" s="0" t="n">
        <v>35.2</v>
      </c>
      <c r="DS134" s="0" t="n">
        <v>48</v>
      </c>
      <c r="DT134" s="0" t="n">
        <v>6</v>
      </c>
      <c r="DU134" s="0" t="n">
        <v>2</v>
      </c>
      <c r="DV134" s="0" t="n">
        <v>-0.722</v>
      </c>
      <c r="DW134" s="0" t="n">
        <v>8.722</v>
      </c>
      <c r="DX134" s="0" t="n">
        <v>0.4</v>
      </c>
      <c r="DY134" s="0" t="n">
        <v>0.0417</v>
      </c>
      <c r="DZ134" s="0" t="n">
        <v>548</v>
      </c>
      <c r="EA134" s="0" t="n">
        <v>0.545</v>
      </c>
      <c r="EB134" s="0" t="n">
        <v>15</v>
      </c>
      <c r="EC134" s="0" t="s">
        <v>1668</v>
      </c>
      <c r="ED134" s="0" t="n">
        <v>2024</v>
      </c>
      <c r="EE134" s="0" t="n">
        <v>5</v>
      </c>
      <c r="EF134" s="0" t="n">
        <v>166</v>
      </c>
      <c r="EG134" s="0" t="n">
        <v>2024</v>
      </c>
      <c r="EH134" s="0" t="n">
        <v>2026</v>
      </c>
      <c r="EI134" s="0" t="n">
        <v>3</v>
      </c>
      <c r="EJ134" s="0" t="n">
        <v>71</v>
      </c>
      <c r="EK134" s="0" t="n">
        <v>210</v>
      </c>
      <c r="EL134" s="0" t="s">
        <v>1669</v>
      </c>
      <c r="EM134" s="0" t="n">
        <v>26.7</v>
      </c>
      <c r="EN134" s="15" t="b">
        <f aca="false">FALSE()</f>
        <v>0</v>
      </c>
      <c r="EO134" s="0" t="n">
        <v>396</v>
      </c>
      <c r="EP134" s="0" t="n">
        <v>2.99646464646465</v>
      </c>
      <c r="EQ134" s="0" t="n">
        <v>0.146464646464647</v>
      </c>
      <c r="ER134" s="0" t="n">
        <v>1.08080808080808</v>
      </c>
      <c r="ES134" s="0" t="n">
        <v>0.441919191919192</v>
      </c>
      <c r="ET134" s="0" t="n">
        <v>24</v>
      </c>
      <c r="EU134" s="0" t="n">
        <v>15</v>
      </c>
      <c r="EV134" s="0" t="n">
        <v>4.00757575757576</v>
      </c>
      <c r="EW134" s="0" t="n">
        <v>0.625</v>
      </c>
      <c r="EX134" s="0" t="n">
        <v>2.97085160992848</v>
      </c>
      <c r="EY134" s="0" t="n">
        <v>2.974</v>
      </c>
      <c r="EZ134" s="0" t="n">
        <v>0.1475</v>
      </c>
      <c r="FA134" s="0" t="n">
        <v>2.714</v>
      </c>
      <c r="FB134" s="0" t="n">
        <v>1.581</v>
      </c>
      <c r="FC134" s="0" t="n">
        <v>16</v>
      </c>
      <c r="FD134" s="0" t="n">
        <v>624</v>
      </c>
      <c r="FE134" s="0" t="n">
        <v>0.0769230769230769</v>
      </c>
      <c r="FF134" s="0" t="n">
        <v>0.076</v>
      </c>
      <c r="FG134" s="0" t="n">
        <v>0.2947</v>
      </c>
      <c r="FH134" s="0" t="n">
        <v>2.388</v>
      </c>
      <c r="FI134" s="0" t="n">
        <v>1079</v>
      </c>
      <c r="FJ134" s="0" t="n">
        <v>0.533827618164968</v>
      </c>
      <c r="FK134" s="0" t="n">
        <v>17</v>
      </c>
      <c r="FL134" s="0" t="n">
        <v>63.47</v>
      </c>
      <c r="FM134" s="0" t="n">
        <v>0.494</v>
      </c>
      <c r="FN134" s="0" t="n">
        <v>0.506</v>
      </c>
      <c r="FO134" s="0" t="n">
        <v>-0.0466</v>
      </c>
      <c r="FP134" s="0" t="n">
        <v>0.0356</v>
      </c>
      <c r="FQ134" s="0" t="n">
        <v>-0.008</v>
      </c>
      <c r="FR134" s="0" t="n">
        <v>36</v>
      </c>
      <c r="FS134" s="0" t="n">
        <v>61</v>
      </c>
      <c r="FT134" s="0" t="n">
        <v>3.59</v>
      </c>
      <c r="FU134" s="0" t="n">
        <v>22.4</v>
      </c>
      <c r="FV134" s="0" t="n">
        <v>5756</v>
      </c>
      <c r="FW134" s="0" t="n">
        <v>4159</v>
      </c>
      <c r="FX134" s="0" t="n">
        <v>0.723</v>
      </c>
      <c r="FY134" s="0" t="n">
        <v>5</v>
      </c>
      <c r="FZ134" s="0" t="n">
        <v>4</v>
      </c>
      <c r="GA134" s="0" t="n">
        <v>0.375872277758655</v>
      </c>
      <c r="GB134" s="0" t="n">
        <v>56.8</v>
      </c>
      <c r="GC134" s="0" t="n">
        <v>36.8</v>
      </c>
      <c r="GD134" s="0" t="n">
        <v>45.9</v>
      </c>
      <c r="GE134" s="0" t="n">
        <v>503</v>
      </c>
      <c r="GF134" s="0" t="n">
        <v>511</v>
      </c>
      <c r="GG134" s="0" t="n">
        <v>177</v>
      </c>
      <c r="GH134" s="0" t="n">
        <v>3</v>
      </c>
      <c r="GI134" s="0" t="n">
        <v>162</v>
      </c>
      <c r="GJ134" s="0" t="n">
        <v>21</v>
      </c>
      <c r="GK134" s="0" t="n">
        <v>0.352</v>
      </c>
      <c r="GL134" s="0" t="n">
        <v>0.006</v>
      </c>
      <c r="GM134" s="0" t="n">
        <v>0.13</v>
      </c>
      <c r="GN134" s="0" t="n">
        <v>10.72</v>
      </c>
      <c r="GO134" s="0" t="n">
        <v>9.52</v>
      </c>
      <c r="GP134" s="0" t="n">
        <v>8.32</v>
      </c>
      <c r="GQ134" s="0" t="n">
        <v>3.2</v>
      </c>
      <c r="GR134" s="0" t="n">
        <v>11.733</v>
      </c>
      <c r="GS134" s="0" t="n">
        <v>224</v>
      </c>
      <c r="GT134" s="0" t="n">
        <v>0.718</v>
      </c>
      <c r="GU134" s="0" t="n">
        <v>0.293</v>
      </c>
      <c r="GV134" s="0" t="n">
        <v>6</v>
      </c>
      <c r="GW134" s="0" t="n">
        <v>8</v>
      </c>
      <c r="GX134" s="0" t="n">
        <v>0.75</v>
      </c>
      <c r="GY134" s="0" t="n">
        <v>4.205</v>
      </c>
      <c r="GZ134" s="0" t="n">
        <v>0.396</v>
      </c>
      <c r="HA134" s="0" t="n">
        <v>8.722</v>
      </c>
      <c r="HB134" s="0" t="n">
        <v>15.158</v>
      </c>
      <c r="HC134" s="0" t="n">
        <v>0.018</v>
      </c>
      <c r="HD134" s="0" t="n">
        <v>-0.056</v>
      </c>
      <c r="HE134" s="0" t="n">
        <v>0.001</v>
      </c>
      <c r="HG134" s="0" t="n">
        <v>132.07</v>
      </c>
      <c r="HH134" s="0" t="n">
        <v>10.77</v>
      </c>
      <c r="HI134" s="0" t="n">
        <v>113</v>
      </c>
      <c r="HJ134" s="0" t="n">
        <v>177</v>
      </c>
      <c r="HK134" s="0" t="s">
        <v>909</v>
      </c>
      <c r="HL134" s="0" t="n">
        <v>0</v>
      </c>
      <c r="HM134" s="0" t="n">
        <v>28</v>
      </c>
      <c r="HN134" s="0" t="n">
        <v>42</v>
      </c>
      <c r="HO134" s="0" t="n">
        <v>0.296</v>
      </c>
      <c r="HP134" s="0" t="n">
        <v>32</v>
      </c>
      <c r="HQ134" s="0" t="n">
        <v>0.12</v>
      </c>
      <c r="HR134" s="0" t="s">
        <v>102</v>
      </c>
    </row>
    <row r="135" customFormat="false" ht="15" hidden="false" customHeight="false" outlineLevel="0" collapsed="false">
      <c r="A135" s="0" t="s">
        <v>896</v>
      </c>
      <c r="B135" s="0" t="s">
        <v>897</v>
      </c>
      <c r="C135" s="0" t="s">
        <v>898</v>
      </c>
      <c r="D135" s="0" t="s">
        <v>409</v>
      </c>
      <c r="E135" s="0" t="n">
        <v>24172</v>
      </c>
      <c r="F135" s="0" t="s">
        <v>104</v>
      </c>
      <c r="G135" s="0" t="n">
        <v>139.38</v>
      </c>
      <c r="H135" s="0" t="n">
        <v>11.82</v>
      </c>
      <c r="I135" s="0" t="n">
        <v>103</v>
      </c>
      <c r="J135" s="0" t="n">
        <v>164</v>
      </c>
      <c r="L135" s="0" t="s">
        <v>1670</v>
      </c>
      <c r="O135" s="0" t="n">
        <v>38.8</v>
      </c>
      <c r="U135" s="0" t="n">
        <v>14</v>
      </c>
      <c r="V135" s="0" t="s">
        <v>409</v>
      </c>
      <c r="W135" s="0" t="s">
        <v>901</v>
      </c>
      <c r="X135" s="0" t="s">
        <v>151</v>
      </c>
      <c r="Y135" s="0" t="s">
        <v>1671</v>
      </c>
      <c r="Z135" s="0" t="n">
        <v>24172</v>
      </c>
      <c r="AA135" s="0" t="s">
        <v>1672</v>
      </c>
      <c r="AB135" s="0" t="s">
        <v>904</v>
      </c>
      <c r="AC135" s="0" t="s">
        <v>151</v>
      </c>
      <c r="AD135" s="0" t="s">
        <v>151</v>
      </c>
      <c r="AE135" s="0" t="s">
        <v>151</v>
      </c>
      <c r="AF135" s="0" t="s">
        <v>151</v>
      </c>
      <c r="AG135" s="0" t="s">
        <v>151</v>
      </c>
      <c r="AH135" s="0" t="s">
        <v>905</v>
      </c>
      <c r="AI135" s="0" t="n">
        <v>2</v>
      </c>
      <c r="AJ135" s="0" t="s">
        <v>104</v>
      </c>
      <c r="AK135" s="0" t="n">
        <v>134</v>
      </c>
      <c r="AL135" s="0" t="n">
        <v>43</v>
      </c>
      <c r="AM135" s="0" t="s">
        <v>410</v>
      </c>
      <c r="AN135" s="0" t="n">
        <v>0</v>
      </c>
      <c r="AO135" s="0" t="n">
        <v>0</v>
      </c>
      <c r="AP135" s="0" t="n">
        <v>0</v>
      </c>
      <c r="AQ135" s="0" t="n">
        <v>0</v>
      </c>
      <c r="AR135" s="0" t="n">
        <v>0</v>
      </c>
      <c r="AS135" s="0" t="n">
        <v>0</v>
      </c>
      <c r="AT135" s="0" t="n">
        <v>0</v>
      </c>
      <c r="AU135" s="0" t="n">
        <v>0</v>
      </c>
      <c r="AV135" s="0" t="n">
        <v>0</v>
      </c>
      <c r="AW135" s="0" t="n">
        <v>143</v>
      </c>
      <c r="AX135" s="0" t="n">
        <v>514</v>
      </c>
      <c r="AY135" s="0" t="n">
        <v>8</v>
      </c>
      <c r="AZ135" s="0" t="n">
        <v>36</v>
      </c>
      <c r="BA135" s="0" t="n">
        <v>-11.5547406327964</v>
      </c>
      <c r="BB135" s="0" t="n">
        <v>0</v>
      </c>
      <c r="BC135" s="0" t="n">
        <v>14</v>
      </c>
      <c r="BD135" s="0" t="n">
        <v>16</v>
      </c>
      <c r="BE135" s="0" t="n">
        <v>96</v>
      </c>
      <c r="BF135" s="0" t="n">
        <v>0</v>
      </c>
      <c r="BG135" s="0" t="n">
        <v>-26</v>
      </c>
      <c r="BH135" s="0" t="n">
        <v>120</v>
      </c>
      <c r="BI135" s="0" t="n">
        <v>3</v>
      </c>
      <c r="BJ135" s="0" t="n">
        <v>2.78284132614499</v>
      </c>
      <c r="BK135" s="0" t="n">
        <v>0</v>
      </c>
      <c r="BL135" s="0" t="n">
        <v>0</v>
      </c>
      <c r="BM135" s="0" t="n">
        <v>109</v>
      </c>
      <c r="BN135" s="0" t="n">
        <v>123</v>
      </c>
      <c r="BO135" s="0" t="n">
        <v>17</v>
      </c>
      <c r="BP135" s="0" t="s">
        <v>112</v>
      </c>
      <c r="BQ135" s="0" t="n">
        <v>1</v>
      </c>
      <c r="BR135" s="0" t="n">
        <v>116</v>
      </c>
      <c r="BS135" s="0" t="n">
        <v>0.0308</v>
      </c>
      <c r="BT135" s="0" t="n">
        <v>0.2998</v>
      </c>
      <c r="BU135" s="0" t="n">
        <v>-0.0062</v>
      </c>
      <c r="BV135" s="0" t="n">
        <v>0.0308</v>
      </c>
      <c r="BW135" s="0" t="n">
        <v>0.2998</v>
      </c>
      <c r="BX135" s="0" t="n">
        <v>-0.0062</v>
      </c>
      <c r="BY135" s="0" t="n">
        <v>0.0419</v>
      </c>
      <c r="BZ135" s="0" t="n">
        <v>17</v>
      </c>
      <c r="CA135" s="0" t="n">
        <v>2.3</v>
      </c>
      <c r="CB135" s="0" t="n">
        <v>12.54</v>
      </c>
      <c r="CC135" s="0" t="n">
        <v>8.3</v>
      </c>
      <c r="CD135" s="0" t="n">
        <v>5.35</v>
      </c>
      <c r="CE135" s="0" t="n">
        <v>1</v>
      </c>
      <c r="CF135" s="0" t="n">
        <v>4</v>
      </c>
      <c r="CG135" s="0" t="n">
        <v>17</v>
      </c>
      <c r="CH135" s="0" t="n">
        <v>0.059</v>
      </c>
      <c r="CI135" s="0" t="n">
        <v>0.235</v>
      </c>
      <c r="CJ135" s="0" t="n">
        <v>0.645</v>
      </c>
      <c r="CK135" s="0" t="n">
        <v>1</v>
      </c>
      <c r="CL135" s="0" t="n">
        <v>0</v>
      </c>
      <c r="CM135" s="0" t="n">
        <v>0</v>
      </c>
      <c r="CN135" s="0" t="n">
        <v>0</v>
      </c>
      <c r="CO135" s="0" t="n">
        <v>0.416155076273879</v>
      </c>
      <c r="CP135" s="0" t="n">
        <v>32</v>
      </c>
      <c r="CQ135" s="0" t="n">
        <v>19</v>
      </c>
      <c r="CR135" s="0" t="n">
        <v>10</v>
      </c>
      <c r="CS135" s="0" t="n">
        <v>8</v>
      </c>
      <c r="CT135" s="0" t="n">
        <v>6.56083566719972</v>
      </c>
      <c r="CU135" s="0" t="n">
        <v>33</v>
      </c>
      <c r="CV135" s="0" t="n">
        <v>19</v>
      </c>
      <c r="CW135" s="0" t="n">
        <v>10</v>
      </c>
      <c r="CX135" s="0" t="n">
        <v>8</v>
      </c>
      <c r="CY135" s="0" t="n">
        <v>6.98</v>
      </c>
      <c r="CZ135" s="0" t="n">
        <v>1.02</v>
      </c>
      <c r="DG135" s="0" t="n">
        <v>4.71330739299611</v>
      </c>
      <c r="DH135" s="0" t="n">
        <v>24.4755244755245</v>
      </c>
      <c r="DI135" s="0" t="n">
        <v>2.91186178861789</v>
      </c>
      <c r="DJ135" s="0" t="n">
        <v>-25.1957133282826</v>
      </c>
      <c r="DK135" s="0" t="n">
        <v>-0.177434600903399</v>
      </c>
      <c r="DL135" s="0" t="n">
        <v>0.408450704225352</v>
      </c>
      <c r="DM135" s="0" t="s">
        <v>1673</v>
      </c>
      <c r="DN135" s="0" t="n">
        <v>143</v>
      </c>
      <c r="DO135" s="0" t="n">
        <v>9</v>
      </c>
      <c r="DP135" s="0" t="n">
        <v>1.986</v>
      </c>
      <c r="DQ135" s="0" t="n">
        <v>1.608</v>
      </c>
      <c r="DR135" s="0" t="n">
        <v>15.89</v>
      </c>
      <c r="DS135" s="0" t="n">
        <v>16</v>
      </c>
      <c r="DT135" s="0" t="n">
        <v>1</v>
      </c>
      <c r="DU135" s="0" t="n">
        <v>1</v>
      </c>
      <c r="DV135" s="0" t="n">
        <v>-1.714</v>
      </c>
      <c r="DW135" s="0" t="n">
        <v>8.571</v>
      </c>
      <c r="DX135" s="0" t="n">
        <v>-1.8</v>
      </c>
      <c r="DY135" s="0" t="n">
        <v>0.0625</v>
      </c>
      <c r="DZ135" s="0" t="n">
        <v>328</v>
      </c>
      <c r="EA135" s="0" t="n">
        <v>0.302</v>
      </c>
      <c r="EB135" s="0" t="n">
        <v>17</v>
      </c>
      <c r="EC135" s="0" t="s">
        <v>1674</v>
      </c>
      <c r="ED135" s="0" t="n">
        <v>2022</v>
      </c>
      <c r="EE135" s="0" t="n">
        <v>5</v>
      </c>
      <c r="EF135" s="0" t="n">
        <v>151</v>
      </c>
      <c r="EG135" s="0" t="n">
        <v>2022</v>
      </c>
      <c r="EH135" s="0" t="n">
        <v>2026</v>
      </c>
      <c r="EI135" s="0" t="n">
        <v>5</v>
      </c>
      <c r="EJ135" s="0" t="n">
        <v>70</v>
      </c>
      <c r="EK135" s="0" t="n">
        <v>225</v>
      </c>
      <c r="EL135" s="0" t="s">
        <v>1675</v>
      </c>
      <c r="EM135" s="0" t="n">
        <v>26.3</v>
      </c>
      <c r="EN135" s="15" t="b">
        <f aca="false">FALSE()</f>
        <v>0</v>
      </c>
      <c r="EO135" s="0" t="n">
        <v>292</v>
      </c>
      <c r="EP135" s="0" t="n">
        <v>2.76198630136986</v>
      </c>
      <c r="EQ135" s="0" t="n">
        <v>0.198630136986301</v>
      </c>
      <c r="ER135" s="0" t="n">
        <v>1.1472602739726</v>
      </c>
      <c r="ES135" s="0" t="n">
        <v>0.828767123287671</v>
      </c>
      <c r="ET135" s="0" t="n">
        <v>32</v>
      </c>
      <c r="EU135" s="0" t="n">
        <v>21</v>
      </c>
      <c r="EV135" s="0" t="n">
        <v>4.20205479452055</v>
      </c>
      <c r="EW135" s="0" t="n">
        <v>0.65625</v>
      </c>
      <c r="EX135" s="0" t="n">
        <v>2.93895253186521</v>
      </c>
      <c r="EY135" s="0" t="n">
        <v>2.771</v>
      </c>
      <c r="EZ135" s="0" t="n">
        <v>0.2005</v>
      </c>
      <c r="FA135" s="0" t="n">
        <v>2.593</v>
      </c>
      <c r="FB135" s="0" t="n">
        <v>1.732</v>
      </c>
      <c r="FC135" s="0" t="n">
        <v>22</v>
      </c>
      <c r="FD135" s="0" t="n">
        <v>745</v>
      </c>
      <c r="FE135" s="0" t="n">
        <v>0.0791946308724832</v>
      </c>
      <c r="FF135" s="0" t="n">
        <v>0.0839</v>
      </c>
      <c r="FG135" s="0" t="n">
        <v>0.282</v>
      </c>
      <c r="FH135" s="0" t="n">
        <v>2.373</v>
      </c>
      <c r="FI135" s="0" t="n">
        <v>1074</v>
      </c>
      <c r="FJ135" s="0" t="n">
        <v>0.661080074487896</v>
      </c>
      <c r="FK135" s="0" t="n">
        <v>17</v>
      </c>
      <c r="FL135" s="0" t="n">
        <v>63.18</v>
      </c>
      <c r="FM135" s="0" t="n">
        <v>0.6204</v>
      </c>
      <c r="FN135" s="0" t="n">
        <v>0.3796</v>
      </c>
      <c r="FO135" s="0" t="n">
        <v>0.0399</v>
      </c>
      <c r="FP135" s="0" t="n">
        <v>-0.0591</v>
      </c>
      <c r="FQ135" s="0" t="n">
        <v>0.0023</v>
      </c>
      <c r="FR135" s="0" t="n">
        <v>39</v>
      </c>
      <c r="FS135" s="0" t="n">
        <v>61</v>
      </c>
      <c r="FT135" s="0" t="n">
        <v>3.59</v>
      </c>
      <c r="FU135" s="0" t="n">
        <v>20.9</v>
      </c>
      <c r="FV135" s="0" t="n">
        <v>5838</v>
      </c>
      <c r="FW135" s="0" t="n">
        <v>4005</v>
      </c>
      <c r="FX135" s="0" t="n">
        <v>0.686</v>
      </c>
      <c r="FY135" s="0" t="n">
        <v>5</v>
      </c>
      <c r="FZ135" s="0" t="n">
        <v>3</v>
      </c>
      <c r="GA135" s="0" t="n">
        <v>-0.344439654226007</v>
      </c>
      <c r="GB135" s="0" t="n">
        <v>43.8</v>
      </c>
      <c r="GC135" s="0" t="n">
        <v>35.6</v>
      </c>
      <c r="GD135" s="0" t="n">
        <v>36.9</v>
      </c>
      <c r="GE135" s="0" t="n">
        <v>617</v>
      </c>
      <c r="GF135" s="0" t="n">
        <v>366</v>
      </c>
      <c r="GG135" s="0" t="n">
        <v>106</v>
      </c>
      <c r="GH135" s="0" t="n">
        <v>173</v>
      </c>
      <c r="GI135" s="0" t="n">
        <v>153</v>
      </c>
      <c r="GJ135" s="0" t="n">
        <v>41</v>
      </c>
      <c r="GK135" s="0" t="n">
        <v>0.172</v>
      </c>
      <c r="GL135" s="0" t="n">
        <v>0.473</v>
      </c>
      <c r="GM135" s="0" t="n">
        <v>0.268</v>
      </c>
      <c r="GN135" s="0" t="n">
        <v>7.235</v>
      </c>
      <c r="GO135" s="0" t="n">
        <v>6.824</v>
      </c>
      <c r="GP135" s="0" t="n">
        <v>6.412</v>
      </c>
      <c r="GQ135" s="0" t="n">
        <v>0.941</v>
      </c>
      <c r="GR135" s="0" t="n">
        <v>8.412</v>
      </c>
      <c r="GS135" s="0" t="n">
        <v>159</v>
      </c>
      <c r="GT135" s="0" t="n">
        <v>0.774</v>
      </c>
      <c r="GU135" s="0" t="n">
        <v>0.375</v>
      </c>
      <c r="GV135" s="0" t="n">
        <v>6</v>
      </c>
      <c r="GW135" s="0" t="n">
        <v>6.857</v>
      </c>
      <c r="GX135" s="0" t="n">
        <v>0.875</v>
      </c>
      <c r="GY135" s="0" t="n">
        <v>3.594</v>
      </c>
      <c r="GZ135" s="0" t="n">
        <v>-1.625</v>
      </c>
      <c r="HA135" s="0" t="n">
        <v>8.571</v>
      </c>
      <c r="HB135" s="0" t="n">
        <v>-3.692</v>
      </c>
      <c r="HC135" s="0" t="n">
        <v>0.05</v>
      </c>
      <c r="HD135" s="0" t="n">
        <v>-0.081</v>
      </c>
      <c r="HE135" s="0" t="n">
        <v>0.174</v>
      </c>
      <c r="HG135" s="0" t="n">
        <v>139.38</v>
      </c>
      <c r="HH135" s="0" t="n">
        <v>11.82</v>
      </c>
      <c r="HI135" s="0" t="n">
        <v>103</v>
      </c>
      <c r="HJ135" s="0" t="n">
        <v>164</v>
      </c>
      <c r="HK135" s="0" t="s">
        <v>909</v>
      </c>
      <c r="HL135" s="0" t="n">
        <v>0</v>
      </c>
      <c r="HM135" s="0" t="n">
        <v>38</v>
      </c>
      <c r="HN135" s="0" t="n">
        <v>43</v>
      </c>
      <c r="HO135" s="0" t="n">
        <v>-0.107</v>
      </c>
      <c r="HP135" s="0" t="n">
        <v>46</v>
      </c>
      <c r="HQ135" s="0" t="n">
        <v>-0.458</v>
      </c>
      <c r="HR135" s="0" t="s">
        <v>102</v>
      </c>
    </row>
    <row r="136" customFormat="false" ht="15" hidden="false" customHeight="false" outlineLevel="0" collapsed="false">
      <c r="A136" s="0" t="s">
        <v>896</v>
      </c>
      <c r="B136" s="0" t="s">
        <v>897</v>
      </c>
      <c r="C136" s="0" t="s">
        <v>898</v>
      </c>
      <c r="D136" s="0" t="s">
        <v>411</v>
      </c>
      <c r="E136" s="0" t="n">
        <v>27520</v>
      </c>
      <c r="F136" s="0" t="s">
        <v>104</v>
      </c>
      <c r="G136" s="0" t="n">
        <v>140.38</v>
      </c>
      <c r="H136" s="0" t="n">
        <v>12.45</v>
      </c>
      <c r="I136" s="0" t="n">
        <v>99</v>
      </c>
      <c r="J136" s="0" t="n">
        <v>175</v>
      </c>
      <c r="L136" s="0" t="s">
        <v>1676</v>
      </c>
      <c r="O136" s="0" t="n">
        <v>49.5</v>
      </c>
      <c r="U136" s="0" t="n">
        <v>8</v>
      </c>
      <c r="V136" s="0" t="s">
        <v>411</v>
      </c>
      <c r="W136" s="0" t="s">
        <v>901</v>
      </c>
      <c r="X136" s="0" t="s">
        <v>139</v>
      </c>
      <c r="Y136" s="0" t="s">
        <v>1677</v>
      </c>
      <c r="Z136" s="0" t="n">
        <v>27520</v>
      </c>
      <c r="AA136" s="0" t="s">
        <v>1678</v>
      </c>
      <c r="AB136" s="0" t="s">
        <v>904</v>
      </c>
      <c r="AC136" s="0" t="s">
        <v>139</v>
      </c>
      <c r="AD136" s="0" t="s">
        <v>139</v>
      </c>
      <c r="AE136" s="0" t="s">
        <v>139</v>
      </c>
      <c r="AF136" s="0" t="s">
        <v>139</v>
      </c>
      <c r="AG136" s="0" t="s">
        <v>139</v>
      </c>
      <c r="AH136" s="0" t="s">
        <v>905</v>
      </c>
      <c r="AI136" s="0" t="n">
        <v>2</v>
      </c>
      <c r="AJ136" s="0" t="s">
        <v>104</v>
      </c>
      <c r="AK136" s="0" t="n">
        <v>135</v>
      </c>
      <c r="AL136" s="0" t="n">
        <v>44</v>
      </c>
      <c r="AM136" s="0" t="s">
        <v>412</v>
      </c>
      <c r="AN136" s="0" t="n">
        <v>0</v>
      </c>
      <c r="AO136" s="0" t="n">
        <v>0</v>
      </c>
      <c r="AP136" s="0" t="n">
        <v>0</v>
      </c>
      <c r="AQ136" s="0" t="n">
        <v>0</v>
      </c>
      <c r="AR136" s="0" t="n">
        <v>0</v>
      </c>
      <c r="AS136" s="0" t="n">
        <v>0</v>
      </c>
      <c r="AT136" s="0" t="n">
        <v>0</v>
      </c>
      <c r="AU136" s="0" t="n">
        <v>0</v>
      </c>
      <c r="AV136" s="0" t="n">
        <v>0</v>
      </c>
      <c r="AW136" s="0" t="n">
        <v>196</v>
      </c>
      <c r="AX136" s="0" t="n">
        <v>703</v>
      </c>
      <c r="AY136" s="0" t="n">
        <v>2</v>
      </c>
      <c r="AZ136" s="0" t="n">
        <v>39</v>
      </c>
      <c r="BA136" s="0" t="n">
        <v>-29.1784424367555</v>
      </c>
      <c r="BB136" s="0" t="n">
        <v>0</v>
      </c>
      <c r="BC136" s="0" t="n">
        <v>24</v>
      </c>
      <c r="BD136" s="0" t="n">
        <v>36</v>
      </c>
      <c r="BE136" s="0" t="n">
        <v>208</v>
      </c>
      <c r="BF136" s="0" t="n">
        <v>3</v>
      </c>
      <c r="BG136" s="0" t="n">
        <v>77</v>
      </c>
      <c r="BH136" s="0" t="n">
        <v>223</v>
      </c>
      <c r="BI136" s="0" t="n">
        <v>7</v>
      </c>
      <c r="BJ136" s="0" t="n">
        <v>7.22964539200698</v>
      </c>
      <c r="BK136" s="0" t="n">
        <v>0</v>
      </c>
      <c r="BL136" s="0" t="n">
        <v>0</v>
      </c>
      <c r="BM136" s="0" t="n">
        <v>121.1</v>
      </c>
      <c r="BN136" s="0" t="n">
        <v>145.1</v>
      </c>
      <c r="BO136" s="0" t="n">
        <v>16</v>
      </c>
      <c r="BP136" s="0" t="s">
        <v>139</v>
      </c>
      <c r="BQ136" s="0" t="n">
        <v>1</v>
      </c>
      <c r="BR136" s="0" t="n">
        <v>133.1</v>
      </c>
      <c r="BS136" s="0" t="n">
        <v>0.0651</v>
      </c>
      <c r="BT136" s="0" t="n">
        <v>0.4126</v>
      </c>
      <c r="BU136" s="0" t="n">
        <v>0.0168</v>
      </c>
      <c r="BV136" s="0" t="n">
        <v>0.0694</v>
      </c>
      <c r="BW136" s="0" t="n">
        <v>0.4365</v>
      </c>
      <c r="BX136" s="0" t="n">
        <v>0.0179</v>
      </c>
      <c r="BY136" s="0" t="n">
        <v>0.1166</v>
      </c>
      <c r="BZ136" s="0" t="n">
        <v>16</v>
      </c>
      <c r="CA136" s="0" t="n">
        <v>4.75</v>
      </c>
      <c r="CB136" s="0" t="n">
        <v>15.48</v>
      </c>
      <c r="CC136" s="0" t="n">
        <v>7.25</v>
      </c>
      <c r="CD136" s="0" t="n">
        <v>6.93</v>
      </c>
      <c r="CE136" s="0" t="n">
        <v>2</v>
      </c>
      <c r="CF136" s="0" t="n">
        <v>1</v>
      </c>
      <c r="CG136" s="0" t="n">
        <v>16</v>
      </c>
      <c r="CH136" s="0" t="n">
        <v>0.125</v>
      </c>
      <c r="CI136" s="0" t="n">
        <v>0.062</v>
      </c>
      <c r="CJ136" s="0" t="n">
        <v>0.956</v>
      </c>
      <c r="CK136" s="0" t="n">
        <v>8</v>
      </c>
      <c r="CL136" s="0" t="n">
        <v>3</v>
      </c>
      <c r="CM136" s="0" t="n">
        <v>2</v>
      </c>
      <c r="CN136" s="0" t="n">
        <v>3</v>
      </c>
      <c r="CO136" s="0" t="n">
        <v>2.44127722320296</v>
      </c>
      <c r="CP136" s="0" t="n">
        <v>33</v>
      </c>
      <c r="CQ136" s="0" t="n">
        <v>15</v>
      </c>
      <c r="CR136" s="0" t="n">
        <v>9</v>
      </c>
      <c r="CS136" s="0" t="n">
        <v>2</v>
      </c>
      <c r="CT136" s="0" t="n">
        <v>5.95240680074353</v>
      </c>
      <c r="CU136" s="0" t="n">
        <v>41</v>
      </c>
      <c r="CV136" s="0" t="n">
        <v>18</v>
      </c>
      <c r="CW136" s="0" t="n">
        <v>11</v>
      </c>
      <c r="CX136" s="0" t="n">
        <v>5</v>
      </c>
      <c r="CY136" s="0" t="n">
        <v>8.39</v>
      </c>
      <c r="CZ136" s="0" t="n">
        <v>-3.39</v>
      </c>
      <c r="DG136" s="0" t="n">
        <v>4.1198719772404</v>
      </c>
      <c r="DH136" s="0" t="n">
        <v>27.5510204081633</v>
      </c>
      <c r="DI136" s="0" t="n">
        <v>2.8116130952381</v>
      </c>
      <c r="DJ136" s="0" t="n">
        <v>31.162022394658</v>
      </c>
      <c r="DK136" s="0" t="n">
        <v>0.162302199972177</v>
      </c>
      <c r="DL136" s="0" t="n">
        <v>0.401041666666667</v>
      </c>
      <c r="DM136" s="0" t="s">
        <v>1679</v>
      </c>
      <c r="DN136" s="0" t="n">
        <v>196</v>
      </c>
      <c r="DO136" s="0" t="n">
        <v>6</v>
      </c>
      <c r="DP136" s="0" t="n">
        <v>1.816</v>
      </c>
      <c r="DQ136" s="0" t="n">
        <v>1.77</v>
      </c>
      <c r="DR136" s="0" t="n">
        <v>32.67</v>
      </c>
      <c r="DS136" s="0" t="n">
        <v>36</v>
      </c>
      <c r="DT136" s="0" t="n">
        <v>3</v>
      </c>
      <c r="DU136" s="0" t="n">
        <v>2</v>
      </c>
      <c r="DV136" s="0" t="n">
        <v>-0.625</v>
      </c>
      <c r="DW136" s="0" t="n">
        <v>9.292</v>
      </c>
      <c r="DX136" s="0" t="n">
        <v>2.1</v>
      </c>
      <c r="DY136" s="0" t="n">
        <v>0.0556</v>
      </c>
      <c r="DZ136" s="0" t="n">
        <v>571</v>
      </c>
      <c r="EA136" s="0" t="n">
        <v>0.515</v>
      </c>
      <c r="EB136" s="0" t="n">
        <v>16</v>
      </c>
      <c r="EC136" s="0" t="s">
        <v>1680</v>
      </c>
      <c r="ED136" s="0" t="n">
        <v>2025</v>
      </c>
      <c r="EE136" s="0" t="n">
        <v>4</v>
      </c>
      <c r="EF136" s="0" t="n">
        <v>116</v>
      </c>
      <c r="EG136" s="0" t="n">
        <v>2025</v>
      </c>
      <c r="EH136" s="0" t="n">
        <v>2026</v>
      </c>
      <c r="EI136" s="0" t="n">
        <v>2</v>
      </c>
      <c r="EJ136" s="0" t="n">
        <v>70</v>
      </c>
      <c r="EK136" s="0" t="n">
        <v>208</v>
      </c>
      <c r="EL136" s="0" t="s">
        <v>1681</v>
      </c>
      <c r="EM136" s="0" t="n">
        <v>25.6</v>
      </c>
      <c r="EN136" s="15" t="b">
        <f aca="false">FALSE()</f>
        <v>0</v>
      </c>
      <c r="EO136" s="0" t="n">
        <v>399</v>
      </c>
      <c r="EP136" s="0" t="n">
        <v>2.7453634085213</v>
      </c>
      <c r="EQ136" s="0" t="n">
        <v>0.203007518796993</v>
      </c>
      <c r="ER136" s="0" t="n">
        <v>1.1077694235589</v>
      </c>
      <c r="ES136" s="0" t="n">
        <v>0.496240601503759</v>
      </c>
      <c r="ET136" s="0" t="n">
        <v>35</v>
      </c>
      <c r="EU136" s="0" t="n">
        <v>17</v>
      </c>
      <c r="EV136" s="0" t="n">
        <v>3.83709273182957</v>
      </c>
      <c r="EW136" s="0" t="n">
        <v>0.485714285714286</v>
      </c>
      <c r="EX136" s="0" t="n">
        <v>2.88168562194261</v>
      </c>
      <c r="EY136" s="0" t="n">
        <v>2.812</v>
      </c>
      <c r="EZ136" s="0" t="n">
        <v>0.1937</v>
      </c>
      <c r="FA136" s="0" t="n">
        <v>2.099</v>
      </c>
      <c r="FB136" s="0" t="n">
        <v>1.8</v>
      </c>
      <c r="FC136" s="0" t="n">
        <v>23</v>
      </c>
      <c r="FD136" s="0" t="n">
        <v>643</v>
      </c>
      <c r="FE136" s="0" t="n">
        <v>0.0482115085536547</v>
      </c>
      <c r="FF136" s="0" t="n">
        <v>0.0526</v>
      </c>
      <c r="FG136" s="0" t="n">
        <v>0.2216</v>
      </c>
      <c r="FH136" s="0" t="n">
        <v>2.345</v>
      </c>
      <c r="FI136" s="0" t="n">
        <v>1078</v>
      </c>
      <c r="FJ136" s="0" t="n">
        <v>0.570500927643785</v>
      </c>
      <c r="FK136" s="0" t="n">
        <v>17</v>
      </c>
      <c r="FL136" s="0" t="n">
        <v>63.41</v>
      </c>
      <c r="FM136" s="0" t="n">
        <v>0.5638</v>
      </c>
      <c r="FN136" s="0" t="n">
        <v>0.4362</v>
      </c>
      <c r="FO136" s="0" t="n">
        <v>-0.0098</v>
      </c>
      <c r="FP136" s="0" t="n">
        <v>-0.0779</v>
      </c>
      <c r="FQ136" s="0" t="n">
        <v>0.036</v>
      </c>
      <c r="FR136" s="0" t="n">
        <v>38</v>
      </c>
      <c r="FS136" s="0" t="n">
        <v>58</v>
      </c>
      <c r="FT136" s="0" t="n">
        <v>3.41</v>
      </c>
      <c r="FU136" s="0" t="n">
        <v>23.8</v>
      </c>
      <c r="FV136" s="0" t="n">
        <v>6010</v>
      </c>
      <c r="FW136" s="0" t="n">
        <v>4286</v>
      </c>
      <c r="FX136" s="0" t="n">
        <v>0.713</v>
      </c>
      <c r="FY136" s="0" t="n">
        <v>5</v>
      </c>
      <c r="FZ136" s="0" t="n">
        <v>2</v>
      </c>
      <c r="GA136" s="0" t="n">
        <v>-0.878307115745538</v>
      </c>
      <c r="GB136" s="0" t="n">
        <v>34.1</v>
      </c>
      <c r="GC136" s="0" t="n">
        <v>59.3</v>
      </c>
      <c r="GD136" s="0" t="n">
        <v>45.8</v>
      </c>
      <c r="GE136" s="0" t="n">
        <v>553</v>
      </c>
      <c r="GF136" s="0" t="n">
        <v>475</v>
      </c>
      <c r="GG136" s="0" t="n">
        <v>82</v>
      </c>
      <c r="GH136" s="0" t="n">
        <v>21</v>
      </c>
      <c r="GI136" s="0" t="n">
        <v>150</v>
      </c>
      <c r="GJ136" s="0" t="n">
        <v>18</v>
      </c>
      <c r="GK136" s="0" t="n">
        <v>0.148</v>
      </c>
      <c r="GL136" s="0" t="n">
        <v>0.044</v>
      </c>
      <c r="GM136" s="0" t="n">
        <v>0.12</v>
      </c>
      <c r="GN136" s="0" t="n">
        <v>9.069</v>
      </c>
      <c r="GO136" s="0" t="n">
        <v>8.319</v>
      </c>
      <c r="GP136" s="0" t="n">
        <v>7.569</v>
      </c>
      <c r="GQ136" s="0" t="n">
        <v>2.25</v>
      </c>
      <c r="GR136" s="0" t="n">
        <v>12.25</v>
      </c>
      <c r="GS136" s="0" t="n">
        <v>232</v>
      </c>
      <c r="GT136" s="0" t="n">
        <v>0.625</v>
      </c>
      <c r="GU136" s="0" t="n">
        <v>0.254</v>
      </c>
      <c r="GV136" s="0" t="n">
        <v>5.778</v>
      </c>
      <c r="GW136" s="0" t="n">
        <v>8.667</v>
      </c>
      <c r="GX136" s="0" t="n">
        <v>0.667</v>
      </c>
      <c r="GY136" s="0" t="n">
        <v>3.587</v>
      </c>
      <c r="GZ136" s="0" t="n">
        <v>2.139</v>
      </c>
      <c r="HA136" s="0" t="n">
        <v>9.292</v>
      </c>
      <c r="HB136" s="0" t="n">
        <v>2.701</v>
      </c>
      <c r="HC136" s="0" t="n">
        <v>0.022</v>
      </c>
      <c r="HD136" s="0" t="n">
        <v>-0.149</v>
      </c>
      <c r="HE136" s="0" t="n">
        <v>0.201</v>
      </c>
      <c r="HG136" s="0" t="n">
        <v>140.38</v>
      </c>
      <c r="HH136" s="0" t="n">
        <v>12.45</v>
      </c>
      <c r="HI136" s="0" t="n">
        <v>99</v>
      </c>
      <c r="HJ136" s="0" t="n">
        <v>175</v>
      </c>
      <c r="HK136" s="0" t="s">
        <v>909</v>
      </c>
      <c r="HL136" s="0" t="n">
        <v>0</v>
      </c>
      <c r="HM136" s="0" t="n">
        <v>30</v>
      </c>
      <c r="HN136" s="0" t="n">
        <v>44</v>
      </c>
      <c r="HO136" s="0" t="n">
        <v>0.279</v>
      </c>
      <c r="HP136" s="0" t="n">
        <v>36</v>
      </c>
      <c r="HQ136" s="0" t="n">
        <v>0.015</v>
      </c>
      <c r="HR136" s="0" t="s">
        <v>102</v>
      </c>
    </row>
    <row r="137" customFormat="false" ht="15" hidden="false" customHeight="false" outlineLevel="0" collapsed="false">
      <c r="A137" s="0" t="s">
        <v>896</v>
      </c>
      <c r="B137" s="0" t="s">
        <v>897</v>
      </c>
      <c r="C137" s="0" t="s">
        <v>898</v>
      </c>
      <c r="D137" s="0" t="s">
        <v>413</v>
      </c>
      <c r="E137" s="0" t="n">
        <v>23071</v>
      </c>
      <c r="F137" s="0" t="s">
        <v>172</v>
      </c>
      <c r="G137" s="0" t="n">
        <v>140.95</v>
      </c>
      <c r="H137" s="0" t="n">
        <v>17.22</v>
      </c>
      <c r="I137" s="0" t="n">
        <v>104</v>
      </c>
      <c r="J137" s="0" t="n">
        <v>214</v>
      </c>
      <c r="L137" s="0" t="s">
        <v>1682</v>
      </c>
      <c r="O137" s="0" t="n">
        <v>31.8</v>
      </c>
      <c r="U137" s="0" t="n">
        <v>8</v>
      </c>
      <c r="V137" s="0" t="s">
        <v>1683</v>
      </c>
      <c r="W137" s="0" t="s">
        <v>901</v>
      </c>
      <c r="X137" s="0" t="s">
        <v>139</v>
      </c>
      <c r="Y137" s="0" t="s">
        <v>1684</v>
      </c>
      <c r="Z137" s="0" t="n">
        <v>23071</v>
      </c>
      <c r="AA137" s="0" t="s">
        <v>1685</v>
      </c>
      <c r="AB137" s="0" t="s">
        <v>904</v>
      </c>
      <c r="AC137" s="0" t="s">
        <v>139</v>
      </c>
      <c r="AD137" s="0" t="s">
        <v>139</v>
      </c>
      <c r="AE137" s="0" t="s">
        <v>139</v>
      </c>
      <c r="AF137" s="0" t="s">
        <v>139</v>
      </c>
      <c r="AG137" s="0" t="s">
        <v>139</v>
      </c>
      <c r="AH137" s="0" t="s">
        <v>905</v>
      </c>
      <c r="AI137" s="0" t="n">
        <v>1</v>
      </c>
      <c r="AJ137" s="0" t="s">
        <v>172</v>
      </c>
      <c r="AK137" s="0" t="n">
        <v>136</v>
      </c>
      <c r="AL137" s="0" t="n">
        <v>22</v>
      </c>
      <c r="AM137" s="0" t="s">
        <v>414</v>
      </c>
      <c r="AN137" s="0" t="n">
        <v>273</v>
      </c>
      <c r="AO137" s="0" t="n">
        <v>423</v>
      </c>
      <c r="AP137" s="0" t="n">
        <v>3041</v>
      </c>
      <c r="AQ137" s="0" t="n">
        <v>19</v>
      </c>
      <c r="AR137" s="0" t="n">
        <v>8</v>
      </c>
      <c r="AS137" s="0" t="n">
        <v>23</v>
      </c>
      <c r="AT137" s="0" t="n">
        <v>3405</v>
      </c>
      <c r="AU137" s="0" t="n">
        <v>136</v>
      </c>
      <c r="AV137" s="0" t="n">
        <v>47.6611981935781</v>
      </c>
      <c r="AW137" s="0" t="n">
        <v>48</v>
      </c>
      <c r="AX137" s="0" t="n">
        <v>209</v>
      </c>
      <c r="AY137" s="0" t="n">
        <v>1</v>
      </c>
      <c r="AZ137" s="0" t="n">
        <v>18</v>
      </c>
      <c r="BA137" s="0" t="n">
        <v>15.042248274062</v>
      </c>
      <c r="BB137" s="0" t="n">
        <v>0</v>
      </c>
      <c r="BC137" s="0" t="n">
        <v>0</v>
      </c>
      <c r="BD137" s="0" t="n">
        <v>0</v>
      </c>
      <c r="BE137" s="0" t="n">
        <v>0</v>
      </c>
      <c r="BF137" s="0" t="n">
        <v>0</v>
      </c>
      <c r="BG137" s="0" t="n">
        <v>0</v>
      </c>
      <c r="BH137" s="0" t="n">
        <v>0</v>
      </c>
      <c r="BI137" s="0" t="n">
        <v>0</v>
      </c>
      <c r="BJ137" s="0" t="n">
        <v>0</v>
      </c>
      <c r="BK137" s="0" t="n">
        <v>0</v>
      </c>
      <c r="BL137" s="0" t="n">
        <v>0</v>
      </c>
      <c r="BM137" s="0" t="n">
        <v>208.54</v>
      </c>
      <c r="BN137" s="0" t="n">
        <v>208.54</v>
      </c>
      <c r="BO137" s="0" t="n">
        <v>14</v>
      </c>
      <c r="BP137" s="0" t="s">
        <v>139</v>
      </c>
      <c r="BQ137" s="0" t="n">
        <v>1</v>
      </c>
      <c r="BR137" s="0" t="n">
        <v>208.54</v>
      </c>
      <c r="BS137" s="0" t="n">
        <v>0</v>
      </c>
      <c r="BT137" s="0" t="n">
        <v>0.1011</v>
      </c>
      <c r="BU137" s="0" t="n">
        <v>0</v>
      </c>
      <c r="BV137" s="0" t="n">
        <v>0</v>
      </c>
      <c r="BW137" s="0" t="n">
        <v>0.1188</v>
      </c>
      <c r="BX137" s="0" t="n">
        <v>0</v>
      </c>
      <c r="BY137" s="0" t="n">
        <v>0</v>
      </c>
      <c r="BZ137" s="0" t="n">
        <v>14</v>
      </c>
      <c r="CA137" s="0" t="n">
        <v>10.64</v>
      </c>
      <c r="CB137" s="0" t="n">
        <v>21.8</v>
      </c>
      <c r="CC137" s="0" t="n">
        <v>13.71</v>
      </c>
      <c r="CD137" s="0" t="n">
        <v>6.52</v>
      </c>
      <c r="CE137" s="0" t="n">
        <v>4</v>
      </c>
      <c r="CF137" s="0" t="n">
        <v>1</v>
      </c>
      <c r="CG137" s="0" t="n">
        <v>14</v>
      </c>
      <c r="CH137" s="0" t="n">
        <v>0.286</v>
      </c>
      <c r="CI137" s="0" t="n">
        <v>0.071</v>
      </c>
      <c r="CJ137" s="0" t="n">
        <v>0.476</v>
      </c>
      <c r="CK137" s="0" t="n">
        <v>0</v>
      </c>
      <c r="CL137" s="0" t="n">
        <v>0</v>
      </c>
      <c r="CM137" s="0" t="n">
        <v>0</v>
      </c>
      <c r="CN137" s="0" t="n">
        <v>0</v>
      </c>
      <c r="CO137" s="0" t="n">
        <v>0</v>
      </c>
      <c r="CP137" s="0" t="n">
        <v>6</v>
      </c>
      <c r="CQ137" s="0" t="n">
        <v>3</v>
      </c>
      <c r="CR137" s="0" t="n">
        <v>2</v>
      </c>
      <c r="CS137" s="0" t="n">
        <v>1</v>
      </c>
      <c r="CT137" s="0" t="n">
        <v>1.55426888864021</v>
      </c>
      <c r="CU137" s="0" t="n">
        <v>6</v>
      </c>
      <c r="CV137" s="0" t="n">
        <v>3</v>
      </c>
      <c r="CW137" s="0" t="n">
        <v>2</v>
      </c>
      <c r="CX137" s="0" t="n">
        <v>1</v>
      </c>
      <c r="CY137" s="0" t="n">
        <v>1.55</v>
      </c>
      <c r="CZ137" s="0" t="n">
        <v>-0.55</v>
      </c>
      <c r="DM137" s="0" t="s">
        <v>1686</v>
      </c>
      <c r="DN137" s="0" t="n">
        <v>48</v>
      </c>
      <c r="DO137" s="0" t="n">
        <v>0</v>
      </c>
      <c r="DP137" s="0" t="n">
        <v>3.792</v>
      </c>
      <c r="DQ137" s="0" t="n">
        <v>0.562</v>
      </c>
      <c r="DZ137" s="0" t="n">
        <v>868</v>
      </c>
      <c r="EA137" s="0" t="n">
        <v>0.912</v>
      </c>
      <c r="EB137" s="0" t="n">
        <v>14</v>
      </c>
      <c r="EC137" s="0" t="s">
        <v>1687</v>
      </c>
      <c r="ED137" s="0" t="n">
        <v>2023</v>
      </c>
      <c r="EE137" s="0" t="n">
        <v>1</v>
      </c>
      <c r="EF137" s="0" t="n">
        <v>2</v>
      </c>
      <c r="EG137" s="0" t="n">
        <v>2023</v>
      </c>
      <c r="EH137" s="0" t="n">
        <v>2026</v>
      </c>
      <c r="EI137" s="0" t="n">
        <v>4</v>
      </c>
      <c r="EJ137" s="0" t="n">
        <v>75</v>
      </c>
      <c r="EK137" s="0" t="n">
        <v>218</v>
      </c>
      <c r="EL137" s="0" t="s">
        <v>933</v>
      </c>
      <c r="EM137" s="0" t="n">
        <v>24.9</v>
      </c>
      <c r="EN137" s="15" t="b">
        <f aca="false">FALSE()</f>
        <v>0</v>
      </c>
      <c r="EO137" s="0" t="n">
        <v>399</v>
      </c>
      <c r="EP137" s="0" t="n">
        <v>2.7453634085213</v>
      </c>
      <c r="EQ137" s="0" t="n">
        <v>0.203007518796993</v>
      </c>
      <c r="ER137" s="0" t="n">
        <v>1.1077694235589</v>
      </c>
      <c r="ES137" s="0" t="n">
        <v>0.496240601503759</v>
      </c>
      <c r="ET137" s="0" t="n">
        <v>35</v>
      </c>
      <c r="EU137" s="0" t="n">
        <v>17</v>
      </c>
      <c r="EV137" s="0" t="n">
        <v>3.83709273182957</v>
      </c>
      <c r="EW137" s="0" t="n">
        <v>0.485714285714286</v>
      </c>
      <c r="EX137" s="0" t="n">
        <v>2.88168562194261</v>
      </c>
      <c r="EY137" s="0" t="n">
        <v>2.812</v>
      </c>
      <c r="EZ137" s="0" t="n">
        <v>0.1937</v>
      </c>
      <c r="FA137" s="0" t="n">
        <v>2.099</v>
      </c>
      <c r="FB137" s="0" t="n">
        <v>1.8</v>
      </c>
      <c r="FC137" s="0" t="n">
        <v>23</v>
      </c>
      <c r="FD137" s="0" t="n">
        <v>643</v>
      </c>
      <c r="FE137" s="0" t="n">
        <v>0.0482115085536547</v>
      </c>
      <c r="FF137" s="0" t="n">
        <v>0.0526</v>
      </c>
      <c r="FG137" s="0" t="n">
        <v>0.2216</v>
      </c>
      <c r="FH137" s="0" t="n">
        <v>2.345</v>
      </c>
      <c r="FI137" s="0" t="n">
        <v>1078</v>
      </c>
      <c r="FJ137" s="0" t="n">
        <v>0.570500927643785</v>
      </c>
      <c r="FK137" s="0" t="n">
        <v>17</v>
      </c>
      <c r="FL137" s="0" t="n">
        <v>63.41</v>
      </c>
      <c r="FM137" s="0" t="n">
        <v>0.5638</v>
      </c>
      <c r="FN137" s="0" t="n">
        <v>0.4362</v>
      </c>
      <c r="FO137" s="0" t="n">
        <v>-0.0098</v>
      </c>
      <c r="FP137" s="0" t="n">
        <v>-0.0779</v>
      </c>
      <c r="FQ137" s="0" t="n">
        <v>0.036</v>
      </c>
      <c r="FR137" s="0" t="n">
        <v>38</v>
      </c>
      <c r="FS137" s="0" t="n">
        <v>58</v>
      </c>
      <c r="FT137" s="0" t="n">
        <v>3.41</v>
      </c>
      <c r="FU137" s="0" t="n">
        <v>23.8</v>
      </c>
      <c r="FV137" s="0" t="n">
        <v>6010</v>
      </c>
      <c r="FW137" s="0" t="n">
        <v>4286</v>
      </c>
      <c r="FX137" s="0" t="n">
        <v>0.713</v>
      </c>
      <c r="FY137" s="0" t="n">
        <v>5</v>
      </c>
      <c r="FZ137" s="0" t="n">
        <v>2</v>
      </c>
      <c r="GA137" s="0" t="n">
        <v>-0.878307115745538</v>
      </c>
      <c r="GB137" s="0" t="n">
        <v>34.1</v>
      </c>
      <c r="GC137" s="0" t="n">
        <v>59.3</v>
      </c>
      <c r="GD137" s="0" t="n">
        <v>45.8</v>
      </c>
      <c r="GE137" s="0" t="n">
        <v>553</v>
      </c>
      <c r="GF137" s="0" t="n">
        <v>475</v>
      </c>
      <c r="GG137" s="0" t="n">
        <v>82</v>
      </c>
      <c r="GH137" s="0" t="n">
        <v>21</v>
      </c>
      <c r="GI137" s="0" t="n">
        <v>150</v>
      </c>
      <c r="GJ137" s="0" t="n">
        <v>18</v>
      </c>
      <c r="GK137" s="0" t="n">
        <v>0.148</v>
      </c>
      <c r="GL137" s="0" t="n">
        <v>0.044</v>
      </c>
      <c r="GM137" s="0" t="n">
        <v>0.12</v>
      </c>
      <c r="GN137" s="0" t="n">
        <v>14.896</v>
      </c>
      <c r="GO137" s="0" t="n">
        <v>14.896</v>
      </c>
      <c r="GP137" s="0" t="n">
        <v>14.896</v>
      </c>
      <c r="GQ137" s="0" t="n">
        <v>0</v>
      </c>
      <c r="GR137" s="0" t="n">
        <v>3.429</v>
      </c>
      <c r="GS137" s="0" t="n">
        <v>48</v>
      </c>
      <c r="GT137" s="0" t="n">
        <v>4.345</v>
      </c>
      <c r="GU137" s="0" t="n">
        <v>0.24</v>
      </c>
      <c r="GY137" s="0" t="n">
        <v>4.354</v>
      </c>
      <c r="HC137" s="0" t="n">
        <v>0.021</v>
      </c>
      <c r="HD137" s="0" t="n">
        <v>0.313</v>
      </c>
      <c r="HG137" s="0" t="n">
        <v>140.95</v>
      </c>
      <c r="HH137" s="0" t="n">
        <v>17.22</v>
      </c>
      <c r="HI137" s="0" t="n">
        <v>104</v>
      </c>
      <c r="HJ137" s="0" t="n">
        <v>214</v>
      </c>
      <c r="HK137" s="0" t="s">
        <v>909</v>
      </c>
      <c r="HL137" s="0" t="n">
        <v>0</v>
      </c>
      <c r="HM137" s="0" t="n">
        <v>21</v>
      </c>
      <c r="HN137" s="0" t="n">
        <v>22</v>
      </c>
      <c r="HO137" s="0" t="n">
        <v>-0.106</v>
      </c>
      <c r="HP137" s="0" t="n">
        <v>22</v>
      </c>
      <c r="HQ137" s="0" t="n">
        <v>-0.15</v>
      </c>
      <c r="HR137" s="0" t="s">
        <v>102</v>
      </c>
    </row>
    <row r="138" customFormat="false" ht="15" hidden="false" customHeight="false" outlineLevel="0" collapsed="false">
      <c r="A138" s="0" t="s">
        <v>896</v>
      </c>
      <c r="B138" s="0" t="s">
        <v>897</v>
      </c>
      <c r="C138" s="0" t="s">
        <v>898</v>
      </c>
      <c r="D138" s="0" t="s">
        <v>415</v>
      </c>
      <c r="E138" s="0" t="n">
        <v>17236</v>
      </c>
      <c r="F138" s="0" t="s">
        <v>172</v>
      </c>
      <c r="G138" s="0" t="n">
        <v>141.92</v>
      </c>
      <c r="H138" s="0" t="n">
        <v>13.57</v>
      </c>
      <c r="I138" s="0" t="n">
        <v>119</v>
      </c>
      <c r="J138" s="0" t="n">
        <v>203</v>
      </c>
      <c r="L138" s="0" t="s">
        <v>1688</v>
      </c>
      <c r="O138" s="0" t="n">
        <v>36.3</v>
      </c>
      <c r="U138" s="0" t="n">
        <v>11</v>
      </c>
      <c r="V138" s="0" t="s">
        <v>415</v>
      </c>
      <c r="W138" s="0" t="s">
        <v>901</v>
      </c>
      <c r="X138" s="0" t="s">
        <v>115</v>
      </c>
      <c r="Y138" s="0" t="s">
        <v>1689</v>
      </c>
      <c r="Z138" s="0" t="n">
        <v>17236</v>
      </c>
      <c r="AA138" s="0" t="s">
        <v>1690</v>
      </c>
      <c r="AB138" s="0" t="s">
        <v>904</v>
      </c>
      <c r="AC138" s="0" t="s">
        <v>115</v>
      </c>
      <c r="AD138" s="0" t="s">
        <v>115</v>
      </c>
      <c r="AE138" s="0" t="s">
        <v>115</v>
      </c>
      <c r="AF138" s="0" t="s">
        <v>115</v>
      </c>
      <c r="AG138" s="0" t="s">
        <v>115</v>
      </c>
      <c r="AH138" s="0" t="s">
        <v>905</v>
      </c>
      <c r="AI138" s="0" t="n">
        <v>1</v>
      </c>
      <c r="AJ138" s="0" t="s">
        <v>172</v>
      </c>
      <c r="AK138" s="0" t="n">
        <v>137</v>
      </c>
      <c r="AL138" s="0" t="n">
        <v>23</v>
      </c>
      <c r="AM138" s="0" t="s">
        <v>416</v>
      </c>
      <c r="AN138" s="0" t="n">
        <v>323</v>
      </c>
      <c r="AO138" s="0" t="n">
        <v>477</v>
      </c>
      <c r="AP138" s="0" t="n">
        <v>4048</v>
      </c>
      <c r="AQ138" s="0" t="n">
        <v>25</v>
      </c>
      <c r="AR138" s="0" t="n">
        <v>14</v>
      </c>
      <c r="AS138" s="0" t="n">
        <v>27</v>
      </c>
      <c r="AT138" s="0" t="n">
        <v>3751</v>
      </c>
      <c r="AU138" s="0" t="n">
        <v>178</v>
      </c>
      <c r="AV138" s="0" t="n">
        <v>74.5774671271899</v>
      </c>
      <c r="AW138" s="0" t="n">
        <v>35</v>
      </c>
      <c r="AX138" s="0" t="n">
        <v>95</v>
      </c>
      <c r="AY138" s="0" t="n">
        <v>0</v>
      </c>
      <c r="AZ138" s="0" t="n">
        <v>10</v>
      </c>
      <c r="BA138" s="0" t="n">
        <v>-12.9723850409396</v>
      </c>
      <c r="BB138" s="0" t="n">
        <v>1</v>
      </c>
      <c r="BC138" s="0" t="n">
        <v>0</v>
      </c>
      <c r="BD138" s="0" t="n">
        <v>0</v>
      </c>
      <c r="BE138" s="0" t="n">
        <v>0</v>
      </c>
      <c r="BF138" s="0" t="n">
        <v>0</v>
      </c>
      <c r="BG138" s="0" t="n">
        <v>0</v>
      </c>
      <c r="BH138" s="0" t="n">
        <v>0</v>
      </c>
      <c r="BI138" s="0" t="n">
        <v>0</v>
      </c>
      <c r="BJ138" s="0" t="n">
        <v>0</v>
      </c>
      <c r="BK138" s="0" t="n">
        <v>0</v>
      </c>
      <c r="BL138" s="0" t="n">
        <v>0</v>
      </c>
      <c r="BM138" s="0" t="n">
        <v>235.42</v>
      </c>
      <c r="BN138" s="0" t="n">
        <v>235.42</v>
      </c>
      <c r="BO138" s="0" t="n">
        <v>17</v>
      </c>
      <c r="BP138" s="0" t="s">
        <v>115</v>
      </c>
      <c r="BQ138" s="0" t="n">
        <v>1</v>
      </c>
      <c r="BR138" s="0" t="n">
        <v>235.42</v>
      </c>
      <c r="BS138" s="0" t="n">
        <v>0</v>
      </c>
      <c r="BT138" s="0" t="n">
        <v>0.069</v>
      </c>
      <c r="BU138" s="0" t="n">
        <v>0</v>
      </c>
      <c r="BV138" s="0" t="n">
        <v>0</v>
      </c>
      <c r="BW138" s="0" t="n">
        <v>0.069</v>
      </c>
      <c r="BX138" s="0" t="n">
        <v>0</v>
      </c>
      <c r="BY138" s="0" t="n">
        <v>0</v>
      </c>
      <c r="BZ138" s="0" t="n">
        <v>17</v>
      </c>
      <c r="CA138" s="0" t="n">
        <v>6.08</v>
      </c>
      <c r="CB138" s="0" t="n">
        <v>21.36</v>
      </c>
      <c r="CC138" s="0" t="n">
        <v>15.8</v>
      </c>
      <c r="CD138" s="0" t="n">
        <v>7.98</v>
      </c>
      <c r="CE138" s="0" t="n">
        <v>7</v>
      </c>
      <c r="CF138" s="0" t="n">
        <v>5</v>
      </c>
      <c r="CG138" s="0" t="n">
        <v>17</v>
      </c>
      <c r="CH138" s="0" t="n">
        <v>0.412</v>
      </c>
      <c r="CI138" s="0" t="n">
        <v>0.294</v>
      </c>
      <c r="CJ138" s="0" t="n">
        <v>0.505</v>
      </c>
      <c r="CK138" s="0" t="n">
        <v>0</v>
      </c>
      <c r="CL138" s="0" t="n">
        <v>0</v>
      </c>
      <c r="CM138" s="0" t="n">
        <v>0</v>
      </c>
      <c r="CN138" s="0" t="n">
        <v>0</v>
      </c>
      <c r="CO138" s="0" t="n">
        <v>0</v>
      </c>
      <c r="CP138" s="0" t="n">
        <v>2</v>
      </c>
      <c r="CQ138" s="0" t="n">
        <v>1</v>
      </c>
      <c r="CR138" s="0" t="n">
        <v>0</v>
      </c>
      <c r="CS138" s="0" t="n">
        <v>0</v>
      </c>
      <c r="CT138" s="0" t="n">
        <v>0.337098182507531</v>
      </c>
      <c r="CU138" s="0" t="n">
        <v>2</v>
      </c>
      <c r="CV138" s="0" t="n">
        <v>1</v>
      </c>
      <c r="CW138" s="0" t="n">
        <v>0</v>
      </c>
      <c r="CX138" s="0" t="n">
        <v>0</v>
      </c>
      <c r="CY138" s="0" t="n">
        <v>0.34</v>
      </c>
      <c r="CZ138" s="0" t="n">
        <v>-0.34</v>
      </c>
      <c r="DM138" s="0" t="s">
        <v>1691</v>
      </c>
      <c r="DN138" s="0" t="n">
        <v>35</v>
      </c>
      <c r="DO138" s="0" t="n">
        <v>0</v>
      </c>
      <c r="DP138" s="0" t="n">
        <v>2.486</v>
      </c>
      <c r="DQ138" s="0" t="n">
        <v>0.229</v>
      </c>
      <c r="DZ138" s="0" t="n">
        <v>1026</v>
      </c>
      <c r="EA138" s="0" t="n">
        <v>0.962</v>
      </c>
      <c r="EB138" s="0" t="n">
        <v>17</v>
      </c>
      <c r="EC138" s="0" t="s">
        <v>1692</v>
      </c>
      <c r="ED138" s="0" t="n">
        <v>2018</v>
      </c>
      <c r="EE138" s="0" t="n">
        <v>1</v>
      </c>
      <c r="EF138" s="0" t="n">
        <v>3</v>
      </c>
      <c r="EG138" s="0" t="n">
        <v>2018</v>
      </c>
      <c r="EH138" s="0" t="n">
        <v>2026</v>
      </c>
      <c r="EI138" s="0" t="n">
        <v>9</v>
      </c>
      <c r="EJ138" s="0" t="n">
        <v>75</v>
      </c>
      <c r="EK138" s="0" t="n">
        <v>225</v>
      </c>
      <c r="EL138" s="0" t="s">
        <v>940</v>
      </c>
      <c r="EM138" s="0" t="n">
        <v>29.2</v>
      </c>
      <c r="EN138" s="15" t="b">
        <f aca="false">FALSE()</f>
        <v>0</v>
      </c>
      <c r="EO138" s="0" t="n">
        <v>435</v>
      </c>
      <c r="EP138" s="0" t="n">
        <v>2.8048275862069</v>
      </c>
      <c r="EQ138" s="0" t="n">
        <v>0.204597701149425</v>
      </c>
      <c r="ER138" s="0" t="n">
        <v>1.20689655172414</v>
      </c>
      <c r="ES138" s="0" t="n">
        <v>0.809195402298851</v>
      </c>
      <c r="ET138" s="0" t="n">
        <v>31</v>
      </c>
      <c r="EU138" s="0" t="n">
        <v>19</v>
      </c>
      <c r="EV138" s="0" t="n">
        <v>4.26666666666667</v>
      </c>
      <c r="EW138" s="0" t="n">
        <v>0.612903225806452</v>
      </c>
      <c r="EX138" s="0" t="n">
        <v>2.99550865366612</v>
      </c>
      <c r="EY138" s="0" t="n">
        <v>2.758</v>
      </c>
      <c r="EZ138" s="0" t="n">
        <v>0.2121</v>
      </c>
      <c r="FA138" s="0" t="n">
        <v>2.477</v>
      </c>
      <c r="FB138" s="0" t="n">
        <v>1.657</v>
      </c>
      <c r="FC138" s="0" t="n">
        <v>42</v>
      </c>
      <c r="FD138" s="0" t="n">
        <v>518</v>
      </c>
      <c r="FE138" s="0" t="n">
        <v>0.0521235521235521</v>
      </c>
      <c r="FF138" s="0" t="n">
        <v>0.0535</v>
      </c>
      <c r="FG138" s="0" t="n">
        <v>0.2266</v>
      </c>
      <c r="FH138" s="0" t="n">
        <v>2.4</v>
      </c>
      <c r="FI138" s="0" t="n">
        <v>997</v>
      </c>
      <c r="FJ138" s="0" t="n">
        <v>0.507522567703109</v>
      </c>
      <c r="FK138" s="0" t="n">
        <v>17</v>
      </c>
      <c r="FL138" s="0" t="n">
        <v>58.65</v>
      </c>
      <c r="FM138" s="0" t="n">
        <v>0.5204</v>
      </c>
      <c r="FN138" s="0" t="n">
        <v>0.4796</v>
      </c>
      <c r="FO138" s="0" t="n">
        <v>-0.0677</v>
      </c>
      <c r="FP138" s="0" t="n">
        <v>-0.0491</v>
      </c>
      <c r="FQ138" s="0" t="n">
        <v>0.1122</v>
      </c>
      <c r="FR138" s="0" t="n">
        <v>39</v>
      </c>
      <c r="FS138" s="0" t="n">
        <v>60</v>
      </c>
      <c r="FT138" s="0" t="n">
        <v>3.53</v>
      </c>
      <c r="FU138" s="0" t="n">
        <v>28.4</v>
      </c>
      <c r="FV138" s="0" t="n">
        <v>5338</v>
      </c>
      <c r="FW138" s="0" t="n">
        <v>5026</v>
      </c>
      <c r="FX138" s="0" t="n">
        <v>0.942</v>
      </c>
      <c r="FY138" s="0" t="n">
        <v>5</v>
      </c>
      <c r="FZ138" s="0" t="n">
        <v>5</v>
      </c>
      <c r="GA138" s="0" t="n">
        <v>-0.594571744764181</v>
      </c>
      <c r="GB138" s="0" t="n">
        <v>39.3</v>
      </c>
      <c r="GC138" s="0" t="n">
        <v>60.5</v>
      </c>
      <c r="GD138" s="0" t="n">
        <v>49.9</v>
      </c>
      <c r="GE138" s="0" t="n">
        <v>455</v>
      </c>
      <c r="GF138" s="0" t="n">
        <v>507</v>
      </c>
      <c r="GG138" s="0" t="n">
        <v>39</v>
      </c>
      <c r="GH138" s="0" t="n">
        <v>221</v>
      </c>
      <c r="GI138" s="0" t="n">
        <v>158</v>
      </c>
      <c r="GJ138" s="0" t="n">
        <v>37</v>
      </c>
      <c r="GK138" s="0" t="n">
        <v>0.086</v>
      </c>
      <c r="GL138" s="0" t="n">
        <v>0.436</v>
      </c>
      <c r="GM138" s="0" t="n">
        <v>0.234</v>
      </c>
      <c r="GN138" s="0" t="n">
        <v>13.848</v>
      </c>
      <c r="GO138" s="0" t="n">
        <v>13.848</v>
      </c>
      <c r="GP138" s="0" t="n">
        <v>13.848</v>
      </c>
      <c r="GQ138" s="0" t="n">
        <v>0</v>
      </c>
      <c r="GR138" s="0" t="n">
        <v>2.059</v>
      </c>
      <c r="GS138" s="0" t="n">
        <v>35</v>
      </c>
      <c r="GT138" s="0" t="n">
        <v>6.726</v>
      </c>
      <c r="GU138" s="0" t="n">
        <v>0.229</v>
      </c>
      <c r="GY138" s="0" t="n">
        <v>2.714</v>
      </c>
      <c r="HC138" s="0" t="n">
        <v>0</v>
      </c>
      <c r="HD138" s="0" t="n">
        <v>-0.371</v>
      </c>
      <c r="HG138" s="0" t="n">
        <v>141.92</v>
      </c>
      <c r="HH138" s="0" t="n">
        <v>13.57</v>
      </c>
      <c r="HI138" s="0" t="n">
        <v>119</v>
      </c>
      <c r="HJ138" s="0" t="n">
        <v>203</v>
      </c>
      <c r="HK138" s="0" t="s">
        <v>909</v>
      </c>
      <c r="HL138" s="0" t="n">
        <v>0</v>
      </c>
      <c r="HM138" s="0" t="n">
        <v>14</v>
      </c>
      <c r="HN138" s="0" t="n">
        <v>23</v>
      </c>
      <c r="HO138" s="0" t="n">
        <v>0.236</v>
      </c>
      <c r="HP138" s="0" t="n">
        <v>25</v>
      </c>
      <c r="HQ138" s="0" t="n">
        <v>-0.246</v>
      </c>
      <c r="HR138" s="0" t="s">
        <v>102</v>
      </c>
    </row>
    <row r="139" customFormat="false" ht="15" hidden="false" customHeight="false" outlineLevel="0" collapsed="false">
      <c r="A139" s="0" t="s">
        <v>896</v>
      </c>
      <c r="B139" s="0" t="s">
        <v>897</v>
      </c>
      <c r="C139" s="0" t="s">
        <v>898</v>
      </c>
      <c r="D139" s="0" t="s">
        <v>417</v>
      </c>
      <c r="E139" s="0" t="n">
        <v>18244</v>
      </c>
      <c r="F139" s="0" t="s">
        <v>99</v>
      </c>
      <c r="G139" s="0" t="n">
        <v>142.01</v>
      </c>
      <c r="H139" s="0" t="n">
        <v>34.85</v>
      </c>
      <c r="I139" s="0" t="n">
        <v>83</v>
      </c>
      <c r="J139" s="0" t="n">
        <v>241</v>
      </c>
      <c r="L139" s="0" t="s">
        <v>1693</v>
      </c>
      <c r="O139" s="0" t="n">
        <v>58.5</v>
      </c>
      <c r="T139" s="0" t="n">
        <v>6</v>
      </c>
      <c r="U139" s="0" t="n">
        <v>8</v>
      </c>
      <c r="V139" s="0" t="s">
        <v>1694</v>
      </c>
      <c r="W139" s="0" t="s">
        <v>901</v>
      </c>
      <c r="X139" s="0" t="s">
        <v>948</v>
      </c>
      <c r="Y139" s="0" t="s">
        <v>1695</v>
      </c>
      <c r="Z139" s="0" t="n">
        <v>18244</v>
      </c>
      <c r="AA139" s="0" t="s">
        <v>1696</v>
      </c>
      <c r="AB139" s="0" t="s">
        <v>904</v>
      </c>
      <c r="AD139" s="0" t="s">
        <v>124</v>
      </c>
      <c r="AE139" s="0" t="s">
        <v>124</v>
      </c>
      <c r="AF139" s="0" t="s">
        <v>124</v>
      </c>
      <c r="AG139" s="0" t="s">
        <v>124</v>
      </c>
      <c r="AH139" s="0" t="s">
        <v>1541</v>
      </c>
      <c r="AI139" s="0" t="n">
        <v>2</v>
      </c>
      <c r="AJ139" s="0" t="s">
        <v>99</v>
      </c>
      <c r="AK139" s="0" t="n">
        <v>138</v>
      </c>
      <c r="AL139" s="0" t="n">
        <v>56</v>
      </c>
      <c r="AM139" s="0" t="s">
        <v>418</v>
      </c>
      <c r="AN139" s="0" t="n">
        <v>0</v>
      </c>
      <c r="AO139" s="0" t="n">
        <v>0</v>
      </c>
      <c r="AP139" s="0" t="n">
        <v>0</v>
      </c>
      <c r="AQ139" s="0" t="n">
        <v>0</v>
      </c>
      <c r="AR139" s="0" t="n">
        <v>0</v>
      </c>
      <c r="AS139" s="0" t="n">
        <v>0</v>
      </c>
      <c r="AT139" s="0" t="n">
        <v>0</v>
      </c>
      <c r="AU139" s="0" t="n">
        <v>0</v>
      </c>
      <c r="AV139" s="0" t="n">
        <v>0</v>
      </c>
      <c r="AW139" s="0" t="n">
        <v>17</v>
      </c>
      <c r="AX139" s="0" t="n">
        <v>75</v>
      </c>
      <c r="AY139" s="0" t="n">
        <v>1</v>
      </c>
      <c r="AZ139" s="0" t="n">
        <v>4</v>
      </c>
      <c r="BA139" s="0" t="n">
        <v>0.142600561899599</v>
      </c>
      <c r="BB139" s="0" t="n">
        <v>0</v>
      </c>
      <c r="BC139" s="0" t="n">
        <v>72</v>
      </c>
      <c r="BD139" s="0" t="n">
        <v>99</v>
      </c>
      <c r="BE139" s="0" t="n">
        <v>727</v>
      </c>
      <c r="BF139" s="0" t="n">
        <v>5</v>
      </c>
      <c r="BG139" s="0" t="n">
        <v>527</v>
      </c>
      <c r="BH139" s="0" t="n">
        <v>466</v>
      </c>
      <c r="BI139" s="0" t="n">
        <v>32</v>
      </c>
      <c r="BJ139" s="0" t="n">
        <v>17.6210900149823</v>
      </c>
      <c r="BK139" s="0" t="n">
        <v>0</v>
      </c>
      <c r="BL139" s="0" t="n">
        <v>0</v>
      </c>
      <c r="BM139" s="0" t="n">
        <v>116.2</v>
      </c>
      <c r="BN139" s="0" t="n">
        <v>188.2</v>
      </c>
      <c r="BO139" s="0" t="n">
        <v>16</v>
      </c>
      <c r="BP139" s="0" t="s">
        <v>221</v>
      </c>
      <c r="BQ139" s="0" t="n">
        <v>1</v>
      </c>
      <c r="BR139" s="0" t="n">
        <v>152.2</v>
      </c>
      <c r="BS139" s="0" t="n">
        <v>0.2292</v>
      </c>
      <c r="BT139" s="0" t="n">
        <v>0.0351</v>
      </c>
      <c r="BU139" s="0" t="n">
        <v>0.1405</v>
      </c>
      <c r="BV139" s="0" t="n">
        <v>0.2469</v>
      </c>
      <c r="BW139" s="0" t="n">
        <v>0.0373</v>
      </c>
      <c r="BX139" s="0" t="n">
        <v>0.1532</v>
      </c>
      <c r="BY139" s="0" t="n">
        <v>0.4776</v>
      </c>
      <c r="BZ139" s="0" t="n">
        <v>16</v>
      </c>
      <c r="CA139" s="0" t="n">
        <v>6.22</v>
      </c>
      <c r="CB139" s="0" t="n">
        <v>20.55</v>
      </c>
      <c r="CC139" s="0" t="n">
        <v>10.25</v>
      </c>
      <c r="CD139" s="0" t="n">
        <v>6.94</v>
      </c>
      <c r="CE139" s="0" t="n">
        <v>4</v>
      </c>
      <c r="CF139" s="0" t="n">
        <v>0</v>
      </c>
      <c r="CG139" s="0" t="n">
        <v>16</v>
      </c>
      <c r="CH139" s="0" t="n">
        <v>0.25</v>
      </c>
      <c r="CI139" s="0" t="n">
        <v>0</v>
      </c>
      <c r="CJ139" s="0" t="n">
        <v>0.677</v>
      </c>
      <c r="CK139" s="0" t="n">
        <v>12</v>
      </c>
      <c r="CL139" s="0" t="n">
        <v>7</v>
      </c>
      <c r="CM139" s="0" t="n">
        <v>3</v>
      </c>
      <c r="CN139" s="0" t="n">
        <v>5</v>
      </c>
      <c r="CO139" s="0" t="n">
        <v>5.07992012429982</v>
      </c>
      <c r="CP139" s="0" t="n">
        <v>4</v>
      </c>
      <c r="CQ139" s="0" t="n">
        <v>2</v>
      </c>
      <c r="CR139" s="0" t="n">
        <v>1</v>
      </c>
      <c r="CS139" s="0" t="n">
        <v>1</v>
      </c>
      <c r="CT139" s="0" t="n">
        <v>0.559673057856068</v>
      </c>
      <c r="CU139" s="0" t="n">
        <v>16</v>
      </c>
      <c r="CV139" s="0" t="n">
        <v>9</v>
      </c>
      <c r="CW139" s="0" t="n">
        <v>4</v>
      </c>
      <c r="CX139" s="0" t="n">
        <v>6</v>
      </c>
      <c r="CY139" s="0" t="n">
        <v>5.64</v>
      </c>
      <c r="CZ139" s="0" t="n">
        <v>0.36</v>
      </c>
      <c r="DA139" s="0" t="n">
        <v>3.5421433779842</v>
      </c>
      <c r="DB139" s="0" t="n">
        <v>6.29160493827161</v>
      </c>
      <c r="DC139" s="0" t="n">
        <v>5.32181818181818</v>
      </c>
      <c r="DD139" s="0" t="n">
        <v>13.985453387131</v>
      </c>
      <c r="DE139" s="0" t="n">
        <v>1.08871252755439</v>
      </c>
      <c r="DF139" s="0" t="n">
        <v>72.7272727272727</v>
      </c>
      <c r="DM139" s="0" t="s">
        <v>1697</v>
      </c>
      <c r="DN139" s="0" t="n">
        <v>17</v>
      </c>
      <c r="DO139" s="0" t="n">
        <v>2</v>
      </c>
      <c r="DS139" s="0" t="n">
        <v>99</v>
      </c>
      <c r="DT139" s="0" t="n">
        <v>6</v>
      </c>
      <c r="DU139" s="0" t="n">
        <v>6</v>
      </c>
      <c r="DV139" s="0" t="n">
        <v>3.625</v>
      </c>
      <c r="DW139" s="0" t="n">
        <v>6.472</v>
      </c>
      <c r="DX139" s="0" t="n">
        <v>5.2</v>
      </c>
      <c r="DY139" s="0" t="n">
        <v>0.0606</v>
      </c>
      <c r="DZ139" s="0" t="n">
        <v>713</v>
      </c>
      <c r="EA139" s="0" t="n">
        <v>0.722</v>
      </c>
      <c r="EB139" s="0" t="n">
        <v>16</v>
      </c>
      <c r="EC139" s="0" t="s">
        <v>1698</v>
      </c>
      <c r="ED139" s="0" t="n">
        <v>2019</v>
      </c>
      <c r="EE139" s="0" t="n">
        <v>2</v>
      </c>
      <c r="EF139" s="0" t="n">
        <v>36</v>
      </c>
      <c r="EG139" s="0" t="n">
        <v>2019</v>
      </c>
      <c r="EH139" s="0" t="n">
        <v>2026</v>
      </c>
      <c r="EI139" s="0" t="n">
        <v>8</v>
      </c>
      <c r="EJ139" s="0" t="n">
        <v>72</v>
      </c>
      <c r="EK139" s="0" t="n">
        <v>215</v>
      </c>
      <c r="EL139" s="0" t="s">
        <v>1420</v>
      </c>
      <c r="EM139" s="0" t="n">
        <v>30.6</v>
      </c>
      <c r="EN139" s="15" t="b">
        <f aca="false">FALSE()</f>
        <v>0</v>
      </c>
      <c r="EO139" s="0" t="n">
        <v>405</v>
      </c>
      <c r="EP139" s="0" t="n">
        <v>2.91456790123457</v>
      </c>
      <c r="EQ139" s="0" t="n">
        <v>0.180246913580247</v>
      </c>
      <c r="ER139" s="0" t="n">
        <v>1.17530864197531</v>
      </c>
      <c r="ES139" s="0" t="n">
        <v>0.402469135802469</v>
      </c>
      <c r="ET139" s="0" t="n">
        <v>29</v>
      </c>
      <c r="EU139" s="0" t="n">
        <v>19</v>
      </c>
      <c r="EV139" s="0" t="n">
        <v>3.94814814814815</v>
      </c>
      <c r="EW139" s="0" t="n">
        <v>0.655172413793103</v>
      </c>
      <c r="EX139" s="0" t="n">
        <v>2.9571088201075</v>
      </c>
      <c r="EY139" s="0" t="n">
        <v>2.906</v>
      </c>
      <c r="EZ139" s="0" t="n">
        <v>0.1848</v>
      </c>
      <c r="FA139" s="0" t="n">
        <v>2.349</v>
      </c>
      <c r="FB139" s="0" t="n">
        <v>1.428</v>
      </c>
      <c r="FC139" s="0" t="n">
        <v>23</v>
      </c>
      <c r="FD139" s="0" t="n">
        <v>624</v>
      </c>
      <c r="FE139" s="0" t="n">
        <v>0.0432692307692308</v>
      </c>
      <c r="FF139" s="0" t="n">
        <v>0.0428</v>
      </c>
      <c r="FG139" s="0" t="n">
        <v>0.2125</v>
      </c>
      <c r="FH139" s="0" t="n">
        <v>2.547</v>
      </c>
      <c r="FI139" s="0" t="n">
        <v>1065</v>
      </c>
      <c r="FJ139" s="0" t="n">
        <v>0.566197183098592</v>
      </c>
      <c r="FK139" s="0" t="n">
        <v>17</v>
      </c>
      <c r="FL139" s="0" t="n">
        <v>62.65</v>
      </c>
      <c r="FM139" s="0" t="n">
        <v>0.5521</v>
      </c>
      <c r="FN139" s="0" t="n">
        <v>0.4479</v>
      </c>
      <c r="FO139" s="0" t="n">
        <v>-0.0088</v>
      </c>
      <c r="FP139" s="0" t="n">
        <v>-0.0044</v>
      </c>
      <c r="FQ139" s="0" t="n">
        <v>0.1587</v>
      </c>
      <c r="FR139" s="0" t="n">
        <v>38</v>
      </c>
      <c r="FS139" s="0" t="n">
        <v>66</v>
      </c>
      <c r="FT139" s="0" t="n">
        <v>3.88</v>
      </c>
      <c r="FU139" s="0" t="n">
        <v>25.7</v>
      </c>
      <c r="FV139" s="0" t="n">
        <v>5615</v>
      </c>
      <c r="FW139" s="0" t="n">
        <v>4784</v>
      </c>
      <c r="FX139" s="0" t="n">
        <v>0.852</v>
      </c>
      <c r="FY139" s="0" t="n">
        <v>5</v>
      </c>
      <c r="FZ139" s="0" t="n">
        <v>4</v>
      </c>
      <c r="GA139" s="0" t="n">
        <v>-0.196965652614142</v>
      </c>
      <c r="GB139" s="0" t="n">
        <v>46.4</v>
      </c>
      <c r="GC139" s="0" t="n">
        <v>74.5</v>
      </c>
      <c r="GD139" s="0" t="n">
        <v>63.3</v>
      </c>
      <c r="GE139" s="0" t="n">
        <v>550</v>
      </c>
      <c r="GF139" s="0" t="n">
        <v>481</v>
      </c>
      <c r="GG139" s="0" t="n">
        <v>170</v>
      </c>
      <c r="GH139" s="0" t="n">
        <v>94</v>
      </c>
      <c r="GI139" s="0" t="n">
        <v>185</v>
      </c>
      <c r="GJ139" s="0" t="n">
        <v>38</v>
      </c>
      <c r="GK139" s="0" t="n">
        <v>0.309</v>
      </c>
      <c r="GL139" s="0" t="n">
        <v>0.195</v>
      </c>
      <c r="GM139" s="0" t="n">
        <v>0.205</v>
      </c>
      <c r="GN139" s="0" t="n">
        <v>11.763</v>
      </c>
      <c r="GO139" s="0" t="n">
        <v>9.513</v>
      </c>
      <c r="GP139" s="0" t="n">
        <v>7.262</v>
      </c>
      <c r="GQ139" s="0" t="n">
        <v>6.188</v>
      </c>
      <c r="GR139" s="0" t="n">
        <v>1.062</v>
      </c>
      <c r="GS139" s="0" t="n">
        <v>116</v>
      </c>
      <c r="GT139" s="0" t="n">
        <v>1.622</v>
      </c>
      <c r="GU139" s="0" t="n">
        <v>0.264</v>
      </c>
      <c r="GV139" s="0" t="n">
        <v>7.343</v>
      </c>
      <c r="GW139" s="0" t="n">
        <v>10.097</v>
      </c>
      <c r="GX139" s="0" t="n">
        <v>0.727</v>
      </c>
      <c r="GZ139" s="0" t="n">
        <v>5.323</v>
      </c>
      <c r="HA139" s="0" t="n">
        <v>6.472</v>
      </c>
      <c r="HB139" s="0" t="n">
        <v>1.38</v>
      </c>
      <c r="HC139" s="0" t="n">
        <v>0.052</v>
      </c>
      <c r="HE139" s="0" t="n">
        <v>0.178</v>
      </c>
      <c r="HG139" s="0" t="n">
        <v>142.01</v>
      </c>
      <c r="HH139" s="0" t="n">
        <v>34.85</v>
      </c>
      <c r="HI139" s="0" t="n">
        <v>83</v>
      </c>
      <c r="HJ139" s="0" t="n">
        <v>241</v>
      </c>
      <c r="HK139" s="0" t="s">
        <v>909</v>
      </c>
      <c r="HL139" s="0" t="n">
        <v>0</v>
      </c>
      <c r="HM139" s="0" t="n">
        <v>25</v>
      </c>
      <c r="HN139" s="0" t="n">
        <v>56</v>
      </c>
      <c r="HO139" s="0" t="n">
        <v>0.923</v>
      </c>
      <c r="HP139" s="0" t="n">
        <v>33</v>
      </c>
      <c r="HQ139" s="0" t="n">
        <v>0.572</v>
      </c>
      <c r="HR139" s="0" t="s">
        <v>232</v>
      </c>
    </row>
    <row r="140" customFormat="false" ht="15" hidden="false" customHeight="false" outlineLevel="0" collapsed="false">
      <c r="A140" s="0" t="s">
        <v>896</v>
      </c>
      <c r="B140" s="0" t="s">
        <v>897</v>
      </c>
      <c r="C140" s="0" t="s">
        <v>898</v>
      </c>
      <c r="D140" s="0" t="s">
        <v>419</v>
      </c>
      <c r="E140" s="0" t="n">
        <v>22986</v>
      </c>
      <c r="F140" s="0" t="s">
        <v>104</v>
      </c>
      <c r="G140" s="0" t="n">
        <v>143.1</v>
      </c>
      <c r="H140" s="0" t="n">
        <v>20.38</v>
      </c>
      <c r="I140" s="0" t="n">
        <v>118</v>
      </c>
      <c r="J140" s="0" t="n">
        <v>263</v>
      </c>
      <c r="L140" s="0" t="s">
        <v>1699</v>
      </c>
      <c r="O140" s="0" t="n">
        <v>39</v>
      </c>
      <c r="U140" s="0" t="n">
        <v>7</v>
      </c>
      <c r="V140" s="0" t="s">
        <v>1700</v>
      </c>
      <c r="W140" s="0" t="s">
        <v>901</v>
      </c>
      <c r="X140" s="0" t="s">
        <v>1284</v>
      </c>
      <c r="Y140" s="0" t="s">
        <v>1701</v>
      </c>
      <c r="Z140" s="0" t="n">
        <v>22986</v>
      </c>
      <c r="AA140" s="0" t="s">
        <v>1702</v>
      </c>
      <c r="AB140" s="0" t="s">
        <v>904</v>
      </c>
      <c r="AC140" s="0" t="s">
        <v>235</v>
      </c>
      <c r="AD140" s="0" t="s">
        <v>235</v>
      </c>
      <c r="AE140" s="0" t="s">
        <v>235</v>
      </c>
      <c r="AF140" s="0" t="s">
        <v>235</v>
      </c>
      <c r="AG140" s="0" t="s">
        <v>235</v>
      </c>
      <c r="AH140" s="0" t="s">
        <v>905</v>
      </c>
      <c r="AI140" s="0" t="n">
        <v>2</v>
      </c>
      <c r="AJ140" s="0" t="s">
        <v>104</v>
      </c>
      <c r="AK140" s="0" t="n">
        <v>139</v>
      </c>
      <c r="AL140" s="0" t="n">
        <v>45</v>
      </c>
      <c r="AM140" s="0" t="s">
        <v>420</v>
      </c>
      <c r="AN140" s="0" t="n">
        <v>0</v>
      </c>
      <c r="AO140" s="0" t="n">
        <v>0</v>
      </c>
      <c r="AP140" s="0" t="n">
        <v>0</v>
      </c>
      <c r="AQ140" s="0" t="n">
        <v>0</v>
      </c>
      <c r="AR140" s="0" t="n">
        <v>0</v>
      </c>
      <c r="AS140" s="0" t="n">
        <v>0</v>
      </c>
      <c r="AT140" s="0" t="n">
        <v>0</v>
      </c>
      <c r="AU140" s="0" t="n">
        <v>0</v>
      </c>
      <c r="AV140" s="0" t="n">
        <v>0</v>
      </c>
      <c r="AW140" s="0" t="n">
        <v>112</v>
      </c>
      <c r="AX140" s="0" t="n">
        <v>500</v>
      </c>
      <c r="AY140" s="0" t="n">
        <v>6</v>
      </c>
      <c r="AZ140" s="0" t="n">
        <v>32</v>
      </c>
      <c r="BA140" s="0" t="n">
        <v>6.19751576817362</v>
      </c>
      <c r="BB140" s="0" t="n">
        <v>0</v>
      </c>
      <c r="BC140" s="0" t="n">
        <v>3</v>
      </c>
      <c r="BD140" s="0" t="n">
        <v>4</v>
      </c>
      <c r="BE140" s="0" t="n">
        <v>30</v>
      </c>
      <c r="BF140" s="0" t="n">
        <v>0</v>
      </c>
      <c r="BG140" s="0" t="n">
        <v>16</v>
      </c>
      <c r="BH140" s="0" t="n">
        <v>26</v>
      </c>
      <c r="BI140" s="0" t="n">
        <v>1</v>
      </c>
      <c r="BJ140" s="0" t="n">
        <v>-3.30005039687967</v>
      </c>
      <c r="BK140" s="0" t="n">
        <v>0</v>
      </c>
      <c r="BL140" s="0" t="n">
        <v>0</v>
      </c>
      <c r="BM140" s="0" t="n">
        <v>89</v>
      </c>
      <c r="BN140" s="0" t="n">
        <v>92</v>
      </c>
      <c r="BO140" s="0" t="n">
        <v>12</v>
      </c>
      <c r="BP140" s="0" t="s">
        <v>221</v>
      </c>
      <c r="BQ140" s="0" t="n">
        <v>1</v>
      </c>
      <c r="BR140" s="0" t="n">
        <v>90.5</v>
      </c>
      <c r="BS140" s="0" t="n">
        <v>0.0093</v>
      </c>
      <c r="BT140" s="0" t="n">
        <v>0.2314</v>
      </c>
      <c r="BU140" s="0" t="n">
        <v>0.0043</v>
      </c>
      <c r="BV140" s="0" t="n">
        <v>0.0132</v>
      </c>
      <c r="BW140" s="0" t="n">
        <v>0.3209</v>
      </c>
      <c r="BX140" s="0" t="n">
        <v>0.0061</v>
      </c>
      <c r="BY140" s="0" t="n">
        <v>0.0241</v>
      </c>
      <c r="BZ140" s="0" t="n">
        <v>12</v>
      </c>
      <c r="CA140" s="0" t="n">
        <v>4.88</v>
      </c>
      <c r="CB140" s="0" t="n">
        <v>12.99</v>
      </c>
      <c r="CC140" s="0" t="n">
        <v>7.4</v>
      </c>
      <c r="CD140" s="0" t="n">
        <v>4.84</v>
      </c>
      <c r="CE140" s="0" t="n">
        <v>0</v>
      </c>
      <c r="CF140" s="0" t="n">
        <v>2</v>
      </c>
      <c r="CG140" s="0" t="n">
        <v>12</v>
      </c>
      <c r="CH140" s="0" t="n">
        <v>0</v>
      </c>
      <c r="CI140" s="0" t="n">
        <v>0.167</v>
      </c>
      <c r="CJ140" s="0" t="n">
        <v>0.654</v>
      </c>
      <c r="CK140" s="0" t="n">
        <v>1</v>
      </c>
      <c r="CL140" s="0" t="n">
        <v>0</v>
      </c>
      <c r="CM140" s="0" t="n">
        <v>0</v>
      </c>
      <c r="CN140" s="0" t="n">
        <v>0</v>
      </c>
      <c r="CO140" s="0" t="n">
        <v>0.212720814434682</v>
      </c>
      <c r="CP140" s="0" t="n">
        <v>33</v>
      </c>
      <c r="CQ140" s="0" t="n">
        <v>22</v>
      </c>
      <c r="CR140" s="0" t="n">
        <v>14</v>
      </c>
      <c r="CS140" s="0" t="n">
        <v>6</v>
      </c>
      <c r="CT140" s="0" t="n">
        <v>7.30505936736266</v>
      </c>
      <c r="CU140" s="0" t="n">
        <v>34</v>
      </c>
      <c r="CV140" s="0" t="n">
        <v>22</v>
      </c>
      <c r="CW140" s="0" t="n">
        <v>14</v>
      </c>
      <c r="CX140" s="0" t="n">
        <v>6</v>
      </c>
      <c r="CY140" s="0" t="n">
        <v>7.52</v>
      </c>
      <c r="CZ140" s="0" t="n">
        <v>-1.52</v>
      </c>
      <c r="DG140" s="0" t="n">
        <v>3.33612</v>
      </c>
      <c r="DH140" s="0" t="n">
        <v>31.25</v>
      </c>
      <c r="DI140" s="0" t="n">
        <v>2.60735294117647</v>
      </c>
      <c r="DJ140" s="0" t="n">
        <v>77.8562860288068</v>
      </c>
      <c r="DK140" s="0" t="n">
        <v>0.69514541097149</v>
      </c>
      <c r="DL140" s="0" t="n">
        <v>0.455357142857143</v>
      </c>
      <c r="DM140" s="0" t="s">
        <v>1703</v>
      </c>
      <c r="DN140" s="0" t="n">
        <v>112</v>
      </c>
      <c r="DO140" s="0" t="n">
        <v>13</v>
      </c>
      <c r="DP140" s="0" t="n">
        <v>1.491</v>
      </c>
      <c r="DQ140" s="0" t="n">
        <v>2.973</v>
      </c>
      <c r="DR140" s="0" t="n">
        <v>8.62</v>
      </c>
      <c r="DS140" s="0" t="n">
        <v>4</v>
      </c>
      <c r="DT140" s="0" t="n">
        <v>0</v>
      </c>
      <c r="DU140" s="0" t="n">
        <v>0</v>
      </c>
      <c r="DZ140" s="0" t="n">
        <v>255</v>
      </c>
      <c r="EA140" s="0" t="n">
        <v>0.312</v>
      </c>
      <c r="EB140" s="0" t="n">
        <v>13</v>
      </c>
      <c r="EC140" s="0" t="s">
        <v>1704</v>
      </c>
      <c r="ED140" s="0" t="n">
        <v>2023</v>
      </c>
      <c r="EE140" s="0" t="n">
        <v>6</v>
      </c>
      <c r="EF140" s="0" t="n">
        <v>193</v>
      </c>
      <c r="EG140" s="0" t="n">
        <v>2023</v>
      </c>
      <c r="EH140" s="0" t="n">
        <v>2026</v>
      </c>
      <c r="EI140" s="0" t="n">
        <v>4</v>
      </c>
      <c r="EJ140" s="0" t="n">
        <v>71</v>
      </c>
      <c r="EK140" s="0" t="n">
        <v>224</v>
      </c>
      <c r="EL140" s="0" t="s">
        <v>1414</v>
      </c>
      <c r="EM140" s="0" t="n">
        <v>26.9</v>
      </c>
      <c r="EN140" s="15" t="b">
        <f aca="false">FALSE()</f>
        <v>0</v>
      </c>
      <c r="EO140" s="0" t="n">
        <v>373</v>
      </c>
      <c r="EP140" s="0" t="n">
        <v>2.85254691689008</v>
      </c>
      <c r="EQ140" s="0" t="n">
        <v>0.184986595174263</v>
      </c>
      <c r="ER140" s="0" t="n">
        <v>1.10991957104558</v>
      </c>
      <c r="ES140" s="0" t="n">
        <v>0.683646112600536</v>
      </c>
      <c r="ET140" s="0" t="n">
        <v>30</v>
      </c>
      <c r="EU140" s="0" t="n">
        <v>15</v>
      </c>
      <c r="EV140" s="0" t="n">
        <v>4.1313672922252</v>
      </c>
      <c r="EW140" s="0" t="n">
        <v>0.5</v>
      </c>
      <c r="EX140" s="0" t="n">
        <v>2.91568836248392</v>
      </c>
      <c r="EY140" s="0" t="n">
        <v>2.885</v>
      </c>
      <c r="EZ140" s="0" t="n">
        <v>0.1784</v>
      </c>
      <c r="FA140" s="0" t="n">
        <v>2.219</v>
      </c>
      <c r="FB140" s="0" t="n">
        <v>1.781</v>
      </c>
      <c r="FC140" s="0" t="n">
        <v>22</v>
      </c>
      <c r="FD140" s="0" t="n">
        <v>644</v>
      </c>
      <c r="FE140" s="0" t="n">
        <v>0.0636645962732919</v>
      </c>
      <c r="FF140" s="0" t="n">
        <v>0.0647</v>
      </c>
      <c r="FG140" s="0" t="n">
        <v>0.2504</v>
      </c>
      <c r="FH140" s="0" t="n">
        <v>2.395</v>
      </c>
      <c r="FI140" s="0" t="n">
        <v>1074</v>
      </c>
      <c r="FJ140" s="0" t="n">
        <v>0.56145251396648</v>
      </c>
      <c r="FK140" s="0" t="n">
        <v>17</v>
      </c>
      <c r="FL140" s="0" t="n">
        <v>63.18</v>
      </c>
      <c r="FM140" s="0" t="n">
        <v>0.5756</v>
      </c>
      <c r="FN140" s="0" t="n">
        <v>0.4244</v>
      </c>
      <c r="FO140" s="0" t="n">
        <v>0.0164</v>
      </c>
      <c r="FP140" s="0" t="n">
        <v>-0.0041</v>
      </c>
      <c r="FQ140" s="0" t="n">
        <v>0.0592</v>
      </c>
      <c r="FR140" s="0" t="n">
        <v>40</v>
      </c>
      <c r="FS140" s="0" t="n">
        <v>72</v>
      </c>
      <c r="FT140" s="0" t="n">
        <v>4.24</v>
      </c>
      <c r="FU140" s="0" t="n">
        <v>27.9</v>
      </c>
      <c r="FV140" s="0" t="n">
        <v>5856</v>
      </c>
      <c r="FW140" s="0" t="n">
        <v>5856</v>
      </c>
      <c r="FX140" s="0" t="n">
        <v>1</v>
      </c>
      <c r="FY140" s="0" t="n">
        <v>5</v>
      </c>
      <c r="FZ140" s="0" t="n">
        <v>5</v>
      </c>
      <c r="GA140" s="0" t="n">
        <v>-0.543031520615496</v>
      </c>
      <c r="GB140" s="0" t="n">
        <v>40.2</v>
      </c>
      <c r="GC140" s="0" t="n">
        <v>50.8</v>
      </c>
      <c r="GD140" s="0" t="n">
        <v>44.3</v>
      </c>
      <c r="GE140" s="0" t="n">
        <v>547</v>
      </c>
      <c r="GF140" s="0" t="n">
        <v>489</v>
      </c>
      <c r="GG140" s="0" t="n">
        <v>132</v>
      </c>
      <c r="GH140" s="0" t="n">
        <v>271</v>
      </c>
      <c r="GI140" s="0" t="n">
        <v>198</v>
      </c>
      <c r="GJ140" s="0" t="n">
        <v>85</v>
      </c>
      <c r="GK140" s="0" t="n">
        <v>0.241</v>
      </c>
      <c r="GL140" s="0" t="n">
        <v>0.554</v>
      </c>
      <c r="GM140" s="0" t="n">
        <v>0.429</v>
      </c>
      <c r="GN140" s="0" t="n">
        <v>7.667</v>
      </c>
      <c r="GO140" s="0" t="n">
        <v>7.542</v>
      </c>
      <c r="GP140" s="0" t="n">
        <v>7.417</v>
      </c>
      <c r="GQ140" s="0" t="n">
        <v>0.333</v>
      </c>
      <c r="GR140" s="0" t="n">
        <v>9.333</v>
      </c>
      <c r="GS140" s="0" t="n">
        <v>116</v>
      </c>
      <c r="GT140" s="0" t="n">
        <v>0.793</v>
      </c>
      <c r="GU140" s="0" t="n">
        <v>0.361</v>
      </c>
      <c r="GY140" s="0" t="n">
        <v>4.464</v>
      </c>
      <c r="HC140" s="0" t="n">
        <v>0.052</v>
      </c>
      <c r="HD140" s="0" t="n">
        <v>0.055</v>
      </c>
      <c r="HE140" s="0" t="n">
        <v>-0.825</v>
      </c>
      <c r="HG140" s="0" t="n">
        <v>143.1</v>
      </c>
      <c r="HH140" s="0" t="n">
        <v>20.38</v>
      </c>
      <c r="HI140" s="0" t="n">
        <v>118</v>
      </c>
      <c r="HJ140" s="0" t="n">
        <v>263</v>
      </c>
      <c r="HK140" s="0" t="s">
        <v>909</v>
      </c>
      <c r="HL140" s="0" t="n">
        <v>0</v>
      </c>
      <c r="HM140" s="0" t="n">
        <v>47</v>
      </c>
      <c r="HN140" s="0" t="n">
        <v>45</v>
      </c>
      <c r="HO140" s="0" t="n">
        <v>-0.431</v>
      </c>
      <c r="HP140" s="0" t="n">
        <v>45</v>
      </c>
      <c r="HQ140" s="0" t="n">
        <v>-0.344</v>
      </c>
      <c r="HR140" s="0" t="s">
        <v>121</v>
      </c>
    </row>
    <row r="141" customFormat="false" ht="15" hidden="false" customHeight="false" outlineLevel="0" collapsed="false">
      <c r="A141" s="0" t="s">
        <v>896</v>
      </c>
      <c r="B141" s="0" t="s">
        <v>897</v>
      </c>
      <c r="C141" s="0" t="s">
        <v>898</v>
      </c>
      <c r="D141" s="0" t="s">
        <v>421</v>
      </c>
      <c r="E141" s="0" t="n">
        <v>23152</v>
      </c>
      <c r="F141" s="0" t="s">
        <v>104</v>
      </c>
      <c r="G141" s="0" t="n">
        <v>143.64</v>
      </c>
      <c r="H141" s="0" t="n">
        <v>19.97</v>
      </c>
      <c r="I141" s="0" t="n">
        <v>102</v>
      </c>
      <c r="J141" s="0" t="n">
        <v>245</v>
      </c>
      <c r="L141" s="0" t="s">
        <v>1705</v>
      </c>
      <c r="O141" s="0" t="n">
        <v>62.5</v>
      </c>
      <c r="U141" s="0" t="n">
        <v>11</v>
      </c>
      <c r="V141" s="0" t="s">
        <v>421</v>
      </c>
      <c r="W141" s="0" t="s">
        <v>901</v>
      </c>
      <c r="X141" s="0" t="s">
        <v>115</v>
      </c>
      <c r="Y141" s="0" t="s">
        <v>1706</v>
      </c>
      <c r="Z141" s="0" t="n">
        <v>23152</v>
      </c>
      <c r="AA141" s="0" t="s">
        <v>1707</v>
      </c>
      <c r="AB141" s="0" t="s">
        <v>904</v>
      </c>
      <c r="AC141" s="0" t="s">
        <v>115</v>
      </c>
      <c r="AD141" s="0" t="s">
        <v>115</v>
      </c>
      <c r="AE141" s="0" t="s">
        <v>115</v>
      </c>
      <c r="AF141" s="0" t="s">
        <v>115</v>
      </c>
      <c r="AG141" s="0" t="s">
        <v>115</v>
      </c>
      <c r="AH141" s="0" t="s">
        <v>905</v>
      </c>
      <c r="AI141" s="0" t="n">
        <v>1</v>
      </c>
      <c r="AJ141" s="0" t="s">
        <v>104</v>
      </c>
      <c r="AK141" s="0" t="n">
        <v>140</v>
      </c>
      <c r="AL141" s="0" t="n">
        <v>46</v>
      </c>
      <c r="AM141" s="0" t="s">
        <v>422</v>
      </c>
      <c r="AN141" s="0" t="n">
        <v>0</v>
      </c>
      <c r="AO141" s="0" t="n">
        <v>0</v>
      </c>
      <c r="AP141" s="0" t="n">
        <v>0</v>
      </c>
      <c r="AQ141" s="0" t="n">
        <v>0</v>
      </c>
      <c r="AR141" s="0" t="n">
        <v>0</v>
      </c>
      <c r="AS141" s="0" t="n">
        <v>0</v>
      </c>
      <c r="AT141" s="0" t="n">
        <v>0</v>
      </c>
      <c r="AU141" s="0" t="n">
        <v>0</v>
      </c>
      <c r="AV141" s="0" t="n">
        <v>0</v>
      </c>
      <c r="AW141" s="0" t="n">
        <v>184</v>
      </c>
      <c r="AX141" s="0" t="n">
        <v>730</v>
      </c>
      <c r="AY141" s="0" t="n">
        <v>12</v>
      </c>
      <c r="AZ141" s="0" t="n">
        <v>48</v>
      </c>
      <c r="BA141" s="0" t="n">
        <v>-1.15622713846687</v>
      </c>
      <c r="BB141" s="0" t="n">
        <v>0</v>
      </c>
      <c r="BC141" s="0" t="n">
        <v>20</v>
      </c>
      <c r="BD141" s="0" t="n">
        <v>24</v>
      </c>
      <c r="BE141" s="0" t="n">
        <v>144</v>
      </c>
      <c r="BF141" s="0" t="n">
        <v>0</v>
      </c>
      <c r="BG141" s="0" t="n">
        <v>40</v>
      </c>
      <c r="BH141" s="0" t="n">
        <v>123</v>
      </c>
      <c r="BI141" s="0" t="n">
        <v>7</v>
      </c>
      <c r="BJ141" s="0" t="n">
        <v>0.67355003836216</v>
      </c>
      <c r="BK141" s="0" t="n">
        <v>0</v>
      </c>
      <c r="BL141" s="0" t="n">
        <v>0</v>
      </c>
      <c r="BM141" s="0" t="n">
        <v>161.4</v>
      </c>
      <c r="BN141" s="0" t="n">
        <v>181.4</v>
      </c>
      <c r="BO141" s="0" t="n">
        <v>16</v>
      </c>
      <c r="BP141" s="0" t="s">
        <v>115</v>
      </c>
      <c r="BQ141" s="0" t="n">
        <v>1</v>
      </c>
      <c r="BR141" s="0" t="n">
        <v>171.4</v>
      </c>
      <c r="BS141" s="0" t="n">
        <v>0.0527</v>
      </c>
      <c r="BT141" s="0" t="n">
        <v>0.3629</v>
      </c>
      <c r="BU141" s="0" t="n">
        <v>0.0109</v>
      </c>
      <c r="BV141" s="0" t="n">
        <v>0.0552</v>
      </c>
      <c r="BW141" s="0" t="n">
        <v>0.3882</v>
      </c>
      <c r="BX141" s="0" t="n">
        <v>0.0115</v>
      </c>
      <c r="BY141" s="0" t="n">
        <v>0.0908</v>
      </c>
      <c r="BZ141" s="0" t="n">
        <v>16</v>
      </c>
      <c r="CA141" s="0" t="n">
        <v>6.43</v>
      </c>
      <c r="CB141" s="0" t="n">
        <v>18.38</v>
      </c>
      <c r="CC141" s="0" t="n">
        <v>10.95</v>
      </c>
      <c r="CD141" s="0" t="n">
        <v>6.7</v>
      </c>
      <c r="CE141" s="0" t="n">
        <v>3</v>
      </c>
      <c r="CF141" s="0" t="n">
        <v>1</v>
      </c>
      <c r="CG141" s="0" t="n">
        <v>16</v>
      </c>
      <c r="CH141" s="0" t="n">
        <v>0.188</v>
      </c>
      <c r="CI141" s="0" t="n">
        <v>0.062</v>
      </c>
      <c r="CJ141" s="0" t="n">
        <v>0.612</v>
      </c>
      <c r="CK141" s="0" t="n">
        <v>3</v>
      </c>
      <c r="CL141" s="0" t="n">
        <v>1</v>
      </c>
      <c r="CM141" s="0" t="n">
        <v>1</v>
      </c>
      <c r="CN141" s="0" t="n">
        <v>0</v>
      </c>
      <c r="CO141" s="0" t="n">
        <v>1.19989317967481</v>
      </c>
      <c r="CP141" s="0" t="n">
        <v>51</v>
      </c>
      <c r="CQ141" s="0" t="n">
        <v>31</v>
      </c>
      <c r="CR141" s="0" t="n">
        <v>18</v>
      </c>
      <c r="CS141" s="0" t="n">
        <v>12</v>
      </c>
      <c r="CT141" s="0" t="n">
        <v>11.2154852014162</v>
      </c>
      <c r="CU141" s="0" t="n">
        <v>54</v>
      </c>
      <c r="CV141" s="0" t="n">
        <v>32</v>
      </c>
      <c r="CW141" s="0" t="n">
        <v>19</v>
      </c>
      <c r="CX141" s="0" t="n">
        <v>12</v>
      </c>
      <c r="CY141" s="0" t="n">
        <v>12.42</v>
      </c>
      <c r="CZ141" s="0" t="n">
        <v>-0.42</v>
      </c>
      <c r="DG141" s="0" t="n">
        <v>4.30943835616439</v>
      </c>
      <c r="DH141" s="0" t="n">
        <v>35.3260869565217</v>
      </c>
      <c r="DI141" s="0" t="n">
        <v>3.06814634146342</v>
      </c>
      <c r="DJ141" s="0" t="n">
        <v>58.9838223029915</v>
      </c>
      <c r="DK141" s="0" t="n">
        <v>0.329518560351908</v>
      </c>
      <c r="DL141" s="0" t="n">
        <v>0.41340782122905</v>
      </c>
      <c r="DM141" s="0" t="s">
        <v>1708</v>
      </c>
      <c r="DN141" s="0" t="n">
        <v>184</v>
      </c>
      <c r="DO141" s="0" t="n">
        <v>14</v>
      </c>
      <c r="DP141" s="0" t="n">
        <v>2.136</v>
      </c>
      <c r="DQ141" s="0" t="n">
        <v>1.832</v>
      </c>
      <c r="DR141" s="0" t="n">
        <v>13.14</v>
      </c>
      <c r="DS141" s="0" t="n">
        <v>24</v>
      </c>
      <c r="DT141" s="0" t="n">
        <v>1</v>
      </c>
      <c r="DU141" s="0" t="n">
        <v>1</v>
      </c>
      <c r="DV141" s="0" t="n">
        <v>1.05</v>
      </c>
      <c r="DW141" s="0" t="n">
        <v>6.15</v>
      </c>
      <c r="DX141" s="0" t="n">
        <v>1.7</v>
      </c>
      <c r="DY141" s="0" t="n">
        <v>0.0417</v>
      </c>
      <c r="DZ141" s="0" t="n">
        <v>489</v>
      </c>
      <c r="EA141" s="0" t="n">
        <v>0.484</v>
      </c>
      <c r="EB141" s="0" t="n">
        <v>16</v>
      </c>
      <c r="EC141" s="0" t="s">
        <v>1709</v>
      </c>
      <c r="ED141" s="0" t="n">
        <v>2023</v>
      </c>
      <c r="EE141" s="0" t="n">
        <v>2</v>
      </c>
      <c r="EF141" s="0" t="n">
        <v>52</v>
      </c>
      <c r="EG141" s="0" t="n">
        <v>2023</v>
      </c>
      <c r="EH141" s="0" t="n">
        <v>2026</v>
      </c>
      <c r="EI141" s="0" t="n">
        <v>4</v>
      </c>
      <c r="EJ141" s="0" t="n">
        <v>73</v>
      </c>
      <c r="EK141" s="0" t="n">
        <v>220</v>
      </c>
      <c r="EL141" s="0" t="s">
        <v>1710</v>
      </c>
      <c r="EM141" s="0" t="n">
        <v>25.6</v>
      </c>
      <c r="EN141" s="15" t="b">
        <f aca="false">FALSE()</f>
        <v>0</v>
      </c>
      <c r="EO141" s="0" t="n">
        <v>435</v>
      </c>
      <c r="EP141" s="0" t="n">
        <v>2.8048275862069</v>
      </c>
      <c r="EQ141" s="0" t="n">
        <v>0.204597701149425</v>
      </c>
      <c r="ER141" s="0" t="n">
        <v>1.20689655172414</v>
      </c>
      <c r="ES141" s="0" t="n">
        <v>0.809195402298851</v>
      </c>
      <c r="ET141" s="0" t="n">
        <v>31</v>
      </c>
      <c r="EU141" s="0" t="n">
        <v>19</v>
      </c>
      <c r="EV141" s="0" t="n">
        <v>4.26666666666667</v>
      </c>
      <c r="EW141" s="0" t="n">
        <v>0.612903225806452</v>
      </c>
      <c r="EX141" s="0" t="n">
        <v>2.99550865366612</v>
      </c>
      <c r="EY141" s="0" t="n">
        <v>2.758</v>
      </c>
      <c r="EZ141" s="0" t="n">
        <v>0.2121</v>
      </c>
      <c r="FA141" s="0" t="n">
        <v>2.477</v>
      </c>
      <c r="FB141" s="0" t="n">
        <v>1.657</v>
      </c>
      <c r="FC141" s="0" t="n">
        <v>42</v>
      </c>
      <c r="FD141" s="0" t="n">
        <v>518</v>
      </c>
      <c r="FE141" s="0" t="n">
        <v>0.0521235521235521</v>
      </c>
      <c r="FF141" s="0" t="n">
        <v>0.0535</v>
      </c>
      <c r="FG141" s="0" t="n">
        <v>0.2266</v>
      </c>
      <c r="FH141" s="0" t="n">
        <v>2.4</v>
      </c>
      <c r="FI141" s="0" t="n">
        <v>997</v>
      </c>
      <c r="FJ141" s="0" t="n">
        <v>0.507522567703109</v>
      </c>
      <c r="FK141" s="0" t="n">
        <v>17</v>
      </c>
      <c r="FL141" s="0" t="n">
        <v>58.65</v>
      </c>
      <c r="FM141" s="0" t="n">
        <v>0.5204</v>
      </c>
      <c r="FN141" s="0" t="n">
        <v>0.4796</v>
      </c>
      <c r="FO141" s="0" t="n">
        <v>-0.0677</v>
      </c>
      <c r="FP141" s="0" t="n">
        <v>-0.0491</v>
      </c>
      <c r="FQ141" s="0" t="n">
        <v>0.1122</v>
      </c>
      <c r="FR141" s="0" t="n">
        <v>39</v>
      </c>
      <c r="FS141" s="0" t="n">
        <v>60</v>
      </c>
      <c r="FT141" s="0" t="n">
        <v>3.53</v>
      </c>
      <c r="FU141" s="0" t="n">
        <v>28.4</v>
      </c>
      <c r="FV141" s="0" t="n">
        <v>5338</v>
      </c>
      <c r="FW141" s="0" t="n">
        <v>5026</v>
      </c>
      <c r="FX141" s="0" t="n">
        <v>0.942</v>
      </c>
      <c r="FY141" s="0" t="n">
        <v>5</v>
      </c>
      <c r="FZ141" s="0" t="n">
        <v>5</v>
      </c>
      <c r="GA141" s="0" t="n">
        <v>-0.594571744764181</v>
      </c>
      <c r="GB141" s="0" t="n">
        <v>39.3</v>
      </c>
      <c r="GC141" s="0" t="n">
        <v>60.5</v>
      </c>
      <c r="GD141" s="0" t="n">
        <v>49.9</v>
      </c>
      <c r="GE141" s="0" t="n">
        <v>455</v>
      </c>
      <c r="GF141" s="0" t="n">
        <v>507</v>
      </c>
      <c r="GG141" s="0" t="n">
        <v>39</v>
      </c>
      <c r="GH141" s="0" t="n">
        <v>221</v>
      </c>
      <c r="GI141" s="0" t="n">
        <v>158</v>
      </c>
      <c r="GJ141" s="0" t="n">
        <v>37</v>
      </c>
      <c r="GK141" s="0" t="n">
        <v>0.086</v>
      </c>
      <c r="GL141" s="0" t="n">
        <v>0.436</v>
      </c>
      <c r="GM141" s="0" t="n">
        <v>0.234</v>
      </c>
      <c r="GN141" s="0" t="n">
        <v>11.338</v>
      </c>
      <c r="GO141" s="0" t="n">
        <v>10.712</v>
      </c>
      <c r="GP141" s="0" t="n">
        <v>10.088</v>
      </c>
      <c r="GQ141" s="0" t="n">
        <v>1.5</v>
      </c>
      <c r="GR141" s="0" t="n">
        <v>11.5</v>
      </c>
      <c r="GS141" s="0" t="n">
        <v>208</v>
      </c>
      <c r="GT141" s="0" t="n">
        <v>0.872</v>
      </c>
      <c r="GU141" s="0" t="n">
        <v>0.371</v>
      </c>
      <c r="GV141" s="0" t="n">
        <v>6</v>
      </c>
      <c r="GW141" s="0" t="n">
        <v>7.2</v>
      </c>
      <c r="GX141" s="0" t="n">
        <v>0.833</v>
      </c>
      <c r="GY141" s="0" t="n">
        <v>3.967</v>
      </c>
      <c r="GZ141" s="0" t="n">
        <v>1.667</v>
      </c>
      <c r="HA141" s="0" t="n">
        <v>6.15</v>
      </c>
      <c r="HB141" s="0" t="n">
        <v>3.6</v>
      </c>
      <c r="HC141" s="0" t="n">
        <v>0.058</v>
      </c>
      <c r="HD141" s="0" t="n">
        <v>-0.006</v>
      </c>
      <c r="HE141" s="0" t="n">
        <v>0.028</v>
      </c>
      <c r="HG141" s="0" t="n">
        <v>143.64</v>
      </c>
      <c r="HH141" s="0" t="n">
        <v>19.97</v>
      </c>
      <c r="HI141" s="0" t="n">
        <v>102</v>
      </c>
      <c r="HJ141" s="0" t="n">
        <v>245</v>
      </c>
      <c r="HK141" s="0" t="s">
        <v>909</v>
      </c>
      <c r="HL141" s="0" t="n">
        <v>0</v>
      </c>
      <c r="HM141" s="0" t="n">
        <v>24</v>
      </c>
      <c r="HN141" s="0" t="n">
        <v>46</v>
      </c>
      <c r="HO141" s="0" t="n">
        <v>0.613</v>
      </c>
      <c r="HP141" s="0" t="n">
        <v>28</v>
      </c>
      <c r="HQ141" s="0" t="n">
        <v>0.437</v>
      </c>
      <c r="HR141" s="0" t="s">
        <v>232</v>
      </c>
    </row>
    <row r="142" customFormat="false" ht="15" hidden="false" customHeight="false" outlineLevel="0" collapsed="false">
      <c r="A142" s="0" t="s">
        <v>896</v>
      </c>
      <c r="B142" s="0" t="s">
        <v>897</v>
      </c>
      <c r="C142" s="0" t="s">
        <v>898</v>
      </c>
      <c r="D142" s="0" t="s">
        <v>423</v>
      </c>
      <c r="E142" s="0" t="n">
        <v>19562</v>
      </c>
      <c r="F142" s="0" t="s">
        <v>149</v>
      </c>
      <c r="G142" s="0" t="n">
        <v>143.94</v>
      </c>
      <c r="H142" s="0" t="n">
        <v>21.06</v>
      </c>
      <c r="I142" s="0" t="n">
        <v>106</v>
      </c>
      <c r="J142" s="0" t="n">
        <v>209</v>
      </c>
      <c r="L142" s="0" t="s">
        <v>1711</v>
      </c>
      <c r="O142" s="0" t="n">
        <v>40.5</v>
      </c>
      <c r="U142" s="0" t="n">
        <v>8</v>
      </c>
      <c r="V142" s="0" t="s">
        <v>423</v>
      </c>
      <c r="W142" s="0" t="s">
        <v>901</v>
      </c>
      <c r="X142" s="0" t="s">
        <v>1021</v>
      </c>
      <c r="Y142" s="0" t="s">
        <v>1712</v>
      </c>
      <c r="Z142" s="0" t="n">
        <v>19562</v>
      </c>
      <c r="AA142" s="0" t="s">
        <v>1713</v>
      </c>
      <c r="AB142" s="0" t="s">
        <v>904</v>
      </c>
      <c r="AC142" s="0" t="s">
        <v>158</v>
      </c>
      <c r="AD142" s="0" t="s">
        <v>158</v>
      </c>
      <c r="AE142" s="0" t="s">
        <v>158</v>
      </c>
      <c r="AF142" s="0" t="s">
        <v>158</v>
      </c>
      <c r="AG142" s="0" t="s">
        <v>158</v>
      </c>
      <c r="AH142" s="0" t="s">
        <v>905</v>
      </c>
      <c r="AI142" s="0" t="n">
        <v>1</v>
      </c>
      <c r="AJ142" s="0" t="s">
        <v>149</v>
      </c>
      <c r="AK142" s="0" t="n">
        <v>141</v>
      </c>
      <c r="AL142" s="0" t="n">
        <v>16</v>
      </c>
      <c r="AM142" s="0" t="s">
        <v>424</v>
      </c>
      <c r="AN142" s="0" t="n">
        <v>0</v>
      </c>
      <c r="AO142" s="0" t="n">
        <v>0</v>
      </c>
      <c r="AP142" s="0" t="n">
        <v>0</v>
      </c>
      <c r="AQ142" s="0" t="n">
        <v>0</v>
      </c>
      <c r="AR142" s="0" t="n">
        <v>0</v>
      </c>
      <c r="AS142" s="0" t="n">
        <v>0</v>
      </c>
      <c r="AT142" s="0" t="n">
        <v>0</v>
      </c>
      <c r="AU142" s="0" t="n">
        <v>0</v>
      </c>
      <c r="AV142" s="0" t="n">
        <v>0</v>
      </c>
      <c r="AW142" s="0" t="n">
        <v>0</v>
      </c>
      <c r="AX142" s="0" t="n">
        <v>0</v>
      </c>
      <c r="AY142" s="0" t="n">
        <v>0</v>
      </c>
      <c r="AZ142" s="0" t="n">
        <v>0</v>
      </c>
      <c r="BA142" s="0" t="n">
        <v>0</v>
      </c>
      <c r="BB142" s="0" t="n">
        <v>0</v>
      </c>
      <c r="BC142" s="0" t="n">
        <v>77</v>
      </c>
      <c r="BD142" s="0" t="n">
        <v>102</v>
      </c>
      <c r="BE142" s="0" t="n">
        <v>889</v>
      </c>
      <c r="BF142" s="0" t="n">
        <v>3</v>
      </c>
      <c r="BG142" s="0" t="n">
        <v>773</v>
      </c>
      <c r="BH142" s="0" t="n">
        <v>362</v>
      </c>
      <c r="BI142" s="0" t="n">
        <v>41</v>
      </c>
      <c r="BJ142" s="0" t="n">
        <v>35.2164211992737</v>
      </c>
      <c r="BK142" s="0" t="n">
        <v>2</v>
      </c>
      <c r="BL142" s="0" t="n">
        <v>0</v>
      </c>
      <c r="BM142" s="0" t="n">
        <v>102.9</v>
      </c>
      <c r="BN142" s="0" t="n">
        <v>179.9</v>
      </c>
      <c r="BO142" s="0" t="n">
        <v>17</v>
      </c>
      <c r="BP142" s="0" t="s">
        <v>158</v>
      </c>
      <c r="BQ142" s="0" t="n">
        <v>1</v>
      </c>
      <c r="BR142" s="0" t="n">
        <v>141.4</v>
      </c>
      <c r="BS142" s="0" t="n">
        <v>0.1805</v>
      </c>
      <c r="BT142" s="0" t="n">
        <v>0</v>
      </c>
      <c r="BU142" s="0" t="n">
        <v>0.1652</v>
      </c>
      <c r="BV142" s="0" t="n">
        <v>0.1805</v>
      </c>
      <c r="BW142" s="0" t="n">
        <v>0</v>
      </c>
      <c r="BX142" s="0" t="n">
        <v>0.1652</v>
      </c>
      <c r="BY142" s="0" t="n">
        <v>0.3864</v>
      </c>
      <c r="BZ142" s="0" t="n">
        <v>17</v>
      </c>
      <c r="CA142" s="0" t="n">
        <v>7.1</v>
      </c>
      <c r="CB142" s="0" t="n">
        <v>15.78</v>
      </c>
      <c r="CC142" s="0" t="n">
        <v>10.6</v>
      </c>
      <c r="CD142" s="0" t="n">
        <v>4.82</v>
      </c>
      <c r="CE142" s="0" t="n">
        <v>4</v>
      </c>
      <c r="CF142" s="0" t="n">
        <v>1</v>
      </c>
      <c r="CG142" s="0" t="n">
        <v>17</v>
      </c>
      <c r="CH142" s="0" t="n">
        <v>0.235</v>
      </c>
      <c r="CI142" s="0" t="n">
        <v>0.059</v>
      </c>
      <c r="CJ142" s="0" t="n">
        <v>0.455</v>
      </c>
      <c r="CK142" s="0" t="n">
        <v>8</v>
      </c>
      <c r="CL142" s="0" t="n">
        <v>1</v>
      </c>
      <c r="CM142" s="0" t="n">
        <v>0</v>
      </c>
      <c r="CN142" s="0" t="n">
        <v>3</v>
      </c>
      <c r="CO142" s="0" t="n">
        <v>2.98446179192371</v>
      </c>
      <c r="CP142" s="0" t="n">
        <v>0</v>
      </c>
      <c r="CQ142" s="0" t="n">
        <v>0</v>
      </c>
      <c r="CR142" s="0" t="n">
        <v>0</v>
      </c>
      <c r="CS142" s="0" t="n">
        <v>0</v>
      </c>
      <c r="CT142" s="0" t="n">
        <v>0</v>
      </c>
      <c r="CU142" s="0" t="n">
        <v>8</v>
      </c>
      <c r="CV142" s="0" t="n">
        <v>1</v>
      </c>
      <c r="CW142" s="0" t="n">
        <v>0</v>
      </c>
      <c r="CX142" s="0" t="n">
        <v>3</v>
      </c>
      <c r="CY142" s="0" t="n">
        <v>2.98</v>
      </c>
      <c r="CZ142" s="0" t="n">
        <v>0.02</v>
      </c>
      <c r="DA142" s="0" t="n">
        <v>3.64880989742619</v>
      </c>
      <c r="DB142" s="0" t="n">
        <v>5.99666666666667</v>
      </c>
      <c r="DC142" s="0" t="n">
        <v>7.31009803921569</v>
      </c>
      <c r="DD142" s="0" t="n">
        <v>16.1285298666465</v>
      </c>
      <c r="DE142" s="0" t="n">
        <v>0.088777625175851</v>
      </c>
      <c r="DF142" s="0" t="n">
        <v>75.4901960784314</v>
      </c>
      <c r="DM142" s="0" t="s">
        <v>1714</v>
      </c>
      <c r="DS142" s="0" t="n">
        <v>102</v>
      </c>
      <c r="DT142" s="0" t="n">
        <v>5</v>
      </c>
      <c r="DU142" s="0" t="n">
        <v>6</v>
      </c>
      <c r="DV142" s="0" t="n">
        <v>6.844</v>
      </c>
      <c r="DW142" s="0" t="n">
        <v>4.701</v>
      </c>
      <c r="DX142" s="0" t="n">
        <v>7.5</v>
      </c>
      <c r="DY142" s="0" t="n">
        <v>0.0588</v>
      </c>
      <c r="DZ142" s="0" t="n">
        <v>850</v>
      </c>
      <c r="EA142" s="0" t="n">
        <v>0.75</v>
      </c>
      <c r="EB142" s="0" t="n">
        <v>17</v>
      </c>
      <c r="EC142" s="0" t="s">
        <v>1715</v>
      </c>
      <c r="EG142" s="0" t="n">
        <v>2020</v>
      </c>
      <c r="EH142" s="0" t="n">
        <v>2026</v>
      </c>
      <c r="EI142" s="0" t="n">
        <v>7</v>
      </c>
      <c r="EJ142" s="0" t="n">
        <v>76</v>
      </c>
      <c r="EK142" s="0" t="n">
        <v>231</v>
      </c>
      <c r="EL142" s="0" t="s">
        <v>1716</v>
      </c>
      <c r="EM142" s="0" t="n">
        <v>29.9</v>
      </c>
      <c r="EN142" s="15" t="b">
        <f aca="false">FALSE()</f>
        <v>0</v>
      </c>
      <c r="EO142" s="0" t="n">
        <v>300</v>
      </c>
      <c r="EP142" s="0" t="n">
        <v>2.89633333333333</v>
      </c>
      <c r="EQ142" s="0" t="n">
        <v>0.15</v>
      </c>
      <c r="ER142" s="0" t="n">
        <v>0.956666666666667</v>
      </c>
      <c r="ES142" s="0" t="n">
        <v>0.316666666666667</v>
      </c>
      <c r="ET142" s="0" t="n">
        <v>20</v>
      </c>
      <c r="EU142" s="0" t="n">
        <v>11</v>
      </c>
      <c r="EV142" s="0" t="n">
        <v>3.72</v>
      </c>
      <c r="EW142" s="0" t="n">
        <v>0.55</v>
      </c>
      <c r="EX142" s="0" t="n">
        <v>2.96200332598839</v>
      </c>
      <c r="EY142" s="0" t="n">
        <v>2.883</v>
      </c>
      <c r="EZ142" s="0" t="n">
        <v>0.1505</v>
      </c>
      <c r="FA142" s="0" t="n">
        <v>2.057</v>
      </c>
      <c r="FB142" s="0" t="n">
        <v>1.628</v>
      </c>
      <c r="FC142" s="0" t="n">
        <v>31</v>
      </c>
      <c r="FD142" s="0" t="n">
        <v>670</v>
      </c>
      <c r="FE142" s="0" t="n">
        <v>0.073134328358209</v>
      </c>
      <c r="FF142" s="0" t="n">
        <v>0.0763</v>
      </c>
      <c r="FG142" s="0" t="n">
        <v>0.2132</v>
      </c>
      <c r="FH142" s="0" t="n">
        <v>2.2</v>
      </c>
      <c r="FI142" s="0" t="n">
        <v>1064</v>
      </c>
      <c r="FJ142" s="0" t="n">
        <v>0.596804511278195</v>
      </c>
      <c r="FK142" s="0" t="n">
        <v>17</v>
      </c>
      <c r="FL142" s="0" t="n">
        <v>62.59</v>
      </c>
      <c r="FM142" s="0" t="n">
        <v>0.5383</v>
      </c>
      <c r="FN142" s="0" t="n">
        <v>0.4617</v>
      </c>
      <c r="FO142" s="0" t="n">
        <v>-0.0301</v>
      </c>
      <c r="FP142" s="0" t="n">
        <v>-0.1008</v>
      </c>
      <c r="FQ142" s="0" t="n">
        <v>-0.0795</v>
      </c>
      <c r="FR142" s="0" t="n">
        <v>35</v>
      </c>
      <c r="FS142" s="0" t="n">
        <v>48</v>
      </c>
      <c r="FT142" s="0" t="n">
        <v>2.82</v>
      </c>
      <c r="FU142" s="0" t="n">
        <v>18</v>
      </c>
      <c r="FV142" s="0" t="n">
        <v>5643</v>
      </c>
      <c r="FW142" s="0" t="n">
        <v>4426</v>
      </c>
      <c r="FX142" s="0" t="n">
        <v>0.784</v>
      </c>
      <c r="FY142" s="0" t="n">
        <v>5</v>
      </c>
      <c r="FZ142" s="0" t="n">
        <v>4</v>
      </c>
      <c r="GA142" s="0" t="n">
        <v>-0.421361894882305</v>
      </c>
      <c r="GB142" s="0" t="n">
        <v>42.4</v>
      </c>
      <c r="GC142" s="0" t="n">
        <v>44.9</v>
      </c>
      <c r="GD142" s="0" t="n">
        <v>41.9</v>
      </c>
      <c r="GE142" s="0" t="n">
        <v>565</v>
      </c>
      <c r="GF142" s="0" t="n">
        <v>435</v>
      </c>
      <c r="GG142" s="0" t="n">
        <v>127</v>
      </c>
      <c r="GH142" s="0" t="n">
        <v>21</v>
      </c>
      <c r="GI142" s="0" t="n">
        <v>113</v>
      </c>
      <c r="GJ142" s="0" t="n">
        <v>15</v>
      </c>
      <c r="GK142" s="0" t="n">
        <v>0.225</v>
      </c>
      <c r="GL142" s="0" t="n">
        <v>0.048</v>
      </c>
      <c r="GM142" s="0" t="n">
        <v>0.133</v>
      </c>
      <c r="GN142" s="0" t="n">
        <v>10.582</v>
      </c>
      <c r="GO142" s="0" t="n">
        <v>8.318</v>
      </c>
      <c r="GP142" s="0" t="n">
        <v>6.053</v>
      </c>
      <c r="GQ142" s="0" t="n">
        <v>6</v>
      </c>
      <c r="GR142" s="0" t="n">
        <v>0</v>
      </c>
      <c r="GS142" s="0" t="n">
        <v>102</v>
      </c>
      <c r="GT142" s="0" t="n">
        <v>1.764</v>
      </c>
      <c r="GU142" s="0" t="n">
        <v>0.212</v>
      </c>
      <c r="GV142" s="0" t="n">
        <v>8.716</v>
      </c>
      <c r="GW142" s="0" t="n">
        <v>11.545</v>
      </c>
      <c r="GX142" s="0" t="n">
        <v>0.755</v>
      </c>
      <c r="GZ142" s="0" t="n">
        <v>7.578</v>
      </c>
      <c r="HA142" s="0" t="n">
        <v>4.701</v>
      </c>
      <c r="HB142" s="0" t="n">
        <v>1.15</v>
      </c>
      <c r="HC142" s="0" t="n">
        <v>0.029</v>
      </c>
      <c r="HE142" s="0" t="n">
        <v>0.345</v>
      </c>
      <c r="HG142" s="0" t="n">
        <v>143.94</v>
      </c>
      <c r="HH142" s="0" t="n">
        <v>21.06</v>
      </c>
      <c r="HI142" s="0" t="n">
        <v>106</v>
      </c>
      <c r="HJ142" s="0" t="n">
        <v>209</v>
      </c>
      <c r="HK142" s="0" t="s">
        <v>909</v>
      </c>
      <c r="HL142" s="0" t="n">
        <v>0</v>
      </c>
      <c r="HM142" s="0" t="n">
        <v>8</v>
      </c>
      <c r="HN142" s="0" t="n">
        <v>16</v>
      </c>
      <c r="HO142" s="0" t="n">
        <v>0.251</v>
      </c>
      <c r="HP142" s="0" t="n">
        <v>12</v>
      </c>
      <c r="HQ142" s="0" t="n">
        <v>0.076</v>
      </c>
      <c r="HR142" s="0" t="s">
        <v>102</v>
      </c>
    </row>
    <row r="143" customFormat="false" ht="15" hidden="false" customHeight="false" outlineLevel="0" collapsed="false">
      <c r="A143" s="0" t="s">
        <v>896</v>
      </c>
      <c r="B143" s="0" t="s">
        <v>897</v>
      </c>
      <c r="C143" s="0" t="s">
        <v>898</v>
      </c>
      <c r="D143" s="0" t="s">
        <v>425</v>
      </c>
      <c r="E143" s="0" t="n">
        <v>25323</v>
      </c>
      <c r="F143" s="0" t="s">
        <v>104</v>
      </c>
      <c r="G143" s="0" t="n">
        <v>145.85</v>
      </c>
      <c r="H143" s="0" t="n">
        <v>17.52</v>
      </c>
      <c r="I143" s="0" t="n">
        <v>103</v>
      </c>
      <c r="J143" s="0" t="n">
        <v>228</v>
      </c>
      <c r="L143" s="0" t="s">
        <v>1717</v>
      </c>
      <c r="O143" s="0" t="n">
        <v>36.9</v>
      </c>
      <c r="U143" s="0" t="n">
        <v>9</v>
      </c>
      <c r="V143" s="0" t="s">
        <v>425</v>
      </c>
      <c r="W143" s="0" t="s">
        <v>901</v>
      </c>
      <c r="X143" s="0" t="s">
        <v>265</v>
      </c>
      <c r="Y143" s="0" t="s">
        <v>1718</v>
      </c>
      <c r="Z143" s="0" t="n">
        <v>25323</v>
      </c>
      <c r="AA143" s="0" t="s">
        <v>1719</v>
      </c>
      <c r="AB143" s="0" t="s">
        <v>904</v>
      </c>
      <c r="AC143" s="0" t="s">
        <v>265</v>
      </c>
      <c r="AD143" s="0" t="s">
        <v>265</v>
      </c>
      <c r="AE143" s="0" t="s">
        <v>265</v>
      </c>
      <c r="AF143" s="0" t="s">
        <v>265</v>
      </c>
      <c r="AG143" s="0" t="s">
        <v>265</v>
      </c>
      <c r="AH143" s="0" t="s">
        <v>905</v>
      </c>
      <c r="AI143" s="0" t="n">
        <v>2</v>
      </c>
      <c r="AJ143" s="0" t="s">
        <v>104</v>
      </c>
      <c r="AK143" s="0" t="n">
        <v>142</v>
      </c>
      <c r="AL143" s="0" t="n">
        <v>47</v>
      </c>
      <c r="AM143" s="0" t="s">
        <v>426</v>
      </c>
      <c r="AN143" s="0" t="n">
        <v>0</v>
      </c>
      <c r="AO143" s="0" t="n">
        <v>0</v>
      </c>
      <c r="AP143" s="0" t="n">
        <v>0</v>
      </c>
      <c r="AQ143" s="0" t="n">
        <v>0</v>
      </c>
      <c r="AR143" s="0" t="n">
        <v>0</v>
      </c>
      <c r="AS143" s="0" t="n">
        <v>0</v>
      </c>
      <c r="AT143" s="0" t="n">
        <v>0</v>
      </c>
      <c r="AU143" s="0" t="n">
        <v>0</v>
      </c>
      <c r="AV143" s="0" t="n">
        <v>0</v>
      </c>
      <c r="AW143" s="0" t="n">
        <v>72</v>
      </c>
      <c r="AX143" s="0" t="n">
        <v>283</v>
      </c>
      <c r="AY143" s="0" t="n">
        <v>2</v>
      </c>
      <c r="AZ143" s="0" t="n">
        <v>16</v>
      </c>
      <c r="BA143" s="0" t="n">
        <v>-3.90114751543512</v>
      </c>
      <c r="BB143" s="0" t="n">
        <v>0</v>
      </c>
      <c r="BC143" s="0" t="n">
        <v>45</v>
      </c>
      <c r="BD143" s="0" t="n">
        <v>50</v>
      </c>
      <c r="BE143" s="0" t="n">
        <v>264</v>
      </c>
      <c r="BF143" s="0" t="n">
        <v>0</v>
      </c>
      <c r="BG143" s="0" t="n">
        <v>-115</v>
      </c>
      <c r="BH143" s="0" t="n">
        <v>361</v>
      </c>
      <c r="BI143" s="0" t="n">
        <v>10</v>
      </c>
      <c r="BJ143" s="0" t="n">
        <v>-1.64446221371942</v>
      </c>
      <c r="BK143" s="0" t="n">
        <v>0</v>
      </c>
      <c r="BL143" s="0" t="n">
        <v>0</v>
      </c>
      <c r="BM143" s="0" t="n">
        <v>66.7</v>
      </c>
      <c r="BN143" s="0" t="n">
        <v>111.7</v>
      </c>
      <c r="BO143" s="0" t="n">
        <v>13</v>
      </c>
      <c r="BP143" s="0" t="s">
        <v>265</v>
      </c>
      <c r="BQ143" s="0" t="n">
        <v>1</v>
      </c>
      <c r="BR143" s="0" t="n">
        <v>89.2</v>
      </c>
      <c r="BS143" s="0" t="n">
        <v>0.0943</v>
      </c>
      <c r="BT143" s="0" t="n">
        <v>0.1905</v>
      </c>
      <c r="BU143" s="0" t="n">
        <v>-0.0293</v>
      </c>
      <c r="BV143" s="0" t="n">
        <v>0.1199</v>
      </c>
      <c r="BW143" s="0" t="n">
        <v>0.2483</v>
      </c>
      <c r="BX143" s="0" t="n">
        <v>-0.038</v>
      </c>
      <c r="BY143" s="0" t="n">
        <v>0.1532</v>
      </c>
      <c r="BZ143" s="0" t="n">
        <v>13</v>
      </c>
      <c r="CA143" s="0" t="n">
        <v>6.5</v>
      </c>
      <c r="CB143" s="0" t="n">
        <v>11.2</v>
      </c>
      <c r="CC143" s="0" t="n">
        <v>8.4</v>
      </c>
      <c r="CD143" s="0" t="n">
        <v>5.55</v>
      </c>
      <c r="CE143" s="0" t="n">
        <v>2</v>
      </c>
      <c r="CF143" s="0" t="n">
        <v>2</v>
      </c>
      <c r="CG143" s="0" t="n">
        <v>13</v>
      </c>
      <c r="CH143" s="0" t="n">
        <v>0.154</v>
      </c>
      <c r="CI143" s="0" t="n">
        <v>0.154</v>
      </c>
      <c r="CJ143" s="0" t="n">
        <v>0.661</v>
      </c>
      <c r="CK143" s="0" t="n">
        <v>7</v>
      </c>
      <c r="CL143" s="0" t="n">
        <v>3</v>
      </c>
      <c r="CM143" s="0" t="n">
        <v>0</v>
      </c>
      <c r="CN143" s="0" t="n">
        <v>0</v>
      </c>
      <c r="CO143" s="0" t="n">
        <v>1.96353571688364</v>
      </c>
      <c r="CP143" s="0" t="n">
        <v>10</v>
      </c>
      <c r="CQ143" s="0" t="n">
        <v>5</v>
      </c>
      <c r="CR143" s="0" t="n">
        <v>2</v>
      </c>
      <c r="CS143" s="0" t="n">
        <v>2</v>
      </c>
      <c r="CT143" s="0" t="n">
        <v>1.64526126937486</v>
      </c>
      <c r="CU143" s="0" t="n">
        <v>17</v>
      </c>
      <c r="CV143" s="0" t="n">
        <v>8</v>
      </c>
      <c r="CW143" s="0" t="n">
        <v>2</v>
      </c>
      <c r="CX143" s="0" t="n">
        <v>2</v>
      </c>
      <c r="CY143" s="0" t="n">
        <v>3.61</v>
      </c>
      <c r="CZ143" s="0" t="n">
        <v>-1.61</v>
      </c>
      <c r="DM143" s="0" t="s">
        <v>1720</v>
      </c>
      <c r="DN143" s="0" t="n">
        <v>72</v>
      </c>
      <c r="DO143" s="0" t="n">
        <v>4</v>
      </c>
      <c r="DP143" s="0" t="n">
        <v>2.583</v>
      </c>
      <c r="DQ143" s="0" t="n">
        <v>1.347</v>
      </c>
      <c r="DR143" s="0" t="n">
        <v>18</v>
      </c>
      <c r="DS143" s="0" t="n">
        <v>50</v>
      </c>
      <c r="DT143" s="0" t="n">
        <v>10</v>
      </c>
      <c r="DU143" s="0" t="n">
        <v>2</v>
      </c>
      <c r="DV143" s="0" t="n">
        <v>-2.156</v>
      </c>
      <c r="DW143" s="0" t="n">
        <v>8.022</v>
      </c>
      <c r="DX143" s="0" t="n">
        <v>-1.9</v>
      </c>
      <c r="DY143" s="0" t="n">
        <v>0.04</v>
      </c>
      <c r="DZ143" s="0" t="n">
        <v>374</v>
      </c>
      <c r="EA143" s="0" t="n">
        <v>0.459</v>
      </c>
      <c r="EB143" s="0" t="n">
        <v>13</v>
      </c>
      <c r="EC143" s="0" t="s">
        <v>1721</v>
      </c>
      <c r="ED143" s="0" t="n">
        <v>2023</v>
      </c>
      <c r="EE143" s="0" t="n">
        <v>3</v>
      </c>
      <c r="EF143" s="0" t="n">
        <v>81</v>
      </c>
      <c r="EG143" s="0" t="n">
        <v>2023</v>
      </c>
      <c r="EH143" s="0" t="n">
        <v>2026</v>
      </c>
      <c r="EI143" s="0" t="n">
        <v>4</v>
      </c>
      <c r="EJ143" s="0" t="n">
        <v>71</v>
      </c>
      <c r="EK143" s="0" t="n">
        <v>200</v>
      </c>
      <c r="EL143" s="0" t="s">
        <v>1722</v>
      </c>
      <c r="EM143" s="0" t="n">
        <v>25.2</v>
      </c>
      <c r="EN143" s="15" t="b">
        <f aca="false">FALSE()</f>
        <v>0</v>
      </c>
      <c r="EO143" s="0" t="n">
        <v>328</v>
      </c>
      <c r="EP143" s="0" t="n">
        <v>3.01463414634146</v>
      </c>
      <c r="EQ143" s="0" t="n">
        <v>0.161585365853659</v>
      </c>
      <c r="ER143" s="0" t="n">
        <v>1.14634146341463</v>
      </c>
      <c r="ES143" s="0" t="n">
        <v>0.692073170731707</v>
      </c>
      <c r="ET143" s="0" t="n">
        <v>30</v>
      </c>
      <c r="EU143" s="0" t="n">
        <v>20</v>
      </c>
      <c r="EV143" s="0" t="n">
        <v>4.30487804878049</v>
      </c>
      <c r="EW143" s="0" t="n">
        <v>0.666666666666667</v>
      </c>
      <c r="EX143" s="0" t="n">
        <v>2.87769409187475</v>
      </c>
      <c r="EY143" s="0" t="n">
        <v>3.085</v>
      </c>
      <c r="EZ143" s="0" t="n">
        <v>0.1549</v>
      </c>
      <c r="FA143" s="0" t="n">
        <v>2.54</v>
      </c>
      <c r="FB143" s="0" t="n">
        <v>1.664</v>
      </c>
      <c r="FC143" s="0" t="n">
        <v>24</v>
      </c>
      <c r="FD143" s="0" t="n">
        <v>646</v>
      </c>
      <c r="FE143" s="0" t="n">
        <v>0.086687306501548</v>
      </c>
      <c r="FF143" s="0" t="n">
        <v>0.0872</v>
      </c>
      <c r="FG143" s="0" t="n">
        <v>0.3175</v>
      </c>
      <c r="FH143" s="0" t="n">
        <v>2.389</v>
      </c>
      <c r="FI143" s="0" t="n">
        <v>995</v>
      </c>
      <c r="FJ143" s="0" t="n">
        <v>0.626130653266332</v>
      </c>
      <c r="FK143" s="0" t="n">
        <v>17</v>
      </c>
      <c r="FL143" s="0" t="n">
        <v>58.53</v>
      </c>
      <c r="FM143" s="0" t="n">
        <v>0.5401</v>
      </c>
      <c r="FN143" s="0" t="n">
        <v>0.4599</v>
      </c>
      <c r="FO143" s="0" t="n">
        <v>-0.0385</v>
      </c>
      <c r="FP143" s="0" t="n">
        <v>-0.0573</v>
      </c>
      <c r="FQ143" s="0" t="n">
        <v>-0.2208</v>
      </c>
      <c r="FR143" s="0" t="n">
        <v>40</v>
      </c>
      <c r="FS143" s="0" t="n">
        <v>35</v>
      </c>
      <c r="FT143" s="0" t="n">
        <v>2.06</v>
      </c>
      <c r="FU143" s="0" t="n">
        <v>16.7</v>
      </c>
      <c r="FV143" s="0" t="n">
        <v>5402</v>
      </c>
      <c r="FW143" s="0" t="n">
        <v>2848</v>
      </c>
      <c r="FX143" s="0" t="n">
        <v>0.527</v>
      </c>
      <c r="FY143" s="0" t="n">
        <v>5</v>
      </c>
      <c r="FZ143" s="0" t="n">
        <v>3</v>
      </c>
      <c r="GA143" s="0" t="n">
        <v>0.463456652097505</v>
      </c>
      <c r="GB143" s="0" t="n">
        <v>58.4</v>
      </c>
      <c r="GC143" s="0" t="n">
        <v>27.6</v>
      </c>
      <c r="GD143" s="0" t="n">
        <v>41.1</v>
      </c>
      <c r="GE143" s="0" t="n">
        <v>530</v>
      </c>
      <c r="GF143" s="0" t="n">
        <v>378</v>
      </c>
      <c r="GG143" s="0" t="n">
        <v>152</v>
      </c>
      <c r="GH143" s="0" t="n">
        <v>0</v>
      </c>
      <c r="GI143" s="0" t="n">
        <v>93</v>
      </c>
      <c r="GJ143" s="0" t="n">
        <v>8</v>
      </c>
      <c r="GK143" s="0" t="n">
        <v>0.287</v>
      </c>
      <c r="GL143" s="0" t="n">
        <v>0</v>
      </c>
      <c r="GM143" s="0" t="n">
        <v>0.086</v>
      </c>
      <c r="GN143" s="0" t="n">
        <v>8.592</v>
      </c>
      <c r="GO143" s="0" t="n">
        <v>6.862</v>
      </c>
      <c r="GP143" s="0" t="n">
        <v>5.131</v>
      </c>
      <c r="GQ143" s="0" t="n">
        <v>3.846</v>
      </c>
      <c r="GR143" s="0" t="n">
        <v>5.538</v>
      </c>
      <c r="GS143" s="0" t="n">
        <v>122</v>
      </c>
      <c r="GT143" s="0" t="n">
        <v>0.916</v>
      </c>
      <c r="GU143" s="0" t="n">
        <v>0.299</v>
      </c>
      <c r="GV143" s="0" t="n">
        <v>5.28</v>
      </c>
      <c r="GW143" s="0" t="n">
        <v>5.867</v>
      </c>
      <c r="GX143" s="0" t="n">
        <v>0.9</v>
      </c>
      <c r="GY143" s="0" t="n">
        <v>3.931</v>
      </c>
      <c r="GZ143" s="0" t="n">
        <v>-2.3</v>
      </c>
      <c r="HA143" s="0" t="n">
        <v>8.022</v>
      </c>
      <c r="HB143" s="0" t="n">
        <v>-2.296</v>
      </c>
      <c r="HC143" s="0" t="n">
        <v>0.016</v>
      </c>
      <c r="HD143" s="0" t="n">
        <v>-0.054</v>
      </c>
      <c r="HE143" s="0" t="n">
        <v>-0.033</v>
      </c>
      <c r="HG143" s="0" t="n">
        <v>145.85</v>
      </c>
      <c r="HH143" s="0" t="n">
        <v>17.52</v>
      </c>
      <c r="HI143" s="0" t="n">
        <v>103</v>
      </c>
      <c r="HJ143" s="0" t="n">
        <v>228</v>
      </c>
      <c r="HK143" s="0" t="s">
        <v>909</v>
      </c>
      <c r="HL143" s="0" t="n">
        <v>0</v>
      </c>
      <c r="HM143" s="0" t="n">
        <v>43</v>
      </c>
      <c r="HN143" s="0" t="n">
        <v>47</v>
      </c>
      <c r="HO143" s="0" t="n">
        <v>-0.185</v>
      </c>
      <c r="HP143" s="0" t="n">
        <v>40</v>
      </c>
      <c r="HQ143" s="0" t="n">
        <v>-0.054</v>
      </c>
      <c r="HR143" s="0" t="s">
        <v>102</v>
      </c>
    </row>
    <row r="144" customFormat="false" ht="15" hidden="false" customHeight="false" outlineLevel="0" collapsed="false">
      <c r="A144" s="0" t="s">
        <v>896</v>
      </c>
      <c r="B144" s="0" t="s">
        <v>897</v>
      </c>
      <c r="C144" s="0" t="s">
        <v>898</v>
      </c>
      <c r="D144" s="0" t="s">
        <v>427</v>
      </c>
      <c r="E144" s="0" t="n">
        <v>24687</v>
      </c>
      <c r="F144" s="0" t="s">
        <v>99</v>
      </c>
      <c r="G144" s="0" t="n">
        <v>146.85</v>
      </c>
      <c r="H144" s="0" t="n">
        <v>14.62</v>
      </c>
      <c r="I144" s="0" t="n">
        <v>121</v>
      </c>
      <c r="J144" s="0" t="n">
        <v>208</v>
      </c>
      <c r="L144" s="0" t="s">
        <v>1723</v>
      </c>
      <c r="O144" s="0" t="n">
        <v>42.8</v>
      </c>
      <c r="U144" s="0" t="n">
        <v>11</v>
      </c>
      <c r="V144" s="0" t="s">
        <v>427</v>
      </c>
      <c r="W144" s="0" t="s">
        <v>901</v>
      </c>
      <c r="X144" s="0" t="s">
        <v>115</v>
      </c>
      <c r="Y144" s="0" t="s">
        <v>1724</v>
      </c>
      <c r="Z144" s="0" t="n">
        <v>24687</v>
      </c>
      <c r="AA144" s="0" t="s">
        <v>1725</v>
      </c>
      <c r="AB144" s="0" t="s">
        <v>904</v>
      </c>
      <c r="AC144" s="0" t="s">
        <v>115</v>
      </c>
      <c r="AD144" s="0" t="s">
        <v>115</v>
      </c>
      <c r="AE144" s="0" t="s">
        <v>115</v>
      </c>
      <c r="AF144" s="0" t="s">
        <v>115</v>
      </c>
      <c r="AG144" s="0" t="s">
        <v>115</v>
      </c>
      <c r="AH144" s="0" t="s">
        <v>905</v>
      </c>
      <c r="AI144" s="0" t="n">
        <v>1</v>
      </c>
      <c r="AJ144" s="0" t="s">
        <v>270</v>
      </c>
      <c r="AK144" s="0" t="n">
        <v>143</v>
      </c>
      <c r="AL144" s="0" t="n">
        <v>57</v>
      </c>
      <c r="AM144" s="0" t="s">
        <v>428</v>
      </c>
      <c r="AN144" s="0" t="n">
        <v>0</v>
      </c>
      <c r="AO144" s="0" t="n">
        <v>0</v>
      </c>
      <c r="AP144" s="0" t="n">
        <v>0</v>
      </c>
      <c r="AQ144" s="0" t="n">
        <v>0</v>
      </c>
      <c r="AR144" s="0" t="n">
        <v>0</v>
      </c>
      <c r="AS144" s="0" t="n">
        <v>0</v>
      </c>
      <c r="AT144" s="0" t="n">
        <v>0</v>
      </c>
      <c r="AU144" s="0" t="n">
        <v>0</v>
      </c>
      <c r="AV144" s="0" t="n">
        <v>0</v>
      </c>
      <c r="AW144" s="0" t="n">
        <v>9</v>
      </c>
      <c r="AX144" s="0" t="n">
        <v>69</v>
      </c>
      <c r="AY144" s="0" t="n">
        <v>0</v>
      </c>
      <c r="AZ144" s="0" t="n">
        <v>3</v>
      </c>
      <c r="BA144" s="0" t="n">
        <v>0.974934274272528</v>
      </c>
      <c r="BB144" s="0" t="n">
        <v>0</v>
      </c>
      <c r="BC144" s="0" t="n">
        <v>59</v>
      </c>
      <c r="BD144" s="0" t="n">
        <v>92</v>
      </c>
      <c r="BE144" s="0" t="n">
        <v>687</v>
      </c>
      <c r="BF144" s="0" t="n">
        <v>2</v>
      </c>
      <c r="BG144" s="0" t="n">
        <v>1053</v>
      </c>
      <c r="BH144" s="0" t="n">
        <v>177</v>
      </c>
      <c r="BI144" s="0" t="n">
        <v>29</v>
      </c>
      <c r="BJ144" s="0" t="n">
        <v>-4.27938954224811</v>
      </c>
      <c r="BK144" s="0" t="n">
        <v>1</v>
      </c>
      <c r="BL144" s="0" t="n">
        <v>2</v>
      </c>
      <c r="BM144" s="0" t="n">
        <v>97.6</v>
      </c>
      <c r="BN144" s="0" t="n">
        <v>156.6</v>
      </c>
      <c r="BO144" s="0" t="n">
        <v>18</v>
      </c>
      <c r="BP144" s="0" t="s">
        <v>115</v>
      </c>
      <c r="BQ144" s="0" t="n">
        <v>2</v>
      </c>
      <c r="BR144" s="0" t="n">
        <v>127.1</v>
      </c>
      <c r="BS144" s="0" t="n">
        <v>0.0902</v>
      </c>
      <c r="BT144" s="0" t="n">
        <v>0.0096</v>
      </c>
      <c r="BU144" s="0" t="n">
        <v>0.1262</v>
      </c>
      <c r="BV144" s="0" t="n">
        <v>0.167</v>
      </c>
      <c r="BW144" s="0" t="n">
        <v>0.0183</v>
      </c>
      <c r="BX144" s="0" t="n">
        <v>0.2509</v>
      </c>
      <c r="BY144" s="0" t="n">
        <v>0.4261</v>
      </c>
      <c r="BZ144" s="0" t="n">
        <v>18</v>
      </c>
      <c r="CA144" s="0" t="n">
        <v>3.7</v>
      </c>
      <c r="CB144" s="0" t="n">
        <v>14.82</v>
      </c>
      <c r="CC144" s="0" t="n">
        <v>8.65</v>
      </c>
      <c r="CD144" s="0" t="n">
        <v>5.84</v>
      </c>
      <c r="CE144" s="0" t="n">
        <v>1</v>
      </c>
      <c r="CF144" s="0" t="n">
        <v>3</v>
      </c>
      <c r="CG144" s="0" t="n">
        <v>18</v>
      </c>
      <c r="CH144" s="0" t="n">
        <v>0.056</v>
      </c>
      <c r="CI144" s="0" t="n">
        <v>0.167</v>
      </c>
      <c r="CJ144" s="0" t="n">
        <v>0.675</v>
      </c>
      <c r="CK144" s="0" t="n">
        <v>9</v>
      </c>
      <c r="CL144" s="0" t="n">
        <v>2</v>
      </c>
      <c r="CM144" s="0" t="n">
        <v>2</v>
      </c>
      <c r="CN144" s="0" t="n">
        <v>2</v>
      </c>
      <c r="CO144" s="0" t="n">
        <v>3.48386717590164</v>
      </c>
      <c r="CP144" s="0" t="n">
        <v>1</v>
      </c>
      <c r="CQ144" s="0" t="n">
        <v>0</v>
      </c>
      <c r="CR144" s="0" t="n">
        <v>0</v>
      </c>
      <c r="CS144" s="0" t="n">
        <v>0</v>
      </c>
      <c r="CT144" s="0" t="n">
        <v>0.0956806920955588</v>
      </c>
      <c r="CU144" s="0" t="n">
        <v>10</v>
      </c>
      <c r="CV144" s="0" t="n">
        <v>2</v>
      </c>
      <c r="CW144" s="0" t="n">
        <v>2</v>
      </c>
      <c r="CX144" s="0" t="n">
        <v>2</v>
      </c>
      <c r="CY144" s="0" t="n">
        <v>3.58</v>
      </c>
      <c r="CZ144" s="0" t="n">
        <v>-1.58</v>
      </c>
      <c r="DA144" s="0" t="n">
        <v>2.76169942287021</v>
      </c>
      <c r="DB144" s="0" t="n">
        <v>6.37022222222222</v>
      </c>
      <c r="DC144" s="0" t="n">
        <v>11.5433695652174</v>
      </c>
      <c r="DD144" s="0" t="n">
        <v>28.133750486782</v>
      </c>
      <c r="DE144" s="0" t="n">
        <v>-0.252102321205265</v>
      </c>
      <c r="DF144" s="0" t="n">
        <v>64.1304347826087</v>
      </c>
      <c r="DM144" s="0" t="s">
        <v>1726</v>
      </c>
      <c r="DN144" s="0" t="n">
        <v>9</v>
      </c>
      <c r="DO144" s="0" t="n">
        <v>0</v>
      </c>
      <c r="DS144" s="0" t="n">
        <v>92</v>
      </c>
      <c r="DT144" s="0" t="n">
        <v>2</v>
      </c>
      <c r="DU144" s="0" t="n">
        <v>0</v>
      </c>
      <c r="DV144" s="0" t="n">
        <v>8.644</v>
      </c>
      <c r="DW144" s="0" t="n">
        <v>3</v>
      </c>
      <c r="DX144" s="0" t="n">
        <v>11.41</v>
      </c>
      <c r="DY144" s="0" t="n">
        <v>0</v>
      </c>
      <c r="DZ144" s="0" t="n">
        <v>705</v>
      </c>
      <c r="EA144" s="0" t="n">
        <v>0.609</v>
      </c>
      <c r="EB144" s="0" t="n">
        <v>18</v>
      </c>
      <c r="EC144" s="0" t="s">
        <v>1727</v>
      </c>
      <c r="EG144" s="0" t="n">
        <v>2022</v>
      </c>
      <c r="EH144" s="0" t="n">
        <v>2026</v>
      </c>
      <c r="EI144" s="0" t="n">
        <v>5</v>
      </c>
      <c r="EJ144" s="0" t="n">
        <v>72</v>
      </c>
      <c r="EK144" s="0" t="n">
        <v>180</v>
      </c>
      <c r="EL144" s="0" t="s">
        <v>1728</v>
      </c>
      <c r="EM144" s="0" t="n">
        <v>28</v>
      </c>
      <c r="EN144" s="15" t="b">
        <f aca="false">FALSE()</f>
        <v>0</v>
      </c>
      <c r="EO144" s="0" t="n">
        <v>435</v>
      </c>
      <c r="EP144" s="0" t="n">
        <v>2.8048275862069</v>
      </c>
      <c r="EQ144" s="0" t="n">
        <v>0.204597701149425</v>
      </c>
      <c r="ER144" s="0" t="n">
        <v>1.20689655172414</v>
      </c>
      <c r="ES144" s="0" t="n">
        <v>0.809195402298851</v>
      </c>
      <c r="ET144" s="0" t="n">
        <v>31</v>
      </c>
      <c r="EU144" s="0" t="n">
        <v>19</v>
      </c>
      <c r="EV144" s="0" t="n">
        <v>4.26666666666667</v>
      </c>
      <c r="EW144" s="0" t="n">
        <v>0.612903225806452</v>
      </c>
      <c r="EX144" s="0" t="n">
        <v>2.99550865366612</v>
      </c>
      <c r="EY144" s="0" t="n">
        <v>2.758</v>
      </c>
      <c r="EZ144" s="0" t="n">
        <v>0.2121</v>
      </c>
      <c r="FA144" s="0" t="n">
        <v>2.477</v>
      </c>
      <c r="FB144" s="0" t="n">
        <v>1.657</v>
      </c>
      <c r="FC144" s="0" t="n">
        <v>42</v>
      </c>
      <c r="FD144" s="0" t="n">
        <v>518</v>
      </c>
      <c r="FE144" s="0" t="n">
        <v>0.0521235521235521</v>
      </c>
      <c r="FF144" s="0" t="n">
        <v>0.0535</v>
      </c>
      <c r="FG144" s="0" t="n">
        <v>0.2266</v>
      </c>
      <c r="FH144" s="0" t="n">
        <v>2.4</v>
      </c>
      <c r="FI144" s="0" t="n">
        <v>997</v>
      </c>
      <c r="FJ144" s="0" t="n">
        <v>0.507522567703109</v>
      </c>
      <c r="FK144" s="0" t="n">
        <v>17</v>
      </c>
      <c r="FL144" s="0" t="n">
        <v>58.65</v>
      </c>
      <c r="FM144" s="0" t="n">
        <v>0.5204</v>
      </c>
      <c r="FN144" s="0" t="n">
        <v>0.4796</v>
      </c>
      <c r="FO144" s="0" t="n">
        <v>-0.0677</v>
      </c>
      <c r="FP144" s="0" t="n">
        <v>-0.0491</v>
      </c>
      <c r="FQ144" s="0" t="n">
        <v>0.1122</v>
      </c>
      <c r="FR144" s="0" t="n">
        <v>39</v>
      </c>
      <c r="FS144" s="0" t="n">
        <v>60</v>
      </c>
      <c r="FT144" s="0" t="n">
        <v>3.53</v>
      </c>
      <c r="FU144" s="0" t="n">
        <v>28.4</v>
      </c>
      <c r="FV144" s="0" t="n">
        <v>5338</v>
      </c>
      <c r="FW144" s="0" t="n">
        <v>5026</v>
      </c>
      <c r="FX144" s="0" t="n">
        <v>0.942</v>
      </c>
      <c r="FY144" s="0" t="n">
        <v>5</v>
      </c>
      <c r="FZ144" s="0" t="n">
        <v>5</v>
      </c>
      <c r="GA144" s="0" t="n">
        <v>-0.594571744764181</v>
      </c>
      <c r="GB144" s="0" t="n">
        <v>39.3</v>
      </c>
      <c r="GC144" s="0" t="n">
        <v>60.5</v>
      </c>
      <c r="GD144" s="0" t="n">
        <v>49.9</v>
      </c>
      <c r="GE144" s="0" t="n">
        <v>455</v>
      </c>
      <c r="GF144" s="0" t="n">
        <v>507</v>
      </c>
      <c r="GG144" s="0" t="n">
        <v>39</v>
      </c>
      <c r="GH144" s="0" t="n">
        <v>221</v>
      </c>
      <c r="GI144" s="0" t="n">
        <v>158</v>
      </c>
      <c r="GJ144" s="0" t="n">
        <v>37</v>
      </c>
      <c r="GK144" s="0" t="n">
        <v>0.086</v>
      </c>
      <c r="GL144" s="0" t="n">
        <v>0.436</v>
      </c>
      <c r="GM144" s="0" t="n">
        <v>0.234</v>
      </c>
      <c r="GN144" s="0" t="n">
        <v>8.7</v>
      </c>
      <c r="GO144" s="0" t="n">
        <v>7.061</v>
      </c>
      <c r="GP144" s="0" t="n">
        <v>5.422</v>
      </c>
      <c r="GQ144" s="0" t="n">
        <v>5.111</v>
      </c>
      <c r="GR144" s="0" t="n">
        <v>0.5</v>
      </c>
      <c r="GS144" s="0" t="n">
        <v>101</v>
      </c>
      <c r="GT144" s="0" t="n">
        <v>1.55</v>
      </c>
      <c r="GU144" s="0" t="n">
        <v>0.222</v>
      </c>
      <c r="GV144" s="0" t="n">
        <v>7.467</v>
      </c>
      <c r="GW144" s="0" t="n">
        <v>11.644</v>
      </c>
      <c r="GX144" s="0" t="n">
        <v>0.641</v>
      </c>
      <c r="GZ144" s="0" t="n">
        <v>11.446</v>
      </c>
      <c r="HA144" s="0" t="n">
        <v>3</v>
      </c>
      <c r="HB144" s="0" t="n">
        <v>0.652</v>
      </c>
      <c r="HC144" s="0" t="n">
        <v>0.02</v>
      </c>
      <c r="HE144" s="0" t="n">
        <v>-0.047</v>
      </c>
      <c r="HG144" s="0" t="n">
        <v>146.85</v>
      </c>
      <c r="HH144" s="0" t="n">
        <v>14.62</v>
      </c>
      <c r="HI144" s="0" t="n">
        <v>121</v>
      </c>
      <c r="HJ144" s="0" t="n">
        <v>208</v>
      </c>
      <c r="HK144" s="0" t="s">
        <v>909</v>
      </c>
      <c r="HL144" s="0" t="n">
        <v>0</v>
      </c>
      <c r="HM144" s="0" t="n">
        <v>39</v>
      </c>
      <c r="HN144" s="0" t="n">
        <v>57</v>
      </c>
      <c r="HO144" s="0" t="n">
        <v>0.345</v>
      </c>
      <c r="HP144" s="0" t="n">
        <v>54</v>
      </c>
      <c r="HQ144" s="0" t="n">
        <v>-0.313</v>
      </c>
      <c r="HR144" s="0" t="s">
        <v>102</v>
      </c>
    </row>
    <row r="145" customFormat="false" ht="15" hidden="false" customHeight="false" outlineLevel="0" collapsed="false">
      <c r="A145" s="0" t="s">
        <v>896</v>
      </c>
      <c r="B145" s="0" t="s">
        <v>897</v>
      </c>
      <c r="C145" s="0" t="s">
        <v>898</v>
      </c>
      <c r="D145" s="0" t="s">
        <v>429</v>
      </c>
      <c r="E145" s="0" t="n">
        <v>16421</v>
      </c>
      <c r="F145" s="0" t="s">
        <v>104</v>
      </c>
      <c r="G145" s="0" t="n">
        <v>148.76</v>
      </c>
      <c r="H145" s="0" t="n">
        <v>17.47</v>
      </c>
      <c r="I145" s="0" t="n">
        <v>103</v>
      </c>
      <c r="J145" s="0" t="n">
        <v>214</v>
      </c>
      <c r="L145" s="0" t="s">
        <v>1729</v>
      </c>
      <c r="O145" s="0" t="n">
        <v>46</v>
      </c>
      <c r="U145" s="0" t="n">
        <v>8</v>
      </c>
      <c r="V145" s="0" t="s">
        <v>429</v>
      </c>
      <c r="W145" s="0" t="s">
        <v>901</v>
      </c>
      <c r="X145" s="0" t="s">
        <v>1021</v>
      </c>
      <c r="Y145" s="0" t="s">
        <v>1730</v>
      </c>
      <c r="Z145" s="0" t="n">
        <v>16421</v>
      </c>
      <c r="AA145" s="0" t="s">
        <v>1731</v>
      </c>
      <c r="AB145" s="0" t="s">
        <v>904</v>
      </c>
      <c r="AC145" s="0" t="s">
        <v>158</v>
      </c>
      <c r="AD145" s="0" t="s">
        <v>158</v>
      </c>
      <c r="AE145" s="0" t="s">
        <v>158</v>
      </c>
      <c r="AF145" s="0" t="s">
        <v>158</v>
      </c>
      <c r="AG145" s="0" t="s">
        <v>158</v>
      </c>
      <c r="AH145" s="0" t="s">
        <v>905</v>
      </c>
      <c r="AI145" s="0" t="n">
        <v>2</v>
      </c>
      <c r="AJ145" s="0" t="s">
        <v>104</v>
      </c>
      <c r="AK145" s="0" t="n">
        <v>144</v>
      </c>
      <c r="AL145" s="0" t="n">
        <v>48</v>
      </c>
      <c r="AM145" s="0" t="s">
        <v>430</v>
      </c>
      <c r="AN145" s="0" t="n">
        <v>0</v>
      </c>
      <c r="AO145" s="0" t="n">
        <v>0</v>
      </c>
      <c r="AP145" s="0" t="n">
        <v>0</v>
      </c>
      <c r="AQ145" s="0" t="n">
        <v>0</v>
      </c>
      <c r="AR145" s="0" t="n">
        <v>0</v>
      </c>
      <c r="AS145" s="0" t="n">
        <v>0</v>
      </c>
      <c r="AT145" s="0" t="n">
        <v>0</v>
      </c>
      <c r="AU145" s="0" t="n">
        <v>0</v>
      </c>
      <c r="AV145" s="0" t="n">
        <v>0</v>
      </c>
      <c r="AW145" s="0" t="n">
        <v>131</v>
      </c>
      <c r="AX145" s="0" t="n">
        <v>471</v>
      </c>
      <c r="AY145" s="0" t="n">
        <v>1</v>
      </c>
      <c r="AZ145" s="0" t="n">
        <v>21</v>
      </c>
      <c r="BA145" s="0" t="n">
        <v>-28.7749726018363</v>
      </c>
      <c r="BB145" s="0" t="n">
        <v>1</v>
      </c>
      <c r="BC145" s="0" t="n">
        <v>33</v>
      </c>
      <c r="BD145" s="0" t="n">
        <v>39</v>
      </c>
      <c r="BE145" s="0" t="n">
        <v>186</v>
      </c>
      <c r="BF145" s="0" t="n">
        <v>0</v>
      </c>
      <c r="BG145" s="0" t="n">
        <v>33</v>
      </c>
      <c r="BH145" s="0" t="n">
        <v>202</v>
      </c>
      <c r="BI145" s="0" t="n">
        <v>7</v>
      </c>
      <c r="BJ145" s="0" t="n">
        <v>-11.6717303288865</v>
      </c>
      <c r="BK145" s="0" t="n">
        <v>1</v>
      </c>
      <c r="BL145" s="0" t="n">
        <v>0</v>
      </c>
      <c r="BM145" s="0" t="n">
        <v>67.7</v>
      </c>
      <c r="BN145" s="0" t="n">
        <v>100.7</v>
      </c>
      <c r="BO145" s="0" t="n">
        <v>11</v>
      </c>
      <c r="BP145" s="0" t="s">
        <v>158</v>
      </c>
      <c r="BQ145" s="0" t="n">
        <v>1</v>
      </c>
      <c r="BR145" s="0" t="n">
        <v>84.2</v>
      </c>
      <c r="BS145" s="0" t="n">
        <v>0.069</v>
      </c>
      <c r="BT145" s="0" t="n">
        <v>0.3011</v>
      </c>
      <c r="BU145" s="0" t="n">
        <v>0.0071</v>
      </c>
      <c r="BV145" s="0" t="n">
        <v>0.1048</v>
      </c>
      <c r="BW145" s="0" t="n">
        <v>0.4729</v>
      </c>
      <c r="BX145" s="0" t="n">
        <v>0.0109</v>
      </c>
      <c r="BY145" s="0" t="n">
        <v>0.1648</v>
      </c>
      <c r="BZ145" s="0" t="n">
        <v>11</v>
      </c>
      <c r="CA145" s="0" t="n">
        <v>6.2</v>
      </c>
      <c r="CB145" s="0" t="n">
        <v>14.1</v>
      </c>
      <c r="CC145" s="0" t="n">
        <v>9.5</v>
      </c>
      <c r="CD145" s="0" t="n">
        <v>4.9</v>
      </c>
      <c r="CE145" s="0" t="n">
        <v>0</v>
      </c>
      <c r="CF145" s="0" t="n">
        <v>1</v>
      </c>
      <c r="CG145" s="0" t="n">
        <v>11</v>
      </c>
      <c r="CH145" s="0" t="n">
        <v>0</v>
      </c>
      <c r="CI145" s="0" t="n">
        <v>0.091</v>
      </c>
      <c r="CJ145" s="0" t="n">
        <v>0.516</v>
      </c>
      <c r="CK145" s="0" t="n">
        <v>5</v>
      </c>
      <c r="CL145" s="0" t="n">
        <v>2</v>
      </c>
      <c r="CM145" s="0" t="n">
        <v>0</v>
      </c>
      <c r="CN145" s="0" t="n">
        <v>0</v>
      </c>
      <c r="CO145" s="0" t="n">
        <v>1.69402064035777</v>
      </c>
      <c r="CP145" s="0" t="n">
        <v>15</v>
      </c>
      <c r="CQ145" s="0" t="n">
        <v>6</v>
      </c>
      <c r="CR145" s="0" t="n">
        <v>2</v>
      </c>
      <c r="CS145" s="0" t="n">
        <v>1</v>
      </c>
      <c r="CT145" s="0" t="n">
        <v>2.44599097131153</v>
      </c>
      <c r="CU145" s="0" t="n">
        <v>20</v>
      </c>
      <c r="CV145" s="0" t="n">
        <v>8</v>
      </c>
      <c r="CW145" s="0" t="n">
        <v>2</v>
      </c>
      <c r="CX145" s="0" t="n">
        <v>1</v>
      </c>
      <c r="CY145" s="0" t="n">
        <v>4.14</v>
      </c>
      <c r="CZ145" s="0" t="n">
        <v>-3.14</v>
      </c>
      <c r="DG145" s="0" t="n">
        <v>4.15912951167728</v>
      </c>
      <c r="DH145" s="0" t="n">
        <v>10.6870229007634</v>
      </c>
      <c r="DI145" s="0" t="n">
        <v>2.54068695652174</v>
      </c>
      <c r="DJ145" s="0" t="n">
        <v>-95.3836462760402</v>
      </c>
      <c r="DK145" s="0" t="n">
        <v>-0.73372035596954</v>
      </c>
      <c r="DL145" s="0" t="n">
        <v>0.3</v>
      </c>
      <c r="DM145" s="0" t="s">
        <v>1732</v>
      </c>
      <c r="DN145" s="0" t="n">
        <v>131</v>
      </c>
      <c r="DO145" s="0" t="n">
        <v>7</v>
      </c>
      <c r="DP145" s="0" t="n">
        <v>2.153</v>
      </c>
      <c r="DQ145" s="0" t="n">
        <v>1.443</v>
      </c>
      <c r="DR145" s="0" t="n">
        <v>18.71</v>
      </c>
      <c r="DS145" s="0" t="n">
        <v>39</v>
      </c>
      <c r="DT145" s="0" t="n">
        <v>2</v>
      </c>
      <c r="DU145" s="0" t="n">
        <v>2</v>
      </c>
      <c r="DV145" s="0" t="n">
        <v>-0.485</v>
      </c>
      <c r="DW145" s="0" t="n">
        <v>6.121</v>
      </c>
      <c r="DX145" s="0" t="n">
        <v>0.8</v>
      </c>
      <c r="DY145" s="0" t="n">
        <v>0.0513</v>
      </c>
      <c r="DZ145" s="0" t="n">
        <v>457</v>
      </c>
      <c r="EA145" s="0" t="n">
        <v>0.637</v>
      </c>
      <c r="EB145" s="0" t="n">
        <v>11</v>
      </c>
      <c r="EC145" s="0" t="s">
        <v>1733</v>
      </c>
      <c r="ED145" s="0" t="n">
        <v>2017</v>
      </c>
      <c r="EE145" s="0" t="n">
        <v>3</v>
      </c>
      <c r="EF145" s="0" t="n">
        <v>67</v>
      </c>
      <c r="EG145" s="0" t="n">
        <v>2017</v>
      </c>
      <c r="EH145" s="0" t="n">
        <v>2026</v>
      </c>
      <c r="EI145" s="0" t="n">
        <v>10</v>
      </c>
      <c r="EJ145" s="0" t="n">
        <v>70</v>
      </c>
      <c r="EK145" s="0" t="n">
        <v>215</v>
      </c>
      <c r="EL145" s="0" t="s">
        <v>1734</v>
      </c>
      <c r="EM145" s="0" t="n">
        <v>31.1</v>
      </c>
      <c r="EN145" s="15" t="b">
        <f aca="false">FALSE()</f>
        <v>0</v>
      </c>
      <c r="EO145" s="0" t="n">
        <v>300</v>
      </c>
      <c r="EP145" s="0" t="n">
        <v>2.89633333333333</v>
      </c>
      <c r="EQ145" s="0" t="n">
        <v>0.15</v>
      </c>
      <c r="ER145" s="0" t="n">
        <v>0.956666666666667</v>
      </c>
      <c r="ES145" s="0" t="n">
        <v>0.316666666666667</v>
      </c>
      <c r="ET145" s="0" t="n">
        <v>20</v>
      </c>
      <c r="EU145" s="0" t="n">
        <v>11</v>
      </c>
      <c r="EV145" s="0" t="n">
        <v>3.72</v>
      </c>
      <c r="EW145" s="0" t="n">
        <v>0.55</v>
      </c>
      <c r="EX145" s="0" t="n">
        <v>2.96200332598839</v>
      </c>
      <c r="EY145" s="0" t="n">
        <v>2.883</v>
      </c>
      <c r="EZ145" s="0" t="n">
        <v>0.1505</v>
      </c>
      <c r="FA145" s="0" t="n">
        <v>2.057</v>
      </c>
      <c r="FB145" s="0" t="n">
        <v>1.628</v>
      </c>
      <c r="FC145" s="0" t="n">
        <v>31</v>
      </c>
      <c r="FD145" s="0" t="n">
        <v>670</v>
      </c>
      <c r="FE145" s="0" t="n">
        <v>0.073134328358209</v>
      </c>
      <c r="FF145" s="0" t="n">
        <v>0.0763</v>
      </c>
      <c r="FG145" s="0" t="n">
        <v>0.2132</v>
      </c>
      <c r="FH145" s="0" t="n">
        <v>2.2</v>
      </c>
      <c r="FI145" s="0" t="n">
        <v>1064</v>
      </c>
      <c r="FJ145" s="0" t="n">
        <v>0.596804511278195</v>
      </c>
      <c r="FK145" s="0" t="n">
        <v>17</v>
      </c>
      <c r="FL145" s="0" t="n">
        <v>62.59</v>
      </c>
      <c r="FM145" s="0" t="n">
        <v>0.5383</v>
      </c>
      <c r="FN145" s="0" t="n">
        <v>0.4617</v>
      </c>
      <c r="FO145" s="0" t="n">
        <v>-0.0301</v>
      </c>
      <c r="FP145" s="0" t="n">
        <v>-0.1008</v>
      </c>
      <c r="FQ145" s="0" t="n">
        <v>-0.0795</v>
      </c>
      <c r="FR145" s="0" t="n">
        <v>35</v>
      </c>
      <c r="FS145" s="0" t="n">
        <v>48</v>
      </c>
      <c r="FT145" s="0" t="n">
        <v>2.82</v>
      </c>
      <c r="FU145" s="0" t="n">
        <v>18</v>
      </c>
      <c r="FV145" s="0" t="n">
        <v>5643</v>
      </c>
      <c r="FW145" s="0" t="n">
        <v>4426</v>
      </c>
      <c r="FX145" s="0" t="n">
        <v>0.784</v>
      </c>
      <c r="FY145" s="0" t="n">
        <v>5</v>
      </c>
      <c r="FZ145" s="0" t="n">
        <v>4</v>
      </c>
      <c r="GA145" s="0" t="n">
        <v>-0.421361894882305</v>
      </c>
      <c r="GB145" s="0" t="n">
        <v>42.4</v>
      </c>
      <c r="GC145" s="0" t="n">
        <v>44.9</v>
      </c>
      <c r="GD145" s="0" t="n">
        <v>41.9</v>
      </c>
      <c r="GE145" s="0" t="n">
        <v>565</v>
      </c>
      <c r="GF145" s="0" t="n">
        <v>435</v>
      </c>
      <c r="GG145" s="0" t="n">
        <v>127</v>
      </c>
      <c r="GH145" s="0" t="n">
        <v>21</v>
      </c>
      <c r="GI145" s="0" t="n">
        <v>113</v>
      </c>
      <c r="GJ145" s="0" t="n">
        <v>15</v>
      </c>
      <c r="GK145" s="0" t="n">
        <v>0.225</v>
      </c>
      <c r="GL145" s="0" t="n">
        <v>0.048</v>
      </c>
      <c r="GM145" s="0" t="n">
        <v>0.133</v>
      </c>
      <c r="GN145" s="0" t="n">
        <v>9.155</v>
      </c>
      <c r="GO145" s="0" t="n">
        <v>7.655</v>
      </c>
      <c r="GP145" s="0" t="n">
        <v>6.155</v>
      </c>
      <c r="GQ145" s="0" t="n">
        <v>3.545</v>
      </c>
      <c r="GR145" s="0" t="n">
        <v>11.909</v>
      </c>
      <c r="GS145" s="0" t="n">
        <v>170</v>
      </c>
      <c r="GT145" s="0" t="n">
        <v>0.592</v>
      </c>
      <c r="GU145" s="0" t="n">
        <v>0.22</v>
      </c>
      <c r="GV145" s="0" t="n">
        <v>4.769</v>
      </c>
      <c r="GW145" s="0" t="n">
        <v>5.636</v>
      </c>
      <c r="GX145" s="0" t="n">
        <v>0.846</v>
      </c>
      <c r="GY145" s="0" t="n">
        <v>3.595</v>
      </c>
      <c r="GZ145" s="0" t="n">
        <v>0.846</v>
      </c>
      <c r="HA145" s="0" t="n">
        <v>6.121</v>
      </c>
      <c r="HB145" s="0" t="n">
        <v>5.636</v>
      </c>
      <c r="HC145" s="0" t="n">
        <v>0.006</v>
      </c>
      <c r="HD145" s="0" t="n">
        <v>-0.22</v>
      </c>
      <c r="HE145" s="0" t="n">
        <v>-0.299</v>
      </c>
      <c r="HG145" s="0" t="n">
        <v>148.76</v>
      </c>
      <c r="HH145" s="0" t="n">
        <v>17.47</v>
      </c>
      <c r="HI145" s="0" t="n">
        <v>103</v>
      </c>
      <c r="HJ145" s="0" t="n">
        <v>214</v>
      </c>
      <c r="HK145" s="0" t="s">
        <v>909</v>
      </c>
      <c r="HL145" s="0" t="n">
        <v>0</v>
      </c>
      <c r="HM145" s="0" t="n">
        <v>44</v>
      </c>
      <c r="HN145" s="0" t="n">
        <v>48</v>
      </c>
      <c r="HO145" s="0" t="n">
        <v>-0.193</v>
      </c>
      <c r="HP145" s="0" t="n">
        <v>35</v>
      </c>
      <c r="HQ145" s="0" t="n">
        <v>0.201</v>
      </c>
      <c r="HR145" s="0" t="s">
        <v>102</v>
      </c>
    </row>
    <row r="146" customFormat="false" ht="15" hidden="false" customHeight="false" outlineLevel="0" collapsed="false">
      <c r="A146" s="0" t="s">
        <v>896</v>
      </c>
      <c r="B146" s="0" t="s">
        <v>897</v>
      </c>
      <c r="C146" s="0" t="s">
        <v>898</v>
      </c>
      <c r="D146" s="0" t="s">
        <v>431</v>
      </c>
      <c r="E146" s="0" t="n">
        <v>27102</v>
      </c>
      <c r="F146" s="0" t="s">
        <v>104</v>
      </c>
      <c r="G146" s="0" t="n">
        <v>149.56</v>
      </c>
      <c r="H146" s="0" t="n">
        <v>17.35</v>
      </c>
      <c r="I146" s="0" t="n">
        <v>103</v>
      </c>
      <c r="J146" s="0" t="n">
        <v>203</v>
      </c>
      <c r="L146" s="0" t="s">
        <v>1735</v>
      </c>
      <c r="O146" s="0" t="n">
        <v>21.1</v>
      </c>
      <c r="U146" s="0" t="n">
        <v>11</v>
      </c>
      <c r="V146" s="0" t="s">
        <v>431</v>
      </c>
      <c r="W146" s="0" t="s">
        <v>901</v>
      </c>
      <c r="X146" s="0" t="s">
        <v>258</v>
      </c>
      <c r="Y146" s="0" t="s">
        <v>1736</v>
      </c>
      <c r="Z146" s="0" t="n">
        <v>27102</v>
      </c>
      <c r="AA146" s="0" t="s">
        <v>1737</v>
      </c>
      <c r="AB146" s="0" t="s">
        <v>904</v>
      </c>
      <c r="AC146" s="0" t="s">
        <v>258</v>
      </c>
      <c r="AD146" s="0" t="s">
        <v>258</v>
      </c>
      <c r="AE146" s="0" t="s">
        <v>258</v>
      </c>
      <c r="AF146" s="0" t="s">
        <v>258</v>
      </c>
      <c r="AG146" s="0" t="s">
        <v>258</v>
      </c>
      <c r="AH146" s="0" t="s">
        <v>905</v>
      </c>
      <c r="AI146" s="0" t="n">
        <v>2</v>
      </c>
      <c r="AJ146" s="0" t="s">
        <v>104</v>
      </c>
      <c r="AK146" s="0" t="n">
        <v>145</v>
      </c>
      <c r="AL146" s="0" t="n">
        <v>49</v>
      </c>
      <c r="AM146" s="0" t="s">
        <v>432</v>
      </c>
      <c r="AN146" s="0" t="n">
        <v>0</v>
      </c>
      <c r="AO146" s="0" t="n">
        <v>0</v>
      </c>
      <c r="AP146" s="0" t="n">
        <v>0</v>
      </c>
      <c r="AQ146" s="0" t="n">
        <v>0</v>
      </c>
      <c r="AR146" s="0" t="n">
        <v>0</v>
      </c>
      <c r="AS146" s="0" t="n">
        <v>0</v>
      </c>
      <c r="AT146" s="0" t="n">
        <v>0</v>
      </c>
      <c r="AU146" s="0" t="n">
        <v>0</v>
      </c>
      <c r="AV146" s="0" t="n">
        <v>0</v>
      </c>
      <c r="AW146" s="0" t="n">
        <v>65</v>
      </c>
      <c r="AX146" s="0" t="n">
        <v>175</v>
      </c>
      <c r="AY146" s="0" t="n">
        <v>0</v>
      </c>
      <c r="AZ146" s="0" t="n">
        <v>12</v>
      </c>
      <c r="BA146" s="0" t="n">
        <v>-16.8226471940605</v>
      </c>
      <c r="BB146" s="0" t="n">
        <v>0</v>
      </c>
      <c r="BC146" s="0" t="n">
        <v>33</v>
      </c>
      <c r="BD146" s="0" t="n">
        <v>40</v>
      </c>
      <c r="BE146" s="0" t="n">
        <v>271</v>
      </c>
      <c r="BF146" s="0" t="n">
        <v>2</v>
      </c>
      <c r="BG146" s="0" t="n">
        <v>-62</v>
      </c>
      <c r="BH146" s="0" t="n">
        <v>318</v>
      </c>
      <c r="BI146" s="0" t="n">
        <v>8</v>
      </c>
      <c r="BJ146" s="0" t="n">
        <v>6.89931365984376</v>
      </c>
      <c r="BK146" s="0" t="n">
        <v>1</v>
      </c>
      <c r="BL146" s="0" t="n">
        <v>0</v>
      </c>
      <c r="BM146" s="0" t="n">
        <v>54.6</v>
      </c>
      <c r="BN146" s="0" t="n">
        <v>87.6</v>
      </c>
      <c r="BO146" s="0" t="n">
        <v>15</v>
      </c>
      <c r="BP146" s="0" t="s">
        <v>258</v>
      </c>
      <c r="BQ146" s="0" t="n">
        <v>1</v>
      </c>
      <c r="BR146" s="0" t="n">
        <v>71.1</v>
      </c>
      <c r="BS146" s="0" t="n">
        <v>0.0766</v>
      </c>
      <c r="BT146" s="0" t="n">
        <v>0.1544</v>
      </c>
      <c r="BU146" s="0" t="n">
        <v>-0.0173</v>
      </c>
      <c r="BV146" s="0" t="n">
        <v>0.0862</v>
      </c>
      <c r="BW146" s="0" t="n">
        <v>0.1738</v>
      </c>
      <c r="BX146" s="0" t="n">
        <v>-0.019</v>
      </c>
      <c r="BY146" s="0" t="n">
        <v>0.116</v>
      </c>
      <c r="BZ146" s="0" t="n">
        <v>15</v>
      </c>
      <c r="CA146" s="0" t="n">
        <v>1.55</v>
      </c>
      <c r="CB146" s="0" t="n">
        <v>10.79</v>
      </c>
      <c r="CC146" s="0" t="n">
        <v>4.4</v>
      </c>
      <c r="CD146" s="0" t="n">
        <v>5.6</v>
      </c>
      <c r="CE146" s="0" t="n">
        <v>2</v>
      </c>
      <c r="CF146" s="0" t="n">
        <v>6</v>
      </c>
      <c r="CG146" s="0" t="n">
        <v>15</v>
      </c>
      <c r="CH146" s="0" t="n">
        <v>0.133</v>
      </c>
      <c r="CI146" s="0" t="n">
        <v>0.4</v>
      </c>
      <c r="CJ146" s="0" t="n">
        <v>1.272</v>
      </c>
      <c r="CK146" s="0" t="n">
        <v>6</v>
      </c>
      <c r="CL146" s="0" t="n">
        <v>2</v>
      </c>
      <c r="CM146" s="0" t="n">
        <v>0</v>
      </c>
      <c r="CN146" s="0" t="n">
        <v>2</v>
      </c>
      <c r="CO146" s="0" t="n">
        <v>1.77577480917351</v>
      </c>
      <c r="CP146" s="0" t="n">
        <v>7</v>
      </c>
      <c r="CQ146" s="0" t="n">
        <v>1</v>
      </c>
      <c r="CR146" s="0" t="n">
        <v>0</v>
      </c>
      <c r="CS146" s="0" t="n">
        <v>0</v>
      </c>
      <c r="CT146" s="0" t="n">
        <v>0.741057140377052</v>
      </c>
      <c r="CU146" s="0" t="n">
        <v>13</v>
      </c>
      <c r="CV146" s="0" t="n">
        <v>3</v>
      </c>
      <c r="CW146" s="0" t="n">
        <v>0</v>
      </c>
      <c r="CX146" s="0" t="n">
        <v>2</v>
      </c>
      <c r="CY146" s="0" t="n">
        <v>2.52</v>
      </c>
      <c r="CZ146" s="0" t="n">
        <v>-0.52</v>
      </c>
      <c r="DM146" s="0" t="s">
        <v>1738</v>
      </c>
      <c r="DN146" s="0" t="n">
        <v>65</v>
      </c>
      <c r="DO146" s="0" t="n">
        <v>6</v>
      </c>
      <c r="DP146" s="0" t="n">
        <v>1.154</v>
      </c>
      <c r="DQ146" s="0" t="n">
        <v>1.538</v>
      </c>
      <c r="DR146" s="0" t="n">
        <v>10.83</v>
      </c>
      <c r="DS146" s="0" t="n">
        <v>40</v>
      </c>
      <c r="DT146" s="0" t="n">
        <v>2</v>
      </c>
      <c r="DU146" s="0" t="n">
        <v>0</v>
      </c>
      <c r="DV146" s="0" t="n">
        <v>-1.424</v>
      </c>
      <c r="DW146" s="0" t="n">
        <v>9.636</v>
      </c>
      <c r="DX146" s="0" t="n">
        <v>-1.5</v>
      </c>
      <c r="DY146" s="0" t="n">
        <v>0</v>
      </c>
      <c r="DZ146" s="0" t="n">
        <v>249</v>
      </c>
      <c r="EA146" s="0" t="n">
        <v>0.265</v>
      </c>
      <c r="EB146" s="0" t="n">
        <v>15</v>
      </c>
      <c r="EC146" s="0" t="s">
        <v>1739</v>
      </c>
      <c r="ED146" s="0" t="n">
        <v>2025</v>
      </c>
      <c r="EE146" s="0" t="n">
        <v>4</v>
      </c>
      <c r="EF146" s="0" t="n">
        <v>126</v>
      </c>
      <c r="EG146" s="0" t="n">
        <v>2025</v>
      </c>
      <c r="EH146" s="0" t="n">
        <v>2026</v>
      </c>
      <c r="EI146" s="0" t="n">
        <v>2</v>
      </c>
      <c r="EJ146" s="0" t="n">
        <v>68</v>
      </c>
      <c r="EK146" s="0" t="n">
        <v>201</v>
      </c>
      <c r="EL146" s="0" t="s">
        <v>1740</v>
      </c>
      <c r="EM146" s="0" t="n">
        <v>21.9</v>
      </c>
      <c r="EN146" s="15" t="b">
        <f aca="false">FALSE()</f>
        <v>0</v>
      </c>
      <c r="EO146" s="0" t="n">
        <v>353</v>
      </c>
      <c r="EP146" s="0" t="n">
        <v>2.40311614730878</v>
      </c>
      <c r="EQ146" s="0" t="n">
        <v>0.223796033994334</v>
      </c>
      <c r="ER146" s="0" t="n">
        <v>0.875354107648725</v>
      </c>
      <c r="ES146" s="0" t="n">
        <v>0.521246458923513</v>
      </c>
      <c r="ET146" s="0" t="n">
        <v>42</v>
      </c>
      <c r="EU146" s="0" t="n">
        <v>28</v>
      </c>
      <c r="EV146" s="0" t="n">
        <v>3.41076487252125</v>
      </c>
      <c r="EW146" s="0" t="n">
        <v>0.666666666666667</v>
      </c>
      <c r="EX146" s="0" t="n">
        <v>2.95974106155856</v>
      </c>
      <c r="EY146" s="0" t="n">
        <v>2.392</v>
      </c>
      <c r="EZ146" s="0" t="n">
        <v>0.225</v>
      </c>
      <c r="FA146" s="0" t="n">
        <v>1.808</v>
      </c>
      <c r="FB146" s="0" t="n">
        <v>2.109</v>
      </c>
      <c r="FC146" s="0" t="n">
        <v>31</v>
      </c>
      <c r="FD146" s="0" t="n">
        <v>639</v>
      </c>
      <c r="FE146" s="0" t="n">
        <v>0.07981220657277</v>
      </c>
      <c r="FF146" s="0" t="n">
        <v>0.0842</v>
      </c>
      <c r="FG146" s="0" t="n">
        <v>0.3405</v>
      </c>
      <c r="FH146" s="0" t="n">
        <v>2.444</v>
      </c>
      <c r="FI146" s="0" t="n">
        <v>1028</v>
      </c>
      <c r="FJ146" s="0" t="n">
        <v>0.592412451361868</v>
      </c>
      <c r="FK146" s="0" t="n">
        <v>17</v>
      </c>
      <c r="FL146" s="0" t="n">
        <v>60.47</v>
      </c>
      <c r="FM146" s="0" t="n">
        <v>0.5161</v>
      </c>
      <c r="FN146" s="0" t="n">
        <v>0.4839</v>
      </c>
      <c r="FO146" s="0" t="n">
        <v>-0.0372</v>
      </c>
      <c r="FP146" s="0" t="n">
        <v>-0.0478</v>
      </c>
      <c r="FQ146" s="0" t="n">
        <v>-0.2882</v>
      </c>
      <c r="FR146" s="0" t="n">
        <v>39</v>
      </c>
      <c r="FS146" s="0" t="n">
        <v>42</v>
      </c>
      <c r="FT146" s="0" t="n">
        <v>2.47</v>
      </c>
      <c r="FU146" s="0" t="n">
        <v>16.4</v>
      </c>
      <c r="FV146" s="0" t="n">
        <v>5503</v>
      </c>
      <c r="FW146" s="0" t="n">
        <v>1435</v>
      </c>
      <c r="FX146" s="0" t="n">
        <v>0.261</v>
      </c>
      <c r="FY146" s="0" t="n">
        <v>5</v>
      </c>
      <c r="FZ146" s="0" t="n">
        <v>1</v>
      </c>
      <c r="GA146" s="0" t="n">
        <v>-1.74193649230018</v>
      </c>
      <c r="GB146" s="0" t="n">
        <v>18.5</v>
      </c>
      <c r="GC146" s="0" t="n">
        <v>26.5</v>
      </c>
      <c r="GD146" s="0" t="n">
        <v>15.1</v>
      </c>
      <c r="GE146" s="0" t="n">
        <v>522</v>
      </c>
      <c r="GF146" s="0" t="n">
        <v>421</v>
      </c>
      <c r="GG146" s="0" t="n">
        <v>88</v>
      </c>
      <c r="GH146" s="0" t="n">
        <v>37</v>
      </c>
      <c r="GI146" s="0" t="n">
        <v>114</v>
      </c>
      <c r="GJ146" s="0" t="n">
        <v>23</v>
      </c>
      <c r="GK146" s="0" t="n">
        <v>0.169</v>
      </c>
      <c r="GL146" s="0" t="n">
        <v>0.088</v>
      </c>
      <c r="GM146" s="0" t="n">
        <v>0.202</v>
      </c>
      <c r="GN146" s="0" t="n">
        <v>5.84</v>
      </c>
      <c r="GO146" s="0" t="n">
        <v>4.74</v>
      </c>
      <c r="GP146" s="0" t="n">
        <v>3.64</v>
      </c>
      <c r="GQ146" s="0" t="n">
        <v>2.667</v>
      </c>
      <c r="GR146" s="0" t="n">
        <v>4.333</v>
      </c>
      <c r="GS146" s="0" t="n">
        <v>105</v>
      </c>
      <c r="GT146" s="0" t="n">
        <v>0.834</v>
      </c>
      <c r="GU146" s="0" t="n">
        <v>0.352</v>
      </c>
      <c r="GV146" s="0" t="n">
        <v>6.775</v>
      </c>
      <c r="GW146" s="0" t="n">
        <v>8.212</v>
      </c>
      <c r="GX146" s="0" t="n">
        <v>0.825</v>
      </c>
      <c r="GY146" s="0" t="n">
        <v>2.692</v>
      </c>
      <c r="GZ146" s="0" t="n">
        <v>-1.55</v>
      </c>
      <c r="HA146" s="0" t="n">
        <v>9.636</v>
      </c>
      <c r="HB146" s="0" t="n">
        <v>-4.371</v>
      </c>
      <c r="HC146" s="0" t="n">
        <v>0.019</v>
      </c>
      <c r="HD146" s="0" t="n">
        <v>-0.259</v>
      </c>
      <c r="HE146" s="0" t="n">
        <v>0.172</v>
      </c>
      <c r="HG146" s="0" t="n">
        <v>149.56</v>
      </c>
      <c r="HH146" s="0" t="n">
        <v>17.35</v>
      </c>
      <c r="HI146" s="0" t="n">
        <v>103</v>
      </c>
      <c r="HJ146" s="0" t="n">
        <v>203</v>
      </c>
      <c r="HK146" s="0" t="s">
        <v>909</v>
      </c>
      <c r="HL146" s="0" t="n">
        <v>0</v>
      </c>
      <c r="HM146" s="0" t="n">
        <v>50</v>
      </c>
      <c r="HN146" s="0" t="n">
        <v>49</v>
      </c>
      <c r="HO146" s="0" t="n">
        <v>-0.421</v>
      </c>
      <c r="HP146" s="0" t="n">
        <v>52</v>
      </c>
      <c r="HQ146" s="0" t="n">
        <v>-0.509</v>
      </c>
      <c r="HR146" s="0" t="s">
        <v>121</v>
      </c>
    </row>
    <row r="147" customFormat="false" ht="15" hidden="false" customHeight="false" outlineLevel="0" collapsed="false">
      <c r="A147" s="0" t="s">
        <v>896</v>
      </c>
      <c r="B147" s="0" t="s">
        <v>897</v>
      </c>
      <c r="C147" s="0" t="s">
        <v>898</v>
      </c>
      <c r="D147" s="0" t="s">
        <v>433</v>
      </c>
      <c r="E147" s="0" t="n">
        <v>24333</v>
      </c>
      <c r="F147" s="0" t="s">
        <v>104</v>
      </c>
      <c r="G147" s="0" t="n">
        <v>151.56</v>
      </c>
      <c r="H147" s="0" t="n">
        <v>12.45</v>
      </c>
      <c r="I147" s="0" t="n">
        <v>118</v>
      </c>
      <c r="J147" s="0" t="n">
        <v>189</v>
      </c>
      <c r="L147" s="0" t="s">
        <v>1741</v>
      </c>
      <c r="O147" s="0" t="n">
        <v>43</v>
      </c>
      <c r="U147" s="0" t="n">
        <v>6</v>
      </c>
      <c r="V147" s="0" t="s">
        <v>433</v>
      </c>
      <c r="W147" s="0" t="s">
        <v>901</v>
      </c>
      <c r="X147" s="0" t="s">
        <v>106</v>
      </c>
      <c r="Y147" s="0" t="s">
        <v>1742</v>
      </c>
      <c r="Z147" s="0" t="n">
        <v>24333</v>
      </c>
      <c r="AA147" s="0" t="s">
        <v>1743</v>
      </c>
      <c r="AB147" s="0" t="s">
        <v>904</v>
      </c>
      <c r="AC147" s="0" t="s">
        <v>106</v>
      </c>
      <c r="AD147" s="0" t="s">
        <v>106</v>
      </c>
      <c r="AE147" s="0" t="s">
        <v>106</v>
      </c>
      <c r="AF147" s="0" t="s">
        <v>106</v>
      </c>
      <c r="AG147" s="0" t="s">
        <v>106</v>
      </c>
      <c r="AH147" s="0" t="s">
        <v>905</v>
      </c>
      <c r="AI147" s="0" t="n">
        <v>2</v>
      </c>
      <c r="AJ147" s="0" t="s">
        <v>104</v>
      </c>
      <c r="AK147" s="0" t="n">
        <v>146</v>
      </c>
      <c r="AL147" s="0" t="n">
        <v>50</v>
      </c>
      <c r="AM147" s="0" t="s">
        <v>434</v>
      </c>
      <c r="AN147" s="0" t="n">
        <v>0</v>
      </c>
      <c r="AO147" s="0" t="n">
        <v>0</v>
      </c>
      <c r="AP147" s="0" t="n">
        <v>0</v>
      </c>
      <c r="AQ147" s="0" t="n">
        <v>0</v>
      </c>
      <c r="AR147" s="0" t="n">
        <v>0</v>
      </c>
      <c r="AS147" s="0" t="n">
        <v>0</v>
      </c>
      <c r="AT147" s="0" t="n">
        <v>0</v>
      </c>
      <c r="AU147" s="0" t="n">
        <v>0</v>
      </c>
      <c r="AV147" s="0" t="n">
        <v>0</v>
      </c>
      <c r="AW147" s="0" t="n">
        <v>118</v>
      </c>
      <c r="AX147" s="0" t="n">
        <v>462</v>
      </c>
      <c r="AY147" s="0" t="n">
        <v>1</v>
      </c>
      <c r="AZ147" s="0" t="n">
        <v>27</v>
      </c>
      <c r="BA147" s="0" t="n">
        <v>-13.6433928764309</v>
      </c>
      <c r="BB147" s="0" t="n">
        <v>0</v>
      </c>
      <c r="BC147" s="0" t="n">
        <v>19</v>
      </c>
      <c r="BD147" s="0" t="n">
        <v>26</v>
      </c>
      <c r="BE147" s="0" t="n">
        <v>101</v>
      </c>
      <c r="BF147" s="0" t="n">
        <v>1</v>
      </c>
      <c r="BG147" s="0" t="n">
        <v>-27</v>
      </c>
      <c r="BH147" s="0" t="n">
        <v>121</v>
      </c>
      <c r="BI147" s="0" t="n">
        <v>4</v>
      </c>
      <c r="BJ147" s="0" t="n">
        <v>-4.67793327944788</v>
      </c>
      <c r="BK147" s="0" t="n">
        <v>0</v>
      </c>
      <c r="BL147" s="0" t="n">
        <v>0</v>
      </c>
      <c r="BM147" s="0" t="n">
        <v>68.3</v>
      </c>
      <c r="BN147" s="0" t="n">
        <v>87.3</v>
      </c>
      <c r="BO147" s="0" t="n">
        <v>13</v>
      </c>
      <c r="BP147" s="0" t="s">
        <v>164</v>
      </c>
      <c r="BQ147" s="0" t="n">
        <v>1</v>
      </c>
      <c r="BR147" s="0" t="n">
        <v>77.8</v>
      </c>
      <c r="BS147" s="0" t="n">
        <v>0.0474</v>
      </c>
      <c r="BT147" s="0" t="n">
        <v>0.2744</v>
      </c>
      <c r="BU147" s="0" t="n">
        <v>-0.0063</v>
      </c>
      <c r="BV147" s="0" t="n">
        <v>0.0644</v>
      </c>
      <c r="BW147" s="0" t="n">
        <v>0.3554</v>
      </c>
      <c r="BX147" s="0" t="n">
        <v>-0.009</v>
      </c>
      <c r="BY147" s="0" t="n">
        <v>0.0903</v>
      </c>
      <c r="BZ147" s="0" t="n">
        <v>13</v>
      </c>
      <c r="CA147" s="0" t="n">
        <v>3.9</v>
      </c>
      <c r="CB147" s="0" t="n">
        <v>12.48</v>
      </c>
      <c r="CC147" s="0" t="n">
        <v>5.8</v>
      </c>
      <c r="CD147" s="0" t="n">
        <v>3.89</v>
      </c>
      <c r="CE147" s="0" t="n">
        <v>0</v>
      </c>
      <c r="CF147" s="0" t="n">
        <v>1</v>
      </c>
      <c r="CG147" s="0" t="n">
        <v>13</v>
      </c>
      <c r="CH147" s="0" t="n">
        <v>0</v>
      </c>
      <c r="CI147" s="0" t="n">
        <v>0.077</v>
      </c>
      <c r="CJ147" s="0" t="n">
        <v>0.672</v>
      </c>
      <c r="CK147" s="0" t="n">
        <v>4</v>
      </c>
      <c r="CL147" s="0" t="n">
        <v>2</v>
      </c>
      <c r="CM147" s="0" t="n">
        <v>1</v>
      </c>
      <c r="CN147" s="0" t="n">
        <v>1</v>
      </c>
      <c r="CO147" s="0" t="n">
        <v>1.27685629693387</v>
      </c>
      <c r="CP147" s="0" t="n">
        <v>20</v>
      </c>
      <c r="CQ147" s="0" t="n">
        <v>7</v>
      </c>
      <c r="CR147" s="0" t="n">
        <v>0</v>
      </c>
      <c r="CS147" s="0" t="n">
        <v>1</v>
      </c>
      <c r="CT147" s="0" t="n">
        <v>2.17582964577759</v>
      </c>
      <c r="CU147" s="0" t="n">
        <v>24</v>
      </c>
      <c r="CV147" s="0" t="n">
        <v>9</v>
      </c>
      <c r="CW147" s="0" t="n">
        <v>1</v>
      </c>
      <c r="CX147" s="0" t="n">
        <v>2</v>
      </c>
      <c r="CY147" s="0" t="n">
        <v>3.45</v>
      </c>
      <c r="CZ147" s="0" t="n">
        <v>-1.45</v>
      </c>
      <c r="DG147" s="0" t="n">
        <v>3.87748917748918</v>
      </c>
      <c r="DH147" s="0" t="n">
        <v>14.406779661017</v>
      </c>
      <c r="DI147" s="0" t="n">
        <v>2.79044144144144</v>
      </c>
      <c r="DJ147" s="0" t="n">
        <v>-47.8094368871624</v>
      </c>
      <c r="DK147" s="0" t="n">
        <v>-0.412150317992779</v>
      </c>
      <c r="DL147" s="0" t="n">
        <v>0.387931034482759</v>
      </c>
      <c r="DM147" s="0" t="s">
        <v>1744</v>
      </c>
      <c r="DN147" s="0" t="n">
        <v>118</v>
      </c>
      <c r="DO147" s="0" t="n">
        <v>2</v>
      </c>
      <c r="DP147" s="0" t="n">
        <v>2.161</v>
      </c>
      <c r="DQ147" s="0" t="n">
        <v>1.754</v>
      </c>
      <c r="DR147" s="0" t="n">
        <v>59</v>
      </c>
      <c r="DS147" s="0" t="n">
        <v>26</v>
      </c>
      <c r="DT147" s="0" t="n">
        <v>1</v>
      </c>
      <c r="DU147" s="0" t="n">
        <v>3</v>
      </c>
      <c r="DV147" s="0" t="n">
        <v>-1.053</v>
      </c>
      <c r="DW147" s="0" t="n">
        <v>6.368</v>
      </c>
      <c r="DX147" s="0" t="n">
        <v>-1</v>
      </c>
      <c r="DY147" s="0" t="n">
        <v>0.1154</v>
      </c>
      <c r="DZ147" s="0" t="n">
        <v>424</v>
      </c>
      <c r="EA147" s="0" t="n">
        <v>0.517</v>
      </c>
      <c r="EB147" s="0" t="n">
        <v>13</v>
      </c>
      <c r="EC147" s="0" t="s">
        <v>1745</v>
      </c>
      <c r="ED147" s="0" t="n">
        <v>2022</v>
      </c>
      <c r="EE147" s="0" t="n">
        <v>7</v>
      </c>
      <c r="EF147" s="0" t="n">
        <v>251</v>
      </c>
      <c r="EG147" s="0" t="n">
        <v>2022</v>
      </c>
      <c r="EH147" s="0" t="n">
        <v>2026</v>
      </c>
      <c r="EI147" s="0" t="n">
        <v>5</v>
      </c>
      <c r="EJ147" s="0" t="n">
        <v>70</v>
      </c>
      <c r="EK147" s="0" t="n">
        <v>210</v>
      </c>
      <c r="EL147" s="0" t="s">
        <v>1509</v>
      </c>
      <c r="EM147" s="0" t="n">
        <v>27.5</v>
      </c>
      <c r="EN147" s="15" t="b">
        <f aca="false">FALSE()</f>
        <v>0</v>
      </c>
      <c r="EO147" s="0" t="n">
        <v>407</v>
      </c>
      <c r="EP147" s="0" t="n">
        <v>2.84496314496315</v>
      </c>
      <c r="EQ147" s="0" t="n">
        <v>0.174447174447174</v>
      </c>
      <c r="ER147" s="0" t="n">
        <v>1.23095823095823</v>
      </c>
      <c r="ES147" s="0" t="n">
        <v>1.3022113022113</v>
      </c>
      <c r="ET147" s="0" t="n">
        <v>31</v>
      </c>
      <c r="EU147" s="0" t="n">
        <v>20</v>
      </c>
      <c r="EV147" s="0" t="n">
        <v>4.81081081081081</v>
      </c>
      <c r="EW147" s="0" t="n">
        <v>0.645161290322581</v>
      </c>
      <c r="EX147" s="0" t="n">
        <v>2.99714515277148</v>
      </c>
      <c r="EY147" s="0" t="n">
        <v>2.796</v>
      </c>
      <c r="EZ147" s="0" t="n">
        <v>0.1795</v>
      </c>
      <c r="FA147" s="0" t="n">
        <v>2.844</v>
      </c>
      <c r="FB147" s="0" t="n">
        <v>1.774</v>
      </c>
      <c r="FC147" s="0" t="n">
        <v>23</v>
      </c>
      <c r="FD147" s="0" t="n">
        <v>624</v>
      </c>
      <c r="FE147" s="0" t="n">
        <v>0.0625</v>
      </c>
      <c r="FF147" s="0" t="n">
        <v>0.0608</v>
      </c>
      <c r="FG147" s="0" t="n">
        <v>0.2646</v>
      </c>
      <c r="FH147" s="0" t="n">
        <v>2.297</v>
      </c>
      <c r="FI147" s="0" t="n">
        <v>1051</v>
      </c>
      <c r="FJ147" s="0" t="n">
        <v>0.588962892483349</v>
      </c>
      <c r="FK147" s="0" t="n">
        <v>17</v>
      </c>
      <c r="FL147" s="0" t="n">
        <v>61.82</v>
      </c>
      <c r="FM147" s="0" t="n">
        <v>0.5469</v>
      </c>
      <c r="FN147" s="0" t="n">
        <v>0.4531</v>
      </c>
      <c r="FO147" s="0" t="n">
        <v>-0.0456</v>
      </c>
      <c r="FP147" s="0" t="n">
        <v>-0.0408</v>
      </c>
      <c r="FQ147" s="0" t="n">
        <v>0.1681</v>
      </c>
      <c r="FR147" s="0" t="n">
        <v>38</v>
      </c>
      <c r="FS147" s="0" t="n">
        <v>65</v>
      </c>
      <c r="FT147" s="0" t="n">
        <v>3.82</v>
      </c>
      <c r="FU147" s="0" t="n">
        <v>28.3</v>
      </c>
      <c r="FV147" s="0" t="n">
        <v>5583</v>
      </c>
      <c r="FW147" s="0" t="n">
        <v>2910</v>
      </c>
      <c r="FX147" s="0" t="n">
        <v>0.521</v>
      </c>
      <c r="FY147" s="0" t="n">
        <v>5</v>
      </c>
      <c r="FZ147" s="0" t="n">
        <v>3</v>
      </c>
      <c r="GA147" s="0" t="n">
        <v>-0.00159357402837607</v>
      </c>
      <c r="GB147" s="0" t="n">
        <v>50</v>
      </c>
      <c r="GC147" s="0" t="n">
        <v>44.8</v>
      </c>
      <c r="GD147" s="0" t="n">
        <v>46.7</v>
      </c>
      <c r="GE147" s="0" t="n">
        <v>550</v>
      </c>
      <c r="GF147" s="0" t="n">
        <v>442</v>
      </c>
      <c r="GG147" s="0" t="n">
        <v>79</v>
      </c>
      <c r="GH147" s="0" t="n">
        <v>167</v>
      </c>
      <c r="GI147" s="0" t="n">
        <v>179</v>
      </c>
      <c r="GJ147" s="0" t="n">
        <v>45</v>
      </c>
      <c r="GK147" s="0" t="n">
        <v>0.144</v>
      </c>
      <c r="GL147" s="0" t="n">
        <v>0.378</v>
      </c>
      <c r="GM147" s="0" t="n">
        <v>0.251</v>
      </c>
      <c r="GN147" s="0" t="n">
        <v>6.715</v>
      </c>
      <c r="GO147" s="0" t="n">
        <v>5.985</v>
      </c>
      <c r="GP147" s="0" t="n">
        <v>5.254</v>
      </c>
      <c r="GQ147" s="0" t="n">
        <v>2</v>
      </c>
      <c r="GR147" s="0" t="n">
        <v>9.077</v>
      </c>
      <c r="GS147" s="0" t="n">
        <v>144</v>
      </c>
      <c r="GT147" s="0" t="n">
        <v>0.606</v>
      </c>
      <c r="GU147" s="0" t="n">
        <v>0.206</v>
      </c>
      <c r="GV147" s="0" t="n">
        <v>3.885</v>
      </c>
      <c r="GW147" s="0" t="n">
        <v>5.316</v>
      </c>
      <c r="GX147" s="0" t="n">
        <v>0.731</v>
      </c>
      <c r="GY147" s="0" t="n">
        <v>3.915</v>
      </c>
      <c r="GZ147" s="0" t="n">
        <v>-1.038</v>
      </c>
      <c r="HA147" s="0" t="n">
        <v>6.368</v>
      </c>
      <c r="HB147" s="0" t="n">
        <v>-3.741</v>
      </c>
      <c r="HC147" s="0" t="n">
        <v>0.014</v>
      </c>
      <c r="HD147" s="0" t="n">
        <v>-0.116</v>
      </c>
      <c r="HE147" s="0" t="n">
        <v>-0.18</v>
      </c>
      <c r="HG147" s="0" t="n">
        <v>151.56</v>
      </c>
      <c r="HH147" s="0" t="n">
        <v>12.45</v>
      </c>
      <c r="HI147" s="0" t="n">
        <v>118</v>
      </c>
      <c r="HJ147" s="0" t="n">
        <v>189</v>
      </c>
      <c r="HK147" s="0" t="s">
        <v>909</v>
      </c>
      <c r="HL147" s="0" t="n">
        <v>0</v>
      </c>
      <c r="HM147" s="0" t="n">
        <v>51</v>
      </c>
      <c r="HN147" s="0" t="n">
        <v>50</v>
      </c>
      <c r="HO147" s="0" t="n">
        <v>-0.429</v>
      </c>
      <c r="HP147" s="0" t="n">
        <v>48</v>
      </c>
      <c r="HQ147" s="0" t="n">
        <v>-0.298</v>
      </c>
      <c r="HR147" s="0" t="s">
        <v>121</v>
      </c>
    </row>
    <row r="148" customFormat="false" ht="15" hidden="false" customHeight="false" outlineLevel="0" collapsed="false">
      <c r="A148" s="0" t="s">
        <v>896</v>
      </c>
      <c r="B148" s="0" t="s">
        <v>897</v>
      </c>
      <c r="C148" s="0" t="s">
        <v>898</v>
      </c>
      <c r="D148" s="0" t="s">
        <v>435</v>
      </c>
      <c r="E148" s="0" t="n">
        <v>24755</v>
      </c>
      <c r="F148" s="0" t="s">
        <v>172</v>
      </c>
      <c r="G148" s="0" t="n">
        <v>152.29</v>
      </c>
      <c r="H148" s="0" t="n">
        <v>21.15</v>
      </c>
      <c r="I148" s="0" t="n">
        <v>125</v>
      </c>
      <c r="J148" s="0" t="n">
        <v>246</v>
      </c>
      <c r="L148" s="0" t="s">
        <v>1746</v>
      </c>
      <c r="O148" s="0" t="n">
        <v>25.5</v>
      </c>
      <c r="U148" s="0" t="n">
        <v>9</v>
      </c>
      <c r="V148" s="0" t="s">
        <v>435</v>
      </c>
      <c r="W148" s="0" t="s">
        <v>901</v>
      </c>
      <c r="X148" s="0" t="s">
        <v>265</v>
      </c>
      <c r="Y148" s="0" t="s">
        <v>1747</v>
      </c>
      <c r="Z148" s="0" t="n">
        <v>24755</v>
      </c>
      <c r="AA148" s="0" t="s">
        <v>1748</v>
      </c>
      <c r="AB148" s="0" t="s">
        <v>904</v>
      </c>
      <c r="AC148" s="0" t="s">
        <v>265</v>
      </c>
      <c r="AD148" s="0" t="s">
        <v>265</v>
      </c>
      <c r="AE148" s="0" t="s">
        <v>265</v>
      </c>
      <c r="AF148" s="0" t="s">
        <v>265</v>
      </c>
      <c r="AG148" s="0" t="s">
        <v>265</v>
      </c>
      <c r="AH148" s="0" t="s">
        <v>905</v>
      </c>
      <c r="AI148" s="0" t="n">
        <v>1</v>
      </c>
      <c r="AJ148" s="0" t="s">
        <v>172</v>
      </c>
      <c r="AK148" s="0" t="n">
        <v>147</v>
      </c>
      <c r="AL148" s="0" t="n">
        <v>24</v>
      </c>
      <c r="AM148" s="0" t="s">
        <v>436</v>
      </c>
      <c r="AN148" s="0" t="n">
        <v>323</v>
      </c>
      <c r="AO148" s="0" t="n">
        <v>540</v>
      </c>
      <c r="AP148" s="0" t="n">
        <v>3169</v>
      </c>
      <c r="AQ148" s="0" t="n">
        <v>15</v>
      </c>
      <c r="AR148" s="0" t="n">
        <v>7</v>
      </c>
      <c r="AS148" s="0" t="n">
        <v>55</v>
      </c>
      <c r="AT148" s="0" t="n">
        <v>3905</v>
      </c>
      <c r="AU148" s="0" t="n">
        <v>153</v>
      </c>
      <c r="AV148" s="0" t="n">
        <v>-109.093751088605</v>
      </c>
      <c r="AW148" s="0" t="n">
        <v>39</v>
      </c>
      <c r="AX148" s="0" t="n">
        <v>159</v>
      </c>
      <c r="AY148" s="0" t="n">
        <v>2</v>
      </c>
      <c r="AZ148" s="0" t="n">
        <v>15</v>
      </c>
      <c r="BA148" s="0" t="n">
        <v>8.49429983037982</v>
      </c>
      <c r="BB148" s="0" t="n">
        <v>0</v>
      </c>
      <c r="BC148" s="0" t="n">
        <v>0</v>
      </c>
      <c r="BD148" s="0" t="n">
        <v>0</v>
      </c>
      <c r="BE148" s="0" t="n">
        <v>0</v>
      </c>
      <c r="BF148" s="0" t="n">
        <v>0</v>
      </c>
      <c r="BG148" s="0" t="n">
        <v>0</v>
      </c>
      <c r="BH148" s="0" t="n">
        <v>0</v>
      </c>
      <c r="BI148" s="0" t="n">
        <v>0</v>
      </c>
      <c r="BJ148" s="0" t="n">
        <v>0</v>
      </c>
      <c r="BK148" s="0" t="n">
        <v>0</v>
      </c>
      <c r="BL148" s="0" t="n">
        <v>0</v>
      </c>
      <c r="BM148" s="0" t="n">
        <v>186.66</v>
      </c>
      <c r="BN148" s="0" t="n">
        <v>186.66</v>
      </c>
      <c r="BO148" s="0" t="n">
        <v>17</v>
      </c>
      <c r="BP148" s="0" t="s">
        <v>265</v>
      </c>
      <c r="BQ148" s="0" t="n">
        <v>1</v>
      </c>
      <c r="BR148" s="0" t="n">
        <v>186.66</v>
      </c>
      <c r="BS148" s="0" t="n">
        <v>0</v>
      </c>
      <c r="BT148" s="0" t="n">
        <v>0.1032</v>
      </c>
      <c r="BU148" s="0" t="n">
        <v>0</v>
      </c>
      <c r="BV148" s="0" t="n">
        <v>0</v>
      </c>
      <c r="BW148" s="0" t="n">
        <v>0.1032</v>
      </c>
      <c r="BX148" s="0" t="n">
        <v>0</v>
      </c>
      <c r="BY148" s="0" t="n">
        <v>0</v>
      </c>
      <c r="BZ148" s="0" t="n">
        <v>17</v>
      </c>
      <c r="CA148" s="0" t="n">
        <v>6.88</v>
      </c>
      <c r="CB148" s="0" t="n">
        <v>16.22</v>
      </c>
      <c r="CC148" s="0" t="n">
        <v>10.2</v>
      </c>
      <c r="CD148" s="0" t="n">
        <v>5.4</v>
      </c>
      <c r="CE148" s="0" t="n">
        <v>2</v>
      </c>
      <c r="CF148" s="0" t="n">
        <v>6</v>
      </c>
      <c r="CG148" s="0" t="n">
        <v>17</v>
      </c>
      <c r="CH148" s="0" t="n">
        <v>0.118</v>
      </c>
      <c r="CI148" s="0" t="n">
        <v>0.353</v>
      </c>
      <c r="CJ148" s="0" t="n">
        <v>0.529</v>
      </c>
      <c r="CK148" s="0" t="n">
        <v>0</v>
      </c>
      <c r="CL148" s="0" t="n">
        <v>0</v>
      </c>
      <c r="CM148" s="0" t="n">
        <v>0</v>
      </c>
      <c r="CN148" s="0" t="n">
        <v>0</v>
      </c>
      <c r="CO148" s="0" t="n">
        <v>0</v>
      </c>
      <c r="CP148" s="0" t="n">
        <v>7</v>
      </c>
      <c r="CQ148" s="0" t="n">
        <v>5</v>
      </c>
      <c r="CR148" s="0" t="n">
        <v>1</v>
      </c>
      <c r="CS148" s="0" t="n">
        <v>2</v>
      </c>
      <c r="CT148" s="0" t="n">
        <v>1.03262953814485</v>
      </c>
      <c r="CU148" s="0" t="n">
        <v>7</v>
      </c>
      <c r="CV148" s="0" t="n">
        <v>5</v>
      </c>
      <c r="CW148" s="0" t="n">
        <v>1</v>
      </c>
      <c r="CX148" s="0" t="n">
        <v>2</v>
      </c>
      <c r="CY148" s="0" t="n">
        <v>1.03</v>
      </c>
      <c r="CZ148" s="0" t="n">
        <v>0.97</v>
      </c>
      <c r="DM148" s="0" t="s">
        <v>1749</v>
      </c>
      <c r="DN148" s="0" t="n">
        <v>39</v>
      </c>
      <c r="DO148" s="0" t="n">
        <v>3</v>
      </c>
      <c r="DP148" s="0" t="n">
        <v>2.487</v>
      </c>
      <c r="DQ148" s="0" t="n">
        <v>1.59</v>
      </c>
      <c r="DR148" s="0" t="n">
        <v>13</v>
      </c>
      <c r="DZ148" s="0" t="n">
        <v>1007</v>
      </c>
      <c r="EA148" s="0" t="n">
        <v>0.946</v>
      </c>
      <c r="EB148" s="0" t="n">
        <v>17</v>
      </c>
      <c r="EC148" s="0" t="s">
        <v>1750</v>
      </c>
      <c r="ED148" s="0" t="n">
        <v>2025</v>
      </c>
      <c r="EE148" s="0" t="n">
        <v>1</v>
      </c>
      <c r="EF148" s="0" t="n">
        <v>1</v>
      </c>
      <c r="EG148" s="0" t="n">
        <v>2025</v>
      </c>
      <c r="EH148" s="0" t="n">
        <v>2026</v>
      </c>
      <c r="EI148" s="0" t="n">
        <v>2</v>
      </c>
      <c r="EJ148" s="0" t="n">
        <v>74</v>
      </c>
      <c r="EK148" s="0" t="n">
        <v>219</v>
      </c>
      <c r="EL148" s="0" t="s">
        <v>1751</v>
      </c>
      <c r="EM148" s="0" t="n">
        <v>24.2</v>
      </c>
      <c r="EN148" s="15" t="b">
        <f aca="false">FALSE()</f>
        <v>0</v>
      </c>
      <c r="EO148" s="0" t="n">
        <v>328</v>
      </c>
      <c r="EP148" s="0" t="n">
        <v>3.01463414634146</v>
      </c>
      <c r="EQ148" s="0" t="n">
        <v>0.161585365853659</v>
      </c>
      <c r="ER148" s="0" t="n">
        <v>1.14634146341463</v>
      </c>
      <c r="ES148" s="0" t="n">
        <v>0.692073170731707</v>
      </c>
      <c r="ET148" s="0" t="n">
        <v>30</v>
      </c>
      <c r="EU148" s="0" t="n">
        <v>20</v>
      </c>
      <c r="EV148" s="0" t="n">
        <v>4.30487804878049</v>
      </c>
      <c r="EW148" s="0" t="n">
        <v>0.666666666666667</v>
      </c>
      <c r="EX148" s="0" t="n">
        <v>2.87769409187475</v>
      </c>
      <c r="EY148" s="0" t="n">
        <v>3.085</v>
      </c>
      <c r="EZ148" s="0" t="n">
        <v>0.1549</v>
      </c>
      <c r="FA148" s="0" t="n">
        <v>2.54</v>
      </c>
      <c r="FB148" s="0" t="n">
        <v>1.664</v>
      </c>
      <c r="FC148" s="0" t="n">
        <v>24</v>
      </c>
      <c r="FD148" s="0" t="n">
        <v>646</v>
      </c>
      <c r="FE148" s="0" t="n">
        <v>0.086687306501548</v>
      </c>
      <c r="FF148" s="0" t="n">
        <v>0.0872</v>
      </c>
      <c r="FG148" s="0" t="n">
        <v>0.3175</v>
      </c>
      <c r="FH148" s="0" t="n">
        <v>2.389</v>
      </c>
      <c r="FI148" s="0" t="n">
        <v>995</v>
      </c>
      <c r="FJ148" s="0" t="n">
        <v>0.626130653266332</v>
      </c>
      <c r="FK148" s="0" t="n">
        <v>17</v>
      </c>
      <c r="FL148" s="0" t="n">
        <v>58.53</v>
      </c>
      <c r="FM148" s="0" t="n">
        <v>0.5401</v>
      </c>
      <c r="FN148" s="0" t="n">
        <v>0.4599</v>
      </c>
      <c r="FO148" s="0" t="n">
        <v>-0.0385</v>
      </c>
      <c r="FP148" s="0" t="n">
        <v>-0.0573</v>
      </c>
      <c r="FQ148" s="0" t="n">
        <v>-0.2208</v>
      </c>
      <c r="FR148" s="0" t="n">
        <v>40</v>
      </c>
      <c r="FS148" s="0" t="n">
        <v>35</v>
      </c>
      <c r="FT148" s="0" t="n">
        <v>2.06</v>
      </c>
      <c r="FU148" s="0" t="n">
        <v>16.7</v>
      </c>
      <c r="FV148" s="0" t="n">
        <v>5402</v>
      </c>
      <c r="FW148" s="0" t="n">
        <v>2848</v>
      </c>
      <c r="FX148" s="0" t="n">
        <v>0.527</v>
      </c>
      <c r="FY148" s="0" t="n">
        <v>5</v>
      </c>
      <c r="FZ148" s="0" t="n">
        <v>3</v>
      </c>
      <c r="GA148" s="0" t="n">
        <v>0.463456652097505</v>
      </c>
      <c r="GB148" s="0" t="n">
        <v>58.4</v>
      </c>
      <c r="GC148" s="0" t="n">
        <v>27.6</v>
      </c>
      <c r="GD148" s="0" t="n">
        <v>41.1</v>
      </c>
      <c r="GE148" s="0" t="n">
        <v>530</v>
      </c>
      <c r="GF148" s="0" t="n">
        <v>378</v>
      </c>
      <c r="GG148" s="0" t="n">
        <v>152</v>
      </c>
      <c r="GH148" s="0" t="n">
        <v>0</v>
      </c>
      <c r="GI148" s="0" t="n">
        <v>93</v>
      </c>
      <c r="GJ148" s="0" t="n">
        <v>8</v>
      </c>
      <c r="GK148" s="0" t="n">
        <v>0.287</v>
      </c>
      <c r="GL148" s="0" t="n">
        <v>0</v>
      </c>
      <c r="GM148" s="0" t="n">
        <v>0.086</v>
      </c>
      <c r="GN148" s="0" t="n">
        <v>10.98</v>
      </c>
      <c r="GO148" s="0" t="n">
        <v>10.98</v>
      </c>
      <c r="GP148" s="0" t="n">
        <v>10.98</v>
      </c>
      <c r="GQ148" s="0" t="n">
        <v>0</v>
      </c>
      <c r="GR148" s="0" t="n">
        <v>2.294</v>
      </c>
      <c r="GS148" s="0" t="n">
        <v>39</v>
      </c>
      <c r="GT148" s="0" t="n">
        <v>4.786</v>
      </c>
      <c r="GU148" s="0" t="n">
        <v>0.185</v>
      </c>
      <c r="GY148" s="0" t="n">
        <v>4.077</v>
      </c>
      <c r="HC148" s="0" t="n">
        <v>0.051</v>
      </c>
      <c r="HD148" s="0" t="n">
        <v>0.218</v>
      </c>
      <c r="HG148" s="0" t="n">
        <v>152.29</v>
      </c>
      <c r="HH148" s="0" t="n">
        <v>21.15</v>
      </c>
      <c r="HI148" s="0" t="n">
        <v>125</v>
      </c>
      <c r="HJ148" s="0" t="n">
        <v>246</v>
      </c>
      <c r="HK148" s="0" t="s">
        <v>909</v>
      </c>
      <c r="HL148" s="0" t="n">
        <v>0</v>
      </c>
      <c r="HM148" s="0" t="n">
        <v>22</v>
      </c>
      <c r="HN148" s="0" t="n">
        <v>24</v>
      </c>
      <c r="HO148" s="0" t="n">
        <v>-0.079</v>
      </c>
      <c r="HP148" s="0" t="n">
        <v>30</v>
      </c>
      <c r="HQ148" s="0" t="n">
        <v>-0.43</v>
      </c>
      <c r="HR148" s="0" t="s">
        <v>102</v>
      </c>
    </row>
    <row r="149" customFormat="false" ht="15" hidden="false" customHeight="false" outlineLevel="0" collapsed="false">
      <c r="A149" s="0" t="s">
        <v>896</v>
      </c>
      <c r="B149" s="0" t="s">
        <v>897</v>
      </c>
      <c r="C149" s="0" t="s">
        <v>898</v>
      </c>
      <c r="D149" s="0" t="s">
        <v>437</v>
      </c>
      <c r="E149" s="0" t="n">
        <v>23982</v>
      </c>
      <c r="F149" s="0" t="s">
        <v>149</v>
      </c>
      <c r="G149" s="0" t="n">
        <v>153.41</v>
      </c>
      <c r="H149" s="0" t="n">
        <v>26.85</v>
      </c>
      <c r="I149" s="0" t="n">
        <v>111</v>
      </c>
      <c r="J149" s="0" t="n">
        <v>229</v>
      </c>
      <c r="L149" s="0" t="s">
        <v>1752</v>
      </c>
      <c r="O149" s="0" t="n">
        <v>38.5</v>
      </c>
      <c r="U149" s="0" t="n">
        <v>7</v>
      </c>
      <c r="V149" s="0" t="s">
        <v>1753</v>
      </c>
      <c r="W149" s="0" t="s">
        <v>901</v>
      </c>
      <c r="X149" s="0" t="s">
        <v>221</v>
      </c>
      <c r="Y149" s="0" t="s">
        <v>1754</v>
      </c>
      <c r="Z149" s="0" t="n">
        <v>23982</v>
      </c>
      <c r="AA149" s="0" t="s">
        <v>1755</v>
      </c>
      <c r="AB149" s="0" t="s">
        <v>904</v>
      </c>
      <c r="AC149" s="0" t="s">
        <v>221</v>
      </c>
      <c r="AD149" s="0" t="s">
        <v>221</v>
      </c>
      <c r="AE149" s="0" t="s">
        <v>221</v>
      </c>
      <c r="AF149" s="0" t="s">
        <v>221</v>
      </c>
      <c r="AG149" s="0" t="s">
        <v>221</v>
      </c>
      <c r="AH149" s="0" t="s">
        <v>905</v>
      </c>
      <c r="AI149" s="0" t="n">
        <v>1</v>
      </c>
      <c r="AJ149" s="0" t="s">
        <v>149</v>
      </c>
      <c r="AK149" s="0" t="n">
        <v>148</v>
      </c>
      <c r="AL149" s="0" t="n">
        <v>17</v>
      </c>
      <c r="AM149" s="0" t="s">
        <v>438</v>
      </c>
      <c r="AN149" s="0" t="n">
        <v>0</v>
      </c>
      <c r="AO149" s="0" t="n">
        <v>0</v>
      </c>
      <c r="AP149" s="0" t="n">
        <v>0</v>
      </c>
      <c r="AQ149" s="0" t="n">
        <v>0</v>
      </c>
      <c r="AR149" s="0" t="n">
        <v>0</v>
      </c>
      <c r="AS149" s="0" t="n">
        <v>0</v>
      </c>
      <c r="AT149" s="0" t="n">
        <v>0</v>
      </c>
      <c r="AU149" s="0" t="n">
        <v>0</v>
      </c>
      <c r="AV149" s="0" t="n">
        <v>0</v>
      </c>
      <c r="AW149" s="0" t="n">
        <v>0</v>
      </c>
      <c r="AX149" s="0" t="n">
        <v>0</v>
      </c>
      <c r="AY149" s="0" t="n">
        <v>0</v>
      </c>
      <c r="AZ149" s="0" t="n">
        <v>0</v>
      </c>
      <c r="BA149" s="0" t="n">
        <v>0</v>
      </c>
      <c r="BB149" s="0" t="n">
        <v>0</v>
      </c>
      <c r="BC149" s="0" t="n">
        <v>56</v>
      </c>
      <c r="BD149" s="0" t="n">
        <v>79</v>
      </c>
      <c r="BE149" s="0" t="n">
        <v>560</v>
      </c>
      <c r="BF149" s="0" t="n">
        <v>2</v>
      </c>
      <c r="BG149" s="0" t="n">
        <v>366</v>
      </c>
      <c r="BH149" s="0" t="n">
        <v>342</v>
      </c>
      <c r="BI149" s="0" t="n">
        <v>24</v>
      </c>
      <c r="BJ149" s="0" t="n">
        <v>12.6711040627125</v>
      </c>
      <c r="BK149" s="0" t="n">
        <v>0</v>
      </c>
      <c r="BL149" s="0" t="n">
        <v>0</v>
      </c>
      <c r="BM149" s="0" t="n">
        <v>68</v>
      </c>
      <c r="BN149" s="0" t="n">
        <v>124</v>
      </c>
      <c r="BO149" s="0" t="n">
        <v>17</v>
      </c>
      <c r="BP149" s="0" t="s">
        <v>265</v>
      </c>
      <c r="BQ149" s="0" t="n">
        <v>1</v>
      </c>
      <c r="BR149" s="0" t="n">
        <v>96</v>
      </c>
      <c r="BS149" s="0" t="n">
        <v>0.1491</v>
      </c>
      <c r="BT149" s="0" t="n">
        <v>0</v>
      </c>
      <c r="BU149" s="0" t="n">
        <v>0.0933</v>
      </c>
      <c r="BV149" s="0" t="n">
        <v>0.1491</v>
      </c>
      <c r="BW149" s="0" t="n">
        <v>0</v>
      </c>
      <c r="BX149" s="0" t="n">
        <v>0.0933</v>
      </c>
      <c r="BY149" s="0" t="n">
        <v>0.289</v>
      </c>
      <c r="BZ149" s="0" t="n">
        <v>17</v>
      </c>
      <c r="CA149" s="0" t="n">
        <v>4</v>
      </c>
      <c r="CB149" s="0" t="n">
        <v>11.2</v>
      </c>
      <c r="CC149" s="0" t="n">
        <v>7.3</v>
      </c>
      <c r="CD149" s="0" t="n">
        <v>4.48</v>
      </c>
      <c r="CE149" s="0" t="n">
        <v>2</v>
      </c>
      <c r="CF149" s="0" t="n">
        <v>2</v>
      </c>
      <c r="CG149" s="0" t="n">
        <v>17</v>
      </c>
      <c r="CH149" s="0" t="n">
        <v>0.118</v>
      </c>
      <c r="CI149" s="0" t="n">
        <v>0.118</v>
      </c>
      <c r="CJ149" s="0" t="n">
        <v>0.614</v>
      </c>
      <c r="CK149" s="0" t="n">
        <v>5</v>
      </c>
      <c r="CL149" s="0" t="n">
        <v>3</v>
      </c>
      <c r="CM149" s="0" t="n">
        <v>0</v>
      </c>
      <c r="CN149" s="0" t="n">
        <v>2</v>
      </c>
      <c r="CO149" s="0" t="n">
        <v>2.18255130540252</v>
      </c>
      <c r="CP149" s="0" t="n">
        <v>0</v>
      </c>
      <c r="CQ149" s="0" t="n">
        <v>0</v>
      </c>
      <c r="CR149" s="0" t="n">
        <v>0</v>
      </c>
      <c r="CS149" s="0" t="n">
        <v>0</v>
      </c>
      <c r="CT149" s="0" t="n">
        <v>0</v>
      </c>
      <c r="CU149" s="0" t="n">
        <v>5</v>
      </c>
      <c r="CV149" s="0" t="n">
        <v>3</v>
      </c>
      <c r="CW149" s="0" t="n">
        <v>0</v>
      </c>
      <c r="CX149" s="0" t="n">
        <v>2</v>
      </c>
      <c r="CY149" s="0" t="n">
        <v>2.18</v>
      </c>
      <c r="CZ149" s="0" t="n">
        <v>-0.18</v>
      </c>
      <c r="DA149" s="0" t="n">
        <v>3.8640859936595</v>
      </c>
      <c r="DB149" s="0" t="n">
        <v>5.80684210526316</v>
      </c>
      <c r="DC149" s="0" t="n">
        <v>4.43962025316456</v>
      </c>
      <c r="DD149" s="0" t="n">
        <v>9.03747642263015</v>
      </c>
      <c r="DE149" s="0" t="n">
        <v>1.17209589774727</v>
      </c>
      <c r="DF149" s="0" t="n">
        <v>70.8860759493671</v>
      </c>
      <c r="DM149" s="0" t="s">
        <v>1756</v>
      </c>
      <c r="DS149" s="0" t="n">
        <v>79</v>
      </c>
      <c r="DT149" s="0" t="n">
        <v>6</v>
      </c>
      <c r="DU149" s="0" t="n">
        <v>5</v>
      </c>
      <c r="DV149" s="0" t="n">
        <v>3.893</v>
      </c>
      <c r="DW149" s="0" t="n">
        <v>6.107</v>
      </c>
      <c r="DX149" s="0" t="n">
        <v>4.7</v>
      </c>
      <c r="DY149" s="0" t="n">
        <v>0.0633</v>
      </c>
      <c r="DZ149" s="0" t="n">
        <v>666</v>
      </c>
      <c r="EA149" s="0" t="n">
        <v>0.637</v>
      </c>
      <c r="EB149" s="0" t="n">
        <v>17</v>
      </c>
      <c r="EC149" s="0" t="s">
        <v>1757</v>
      </c>
      <c r="ED149" s="0" t="n">
        <v>2022</v>
      </c>
      <c r="EE149" s="0" t="n">
        <v>4</v>
      </c>
      <c r="EF149" s="0" t="n">
        <v>143</v>
      </c>
      <c r="EG149" s="0" t="n">
        <v>2022</v>
      </c>
      <c r="EH149" s="0" t="n">
        <v>2026</v>
      </c>
      <c r="EI149" s="0" t="n">
        <v>5</v>
      </c>
      <c r="EJ149" s="0" t="n">
        <v>75</v>
      </c>
      <c r="EK149" s="0" t="n">
        <v>238</v>
      </c>
      <c r="EL149" s="0" t="s">
        <v>1204</v>
      </c>
      <c r="EM149" s="0" t="n">
        <v>26.9</v>
      </c>
      <c r="EN149" s="15" t="b">
        <f aca="false">FALSE()</f>
        <v>0</v>
      </c>
      <c r="EO149" s="0" t="n">
        <v>345</v>
      </c>
      <c r="EP149" s="0" t="n">
        <v>3.01826086956522</v>
      </c>
      <c r="EQ149" s="0" t="n">
        <v>0.165217391304348</v>
      </c>
      <c r="ER149" s="0" t="n">
        <v>1.27246376811594</v>
      </c>
      <c r="ES149" s="0" t="n">
        <v>0.852173913043478</v>
      </c>
      <c r="ET149" s="0" t="n">
        <v>31</v>
      </c>
      <c r="EU149" s="0" t="n">
        <v>17</v>
      </c>
      <c r="EV149" s="0" t="n">
        <v>4.54782608695652</v>
      </c>
      <c r="EW149" s="0" t="n">
        <v>0.548387096774194</v>
      </c>
      <c r="EX149" s="0" t="n">
        <v>2.96856142572662</v>
      </c>
      <c r="EY149" s="0" t="n">
        <v>2.998</v>
      </c>
      <c r="EZ149" s="0" t="n">
        <v>0.1651</v>
      </c>
      <c r="FA149" s="0" t="n">
        <v>2.512</v>
      </c>
      <c r="FB149" s="0" t="n">
        <v>2.219</v>
      </c>
      <c r="FC149" s="0" t="n">
        <v>38</v>
      </c>
      <c r="FD149" s="0" t="n">
        <v>564</v>
      </c>
      <c r="FE149" s="0" t="n">
        <v>0.0656028368794326</v>
      </c>
      <c r="FF149" s="0" t="n">
        <v>0.0606</v>
      </c>
      <c r="FG149" s="0" t="n">
        <v>0.2217</v>
      </c>
      <c r="FH149" s="0" t="n">
        <v>2.36</v>
      </c>
      <c r="FI149" s="0" t="n">
        <v>979</v>
      </c>
      <c r="FJ149" s="0" t="n">
        <v>0.514811031664964</v>
      </c>
      <c r="FK149" s="0" t="n">
        <v>17</v>
      </c>
      <c r="FL149" s="0" t="n">
        <v>57.59</v>
      </c>
      <c r="FM149" s="0" t="n">
        <v>0.4747</v>
      </c>
      <c r="FN149" s="0" t="n">
        <v>0.5253</v>
      </c>
      <c r="FO149" s="0" t="n">
        <v>-0.0427</v>
      </c>
      <c r="FP149" s="0" t="n">
        <v>0.0192</v>
      </c>
      <c r="FQ149" s="0" t="n">
        <v>-0.0055</v>
      </c>
      <c r="FR149" s="0" t="n">
        <v>38</v>
      </c>
      <c r="FS149" s="0" t="n">
        <v>50</v>
      </c>
      <c r="FT149" s="0" t="n">
        <v>2.94</v>
      </c>
      <c r="FU149" s="0" t="n">
        <v>20.9</v>
      </c>
      <c r="FV149" s="0" t="n">
        <v>5375</v>
      </c>
      <c r="FW149" s="0" t="n">
        <v>3794</v>
      </c>
      <c r="FX149" s="0" t="n">
        <v>0.706</v>
      </c>
      <c r="FY149" s="0" t="n">
        <v>5</v>
      </c>
      <c r="FZ149" s="0" t="n">
        <v>4</v>
      </c>
      <c r="GA149" s="0" t="n">
        <v>0.036879143422903</v>
      </c>
      <c r="GB149" s="0" t="n">
        <v>50.7</v>
      </c>
      <c r="GC149" s="0" t="n">
        <v>56.8</v>
      </c>
      <c r="GD149" s="0" t="n">
        <v>54.8</v>
      </c>
      <c r="GE149" s="0" t="n">
        <v>432</v>
      </c>
      <c r="GF149" s="0" t="n">
        <v>484</v>
      </c>
      <c r="GG149" s="0" t="n">
        <v>138</v>
      </c>
      <c r="GH149" s="0" t="n">
        <v>142</v>
      </c>
      <c r="GI149" s="0" t="n">
        <v>138</v>
      </c>
      <c r="GJ149" s="0" t="n">
        <v>56</v>
      </c>
      <c r="GK149" s="0" t="n">
        <v>0.319</v>
      </c>
      <c r="GL149" s="0" t="n">
        <v>0.293</v>
      </c>
      <c r="GM149" s="0" t="n">
        <v>0.406</v>
      </c>
      <c r="GN149" s="0" t="n">
        <v>7.294</v>
      </c>
      <c r="GO149" s="0" t="n">
        <v>5.647</v>
      </c>
      <c r="GP149" s="0" t="n">
        <v>4</v>
      </c>
      <c r="GQ149" s="0" t="n">
        <v>4.647</v>
      </c>
      <c r="GR149" s="0" t="n">
        <v>0</v>
      </c>
      <c r="GS149" s="0" t="n">
        <v>79</v>
      </c>
      <c r="GT149" s="0" t="n">
        <v>1.57</v>
      </c>
      <c r="GU149" s="0" t="n">
        <v>0.186</v>
      </c>
      <c r="GV149" s="0" t="n">
        <v>7.089</v>
      </c>
      <c r="GW149" s="0" t="n">
        <v>10</v>
      </c>
      <c r="GX149" s="0" t="n">
        <v>0.709</v>
      </c>
      <c r="GZ149" s="0" t="n">
        <v>4.633</v>
      </c>
      <c r="HA149" s="0" t="n">
        <v>6.107</v>
      </c>
      <c r="HB149" s="0" t="n">
        <v>1.53</v>
      </c>
      <c r="HC149" s="0" t="n">
        <v>0.025</v>
      </c>
      <c r="HE149" s="0" t="n">
        <v>0.16</v>
      </c>
      <c r="HG149" s="0" t="n">
        <v>153.41</v>
      </c>
      <c r="HH149" s="0" t="n">
        <v>26.85</v>
      </c>
      <c r="HI149" s="0" t="n">
        <v>111</v>
      </c>
      <c r="HJ149" s="0" t="n">
        <v>229</v>
      </c>
      <c r="HK149" s="0" t="s">
        <v>909</v>
      </c>
      <c r="HL149" s="0" t="n">
        <v>0</v>
      </c>
      <c r="HM149" s="0" t="n">
        <v>19</v>
      </c>
      <c r="HN149" s="0" t="n">
        <v>17</v>
      </c>
      <c r="HO149" s="0" t="n">
        <v>-0.195</v>
      </c>
      <c r="HP149" s="0" t="n">
        <v>26</v>
      </c>
      <c r="HQ149" s="0" t="n">
        <v>-0.503</v>
      </c>
      <c r="HR149" s="0" t="s">
        <v>102</v>
      </c>
    </row>
    <row r="150" customFormat="false" ht="15" hidden="false" customHeight="false" outlineLevel="0" collapsed="false">
      <c r="A150" s="0" t="s">
        <v>896</v>
      </c>
      <c r="B150" s="0" t="s">
        <v>897</v>
      </c>
      <c r="C150" s="0" t="s">
        <v>898</v>
      </c>
      <c r="D150" s="0" t="s">
        <v>439</v>
      </c>
      <c r="E150" s="0" t="n">
        <v>25360</v>
      </c>
      <c r="F150" s="0" t="s">
        <v>104</v>
      </c>
      <c r="G150" s="0" t="n">
        <v>155.54</v>
      </c>
      <c r="H150" s="0" t="n">
        <v>27.44</v>
      </c>
      <c r="I150" s="0" t="n">
        <v>122</v>
      </c>
      <c r="J150" s="0" t="n">
        <v>275</v>
      </c>
      <c r="L150" s="0" t="s">
        <v>1758</v>
      </c>
      <c r="O150" s="0" t="n">
        <v>28</v>
      </c>
      <c r="U150" s="0" t="n">
        <v>7</v>
      </c>
      <c r="V150" s="0" t="s">
        <v>439</v>
      </c>
      <c r="W150" s="0" t="s">
        <v>901</v>
      </c>
      <c r="X150" s="0" t="s">
        <v>170</v>
      </c>
      <c r="Y150" s="0" t="s">
        <v>1759</v>
      </c>
      <c r="Z150" s="0" t="n">
        <v>25360</v>
      </c>
      <c r="AA150" s="0" t="s">
        <v>1760</v>
      </c>
      <c r="AB150" s="0" t="s">
        <v>904</v>
      </c>
      <c r="AC150" s="0" t="s">
        <v>170</v>
      </c>
      <c r="AD150" s="0" t="s">
        <v>170</v>
      </c>
      <c r="AE150" s="0" t="s">
        <v>170</v>
      </c>
      <c r="AF150" s="0" t="s">
        <v>170</v>
      </c>
      <c r="AG150" s="0" t="s">
        <v>170</v>
      </c>
      <c r="AH150" s="0" t="s">
        <v>905</v>
      </c>
      <c r="AI150" s="0" t="n">
        <v>2</v>
      </c>
      <c r="AJ150" s="0" t="s">
        <v>281</v>
      </c>
      <c r="AK150" s="0" t="n">
        <v>149</v>
      </c>
      <c r="AL150" s="0" t="n">
        <v>51</v>
      </c>
      <c r="AM150" s="0" t="s">
        <v>440</v>
      </c>
      <c r="AN150" s="0" t="n">
        <v>0</v>
      </c>
      <c r="AO150" s="0" t="n">
        <v>0</v>
      </c>
      <c r="AP150" s="0" t="n">
        <v>0</v>
      </c>
      <c r="AQ150" s="0" t="n">
        <v>0</v>
      </c>
      <c r="AR150" s="0" t="n">
        <v>0</v>
      </c>
      <c r="AS150" s="0" t="n">
        <v>0</v>
      </c>
      <c r="AT150" s="0" t="n">
        <v>0</v>
      </c>
      <c r="AU150" s="0" t="n">
        <v>0</v>
      </c>
      <c r="AV150" s="0" t="n">
        <v>0</v>
      </c>
      <c r="AW150" s="0" t="n">
        <v>59</v>
      </c>
      <c r="AX150" s="0" t="n">
        <v>341</v>
      </c>
      <c r="AY150" s="0" t="n">
        <v>1</v>
      </c>
      <c r="AZ150" s="0" t="n">
        <v>16</v>
      </c>
      <c r="BA150" s="0" t="n">
        <v>2.6167700245569</v>
      </c>
      <c r="BB150" s="0" t="n">
        <v>0</v>
      </c>
      <c r="BC150" s="0" t="n">
        <v>9</v>
      </c>
      <c r="BD150" s="0" t="n">
        <v>12</v>
      </c>
      <c r="BE150" s="0" t="n">
        <v>63</v>
      </c>
      <c r="BF150" s="0" t="n">
        <v>0</v>
      </c>
      <c r="BG150" s="0" t="n">
        <v>-28</v>
      </c>
      <c r="BH150" s="0" t="n">
        <v>85</v>
      </c>
      <c r="BI150" s="0" t="n">
        <v>2</v>
      </c>
      <c r="BJ150" s="0" t="n">
        <v>-5.52936580037931</v>
      </c>
      <c r="BK150" s="0" t="n">
        <v>0</v>
      </c>
      <c r="BL150" s="0" t="n">
        <v>0</v>
      </c>
      <c r="BM150" s="0" t="n">
        <v>46.4</v>
      </c>
      <c r="BN150" s="0" t="n">
        <v>55.4</v>
      </c>
      <c r="BO150" s="0" t="n">
        <v>13</v>
      </c>
      <c r="BP150" s="0" t="s">
        <v>183</v>
      </c>
      <c r="BQ150" s="0" t="n">
        <v>1</v>
      </c>
      <c r="BR150" s="0" t="n">
        <v>50.9</v>
      </c>
      <c r="BS150" s="0" t="n">
        <v>0.0295</v>
      </c>
      <c r="BT150" s="0" t="n">
        <v>0.1164</v>
      </c>
      <c r="BU150" s="0" t="n">
        <v>-0.0083</v>
      </c>
      <c r="BV150" s="0" t="n">
        <v>0.0397</v>
      </c>
      <c r="BW150" s="0" t="n">
        <v>0.1401</v>
      </c>
      <c r="BX150" s="0" t="n">
        <v>-0.0112</v>
      </c>
      <c r="BY150" s="0" t="n">
        <v>0.0517</v>
      </c>
      <c r="BZ150" s="0" t="n">
        <v>13</v>
      </c>
      <c r="CA150" s="0" t="n">
        <v>2.3</v>
      </c>
      <c r="CB150" s="0" t="n">
        <v>7.44</v>
      </c>
      <c r="CC150" s="0" t="n">
        <v>3.1</v>
      </c>
      <c r="CD150" s="0" t="n">
        <v>3.27</v>
      </c>
      <c r="CE150" s="0" t="n">
        <v>0</v>
      </c>
      <c r="CF150" s="0" t="n">
        <v>3</v>
      </c>
      <c r="CG150" s="0" t="n">
        <v>13</v>
      </c>
      <c r="CH150" s="0" t="n">
        <v>0</v>
      </c>
      <c r="CI150" s="0" t="n">
        <v>0.231</v>
      </c>
      <c r="CJ150" s="0" t="n">
        <v>1.054</v>
      </c>
      <c r="CK150" s="0" t="n">
        <v>0</v>
      </c>
      <c r="CL150" s="0" t="n">
        <v>0</v>
      </c>
      <c r="CM150" s="0" t="n">
        <v>0</v>
      </c>
      <c r="CN150" s="0" t="n">
        <v>0</v>
      </c>
      <c r="CO150" s="0" t="n">
        <v>0.298541044809739</v>
      </c>
      <c r="CP150" s="0" t="n">
        <v>14</v>
      </c>
      <c r="CQ150" s="0" t="n">
        <v>2</v>
      </c>
      <c r="CR150" s="0" t="n">
        <v>0</v>
      </c>
      <c r="CS150" s="0" t="n">
        <v>1</v>
      </c>
      <c r="CT150" s="0" t="n">
        <v>1.11640796195191</v>
      </c>
      <c r="CU150" s="0" t="n">
        <v>14</v>
      </c>
      <c r="CV150" s="0" t="n">
        <v>2</v>
      </c>
      <c r="CW150" s="0" t="n">
        <v>0</v>
      </c>
      <c r="CX150" s="0" t="n">
        <v>1</v>
      </c>
      <c r="CY150" s="0" t="n">
        <v>1.41</v>
      </c>
      <c r="CZ150" s="0" t="n">
        <v>-0.41</v>
      </c>
      <c r="DM150" s="0" t="s">
        <v>1761</v>
      </c>
      <c r="DN150" s="0" t="n">
        <v>59</v>
      </c>
      <c r="DO150" s="0" t="n">
        <v>2</v>
      </c>
      <c r="DP150" s="0" t="n">
        <v>3.61</v>
      </c>
      <c r="DQ150" s="0" t="n">
        <v>2.169</v>
      </c>
      <c r="DR150" s="0" t="n">
        <v>29.5</v>
      </c>
      <c r="DS150" s="0" t="n">
        <v>12</v>
      </c>
      <c r="DT150" s="0" t="n">
        <v>0</v>
      </c>
      <c r="DU150" s="0" t="n">
        <v>1</v>
      </c>
      <c r="DV150" s="0" t="n">
        <v>-2.444</v>
      </c>
      <c r="DW150" s="0" t="n">
        <v>9.444</v>
      </c>
      <c r="DX150" s="0" t="n">
        <v>-2.3</v>
      </c>
      <c r="DY150" s="0" t="n">
        <v>0.0833</v>
      </c>
      <c r="DZ150" s="0" t="n">
        <v>132</v>
      </c>
      <c r="EA150" s="0" t="n">
        <v>0.175</v>
      </c>
      <c r="EB150" s="0" t="n">
        <v>13</v>
      </c>
      <c r="EC150" s="0" t="s">
        <v>1762</v>
      </c>
      <c r="EG150" s="0" t="n">
        <v>2023</v>
      </c>
      <c r="EH150" s="0" t="n">
        <v>2026</v>
      </c>
      <c r="EI150" s="0" t="n">
        <v>4</v>
      </c>
      <c r="EJ150" s="0" t="n">
        <v>68</v>
      </c>
      <c r="EK150" s="0" t="n">
        <v>191</v>
      </c>
      <c r="EL150" s="0" t="s">
        <v>1763</v>
      </c>
      <c r="EM150" s="0" t="n">
        <v>24.6</v>
      </c>
      <c r="EN150" s="15" t="b">
        <f aca="false">FALSE()</f>
        <v>0</v>
      </c>
      <c r="EO150" s="0" t="n">
        <v>359</v>
      </c>
      <c r="EP150" s="0" t="n">
        <v>2.71309192200557</v>
      </c>
      <c r="EQ150" s="0" t="n">
        <v>0.22841225626741</v>
      </c>
      <c r="ER150" s="0" t="n">
        <v>1.12534818941504</v>
      </c>
      <c r="ES150" s="0" t="n">
        <v>0.746518105849582</v>
      </c>
      <c r="ET150" s="0" t="n">
        <v>36</v>
      </c>
      <c r="EU150" s="0" t="n">
        <v>22</v>
      </c>
      <c r="EV150" s="0" t="n">
        <v>4.06685236768802</v>
      </c>
      <c r="EW150" s="0" t="n">
        <v>0.611111111111111</v>
      </c>
      <c r="EX150" s="0" t="n">
        <v>2.89104964249176</v>
      </c>
      <c r="EY150" s="0" t="n">
        <v>2.77</v>
      </c>
      <c r="EZ150" s="0" t="n">
        <v>0.2195</v>
      </c>
      <c r="FA150" s="0" t="n">
        <v>2.614</v>
      </c>
      <c r="FB150" s="0" t="n">
        <v>1.822</v>
      </c>
      <c r="FC150" s="0" t="n">
        <v>24</v>
      </c>
      <c r="FD150" s="0" t="n">
        <v>681</v>
      </c>
      <c r="FE150" s="0" t="n">
        <v>0.0881057268722467</v>
      </c>
      <c r="FF150" s="0" t="n">
        <v>0.0832</v>
      </c>
      <c r="FG150" s="0" t="n">
        <v>0.3427</v>
      </c>
      <c r="FH150" s="0" t="n">
        <v>2.37</v>
      </c>
      <c r="FI150" s="0" t="n">
        <v>1080</v>
      </c>
      <c r="FJ150" s="0" t="n">
        <v>0.578703703703704</v>
      </c>
      <c r="FK150" s="0" t="n">
        <v>17</v>
      </c>
      <c r="FL150" s="0" t="n">
        <v>63.53</v>
      </c>
      <c r="FM150" s="0" t="n">
        <v>0.579</v>
      </c>
      <c r="FN150" s="0" t="n">
        <v>0.421</v>
      </c>
      <c r="FO150" s="0" t="n">
        <v>0.0064</v>
      </c>
      <c r="FP150" s="0" t="n">
        <v>0.0187</v>
      </c>
      <c r="FQ150" s="0" t="n">
        <v>-0.0542</v>
      </c>
      <c r="FR150" s="0" t="n">
        <v>39</v>
      </c>
      <c r="FS150" s="0" t="n">
        <v>59</v>
      </c>
      <c r="FT150" s="0" t="n">
        <v>3.47</v>
      </c>
      <c r="FU150" s="0" t="n">
        <v>21.6</v>
      </c>
      <c r="FV150" s="0" t="n">
        <v>5784</v>
      </c>
      <c r="FW150" s="0" t="n">
        <v>1183</v>
      </c>
      <c r="FX150" s="0" t="n">
        <v>0.205</v>
      </c>
      <c r="FY150" s="0" t="n">
        <v>5</v>
      </c>
      <c r="FZ150" s="0" t="n">
        <v>1</v>
      </c>
      <c r="GA150" s="0" t="n">
        <v>-0.516900207039375</v>
      </c>
      <c r="GB150" s="0" t="n">
        <v>40.7</v>
      </c>
      <c r="GC150" s="0" t="n">
        <v>23</v>
      </c>
      <c r="GD150" s="0" t="n">
        <v>26.9</v>
      </c>
      <c r="GE150" s="0" t="n">
        <v>544</v>
      </c>
      <c r="GF150" s="0" t="n">
        <v>466</v>
      </c>
      <c r="GG150" s="0" t="n">
        <v>15</v>
      </c>
      <c r="GH150" s="0" t="n">
        <v>23</v>
      </c>
      <c r="GI150" s="0" t="n">
        <v>152</v>
      </c>
      <c r="GJ150" s="0" t="n">
        <v>2</v>
      </c>
      <c r="GK150" s="0" t="n">
        <v>0.028</v>
      </c>
      <c r="GL150" s="0" t="n">
        <v>0.049</v>
      </c>
      <c r="GM150" s="0" t="n">
        <v>0.013</v>
      </c>
      <c r="GN150" s="0" t="n">
        <v>4.262</v>
      </c>
      <c r="GO150" s="0" t="n">
        <v>3.915</v>
      </c>
      <c r="GP150" s="0" t="n">
        <v>3.569</v>
      </c>
      <c r="GQ150" s="0" t="n">
        <v>0.923</v>
      </c>
      <c r="GR150" s="0" t="n">
        <v>4.538</v>
      </c>
      <c r="GS150" s="0" t="n">
        <v>71</v>
      </c>
      <c r="GT150" s="0" t="n">
        <v>0.78</v>
      </c>
      <c r="GU150" s="0" t="n">
        <v>0.42</v>
      </c>
      <c r="GV150" s="0" t="n">
        <v>5.25</v>
      </c>
      <c r="GW150" s="0" t="n">
        <v>7</v>
      </c>
      <c r="GX150" s="0" t="n">
        <v>0.75</v>
      </c>
      <c r="GY150" s="0" t="n">
        <v>5.78</v>
      </c>
      <c r="GZ150" s="0" t="n">
        <v>-2.333</v>
      </c>
      <c r="HA150" s="0" t="n">
        <v>9.444</v>
      </c>
      <c r="HB150" s="0" t="n">
        <v>-2.25</v>
      </c>
      <c r="HC150" s="0" t="n">
        <v>0.014</v>
      </c>
      <c r="HD150" s="0" t="n">
        <v>0.044</v>
      </c>
      <c r="HE150" s="0" t="n">
        <v>-0.461</v>
      </c>
      <c r="HG150" s="0" t="n">
        <v>155.54</v>
      </c>
      <c r="HH150" s="0" t="n">
        <v>27.44</v>
      </c>
      <c r="HI150" s="0" t="n">
        <v>122</v>
      </c>
      <c r="HJ150" s="0" t="n">
        <v>275</v>
      </c>
      <c r="HK150" s="0" t="s">
        <v>909</v>
      </c>
      <c r="HL150" s="0" t="n">
        <v>0</v>
      </c>
      <c r="HM150" s="0" t="n">
        <v>57</v>
      </c>
      <c r="HN150" s="0" t="n">
        <v>51</v>
      </c>
      <c r="HO150" s="0" t="n">
        <v>-0.657</v>
      </c>
      <c r="HP150" s="0" t="n">
        <v>58</v>
      </c>
      <c r="HQ150" s="0" t="n">
        <v>-0.701</v>
      </c>
      <c r="HR150" s="0" t="s">
        <v>121</v>
      </c>
    </row>
    <row r="151" customFormat="false" ht="15" hidden="false" customHeight="false" outlineLevel="0" collapsed="false">
      <c r="A151" s="0" t="s">
        <v>896</v>
      </c>
      <c r="B151" s="0" t="s">
        <v>897</v>
      </c>
      <c r="C151" s="0" t="s">
        <v>898</v>
      </c>
      <c r="D151" s="0" t="s">
        <v>441</v>
      </c>
      <c r="E151" s="0" t="n">
        <v>25345</v>
      </c>
      <c r="F151" s="0" t="s">
        <v>149</v>
      </c>
      <c r="G151" s="0" t="n">
        <v>156.63</v>
      </c>
      <c r="H151" s="0" t="n">
        <v>25.26</v>
      </c>
      <c r="I151" s="0" t="n">
        <v>111</v>
      </c>
      <c r="J151" s="0" t="n">
        <v>236</v>
      </c>
      <c r="L151" s="0" t="s">
        <v>1764</v>
      </c>
      <c r="O151" s="0" t="n">
        <v>43.4</v>
      </c>
      <c r="U151" s="0" t="n">
        <v>7</v>
      </c>
      <c r="V151" s="0" t="s">
        <v>441</v>
      </c>
      <c r="W151" s="0" t="s">
        <v>901</v>
      </c>
      <c r="X151" s="0" t="s">
        <v>1284</v>
      </c>
      <c r="Y151" s="0" t="s">
        <v>1765</v>
      </c>
      <c r="Z151" s="0" t="n">
        <v>25345</v>
      </c>
      <c r="AA151" s="0" t="s">
        <v>1766</v>
      </c>
      <c r="AB151" s="0" t="s">
        <v>904</v>
      </c>
      <c r="AC151" s="0" t="s">
        <v>235</v>
      </c>
      <c r="AD151" s="0" t="s">
        <v>235</v>
      </c>
      <c r="AE151" s="0" t="s">
        <v>235</v>
      </c>
      <c r="AF151" s="0" t="s">
        <v>235</v>
      </c>
      <c r="AG151" s="0" t="s">
        <v>235</v>
      </c>
      <c r="AH151" s="0" t="s">
        <v>905</v>
      </c>
      <c r="AI151" s="0" t="n">
        <v>1</v>
      </c>
      <c r="AJ151" s="0" t="s">
        <v>149</v>
      </c>
      <c r="AK151" s="0" t="n">
        <v>150</v>
      </c>
      <c r="AL151" s="0" t="n">
        <v>18</v>
      </c>
      <c r="AM151" s="0" t="s">
        <v>442</v>
      </c>
      <c r="AN151" s="0" t="n">
        <v>0</v>
      </c>
      <c r="AO151" s="0" t="n">
        <v>0</v>
      </c>
      <c r="AP151" s="0" t="n">
        <v>0</v>
      </c>
      <c r="AQ151" s="0" t="n">
        <v>0</v>
      </c>
      <c r="AR151" s="0" t="n">
        <v>0</v>
      </c>
      <c r="AS151" s="0" t="n">
        <v>0</v>
      </c>
      <c r="AT151" s="0" t="n">
        <v>0</v>
      </c>
      <c r="AU151" s="0" t="n">
        <v>0</v>
      </c>
      <c r="AV151" s="0" t="n">
        <v>0</v>
      </c>
      <c r="AW151" s="0" t="n">
        <v>0</v>
      </c>
      <c r="AX151" s="0" t="n">
        <v>0</v>
      </c>
      <c r="AY151" s="0" t="n">
        <v>0</v>
      </c>
      <c r="AZ151" s="0" t="n">
        <v>0</v>
      </c>
      <c r="BA151" s="0" t="n">
        <v>0</v>
      </c>
      <c r="BB151" s="0" t="n">
        <v>0</v>
      </c>
      <c r="BC151" s="0" t="n">
        <v>46</v>
      </c>
      <c r="BD151" s="0" t="n">
        <v>60</v>
      </c>
      <c r="BE151" s="0" t="n">
        <v>540</v>
      </c>
      <c r="BF151" s="0" t="n">
        <v>3</v>
      </c>
      <c r="BG151" s="0" t="n">
        <v>414</v>
      </c>
      <c r="BH151" s="0" t="n">
        <v>247</v>
      </c>
      <c r="BI151" s="0" t="n">
        <v>28</v>
      </c>
      <c r="BJ151" s="0" t="n">
        <v>31.3647508115372</v>
      </c>
      <c r="BK151" s="0" t="n">
        <v>0</v>
      </c>
      <c r="BL151" s="0" t="n">
        <v>0</v>
      </c>
      <c r="BM151" s="0" t="n">
        <v>72</v>
      </c>
      <c r="BN151" s="0" t="n">
        <v>118</v>
      </c>
      <c r="BO151" s="0" t="n">
        <v>12</v>
      </c>
      <c r="BP151" s="0" t="s">
        <v>235</v>
      </c>
      <c r="BQ151" s="0" t="n">
        <v>1</v>
      </c>
      <c r="BR151" s="0" t="n">
        <v>95</v>
      </c>
      <c r="BS151" s="0" t="n">
        <v>0.1097</v>
      </c>
      <c r="BT151" s="0" t="n">
        <v>0</v>
      </c>
      <c r="BU151" s="0" t="n">
        <v>0.0849</v>
      </c>
      <c r="BV151" s="0" t="n">
        <v>0.1579</v>
      </c>
      <c r="BW151" s="0" t="n">
        <v>0</v>
      </c>
      <c r="BX151" s="0" t="n">
        <v>0.1215</v>
      </c>
      <c r="BY151" s="0" t="n">
        <v>0.3219</v>
      </c>
      <c r="BZ151" s="0" t="n">
        <v>12</v>
      </c>
      <c r="CA151" s="0" t="n">
        <v>5.45</v>
      </c>
      <c r="CB151" s="0" t="n">
        <v>14.51</v>
      </c>
      <c r="CC151" s="0" t="n">
        <v>10.2</v>
      </c>
      <c r="CD151" s="0" t="n">
        <v>4.74</v>
      </c>
      <c r="CE151" s="0" t="n">
        <v>2</v>
      </c>
      <c r="CF151" s="0" t="n">
        <v>0</v>
      </c>
      <c r="CG151" s="0" t="n">
        <v>12</v>
      </c>
      <c r="CH151" s="0" t="n">
        <v>0.167</v>
      </c>
      <c r="CI151" s="0" t="n">
        <v>0</v>
      </c>
      <c r="CJ151" s="0" t="n">
        <v>0.465</v>
      </c>
      <c r="CK151" s="0" t="n">
        <v>10</v>
      </c>
      <c r="CL151" s="0" t="n">
        <v>3</v>
      </c>
      <c r="CM151" s="0" t="n">
        <v>1</v>
      </c>
      <c r="CN151" s="0" t="n">
        <v>3</v>
      </c>
      <c r="CO151" s="0" t="n">
        <v>2.9588368380647</v>
      </c>
      <c r="CP151" s="0" t="n">
        <v>0</v>
      </c>
      <c r="CQ151" s="0" t="n">
        <v>0</v>
      </c>
      <c r="CR151" s="0" t="n">
        <v>0</v>
      </c>
      <c r="CS151" s="0" t="n">
        <v>0</v>
      </c>
      <c r="CT151" s="0" t="n">
        <v>0</v>
      </c>
      <c r="CU151" s="0" t="n">
        <v>10</v>
      </c>
      <c r="CV151" s="0" t="n">
        <v>3</v>
      </c>
      <c r="CW151" s="0" t="n">
        <v>1</v>
      </c>
      <c r="CX151" s="0" t="n">
        <v>3</v>
      </c>
      <c r="CY151" s="0" t="n">
        <v>2.96</v>
      </c>
      <c r="CZ151" s="0" t="n">
        <v>0.04</v>
      </c>
      <c r="DA151" s="0" t="n">
        <v>3.90547401628174</v>
      </c>
      <c r="DB151" s="0" t="n">
        <v>6.4606</v>
      </c>
      <c r="DC151" s="0" t="n">
        <v>6.5755</v>
      </c>
      <c r="DD151" s="0" t="n">
        <v>8.08705063400116</v>
      </c>
      <c r="DE151" s="0" t="n">
        <v>-0.228699741922007</v>
      </c>
      <c r="DF151" s="0" t="n">
        <v>76.6666666666667</v>
      </c>
      <c r="DM151" s="0" t="s">
        <v>1767</v>
      </c>
      <c r="DS151" s="0" t="n">
        <v>60</v>
      </c>
      <c r="DT151" s="0" t="n">
        <v>2</v>
      </c>
      <c r="DU151" s="0" t="n">
        <v>4</v>
      </c>
      <c r="DV151" s="0" t="n">
        <v>6.37</v>
      </c>
      <c r="DW151" s="0" t="n">
        <v>5.37</v>
      </c>
      <c r="DX151" s="0" t="n">
        <v>6.9</v>
      </c>
      <c r="DY151" s="0" t="n">
        <v>0.0667</v>
      </c>
      <c r="DZ151" s="0" t="n">
        <v>591</v>
      </c>
      <c r="EA151" s="0" t="n">
        <v>0.748</v>
      </c>
      <c r="EB151" s="0" t="n">
        <v>12</v>
      </c>
      <c r="EC151" s="0" t="s">
        <v>1768</v>
      </c>
      <c r="ED151" s="0" t="n">
        <v>2023</v>
      </c>
      <c r="EE151" s="0" t="n">
        <v>2</v>
      </c>
      <c r="EF151" s="0" t="n">
        <v>61</v>
      </c>
      <c r="EG151" s="0" t="n">
        <v>2023</v>
      </c>
      <c r="EH151" s="0" t="n">
        <v>2026</v>
      </c>
      <c r="EI151" s="0" t="n">
        <v>4</v>
      </c>
      <c r="EJ151" s="0" t="n">
        <v>76</v>
      </c>
      <c r="EK151" s="0" t="n">
        <v>253</v>
      </c>
      <c r="EL151" s="0" t="s">
        <v>1063</v>
      </c>
      <c r="EM151" s="0" t="n">
        <v>25.6</v>
      </c>
      <c r="EN151" s="15" t="b">
        <f aca="false">FALSE()</f>
        <v>0</v>
      </c>
      <c r="EO151" s="0" t="n">
        <v>373</v>
      </c>
      <c r="EP151" s="0" t="n">
        <v>2.85254691689008</v>
      </c>
      <c r="EQ151" s="0" t="n">
        <v>0.184986595174263</v>
      </c>
      <c r="ER151" s="0" t="n">
        <v>1.10991957104558</v>
      </c>
      <c r="ES151" s="0" t="n">
        <v>0.683646112600536</v>
      </c>
      <c r="ET151" s="0" t="n">
        <v>30</v>
      </c>
      <c r="EU151" s="0" t="n">
        <v>15</v>
      </c>
      <c r="EV151" s="0" t="n">
        <v>4.1313672922252</v>
      </c>
      <c r="EW151" s="0" t="n">
        <v>0.5</v>
      </c>
      <c r="EX151" s="0" t="n">
        <v>2.91568836248392</v>
      </c>
      <c r="EY151" s="0" t="n">
        <v>2.885</v>
      </c>
      <c r="EZ151" s="0" t="n">
        <v>0.1784</v>
      </c>
      <c r="FA151" s="0" t="n">
        <v>2.219</v>
      </c>
      <c r="FB151" s="0" t="n">
        <v>1.781</v>
      </c>
      <c r="FC151" s="0" t="n">
        <v>22</v>
      </c>
      <c r="FD151" s="0" t="n">
        <v>644</v>
      </c>
      <c r="FE151" s="0" t="n">
        <v>0.0636645962732919</v>
      </c>
      <c r="FF151" s="0" t="n">
        <v>0.0647</v>
      </c>
      <c r="FG151" s="0" t="n">
        <v>0.2504</v>
      </c>
      <c r="FH151" s="0" t="n">
        <v>2.395</v>
      </c>
      <c r="FI151" s="0" t="n">
        <v>1074</v>
      </c>
      <c r="FJ151" s="0" t="n">
        <v>0.56145251396648</v>
      </c>
      <c r="FK151" s="0" t="n">
        <v>17</v>
      </c>
      <c r="FL151" s="0" t="n">
        <v>63.18</v>
      </c>
      <c r="FM151" s="0" t="n">
        <v>0.5756</v>
      </c>
      <c r="FN151" s="0" t="n">
        <v>0.4244</v>
      </c>
      <c r="FO151" s="0" t="n">
        <v>0.0164</v>
      </c>
      <c r="FP151" s="0" t="n">
        <v>-0.0041</v>
      </c>
      <c r="FQ151" s="0" t="n">
        <v>0.0592</v>
      </c>
      <c r="FR151" s="0" t="n">
        <v>40</v>
      </c>
      <c r="FS151" s="0" t="n">
        <v>72</v>
      </c>
      <c r="FT151" s="0" t="n">
        <v>4.24</v>
      </c>
      <c r="FU151" s="0" t="n">
        <v>27.9</v>
      </c>
      <c r="FV151" s="0" t="n">
        <v>5856</v>
      </c>
      <c r="FW151" s="0" t="n">
        <v>5856</v>
      </c>
      <c r="FX151" s="0" t="n">
        <v>1</v>
      </c>
      <c r="FY151" s="0" t="n">
        <v>5</v>
      </c>
      <c r="FZ151" s="0" t="n">
        <v>5</v>
      </c>
      <c r="GA151" s="0" t="n">
        <v>-0.543031520615496</v>
      </c>
      <c r="GB151" s="0" t="n">
        <v>40.2</v>
      </c>
      <c r="GC151" s="0" t="n">
        <v>50.8</v>
      </c>
      <c r="GD151" s="0" t="n">
        <v>44.3</v>
      </c>
      <c r="GE151" s="0" t="n">
        <v>547</v>
      </c>
      <c r="GF151" s="0" t="n">
        <v>489</v>
      </c>
      <c r="GG151" s="0" t="n">
        <v>132</v>
      </c>
      <c r="GH151" s="0" t="n">
        <v>271</v>
      </c>
      <c r="GI151" s="0" t="n">
        <v>198</v>
      </c>
      <c r="GJ151" s="0" t="n">
        <v>85</v>
      </c>
      <c r="GK151" s="0" t="n">
        <v>0.241</v>
      </c>
      <c r="GL151" s="0" t="n">
        <v>0.554</v>
      </c>
      <c r="GM151" s="0" t="n">
        <v>0.429</v>
      </c>
      <c r="GN151" s="0" t="n">
        <v>9.833</v>
      </c>
      <c r="GO151" s="0" t="n">
        <v>7.917</v>
      </c>
      <c r="GP151" s="0" t="n">
        <v>6</v>
      </c>
      <c r="GQ151" s="0" t="n">
        <v>5</v>
      </c>
      <c r="GR151" s="0" t="n">
        <v>0</v>
      </c>
      <c r="GS151" s="0" t="n">
        <v>60</v>
      </c>
      <c r="GT151" s="0" t="n">
        <v>1.967</v>
      </c>
      <c r="GU151" s="0" t="n">
        <v>0.2</v>
      </c>
      <c r="GV151" s="0" t="n">
        <v>9</v>
      </c>
      <c r="GW151" s="0" t="n">
        <v>11.739</v>
      </c>
      <c r="GX151" s="0" t="n">
        <v>0.767</v>
      </c>
      <c r="GZ151" s="0" t="n">
        <v>6.9</v>
      </c>
      <c r="HA151" s="0" t="n">
        <v>5.37</v>
      </c>
      <c r="HB151" s="0" t="n">
        <v>1.304</v>
      </c>
      <c r="HC151" s="0" t="n">
        <v>0.05</v>
      </c>
      <c r="HE151" s="0" t="n">
        <v>0.523</v>
      </c>
      <c r="HG151" s="0" t="n">
        <v>156.63</v>
      </c>
      <c r="HH151" s="0" t="n">
        <v>25.26</v>
      </c>
      <c r="HI151" s="0" t="n">
        <v>111</v>
      </c>
      <c r="HJ151" s="0" t="n">
        <v>236</v>
      </c>
      <c r="HK151" s="0" t="s">
        <v>909</v>
      </c>
      <c r="HL151" s="0" t="n">
        <v>0</v>
      </c>
      <c r="HM151" s="0" t="n">
        <v>21</v>
      </c>
      <c r="HN151" s="0" t="n">
        <v>18</v>
      </c>
      <c r="HO151" s="0" t="n">
        <v>-0.248</v>
      </c>
      <c r="HP151" s="0" t="n">
        <v>17</v>
      </c>
      <c r="HQ151" s="0" t="n">
        <v>-0.073</v>
      </c>
      <c r="HR151" s="0" t="s">
        <v>102</v>
      </c>
    </row>
    <row r="152" customFormat="false" ht="15" hidden="false" customHeight="false" outlineLevel="0" collapsed="false">
      <c r="A152" s="0" t="s">
        <v>896</v>
      </c>
      <c r="B152" s="0" t="s">
        <v>897</v>
      </c>
      <c r="C152" s="0" t="s">
        <v>898</v>
      </c>
      <c r="D152" s="0" t="s">
        <v>443</v>
      </c>
      <c r="E152" s="0" t="n">
        <v>27339</v>
      </c>
      <c r="F152" s="0" t="s">
        <v>99</v>
      </c>
      <c r="G152" s="0" t="n">
        <v>157.29</v>
      </c>
      <c r="H152" s="0" t="n">
        <v>31.44</v>
      </c>
      <c r="I152" s="0" t="n">
        <v>115</v>
      </c>
      <c r="J152" s="0" t="n">
        <v>304</v>
      </c>
      <c r="L152" s="0" t="s">
        <v>1769</v>
      </c>
      <c r="O152" s="0" t="n">
        <v>31.5</v>
      </c>
      <c r="U152" s="0" t="n">
        <v>11</v>
      </c>
      <c r="V152" s="0" t="s">
        <v>443</v>
      </c>
      <c r="W152" s="0" t="s">
        <v>901</v>
      </c>
      <c r="X152" s="0" t="s">
        <v>258</v>
      </c>
      <c r="Y152" s="0" t="s">
        <v>1770</v>
      </c>
      <c r="Z152" s="0" t="n">
        <v>27339</v>
      </c>
      <c r="AA152" s="0" t="s">
        <v>1771</v>
      </c>
      <c r="AB152" s="0" t="s">
        <v>904</v>
      </c>
      <c r="AC152" s="0" t="s">
        <v>258</v>
      </c>
      <c r="AD152" s="0" t="s">
        <v>258</v>
      </c>
      <c r="AE152" s="0" t="s">
        <v>258</v>
      </c>
      <c r="AF152" s="0" t="s">
        <v>258</v>
      </c>
      <c r="AG152" s="0" t="s">
        <v>258</v>
      </c>
      <c r="AH152" s="0" t="s">
        <v>905</v>
      </c>
      <c r="AI152" s="0" t="n">
        <v>3</v>
      </c>
      <c r="AJ152" s="0" t="s">
        <v>99</v>
      </c>
      <c r="AK152" s="0" t="n">
        <v>151</v>
      </c>
      <c r="AL152" s="0" t="n">
        <v>58</v>
      </c>
      <c r="AM152" s="0" t="s">
        <v>444</v>
      </c>
      <c r="EC152" s="0" t="s">
        <v>1772</v>
      </c>
      <c r="EG152" s="0" t="n">
        <v>2026</v>
      </c>
      <c r="EH152" s="0" t="n">
        <v>2026</v>
      </c>
      <c r="EI152" s="0" t="n">
        <v>0</v>
      </c>
      <c r="EJ152" s="0" t="n">
        <v>76</v>
      </c>
      <c r="EK152" s="0" t="n">
        <v>215</v>
      </c>
      <c r="EL152" s="0" t="s">
        <v>1250</v>
      </c>
      <c r="EM152" s="0" t="n">
        <v>22.7</v>
      </c>
      <c r="EN152" s="15" t="b">
        <f aca="false">TRUE()</f>
        <v>1</v>
      </c>
      <c r="EO152" s="0" t="n">
        <v>353</v>
      </c>
      <c r="EP152" s="0" t="n">
        <v>2.40311614730878</v>
      </c>
      <c r="EQ152" s="0" t="n">
        <v>0.223796033994334</v>
      </c>
      <c r="ER152" s="0" t="n">
        <v>0.875354107648725</v>
      </c>
      <c r="ES152" s="0" t="n">
        <v>0.521246458923513</v>
      </c>
      <c r="ET152" s="0" t="n">
        <v>42</v>
      </c>
      <c r="EU152" s="0" t="n">
        <v>28</v>
      </c>
      <c r="EV152" s="0" t="n">
        <v>3.41076487252125</v>
      </c>
      <c r="EW152" s="0" t="n">
        <v>0.666666666666667</v>
      </c>
      <c r="EX152" s="0" t="n">
        <v>2.95974106155856</v>
      </c>
      <c r="EY152" s="0" t="n">
        <v>2.392</v>
      </c>
      <c r="EZ152" s="0" t="n">
        <v>0.225</v>
      </c>
      <c r="FA152" s="0" t="n">
        <v>1.808</v>
      </c>
      <c r="FB152" s="0" t="n">
        <v>2.109</v>
      </c>
      <c r="FC152" s="0" t="n">
        <v>31</v>
      </c>
      <c r="FD152" s="0" t="n">
        <v>639</v>
      </c>
      <c r="FE152" s="0" t="n">
        <v>0.07981220657277</v>
      </c>
      <c r="FF152" s="0" t="n">
        <v>0.0842</v>
      </c>
      <c r="FG152" s="0" t="n">
        <v>0.3405</v>
      </c>
      <c r="FH152" s="0" t="n">
        <v>2.444</v>
      </c>
      <c r="FI152" s="0" t="n">
        <v>1028</v>
      </c>
      <c r="FJ152" s="0" t="n">
        <v>0.592412451361868</v>
      </c>
      <c r="FK152" s="0" t="n">
        <v>17</v>
      </c>
      <c r="FL152" s="0" t="n">
        <v>60.47</v>
      </c>
      <c r="FM152" s="0" t="n">
        <v>0.5161</v>
      </c>
      <c r="FN152" s="0" t="n">
        <v>0.4839</v>
      </c>
      <c r="FO152" s="0" t="n">
        <v>-0.0372</v>
      </c>
      <c r="FP152" s="0" t="n">
        <v>-0.0478</v>
      </c>
      <c r="FQ152" s="0" t="n">
        <v>-0.2882</v>
      </c>
      <c r="FR152" s="0" t="n">
        <v>39</v>
      </c>
      <c r="FS152" s="0" t="n">
        <v>42</v>
      </c>
      <c r="FT152" s="0" t="n">
        <v>2.47</v>
      </c>
      <c r="FU152" s="0" t="n">
        <v>16.4</v>
      </c>
      <c r="FV152" s="0" t="n">
        <v>5503</v>
      </c>
      <c r="FW152" s="0" t="n">
        <v>1435</v>
      </c>
      <c r="FX152" s="0" t="n">
        <v>0.261</v>
      </c>
      <c r="FY152" s="0" t="n">
        <v>5</v>
      </c>
      <c r="FZ152" s="0" t="n">
        <v>1</v>
      </c>
      <c r="GA152" s="0" t="n">
        <v>-1.74193649230018</v>
      </c>
      <c r="GB152" s="0" t="n">
        <v>18.5</v>
      </c>
      <c r="GC152" s="0" t="n">
        <v>26.5</v>
      </c>
      <c r="GD152" s="0" t="n">
        <v>15.1</v>
      </c>
      <c r="GE152" s="0" t="n">
        <v>522</v>
      </c>
      <c r="GF152" s="0" t="n">
        <v>421</v>
      </c>
      <c r="GG152" s="0" t="n">
        <v>88</v>
      </c>
      <c r="GH152" s="0" t="n">
        <v>37</v>
      </c>
      <c r="GI152" s="0" t="n">
        <v>114</v>
      </c>
      <c r="GJ152" s="0" t="n">
        <v>23</v>
      </c>
      <c r="GK152" s="0" t="n">
        <v>0.169</v>
      </c>
      <c r="GL152" s="0" t="n">
        <v>0.088</v>
      </c>
      <c r="GM152" s="0" t="n">
        <v>0.202</v>
      </c>
      <c r="HF152" s="0" t="s">
        <v>206</v>
      </c>
      <c r="HG152" s="0" t="n">
        <v>157.29</v>
      </c>
      <c r="HH152" s="0" t="n">
        <v>31.44</v>
      </c>
      <c r="HI152" s="0" t="n">
        <v>115</v>
      </c>
      <c r="HJ152" s="0" t="n">
        <v>304</v>
      </c>
      <c r="HK152" s="0" t="s">
        <v>909</v>
      </c>
      <c r="HL152" s="0" t="n">
        <v>0</v>
      </c>
      <c r="HN152" s="0" t="n">
        <v>58</v>
      </c>
    </row>
    <row r="153" customFormat="false" ht="15" hidden="false" customHeight="false" outlineLevel="0" collapsed="false">
      <c r="A153" s="0" t="s">
        <v>896</v>
      </c>
      <c r="B153" s="0" t="s">
        <v>897</v>
      </c>
      <c r="C153" s="0" t="s">
        <v>898</v>
      </c>
      <c r="D153" s="0" t="s">
        <v>445</v>
      </c>
      <c r="E153" s="0" t="n">
        <v>19590</v>
      </c>
      <c r="F153" s="0" t="s">
        <v>99</v>
      </c>
      <c r="G153" s="0" t="n">
        <v>157.65</v>
      </c>
      <c r="H153" s="0" t="n">
        <v>28.04</v>
      </c>
      <c r="I153" s="0" t="n">
        <v>94</v>
      </c>
      <c r="J153" s="0" t="n">
        <v>283</v>
      </c>
      <c r="L153" s="0" t="s">
        <v>1773</v>
      </c>
      <c r="O153" s="0" t="n">
        <v>27.4</v>
      </c>
      <c r="U153" s="0" t="n">
        <v>6</v>
      </c>
      <c r="V153" s="0" t="s">
        <v>445</v>
      </c>
      <c r="W153" s="0" t="s">
        <v>901</v>
      </c>
      <c r="X153" s="0" t="s">
        <v>127</v>
      </c>
      <c r="Y153" s="0" t="s">
        <v>1774</v>
      </c>
      <c r="Z153" s="0" t="n">
        <v>19590</v>
      </c>
      <c r="AA153" s="0" t="s">
        <v>1775</v>
      </c>
      <c r="AB153" s="0" t="s">
        <v>904</v>
      </c>
      <c r="AC153" s="0" t="s">
        <v>127</v>
      </c>
      <c r="AD153" s="0" t="s">
        <v>127</v>
      </c>
      <c r="AE153" s="0" t="s">
        <v>127</v>
      </c>
      <c r="AF153" s="0" t="s">
        <v>127</v>
      </c>
      <c r="AG153" s="0" t="s">
        <v>127</v>
      </c>
      <c r="AH153" s="0" t="s">
        <v>905</v>
      </c>
      <c r="AI153" s="0" t="n">
        <v>3</v>
      </c>
      <c r="AJ153" s="0" t="s">
        <v>99</v>
      </c>
      <c r="AK153" s="0" t="n">
        <v>152</v>
      </c>
      <c r="AL153" s="0" t="n">
        <v>59</v>
      </c>
      <c r="AM153" s="0" t="s">
        <v>446</v>
      </c>
      <c r="AN153" s="0" t="n">
        <v>0</v>
      </c>
      <c r="AO153" s="0" t="n">
        <v>0</v>
      </c>
      <c r="AP153" s="0" t="n">
        <v>0</v>
      </c>
      <c r="AQ153" s="0" t="n">
        <v>0</v>
      </c>
      <c r="AR153" s="0" t="n">
        <v>0</v>
      </c>
      <c r="AS153" s="0" t="n">
        <v>0</v>
      </c>
      <c r="AT153" s="0" t="n">
        <v>0</v>
      </c>
      <c r="AU153" s="0" t="n">
        <v>0</v>
      </c>
      <c r="AV153" s="0" t="n">
        <v>0</v>
      </c>
      <c r="AW153" s="0" t="n">
        <v>0</v>
      </c>
      <c r="AX153" s="0" t="n">
        <v>0</v>
      </c>
      <c r="AY153" s="0" t="n">
        <v>0</v>
      </c>
      <c r="AZ153" s="0" t="n">
        <v>0</v>
      </c>
      <c r="BA153" s="0" t="n">
        <v>0</v>
      </c>
      <c r="BB153" s="0" t="n">
        <v>0</v>
      </c>
      <c r="BC153" s="0" t="n">
        <v>55</v>
      </c>
      <c r="BD153" s="0" t="n">
        <v>90</v>
      </c>
      <c r="BE153" s="0" t="n">
        <v>643</v>
      </c>
      <c r="BF153" s="0" t="n">
        <v>9</v>
      </c>
      <c r="BG153" s="0" t="n">
        <v>905</v>
      </c>
      <c r="BH153" s="0" t="n">
        <v>181</v>
      </c>
      <c r="BI153" s="0" t="n">
        <v>36</v>
      </c>
      <c r="BJ153" s="0" t="n">
        <v>-2.27119514576198</v>
      </c>
      <c r="BK153" s="0" t="n">
        <v>1</v>
      </c>
      <c r="BL153" s="0" t="n">
        <v>0</v>
      </c>
      <c r="BM153" s="0" t="n">
        <v>118.3</v>
      </c>
      <c r="BN153" s="0" t="n">
        <v>173.3</v>
      </c>
      <c r="BO153" s="0" t="n">
        <v>15</v>
      </c>
      <c r="BP153" s="0" t="s">
        <v>124</v>
      </c>
      <c r="BQ153" s="0" t="n">
        <v>1</v>
      </c>
      <c r="BR153" s="0" t="n">
        <v>145.8</v>
      </c>
      <c r="BS153" s="0" t="n">
        <v>0.1636</v>
      </c>
      <c r="BT153" s="0" t="n">
        <v>0</v>
      </c>
      <c r="BU153" s="0" t="n">
        <v>0.2191</v>
      </c>
      <c r="BV153" s="0" t="n">
        <v>0.194</v>
      </c>
      <c r="BW153" s="0" t="n">
        <v>0</v>
      </c>
      <c r="BX153" s="0" t="n">
        <v>0.2545</v>
      </c>
      <c r="BY153" s="0" t="n">
        <v>0.4692</v>
      </c>
      <c r="BZ153" s="0" t="n">
        <v>15</v>
      </c>
      <c r="CA153" s="0" t="n">
        <v>7.3</v>
      </c>
      <c r="CB153" s="0" t="n">
        <v>18</v>
      </c>
      <c r="CC153" s="0" t="n">
        <v>12.2</v>
      </c>
      <c r="CD153" s="0" t="n">
        <v>5.71</v>
      </c>
      <c r="CE153" s="0" t="n">
        <v>2</v>
      </c>
      <c r="CF153" s="0" t="n">
        <v>1</v>
      </c>
      <c r="CG153" s="0" t="n">
        <v>15</v>
      </c>
      <c r="CH153" s="0" t="n">
        <v>0.133</v>
      </c>
      <c r="CI153" s="0" t="n">
        <v>0.067</v>
      </c>
      <c r="CJ153" s="0" t="n">
        <v>0.468</v>
      </c>
      <c r="CK153" s="0" t="n">
        <v>19</v>
      </c>
      <c r="CL153" s="0" t="n">
        <v>8</v>
      </c>
      <c r="CM153" s="0" t="n">
        <v>5</v>
      </c>
      <c r="CN153" s="0" t="n">
        <v>9</v>
      </c>
      <c r="CO153" s="0" t="n">
        <v>6.0877494970486</v>
      </c>
      <c r="CP153" s="0" t="n">
        <v>0</v>
      </c>
      <c r="CQ153" s="0" t="n">
        <v>0</v>
      </c>
      <c r="CR153" s="0" t="n">
        <v>0</v>
      </c>
      <c r="CS153" s="0" t="n">
        <v>0</v>
      </c>
      <c r="CT153" s="0" t="n">
        <v>0</v>
      </c>
      <c r="CU153" s="0" t="n">
        <v>19</v>
      </c>
      <c r="CV153" s="0" t="n">
        <v>8</v>
      </c>
      <c r="CW153" s="0" t="n">
        <v>5</v>
      </c>
      <c r="CX153" s="0" t="n">
        <v>9</v>
      </c>
      <c r="CY153" s="0" t="n">
        <v>6.09</v>
      </c>
      <c r="CZ153" s="0" t="n">
        <v>2.91</v>
      </c>
      <c r="DA153" s="0" t="n">
        <v>2.21303908948132</v>
      </c>
      <c r="DB153" s="0" t="n">
        <v>5.64835294117647</v>
      </c>
      <c r="DC153" s="0" t="n">
        <v>10.1635555555556</v>
      </c>
      <c r="DD153" s="0" t="n">
        <v>22.4220259047544</v>
      </c>
      <c r="DE153" s="0" t="n">
        <v>0.710569590015091</v>
      </c>
      <c r="DF153" s="0" t="n">
        <v>61.1111111111111</v>
      </c>
      <c r="DM153" s="0" t="s">
        <v>1776</v>
      </c>
      <c r="DS153" s="0" t="n">
        <v>90</v>
      </c>
      <c r="DT153" s="0" t="n">
        <v>4</v>
      </c>
      <c r="DU153" s="0" t="n">
        <v>3</v>
      </c>
      <c r="DV153" s="0" t="n">
        <v>8.4</v>
      </c>
      <c r="DW153" s="0" t="n">
        <v>3.291</v>
      </c>
      <c r="DX153" s="0" t="n">
        <v>10.1</v>
      </c>
      <c r="DY153" s="0" t="n">
        <v>0.0333</v>
      </c>
      <c r="DZ153" s="0" t="n">
        <v>795</v>
      </c>
      <c r="EA153" s="0" t="n">
        <v>0.821</v>
      </c>
      <c r="EB153" s="0" t="n">
        <v>15</v>
      </c>
      <c r="EC153" s="0" t="s">
        <v>1777</v>
      </c>
      <c r="ED153" s="0" t="n">
        <v>2020</v>
      </c>
      <c r="EE153" s="0" t="n">
        <v>7</v>
      </c>
      <c r="EF153" s="0" t="n">
        <v>217</v>
      </c>
      <c r="EG153" s="0" t="n">
        <v>2020</v>
      </c>
      <c r="EH153" s="0" t="n">
        <v>2026</v>
      </c>
      <c r="EI153" s="0" t="n">
        <v>6</v>
      </c>
      <c r="EJ153" s="0" t="n">
        <v>75</v>
      </c>
      <c r="EK153" s="0" t="n">
        <v>212</v>
      </c>
      <c r="EL153" s="0" t="s">
        <v>1740</v>
      </c>
      <c r="EM153" s="0" t="n">
        <v>29.1</v>
      </c>
      <c r="EN153" s="15" t="b">
        <f aca="false">FALSE()</f>
        <v>0</v>
      </c>
      <c r="EO153" s="0" t="n">
        <v>348</v>
      </c>
      <c r="EP153" s="0" t="n">
        <v>3.06781609195402</v>
      </c>
      <c r="EQ153" s="0" t="n">
        <v>0.160919540229885</v>
      </c>
      <c r="ER153" s="0" t="n">
        <v>1.27011494252874</v>
      </c>
      <c r="ES153" s="0" t="n">
        <v>0.548850574712644</v>
      </c>
      <c r="ET153" s="0" t="n">
        <v>30</v>
      </c>
      <c r="EU153" s="0" t="n">
        <v>21</v>
      </c>
      <c r="EV153" s="0" t="n">
        <v>4.28448275862069</v>
      </c>
      <c r="EW153" s="0" t="n">
        <v>0.7</v>
      </c>
      <c r="EX153" s="0" t="n">
        <v>3.05559506502035</v>
      </c>
      <c r="EY153" s="0" t="n">
        <v>2.961</v>
      </c>
      <c r="EZ153" s="0" t="n">
        <v>0.1751</v>
      </c>
      <c r="FA153" s="0" t="n">
        <v>2.441</v>
      </c>
      <c r="FB153" s="0" t="n">
        <v>2.049</v>
      </c>
      <c r="FC153" s="0" t="n">
        <v>27</v>
      </c>
      <c r="FD153" s="0" t="n">
        <v>571</v>
      </c>
      <c r="FE153" s="0" t="n">
        <v>0.10507880910683</v>
      </c>
      <c r="FF153" s="0" t="n">
        <v>0.1028</v>
      </c>
      <c r="FG153" s="0" t="n">
        <v>0.3037</v>
      </c>
      <c r="FH153" s="0" t="n">
        <v>2.429</v>
      </c>
      <c r="FI153" s="0" t="n">
        <v>943</v>
      </c>
      <c r="FJ153" s="0" t="n">
        <v>0.580063626723224</v>
      </c>
      <c r="FK153" s="0" t="n">
        <v>17</v>
      </c>
      <c r="FL153" s="0" t="n">
        <v>55.47</v>
      </c>
      <c r="FM153" s="0" t="n">
        <v>0.5369</v>
      </c>
      <c r="FN153" s="0" t="n">
        <v>0.4631</v>
      </c>
      <c r="FO153" s="0" t="n">
        <v>-0.012</v>
      </c>
      <c r="FP153" s="0" t="n">
        <v>-0.0149</v>
      </c>
      <c r="FQ153" s="0" t="n">
        <v>-0.1883</v>
      </c>
      <c r="FR153" s="0" t="n">
        <v>39</v>
      </c>
      <c r="FS153" s="0" t="n">
        <v>53</v>
      </c>
      <c r="FT153" s="0" t="n">
        <v>3.12</v>
      </c>
      <c r="FU153" s="0" t="n">
        <v>20.2</v>
      </c>
      <c r="FV153" s="0" t="n">
        <v>5009</v>
      </c>
      <c r="FW153" s="0" t="n">
        <v>4102</v>
      </c>
      <c r="FX153" s="0" t="n">
        <v>0.819</v>
      </c>
      <c r="FY153" s="0" t="n">
        <v>5</v>
      </c>
      <c r="FZ153" s="0" t="n">
        <v>5</v>
      </c>
      <c r="GA153" s="0" t="n">
        <v>0.100485160629548</v>
      </c>
      <c r="GB153" s="0" t="n">
        <v>51.8</v>
      </c>
      <c r="GC153" s="0" t="n">
        <v>26.2</v>
      </c>
      <c r="GD153" s="0" t="n">
        <v>36</v>
      </c>
      <c r="GE153" s="0" t="n">
        <v>468</v>
      </c>
      <c r="GF153" s="0" t="n">
        <v>410</v>
      </c>
      <c r="GG153" s="0" t="n">
        <v>82</v>
      </c>
      <c r="GH153" s="0" t="n">
        <v>24</v>
      </c>
      <c r="GI153" s="0" t="n">
        <v>131</v>
      </c>
      <c r="GJ153" s="0" t="n">
        <v>17</v>
      </c>
      <c r="GK153" s="0" t="n">
        <v>0.175</v>
      </c>
      <c r="GL153" s="0" t="n">
        <v>0.059</v>
      </c>
      <c r="GM153" s="0" t="n">
        <v>0.13</v>
      </c>
      <c r="GN153" s="0" t="n">
        <v>11.553</v>
      </c>
      <c r="GO153" s="0" t="n">
        <v>9.72</v>
      </c>
      <c r="GP153" s="0" t="n">
        <v>7.887</v>
      </c>
      <c r="GQ153" s="0" t="n">
        <v>6</v>
      </c>
      <c r="GR153" s="0" t="n">
        <v>0</v>
      </c>
      <c r="GS153" s="0" t="n">
        <v>90</v>
      </c>
      <c r="GT153" s="0" t="n">
        <v>1.926</v>
      </c>
      <c r="GU153" s="0" t="n">
        <v>0.218</v>
      </c>
      <c r="GV153" s="0" t="n">
        <v>7.144</v>
      </c>
      <c r="GW153" s="0" t="n">
        <v>11.691</v>
      </c>
      <c r="GX153" s="0" t="n">
        <v>0.611</v>
      </c>
      <c r="GZ153" s="0" t="n">
        <v>10.056</v>
      </c>
      <c r="HA153" s="0" t="n">
        <v>3.291</v>
      </c>
      <c r="HB153" s="0" t="n">
        <v>0.71</v>
      </c>
      <c r="HC153" s="0" t="n">
        <v>0.1</v>
      </c>
      <c r="HE153" s="0" t="n">
        <v>-0.025</v>
      </c>
      <c r="HG153" s="0" t="n">
        <v>157.65</v>
      </c>
      <c r="HH153" s="0" t="n">
        <v>28.04</v>
      </c>
      <c r="HI153" s="0" t="n">
        <v>94</v>
      </c>
      <c r="HJ153" s="0" t="n">
        <v>283</v>
      </c>
      <c r="HK153" s="0" t="s">
        <v>909</v>
      </c>
      <c r="HL153" s="0" t="n">
        <v>0</v>
      </c>
      <c r="HM153" s="0" t="n">
        <v>33</v>
      </c>
      <c r="HN153" s="0" t="n">
        <v>59</v>
      </c>
      <c r="HO153" s="0" t="n">
        <v>0.679</v>
      </c>
      <c r="HP153" s="0" t="n">
        <v>34</v>
      </c>
      <c r="HQ153" s="0" t="n">
        <v>0.634</v>
      </c>
      <c r="HR153" s="0" t="s">
        <v>232</v>
      </c>
    </row>
    <row r="154" customFormat="false" ht="15" hidden="false" customHeight="false" outlineLevel="0" collapsed="false">
      <c r="A154" s="0" t="s">
        <v>896</v>
      </c>
      <c r="B154" s="0" t="s">
        <v>897</v>
      </c>
      <c r="C154" s="0" t="s">
        <v>898</v>
      </c>
      <c r="D154" s="0" t="s">
        <v>447</v>
      </c>
      <c r="E154" s="0" t="n">
        <v>18232</v>
      </c>
      <c r="F154" s="0" t="s">
        <v>172</v>
      </c>
      <c r="G154" s="0" t="n">
        <v>159.26</v>
      </c>
      <c r="H154" s="0" t="n">
        <v>33.56</v>
      </c>
      <c r="I154" s="0" t="n">
        <v>113</v>
      </c>
      <c r="J154" s="0" t="n">
        <v>295</v>
      </c>
      <c r="L154" s="0" t="s">
        <v>1778</v>
      </c>
      <c r="O154" s="0" t="n">
        <v>32.9</v>
      </c>
      <c r="U154" s="0" t="n">
        <v>13</v>
      </c>
      <c r="V154" s="0" t="s">
        <v>447</v>
      </c>
      <c r="W154" s="0" t="s">
        <v>901</v>
      </c>
      <c r="X154" s="0" t="s">
        <v>130</v>
      </c>
      <c r="Y154" s="0" t="s">
        <v>1779</v>
      </c>
      <c r="Z154" s="0" t="n">
        <v>18232</v>
      </c>
      <c r="AA154" s="0" t="s">
        <v>1780</v>
      </c>
      <c r="AB154" s="0" t="s">
        <v>904</v>
      </c>
      <c r="AC154" s="0" t="s">
        <v>130</v>
      </c>
      <c r="AD154" s="0" t="s">
        <v>130</v>
      </c>
      <c r="AE154" s="0" t="s">
        <v>130</v>
      </c>
      <c r="AF154" s="0" t="s">
        <v>130</v>
      </c>
      <c r="AG154" s="0" t="s">
        <v>130</v>
      </c>
      <c r="AH154" s="0" t="s">
        <v>905</v>
      </c>
      <c r="AI154" s="0" t="n">
        <v>1</v>
      </c>
      <c r="AJ154" s="0" t="s">
        <v>172</v>
      </c>
      <c r="AK154" s="0" t="n">
        <v>153</v>
      </c>
      <c r="AL154" s="0" t="n">
        <v>25</v>
      </c>
      <c r="AM154" s="0" t="s">
        <v>448</v>
      </c>
      <c r="AN154" s="0" t="n">
        <v>261</v>
      </c>
      <c r="AO154" s="0" t="n">
        <v>384</v>
      </c>
      <c r="AP154" s="0" t="n">
        <v>3101</v>
      </c>
      <c r="AQ154" s="0" t="n">
        <v>19</v>
      </c>
      <c r="AR154" s="0" t="n">
        <v>8</v>
      </c>
      <c r="AS154" s="0" t="n">
        <v>22</v>
      </c>
      <c r="AT154" s="0" t="n">
        <v>3073</v>
      </c>
      <c r="AU154" s="0" t="n">
        <v>149</v>
      </c>
      <c r="AV154" s="0" t="n">
        <v>65.2555149975866</v>
      </c>
      <c r="AW154" s="0" t="n">
        <v>45</v>
      </c>
      <c r="AX154" s="0" t="n">
        <v>164</v>
      </c>
      <c r="AY154" s="0" t="n">
        <v>5</v>
      </c>
      <c r="AZ154" s="0" t="n">
        <v>19</v>
      </c>
      <c r="BA154" s="0" t="n">
        <v>16.1764076690454</v>
      </c>
      <c r="BB154" s="0" t="n">
        <v>0</v>
      </c>
      <c r="BC154" s="0" t="n">
        <v>0</v>
      </c>
      <c r="BD154" s="0" t="n">
        <v>0</v>
      </c>
      <c r="BE154" s="0" t="n">
        <v>0</v>
      </c>
      <c r="BF154" s="0" t="n">
        <v>0</v>
      </c>
      <c r="BG154" s="0" t="n">
        <v>0</v>
      </c>
      <c r="BH154" s="0" t="n">
        <v>0</v>
      </c>
      <c r="BI154" s="0" t="n">
        <v>0</v>
      </c>
      <c r="BJ154" s="0" t="n">
        <v>0</v>
      </c>
      <c r="BK154" s="0" t="n">
        <v>0</v>
      </c>
      <c r="BL154" s="0" t="n">
        <v>0</v>
      </c>
      <c r="BM154" s="0" t="n">
        <v>226.44</v>
      </c>
      <c r="BN154" s="0" t="n">
        <v>226.44</v>
      </c>
      <c r="BO154" s="0" t="n">
        <v>13</v>
      </c>
      <c r="BP154" s="0" t="s">
        <v>130</v>
      </c>
      <c r="BQ154" s="0" t="n">
        <v>1</v>
      </c>
      <c r="BR154" s="0" t="n">
        <v>226.44</v>
      </c>
      <c r="BS154" s="0" t="n">
        <v>0</v>
      </c>
      <c r="BT154" s="0" t="n">
        <v>0.1018</v>
      </c>
      <c r="BU154" s="0" t="n">
        <v>0</v>
      </c>
      <c r="BV154" s="0" t="n">
        <v>0</v>
      </c>
      <c r="BW154" s="0" t="n">
        <v>0.1316</v>
      </c>
      <c r="BX154" s="0" t="n">
        <v>0</v>
      </c>
      <c r="BY154" s="0" t="n">
        <v>0</v>
      </c>
      <c r="BZ154" s="0" t="n">
        <v>13</v>
      </c>
      <c r="CA154" s="0" t="n">
        <v>15.5</v>
      </c>
      <c r="CB154" s="0" t="n">
        <v>22.91</v>
      </c>
      <c r="CC154" s="0" t="n">
        <v>16.68</v>
      </c>
      <c r="CD154" s="0" t="n">
        <v>7.08</v>
      </c>
      <c r="CE154" s="0" t="n">
        <v>7</v>
      </c>
      <c r="CF154" s="0" t="n">
        <v>1</v>
      </c>
      <c r="CG154" s="0" t="n">
        <v>13</v>
      </c>
      <c r="CH154" s="0" t="n">
        <v>0.538</v>
      </c>
      <c r="CI154" s="0" t="n">
        <v>0.077</v>
      </c>
      <c r="CJ154" s="0" t="n">
        <v>0.425</v>
      </c>
      <c r="CK154" s="0" t="n">
        <v>0</v>
      </c>
      <c r="CL154" s="0" t="n">
        <v>0</v>
      </c>
      <c r="CM154" s="0" t="n">
        <v>0</v>
      </c>
      <c r="CN154" s="0" t="n">
        <v>0</v>
      </c>
      <c r="CO154" s="0" t="n">
        <v>0</v>
      </c>
      <c r="CP154" s="0" t="n">
        <v>16</v>
      </c>
      <c r="CQ154" s="0" t="n">
        <v>10</v>
      </c>
      <c r="CR154" s="0" t="n">
        <v>6</v>
      </c>
      <c r="CS154" s="0" t="n">
        <v>5</v>
      </c>
      <c r="CT154" s="0" t="n">
        <v>3.78516953084101</v>
      </c>
      <c r="CU154" s="0" t="n">
        <v>16</v>
      </c>
      <c r="CV154" s="0" t="n">
        <v>10</v>
      </c>
      <c r="CW154" s="0" t="n">
        <v>6</v>
      </c>
      <c r="CX154" s="0" t="n">
        <v>5</v>
      </c>
      <c r="CY154" s="0" t="n">
        <v>3.79</v>
      </c>
      <c r="CZ154" s="0" t="n">
        <v>1.21</v>
      </c>
      <c r="DM154" s="0" t="s">
        <v>1781</v>
      </c>
      <c r="DN154" s="0" t="n">
        <v>45</v>
      </c>
      <c r="DO154" s="0" t="n">
        <v>1</v>
      </c>
      <c r="DP154" s="0" t="n">
        <v>3.044</v>
      </c>
      <c r="DQ154" s="0" t="n">
        <v>0.6</v>
      </c>
      <c r="DR154" s="0" t="n">
        <v>45</v>
      </c>
      <c r="DZ154" s="0" t="n">
        <v>756</v>
      </c>
      <c r="EA154" s="0" t="n">
        <v>0.915</v>
      </c>
      <c r="EB154" s="0" t="n">
        <v>13</v>
      </c>
      <c r="EC154" s="0" t="s">
        <v>1782</v>
      </c>
      <c r="ED154" s="0" t="n">
        <v>2019</v>
      </c>
      <c r="EE154" s="0" t="n">
        <v>1</v>
      </c>
      <c r="EF154" s="0" t="n">
        <v>6</v>
      </c>
      <c r="EG154" s="0" t="n">
        <v>2019</v>
      </c>
      <c r="EH154" s="0" t="n">
        <v>2026</v>
      </c>
      <c r="EI154" s="0" t="n">
        <v>8</v>
      </c>
      <c r="EJ154" s="0" t="n">
        <v>77</v>
      </c>
      <c r="EK154" s="0" t="n">
        <v>230</v>
      </c>
      <c r="EL154" s="0" t="s">
        <v>1783</v>
      </c>
      <c r="EM154" s="0" t="n">
        <v>29.2</v>
      </c>
      <c r="EN154" s="15" t="b">
        <f aca="false">FALSE()</f>
        <v>0</v>
      </c>
      <c r="EO154" s="0" t="n">
        <v>373</v>
      </c>
      <c r="EP154" s="0" t="n">
        <v>3.01769436997319</v>
      </c>
      <c r="EQ154" s="0" t="n">
        <v>0.152815013404826</v>
      </c>
      <c r="ER154" s="0" t="n">
        <v>1.2171581769437</v>
      </c>
      <c r="ES154" s="0" t="n">
        <v>1.07506702412869</v>
      </c>
      <c r="ET154" s="0" t="n">
        <v>32</v>
      </c>
      <c r="EU154" s="0" t="n">
        <v>22</v>
      </c>
      <c r="EV154" s="0" t="n">
        <v>4.73190348525469</v>
      </c>
      <c r="EW154" s="0" t="n">
        <v>0.6875</v>
      </c>
      <c r="EX154" s="0" t="n">
        <v>2.89403637630104</v>
      </c>
      <c r="EY154" s="0" t="n">
        <v>3.072</v>
      </c>
      <c r="EZ154" s="0" t="n">
        <v>0.1487</v>
      </c>
      <c r="FA154" s="0" t="n">
        <v>2.428</v>
      </c>
      <c r="FB154" s="0" t="n">
        <v>2.113</v>
      </c>
      <c r="FC154" s="0" t="n">
        <v>29</v>
      </c>
      <c r="FD154" s="0" t="n">
        <v>599</v>
      </c>
      <c r="FE154" s="0" t="n">
        <v>0.0484140233722872</v>
      </c>
      <c r="FF154" s="0" t="n">
        <v>0.047</v>
      </c>
      <c r="FG154" s="0" t="n">
        <v>0.2121</v>
      </c>
      <c r="FH154" s="0" t="n">
        <v>2.237</v>
      </c>
      <c r="FI154" s="0" t="n">
        <v>1011</v>
      </c>
      <c r="FJ154" s="0" t="n">
        <v>0.573689416419387</v>
      </c>
      <c r="FK154" s="0" t="n">
        <v>17</v>
      </c>
      <c r="FL154" s="0" t="n">
        <v>59.47</v>
      </c>
      <c r="FM154" s="0" t="n">
        <v>0.5637</v>
      </c>
      <c r="FN154" s="0" t="n">
        <v>0.4363</v>
      </c>
      <c r="FO154" s="0" t="n">
        <v>-0.0091</v>
      </c>
      <c r="FP154" s="0" t="n">
        <v>0.094</v>
      </c>
      <c r="FQ154" s="0" t="n">
        <v>0.0558</v>
      </c>
      <c r="FR154" s="0" t="n">
        <v>39</v>
      </c>
      <c r="FS154" s="0" t="n">
        <v>70</v>
      </c>
      <c r="FT154" s="0" t="n">
        <v>4.12</v>
      </c>
      <c r="FU154" s="0" t="n">
        <v>27.4</v>
      </c>
      <c r="FV154" s="0" t="n">
        <v>5369</v>
      </c>
      <c r="FW154" s="0" t="n">
        <v>4465</v>
      </c>
      <c r="FX154" s="0" t="n">
        <v>0.832</v>
      </c>
      <c r="FY154" s="0" t="n">
        <v>5</v>
      </c>
      <c r="FZ154" s="0" t="n">
        <v>5</v>
      </c>
      <c r="GA154" s="0" t="n">
        <v>0.42626114302074</v>
      </c>
      <c r="GB154" s="0" t="n">
        <v>57.7</v>
      </c>
      <c r="GC154" s="0" t="n">
        <v>58.5</v>
      </c>
      <c r="GD154" s="0" t="n">
        <v>60.3</v>
      </c>
      <c r="GE154" s="0" t="n">
        <v>530</v>
      </c>
      <c r="GF154" s="0" t="n">
        <v>442</v>
      </c>
      <c r="GG154" s="0" t="n">
        <v>147</v>
      </c>
      <c r="GH154" s="0" t="n">
        <v>24</v>
      </c>
      <c r="GI154" s="0" t="n">
        <v>179</v>
      </c>
      <c r="GJ154" s="0" t="n">
        <v>20</v>
      </c>
      <c r="GK154" s="0" t="n">
        <v>0.277</v>
      </c>
      <c r="GL154" s="0" t="n">
        <v>0.054</v>
      </c>
      <c r="GM154" s="0" t="n">
        <v>0.112</v>
      </c>
      <c r="GN154" s="0" t="n">
        <v>17.418</v>
      </c>
      <c r="GO154" s="0" t="n">
        <v>17.418</v>
      </c>
      <c r="GP154" s="0" t="n">
        <v>17.418</v>
      </c>
      <c r="GQ154" s="0" t="n">
        <v>0</v>
      </c>
      <c r="GR154" s="0" t="n">
        <v>3.462</v>
      </c>
      <c r="GS154" s="0" t="n">
        <v>45</v>
      </c>
      <c r="GT154" s="0" t="n">
        <v>5.032</v>
      </c>
      <c r="GU154" s="0" t="n">
        <v>0.3</v>
      </c>
      <c r="GY154" s="0" t="n">
        <v>3.644</v>
      </c>
      <c r="HC154" s="0" t="n">
        <v>0.111</v>
      </c>
      <c r="HD154" s="0" t="n">
        <v>0.359</v>
      </c>
      <c r="HG154" s="0" t="n">
        <v>159.26</v>
      </c>
      <c r="HH154" s="0" t="n">
        <v>33.56</v>
      </c>
      <c r="HI154" s="0" t="n">
        <v>113</v>
      </c>
      <c r="HJ154" s="0" t="n">
        <v>295</v>
      </c>
      <c r="HK154" s="0" t="s">
        <v>909</v>
      </c>
      <c r="HL154" s="0" t="n">
        <v>0</v>
      </c>
      <c r="HM154" s="0" t="n">
        <v>18</v>
      </c>
      <c r="HN154" s="0" t="n">
        <v>25</v>
      </c>
      <c r="HO154" s="0" t="n">
        <v>0.132</v>
      </c>
      <c r="HP154" s="0" t="n">
        <v>13</v>
      </c>
      <c r="HQ154" s="0" t="n">
        <v>0.35</v>
      </c>
      <c r="HR154" s="0" t="s">
        <v>102</v>
      </c>
    </row>
    <row r="155" customFormat="false" ht="15" hidden="false" customHeight="false" outlineLevel="0" collapsed="false">
      <c r="A155" s="0" t="s">
        <v>896</v>
      </c>
      <c r="B155" s="0" t="s">
        <v>897</v>
      </c>
      <c r="C155" s="0" t="s">
        <v>898</v>
      </c>
      <c r="D155" s="0" t="s">
        <v>449</v>
      </c>
      <c r="E155" s="0" t="n">
        <v>19201</v>
      </c>
      <c r="F155" s="0" t="s">
        <v>99</v>
      </c>
      <c r="G155" s="0" t="n">
        <v>160.55</v>
      </c>
      <c r="H155" s="0" t="n">
        <v>23.44</v>
      </c>
      <c r="I155" s="0" t="n">
        <v>115</v>
      </c>
      <c r="J155" s="0" t="n">
        <v>269</v>
      </c>
      <c r="L155" s="0" t="s">
        <v>1784</v>
      </c>
      <c r="O155" s="0" t="n">
        <v>27.9</v>
      </c>
      <c r="U155" s="0" t="n">
        <v>11</v>
      </c>
      <c r="V155" s="0" t="s">
        <v>449</v>
      </c>
      <c r="W155" s="0" t="s">
        <v>901</v>
      </c>
      <c r="X155" s="0" t="s">
        <v>258</v>
      </c>
      <c r="Y155" s="0" t="s">
        <v>1785</v>
      </c>
      <c r="Z155" s="0" t="n">
        <v>19201</v>
      </c>
      <c r="AA155" s="0" t="s">
        <v>1786</v>
      </c>
      <c r="AB155" s="0" t="s">
        <v>904</v>
      </c>
      <c r="AC155" s="0" t="s">
        <v>258</v>
      </c>
      <c r="AD155" s="0" t="s">
        <v>258</v>
      </c>
      <c r="AE155" s="0" t="s">
        <v>258</v>
      </c>
      <c r="AF155" s="0" t="s">
        <v>258</v>
      </c>
      <c r="AG155" s="0" t="s">
        <v>258</v>
      </c>
      <c r="AH155" s="0" t="s">
        <v>905</v>
      </c>
      <c r="AI155" s="0" t="n">
        <v>1</v>
      </c>
      <c r="AJ155" s="0" t="s">
        <v>99</v>
      </c>
      <c r="AK155" s="0" t="n">
        <v>154</v>
      </c>
      <c r="AL155" s="0" t="n">
        <v>60</v>
      </c>
      <c r="AM155" s="0" t="s">
        <v>450</v>
      </c>
      <c r="AN155" s="0" t="n">
        <v>0</v>
      </c>
      <c r="AO155" s="0" t="n">
        <v>0</v>
      </c>
      <c r="AP155" s="0" t="n">
        <v>0</v>
      </c>
      <c r="AQ155" s="0" t="n">
        <v>0</v>
      </c>
      <c r="AR155" s="0" t="n">
        <v>0</v>
      </c>
      <c r="AS155" s="0" t="n">
        <v>0</v>
      </c>
      <c r="AT155" s="0" t="n">
        <v>0</v>
      </c>
      <c r="AU155" s="0" t="n">
        <v>0</v>
      </c>
      <c r="AV155" s="0" t="n">
        <v>0</v>
      </c>
      <c r="AW155" s="0" t="n">
        <v>1</v>
      </c>
      <c r="AX155" s="0" t="n">
        <v>5</v>
      </c>
      <c r="AY155" s="0" t="n">
        <v>0</v>
      </c>
      <c r="AZ155" s="0" t="n">
        <v>1</v>
      </c>
      <c r="BA155" s="0" t="n">
        <v>2.73338731657714</v>
      </c>
      <c r="BB155" s="0" t="n">
        <v>0</v>
      </c>
      <c r="BC155" s="0" t="n">
        <v>50</v>
      </c>
      <c r="BD155" s="0" t="n">
        <v>106</v>
      </c>
      <c r="BE155" s="0" t="n">
        <v>602</v>
      </c>
      <c r="BF155" s="0" t="n">
        <v>2</v>
      </c>
      <c r="BG155" s="0" t="n">
        <v>1288</v>
      </c>
      <c r="BH155" s="0" t="n">
        <v>166</v>
      </c>
      <c r="BI155" s="0" t="n">
        <v>31</v>
      </c>
      <c r="BJ155" s="0" t="n">
        <v>-32.3054534980226</v>
      </c>
      <c r="BK155" s="0" t="n">
        <v>1</v>
      </c>
      <c r="BL155" s="0" t="n">
        <v>0</v>
      </c>
      <c r="BM155" s="0" t="n">
        <v>70.7</v>
      </c>
      <c r="BN155" s="0" t="n">
        <v>120.7</v>
      </c>
      <c r="BO155" s="0" t="n">
        <v>17</v>
      </c>
      <c r="BP155" s="0" t="s">
        <v>258</v>
      </c>
      <c r="BQ155" s="0" t="n">
        <v>1</v>
      </c>
      <c r="BR155" s="0" t="n">
        <v>95.7</v>
      </c>
      <c r="BS155" s="0" t="n">
        <v>0.2031</v>
      </c>
      <c r="BT155" s="0" t="n">
        <v>0.0024</v>
      </c>
      <c r="BU155" s="0" t="n">
        <v>0.3587</v>
      </c>
      <c r="BV155" s="0" t="n">
        <v>0.2031</v>
      </c>
      <c r="BW155" s="0" t="n">
        <v>0.0024</v>
      </c>
      <c r="BX155" s="0" t="n">
        <v>0.3587</v>
      </c>
      <c r="BY155" s="0" t="n">
        <v>0.5557</v>
      </c>
      <c r="BZ155" s="0" t="n">
        <v>17</v>
      </c>
      <c r="CA155" s="0" t="n">
        <v>3.7</v>
      </c>
      <c r="CB155" s="0" t="n">
        <v>11.12</v>
      </c>
      <c r="CC155" s="0" t="n">
        <v>5.1</v>
      </c>
      <c r="CD155" s="0" t="n">
        <v>5.22</v>
      </c>
      <c r="CE155" s="0" t="n">
        <v>1</v>
      </c>
      <c r="CF155" s="0" t="n">
        <v>1</v>
      </c>
      <c r="CG155" s="0" t="n">
        <v>17</v>
      </c>
      <c r="CH155" s="0" t="n">
        <v>0.059</v>
      </c>
      <c r="CI155" s="0" t="n">
        <v>0.059</v>
      </c>
      <c r="CJ155" s="0" t="n">
        <v>1.023</v>
      </c>
      <c r="CK155" s="0" t="n">
        <v>9</v>
      </c>
      <c r="CL155" s="0" t="n">
        <v>3</v>
      </c>
      <c r="CM155" s="0" t="n">
        <v>0</v>
      </c>
      <c r="CN155" s="0" t="n">
        <v>2</v>
      </c>
      <c r="CO155" s="0" t="n">
        <v>3.15820670459162</v>
      </c>
      <c r="CP155" s="0" t="n">
        <v>0</v>
      </c>
      <c r="CQ155" s="0" t="n">
        <v>0</v>
      </c>
      <c r="CR155" s="0" t="n">
        <v>0</v>
      </c>
      <c r="CS155" s="0" t="n">
        <v>0</v>
      </c>
      <c r="CT155" s="0" t="n">
        <v>0.00357091844022283</v>
      </c>
      <c r="CU155" s="0" t="n">
        <v>9</v>
      </c>
      <c r="CV155" s="0" t="n">
        <v>3</v>
      </c>
      <c r="CW155" s="0" t="n">
        <v>0</v>
      </c>
      <c r="CX155" s="0" t="n">
        <v>2</v>
      </c>
      <c r="CY155" s="0" t="n">
        <v>3.16</v>
      </c>
      <c r="CZ155" s="0" t="n">
        <v>-1.16</v>
      </c>
      <c r="DA155" s="0" t="n">
        <v>2.47205060721396</v>
      </c>
      <c r="DB155" s="0" t="n">
        <v>5.62685714285714</v>
      </c>
      <c r="DC155" s="0" t="n">
        <v>11.945</v>
      </c>
      <c r="DD155" s="0" t="n">
        <v>36.4915729041778</v>
      </c>
      <c r="DE155" s="0" t="n">
        <v>-0.0249336892853878</v>
      </c>
      <c r="DF155" s="0" t="n">
        <v>47.1698113207547</v>
      </c>
      <c r="DM155" s="0" t="s">
        <v>1787</v>
      </c>
      <c r="DN155" s="0" t="n">
        <v>1</v>
      </c>
      <c r="DO155" s="0" t="n">
        <v>0</v>
      </c>
      <c r="DS155" s="0" t="n">
        <v>106</v>
      </c>
      <c r="DT155" s="0" t="n">
        <v>0</v>
      </c>
      <c r="DU155" s="0" t="n">
        <v>10</v>
      </c>
      <c r="DV155" s="0" t="n">
        <v>8.72</v>
      </c>
      <c r="DW155" s="0" t="n">
        <v>3.32</v>
      </c>
      <c r="DX155" s="0" t="n">
        <v>12.2</v>
      </c>
      <c r="DY155" s="0" t="n">
        <v>0.0943</v>
      </c>
      <c r="DZ155" s="0" t="n">
        <v>921</v>
      </c>
      <c r="EA155" s="0" t="n">
        <v>0.845</v>
      </c>
      <c r="EB155" s="0" t="n">
        <v>17</v>
      </c>
      <c r="EC155" s="0" t="s">
        <v>1788</v>
      </c>
      <c r="ED155" s="0" t="n">
        <v>2020</v>
      </c>
      <c r="EE155" s="0" t="n">
        <v>1</v>
      </c>
      <c r="EF155" s="0" t="n">
        <v>15</v>
      </c>
      <c r="EG155" s="0" t="n">
        <v>2020</v>
      </c>
      <c r="EH155" s="0" t="n">
        <v>2026</v>
      </c>
      <c r="EI155" s="0" t="n">
        <v>7</v>
      </c>
      <c r="EJ155" s="0" t="n">
        <v>73</v>
      </c>
      <c r="EK155" s="0" t="n">
        <v>195</v>
      </c>
      <c r="EL155" s="0" t="s">
        <v>1045</v>
      </c>
      <c r="EM155" s="0" t="n">
        <v>27.3</v>
      </c>
      <c r="EN155" s="15" t="b">
        <f aca="false">FALSE()</f>
        <v>0</v>
      </c>
      <c r="EO155" s="0" t="n">
        <v>353</v>
      </c>
      <c r="EP155" s="0" t="n">
        <v>2.40311614730878</v>
      </c>
      <c r="EQ155" s="0" t="n">
        <v>0.223796033994334</v>
      </c>
      <c r="ER155" s="0" t="n">
        <v>0.875354107648725</v>
      </c>
      <c r="ES155" s="0" t="n">
        <v>0.521246458923513</v>
      </c>
      <c r="ET155" s="0" t="n">
        <v>42</v>
      </c>
      <c r="EU155" s="0" t="n">
        <v>28</v>
      </c>
      <c r="EV155" s="0" t="n">
        <v>3.41076487252125</v>
      </c>
      <c r="EW155" s="0" t="n">
        <v>0.666666666666667</v>
      </c>
      <c r="EX155" s="0" t="n">
        <v>2.95974106155856</v>
      </c>
      <c r="EY155" s="0" t="n">
        <v>2.392</v>
      </c>
      <c r="EZ155" s="0" t="n">
        <v>0.225</v>
      </c>
      <c r="FA155" s="0" t="n">
        <v>1.808</v>
      </c>
      <c r="FB155" s="0" t="n">
        <v>2.109</v>
      </c>
      <c r="FC155" s="0" t="n">
        <v>31</v>
      </c>
      <c r="FD155" s="0" t="n">
        <v>639</v>
      </c>
      <c r="FE155" s="0" t="n">
        <v>0.07981220657277</v>
      </c>
      <c r="FF155" s="0" t="n">
        <v>0.0842</v>
      </c>
      <c r="FG155" s="0" t="n">
        <v>0.3405</v>
      </c>
      <c r="FH155" s="0" t="n">
        <v>2.444</v>
      </c>
      <c r="FI155" s="0" t="n">
        <v>1028</v>
      </c>
      <c r="FJ155" s="0" t="n">
        <v>0.592412451361868</v>
      </c>
      <c r="FK155" s="0" t="n">
        <v>17</v>
      </c>
      <c r="FL155" s="0" t="n">
        <v>60.47</v>
      </c>
      <c r="FM155" s="0" t="n">
        <v>0.5161</v>
      </c>
      <c r="FN155" s="0" t="n">
        <v>0.4839</v>
      </c>
      <c r="FO155" s="0" t="n">
        <v>-0.0372</v>
      </c>
      <c r="FP155" s="0" t="n">
        <v>-0.0478</v>
      </c>
      <c r="FQ155" s="0" t="n">
        <v>-0.2882</v>
      </c>
      <c r="FR155" s="0" t="n">
        <v>39</v>
      </c>
      <c r="FS155" s="0" t="n">
        <v>42</v>
      </c>
      <c r="FT155" s="0" t="n">
        <v>2.47</v>
      </c>
      <c r="FU155" s="0" t="n">
        <v>16.4</v>
      </c>
      <c r="FV155" s="0" t="n">
        <v>5503</v>
      </c>
      <c r="FW155" s="0" t="n">
        <v>1435</v>
      </c>
      <c r="FX155" s="0" t="n">
        <v>0.261</v>
      </c>
      <c r="FY155" s="0" t="n">
        <v>5</v>
      </c>
      <c r="FZ155" s="0" t="n">
        <v>1</v>
      </c>
      <c r="GA155" s="0" t="n">
        <v>-1.74193649230018</v>
      </c>
      <c r="GB155" s="0" t="n">
        <v>18.5</v>
      </c>
      <c r="GC155" s="0" t="n">
        <v>26.5</v>
      </c>
      <c r="GD155" s="0" t="n">
        <v>15.1</v>
      </c>
      <c r="GE155" s="0" t="n">
        <v>522</v>
      </c>
      <c r="GF155" s="0" t="n">
        <v>421</v>
      </c>
      <c r="GG155" s="0" t="n">
        <v>88</v>
      </c>
      <c r="GH155" s="0" t="n">
        <v>37</v>
      </c>
      <c r="GI155" s="0" t="n">
        <v>114</v>
      </c>
      <c r="GJ155" s="0" t="n">
        <v>23</v>
      </c>
      <c r="GK155" s="0" t="n">
        <v>0.169</v>
      </c>
      <c r="GL155" s="0" t="n">
        <v>0.088</v>
      </c>
      <c r="GM155" s="0" t="n">
        <v>0.202</v>
      </c>
      <c r="GN155" s="0" t="n">
        <v>7.1</v>
      </c>
      <c r="GO155" s="0" t="n">
        <v>5.629</v>
      </c>
      <c r="GP155" s="0" t="n">
        <v>4.159</v>
      </c>
      <c r="GQ155" s="0" t="n">
        <v>6.235</v>
      </c>
      <c r="GR155" s="0" t="n">
        <v>0.059</v>
      </c>
      <c r="GS155" s="0" t="n">
        <v>107</v>
      </c>
      <c r="GT155" s="0" t="n">
        <v>1.128</v>
      </c>
      <c r="GU155" s="0" t="n">
        <v>0.131</v>
      </c>
      <c r="GV155" s="0" t="n">
        <v>5.679</v>
      </c>
      <c r="GW155" s="0" t="n">
        <v>12.04</v>
      </c>
      <c r="GX155" s="0" t="n">
        <v>0.472</v>
      </c>
      <c r="GZ155" s="0" t="n">
        <v>12.151</v>
      </c>
      <c r="HA155" s="0" t="n">
        <v>3.32</v>
      </c>
      <c r="HB155" s="0" t="n">
        <v>0.467</v>
      </c>
      <c r="HC155" s="0" t="n">
        <v>0.019</v>
      </c>
      <c r="HE155" s="0" t="n">
        <v>-0.305</v>
      </c>
      <c r="HG155" s="0" t="n">
        <v>160.55</v>
      </c>
      <c r="HH155" s="0" t="n">
        <v>23.44</v>
      </c>
      <c r="HI155" s="0" t="n">
        <v>115</v>
      </c>
      <c r="HJ155" s="0" t="n">
        <v>269</v>
      </c>
      <c r="HK155" s="0" t="s">
        <v>909</v>
      </c>
      <c r="HL155" s="0" t="n">
        <v>0</v>
      </c>
      <c r="HM155" s="0" t="n">
        <v>51</v>
      </c>
      <c r="HN155" s="0" t="n">
        <v>60</v>
      </c>
      <c r="HO155" s="0" t="n">
        <v>-0.075</v>
      </c>
      <c r="HP155" s="0" t="n">
        <v>67</v>
      </c>
      <c r="HQ155" s="0" t="n">
        <v>-0.776</v>
      </c>
      <c r="HR155" s="0" t="s">
        <v>102</v>
      </c>
    </row>
    <row r="156" customFormat="false" ht="15" hidden="false" customHeight="false" outlineLevel="0" collapsed="false">
      <c r="A156" s="0" t="s">
        <v>896</v>
      </c>
      <c r="B156" s="0" t="s">
        <v>897</v>
      </c>
      <c r="C156" s="0" t="s">
        <v>898</v>
      </c>
      <c r="D156" s="0" t="s">
        <v>451</v>
      </c>
      <c r="E156" s="0" t="n">
        <v>27320</v>
      </c>
      <c r="F156" s="0" t="s">
        <v>104</v>
      </c>
      <c r="G156" s="0" t="n">
        <v>165.71</v>
      </c>
      <c r="H156" s="0" t="n">
        <v>32.36</v>
      </c>
      <c r="I156" s="0" t="n">
        <v>127</v>
      </c>
      <c r="J156" s="0" t="n">
        <v>322</v>
      </c>
      <c r="L156" s="0" t="s">
        <v>1789</v>
      </c>
      <c r="O156" s="0" t="n">
        <v>26.5</v>
      </c>
      <c r="U156" s="0" t="n">
        <v>10</v>
      </c>
      <c r="V156" s="0" t="s">
        <v>451</v>
      </c>
      <c r="W156" s="0" t="s">
        <v>901</v>
      </c>
      <c r="X156" s="0" t="s">
        <v>209</v>
      </c>
      <c r="Y156" s="0" t="s">
        <v>1790</v>
      </c>
      <c r="Z156" s="0" t="n">
        <v>27320</v>
      </c>
      <c r="AA156" s="0" t="s">
        <v>1791</v>
      </c>
      <c r="AB156" s="0" t="s">
        <v>904</v>
      </c>
      <c r="AC156" s="0" t="s">
        <v>209</v>
      </c>
      <c r="AD156" s="0" t="s">
        <v>209</v>
      </c>
      <c r="AE156" s="0" t="s">
        <v>209</v>
      </c>
      <c r="AF156" s="0" t="s">
        <v>209</v>
      </c>
      <c r="AG156" s="0" t="s">
        <v>209</v>
      </c>
      <c r="AH156" s="0" t="s">
        <v>905</v>
      </c>
      <c r="AI156" s="0" t="n">
        <v>3</v>
      </c>
      <c r="AJ156" s="0" t="s">
        <v>104</v>
      </c>
      <c r="AK156" s="0" t="n">
        <v>155</v>
      </c>
      <c r="AL156" s="0" t="n">
        <v>52</v>
      </c>
      <c r="AM156" s="0" t="s">
        <v>452</v>
      </c>
      <c r="EC156" s="0" t="s">
        <v>1792</v>
      </c>
      <c r="EG156" s="0" t="n">
        <v>2026</v>
      </c>
      <c r="EH156" s="0" t="n">
        <v>2026</v>
      </c>
      <c r="EI156" s="0" t="n">
        <v>0</v>
      </c>
      <c r="EJ156" s="0" t="n">
        <v>68</v>
      </c>
      <c r="EK156" s="0" t="n">
        <v>220</v>
      </c>
      <c r="EL156" s="0" t="s">
        <v>1793</v>
      </c>
      <c r="EM156" s="0" t="n">
        <v>23</v>
      </c>
      <c r="EN156" s="15" t="b">
        <f aca="false">TRUE()</f>
        <v>1</v>
      </c>
      <c r="EO156" s="0" t="n">
        <v>354</v>
      </c>
      <c r="EP156" s="0" t="n">
        <v>2.95932203389831</v>
      </c>
      <c r="EQ156" s="0" t="n">
        <v>0.172316384180791</v>
      </c>
      <c r="ER156" s="0" t="n">
        <v>1.24293785310735</v>
      </c>
      <c r="ES156" s="0" t="n">
        <v>0.807909604519774</v>
      </c>
      <c r="ET156" s="0" t="n">
        <v>29</v>
      </c>
      <c r="EU156" s="0" t="n">
        <v>16</v>
      </c>
      <c r="EV156" s="0" t="n">
        <v>4.42372881355932</v>
      </c>
      <c r="EW156" s="0" t="n">
        <v>0.551724137931035</v>
      </c>
      <c r="EX156" s="0" t="n">
        <v>2.95623424539257</v>
      </c>
      <c r="EY156" s="0" t="n">
        <v>2.952</v>
      </c>
      <c r="EZ156" s="0" t="n">
        <v>0.1682</v>
      </c>
      <c r="FA156" s="0" t="n">
        <v>2.592</v>
      </c>
      <c r="FB156" s="0" t="n">
        <v>1.833</v>
      </c>
      <c r="FC156" s="0" t="n">
        <v>20</v>
      </c>
      <c r="FD156" s="0" t="n">
        <v>671</v>
      </c>
      <c r="FE156" s="0" t="n">
        <v>0.0342771982116244</v>
      </c>
      <c r="FF156" s="0" t="n">
        <v>0.037</v>
      </c>
      <c r="FG156" s="0" t="n">
        <v>0.2088</v>
      </c>
      <c r="FH156" s="0" t="n">
        <v>2.401</v>
      </c>
      <c r="FI156" s="0" t="n">
        <v>1079</v>
      </c>
      <c r="FJ156" s="0" t="n">
        <v>0.593141797961075</v>
      </c>
      <c r="FK156" s="0" t="n">
        <v>17</v>
      </c>
      <c r="FL156" s="0" t="n">
        <v>63.47</v>
      </c>
      <c r="FM156" s="0" t="n">
        <v>0.59</v>
      </c>
      <c r="FN156" s="0" t="n">
        <v>0.41</v>
      </c>
      <c r="FO156" s="0" t="n">
        <v>0.0157</v>
      </c>
      <c r="FP156" s="0" t="n">
        <v>0.0004</v>
      </c>
      <c r="FQ156" s="0" t="n">
        <v>0.0835</v>
      </c>
      <c r="FR156" s="0" t="n">
        <v>38</v>
      </c>
      <c r="FS156" s="0" t="n">
        <v>59</v>
      </c>
      <c r="FT156" s="0" t="n">
        <v>3.47</v>
      </c>
      <c r="FU156" s="0" t="n">
        <v>23.6</v>
      </c>
      <c r="FV156" s="0" t="n">
        <v>5797</v>
      </c>
      <c r="FW156" s="0" t="n">
        <v>5793</v>
      </c>
      <c r="FX156" s="0" t="n">
        <v>0.999</v>
      </c>
      <c r="FY156" s="0" t="n">
        <v>5</v>
      </c>
      <c r="FZ156" s="0" t="n">
        <v>5</v>
      </c>
      <c r="GA156" s="0" t="n">
        <v>0.00253477555898343</v>
      </c>
      <c r="GB156" s="0" t="n">
        <v>50</v>
      </c>
      <c r="GC156" s="0" t="n">
        <v>70.8</v>
      </c>
      <c r="GD156" s="0" t="n">
        <v>63.2</v>
      </c>
      <c r="GE156" s="0" t="n">
        <v>584</v>
      </c>
      <c r="GF156" s="0" t="n">
        <v>456</v>
      </c>
      <c r="GG156" s="0" t="n">
        <v>4</v>
      </c>
      <c r="GH156" s="0" t="n">
        <v>0</v>
      </c>
      <c r="GI156" s="0" t="n">
        <v>157</v>
      </c>
      <c r="GJ156" s="0" t="n">
        <v>1</v>
      </c>
      <c r="GK156" s="0" t="n">
        <v>0.007</v>
      </c>
      <c r="GL156" s="0" t="n">
        <v>0</v>
      </c>
      <c r="GM156" s="0" t="n">
        <v>0.006</v>
      </c>
      <c r="HF156" s="0" t="s">
        <v>206</v>
      </c>
      <c r="HG156" s="0" t="n">
        <v>165.71</v>
      </c>
      <c r="HH156" s="0" t="n">
        <v>32.36</v>
      </c>
      <c r="HI156" s="0" t="n">
        <v>127</v>
      </c>
      <c r="HJ156" s="0" t="n">
        <v>322</v>
      </c>
      <c r="HK156" s="0" t="s">
        <v>909</v>
      </c>
      <c r="HL156" s="0" t="n">
        <v>0</v>
      </c>
      <c r="HN156" s="0" t="n">
        <v>52</v>
      </c>
    </row>
    <row r="157" customFormat="false" ht="15" hidden="false" customHeight="false" outlineLevel="0" collapsed="false">
      <c r="A157" s="0" t="s">
        <v>896</v>
      </c>
      <c r="B157" s="0" t="s">
        <v>897</v>
      </c>
      <c r="C157" s="0" t="s">
        <v>898</v>
      </c>
      <c r="D157" s="0" t="s">
        <v>453</v>
      </c>
      <c r="E157" s="0" t="n">
        <v>22900</v>
      </c>
      <c r="F157" s="0" t="s">
        <v>172</v>
      </c>
      <c r="G157" s="0" t="n">
        <v>165.87</v>
      </c>
      <c r="H157" s="0" t="n">
        <v>21.76</v>
      </c>
      <c r="I157" s="0" t="n">
        <v>134</v>
      </c>
      <c r="J157" s="0" t="n">
        <v>276</v>
      </c>
      <c r="L157" s="0" t="s">
        <v>1794</v>
      </c>
      <c r="O157" s="0" t="n">
        <v>23.8</v>
      </c>
      <c r="U157" s="0" t="n">
        <v>5</v>
      </c>
      <c r="V157" s="0" t="s">
        <v>453</v>
      </c>
      <c r="W157" s="0" t="s">
        <v>901</v>
      </c>
      <c r="X157" s="0" t="s">
        <v>191</v>
      </c>
      <c r="Y157" s="0" t="s">
        <v>1795</v>
      </c>
      <c r="Z157" s="0" t="n">
        <v>22900</v>
      </c>
      <c r="AA157" s="0" t="s">
        <v>1796</v>
      </c>
      <c r="AB157" s="0" t="s">
        <v>904</v>
      </c>
      <c r="AC157" s="0" t="s">
        <v>191</v>
      </c>
      <c r="AD157" s="0" t="s">
        <v>191</v>
      </c>
      <c r="AE157" s="0" t="s">
        <v>191</v>
      </c>
      <c r="AF157" s="0" t="s">
        <v>191</v>
      </c>
      <c r="AG157" s="0" t="s">
        <v>191</v>
      </c>
      <c r="AH157" s="0" t="s">
        <v>905</v>
      </c>
      <c r="AI157" s="0" t="n">
        <v>1</v>
      </c>
      <c r="AJ157" s="0" t="s">
        <v>172</v>
      </c>
      <c r="AK157" s="0" t="n">
        <v>156</v>
      </c>
      <c r="AL157" s="0" t="n">
        <v>26</v>
      </c>
      <c r="AM157" s="0" t="s">
        <v>454</v>
      </c>
      <c r="AN157" s="0" t="n">
        <v>304</v>
      </c>
      <c r="AO157" s="0" t="n">
        <v>478</v>
      </c>
      <c r="AP157" s="0" t="n">
        <v>3011</v>
      </c>
      <c r="AQ157" s="0" t="n">
        <v>23</v>
      </c>
      <c r="AR157" s="0" t="n">
        <v>11</v>
      </c>
      <c r="AS157" s="0" t="n">
        <v>27</v>
      </c>
      <c r="AT157" s="0" t="n">
        <v>3102</v>
      </c>
      <c r="AU157" s="0" t="n">
        <v>153</v>
      </c>
      <c r="AV157" s="0" t="n">
        <v>-21.9729164071974</v>
      </c>
      <c r="AW157" s="0" t="n">
        <v>54</v>
      </c>
      <c r="AX157" s="0" t="n">
        <v>216</v>
      </c>
      <c r="AY157" s="0" t="n">
        <v>2</v>
      </c>
      <c r="AZ157" s="0" t="n">
        <v>16</v>
      </c>
      <c r="BA157" s="0" t="n">
        <v>4.17317515252313</v>
      </c>
      <c r="BB157" s="0" t="n">
        <v>2</v>
      </c>
      <c r="BC157" s="0" t="n">
        <v>0</v>
      </c>
      <c r="BD157" s="0" t="n">
        <v>0</v>
      </c>
      <c r="BE157" s="0" t="n">
        <v>0</v>
      </c>
      <c r="BF157" s="0" t="n">
        <v>0</v>
      </c>
      <c r="BG157" s="0" t="n">
        <v>0</v>
      </c>
      <c r="BH157" s="0" t="n">
        <v>0</v>
      </c>
      <c r="BI157" s="0" t="n">
        <v>0</v>
      </c>
      <c r="BJ157" s="0" t="n">
        <v>0</v>
      </c>
      <c r="BK157" s="0" t="n">
        <v>0</v>
      </c>
      <c r="BL157" s="0" t="n">
        <v>0</v>
      </c>
      <c r="BM157" s="0" t="n">
        <v>218.04</v>
      </c>
      <c r="BN157" s="0" t="n">
        <v>218.04</v>
      </c>
      <c r="BO157" s="0" t="n">
        <v>16</v>
      </c>
      <c r="BP157" s="0" t="s">
        <v>191</v>
      </c>
      <c r="BQ157" s="0" t="n">
        <v>1</v>
      </c>
      <c r="BR157" s="0" t="n">
        <v>218.04</v>
      </c>
      <c r="BS157" s="0" t="n">
        <v>0</v>
      </c>
      <c r="BT157" s="0" t="n">
        <v>0.1171</v>
      </c>
      <c r="BU157" s="0" t="n">
        <v>0</v>
      </c>
      <c r="BV157" s="0" t="n">
        <v>0</v>
      </c>
      <c r="BW157" s="0" t="n">
        <v>0.1247</v>
      </c>
      <c r="BX157" s="0" t="n">
        <v>0</v>
      </c>
      <c r="BY157" s="0" t="n">
        <v>0</v>
      </c>
      <c r="BZ157" s="0" t="n">
        <v>16</v>
      </c>
      <c r="CA157" s="0" t="n">
        <v>8.71</v>
      </c>
      <c r="CB157" s="0" t="n">
        <v>20.6</v>
      </c>
      <c r="CC157" s="0" t="n">
        <v>11.83</v>
      </c>
      <c r="CD157" s="0" t="n">
        <v>7.7</v>
      </c>
      <c r="CE157" s="0" t="n">
        <v>4</v>
      </c>
      <c r="CF157" s="0" t="n">
        <v>2</v>
      </c>
      <c r="CG157" s="0" t="n">
        <v>16</v>
      </c>
      <c r="CH157" s="0" t="n">
        <v>0.25</v>
      </c>
      <c r="CI157" s="0" t="n">
        <v>0.125</v>
      </c>
      <c r="CJ157" s="0" t="n">
        <v>0.651</v>
      </c>
      <c r="CK157" s="0" t="n">
        <v>0</v>
      </c>
      <c r="CL157" s="0" t="n">
        <v>0</v>
      </c>
      <c r="CM157" s="0" t="n">
        <v>0</v>
      </c>
      <c r="CN157" s="0" t="n">
        <v>0</v>
      </c>
      <c r="CO157" s="0" t="n">
        <v>0</v>
      </c>
      <c r="CP157" s="0" t="n">
        <v>9</v>
      </c>
      <c r="CQ157" s="0" t="n">
        <v>5</v>
      </c>
      <c r="CR157" s="0" t="n">
        <v>2</v>
      </c>
      <c r="CS157" s="0" t="n">
        <v>2</v>
      </c>
      <c r="CT157" s="0" t="n">
        <v>1.29736006065118</v>
      </c>
      <c r="CU157" s="0" t="n">
        <v>9</v>
      </c>
      <c r="CV157" s="0" t="n">
        <v>5</v>
      </c>
      <c r="CW157" s="0" t="n">
        <v>2</v>
      </c>
      <c r="CX157" s="0" t="n">
        <v>2</v>
      </c>
      <c r="CY157" s="0" t="n">
        <v>1.3</v>
      </c>
      <c r="CZ157" s="0" t="n">
        <v>0.7</v>
      </c>
      <c r="DM157" s="0" t="s">
        <v>1797</v>
      </c>
      <c r="DN157" s="0" t="n">
        <v>54</v>
      </c>
      <c r="DO157" s="0" t="n">
        <v>2</v>
      </c>
      <c r="DP157" s="0" t="n">
        <v>3.278</v>
      </c>
      <c r="DQ157" s="0" t="n">
        <v>0.722</v>
      </c>
      <c r="DR157" s="0" t="n">
        <v>27</v>
      </c>
      <c r="DZ157" s="0" t="n">
        <v>964</v>
      </c>
      <c r="EA157" s="0" t="n">
        <v>0.968</v>
      </c>
      <c r="EB157" s="0" t="n">
        <v>16</v>
      </c>
      <c r="EC157" s="0" t="s">
        <v>1798</v>
      </c>
      <c r="ED157" s="0" t="n">
        <v>2023</v>
      </c>
      <c r="EE157" s="0" t="n">
        <v>1</v>
      </c>
      <c r="EF157" s="0" t="n">
        <v>1</v>
      </c>
      <c r="EG157" s="0" t="n">
        <v>2023</v>
      </c>
      <c r="EH157" s="0" t="n">
        <v>2026</v>
      </c>
      <c r="EI157" s="0" t="n">
        <v>4</v>
      </c>
      <c r="EJ157" s="0" t="n">
        <v>70</v>
      </c>
      <c r="EK157" s="0" t="n">
        <v>192</v>
      </c>
      <c r="EL157" s="0" t="s">
        <v>1045</v>
      </c>
      <c r="EM157" s="0" t="n">
        <v>25.1</v>
      </c>
      <c r="EN157" s="15" t="b">
        <f aca="false">FALSE()</f>
        <v>0</v>
      </c>
      <c r="EO157" s="0" t="n">
        <v>391</v>
      </c>
      <c r="EP157" s="0" t="n">
        <v>3.16700767263427</v>
      </c>
      <c r="EQ157" s="0" t="n">
        <v>0.138107416879795</v>
      </c>
      <c r="ER157" s="0" t="n">
        <v>1.15856777493606</v>
      </c>
      <c r="ES157" s="0" t="n">
        <v>0.534526854219949</v>
      </c>
      <c r="ET157" s="0" t="n">
        <v>29</v>
      </c>
      <c r="EU157" s="0" t="n">
        <v>20</v>
      </c>
      <c r="EV157" s="0" t="n">
        <v>4.29923273657289</v>
      </c>
      <c r="EW157" s="0" t="n">
        <v>0.689655172413793</v>
      </c>
      <c r="EX157" s="0" t="n">
        <v>2.93615385596069</v>
      </c>
      <c r="EY157" s="0" t="n">
        <v>3.179</v>
      </c>
      <c r="EZ157" s="0" t="n">
        <v>0.1391</v>
      </c>
      <c r="FA157" s="0" t="n">
        <v>2.49</v>
      </c>
      <c r="FB157" s="0" t="n">
        <v>1.798</v>
      </c>
      <c r="FC157" s="0" t="n">
        <v>18</v>
      </c>
      <c r="FD157" s="0" t="n">
        <v>582</v>
      </c>
      <c r="FE157" s="0" t="n">
        <v>0.0601374570446735</v>
      </c>
      <c r="FF157" s="0" t="n">
        <v>0.0629</v>
      </c>
      <c r="FG157" s="0" t="n">
        <v>0.2718</v>
      </c>
      <c r="FH157" s="0" t="n">
        <v>2.4</v>
      </c>
      <c r="FI157" s="0" t="n">
        <v>996</v>
      </c>
      <c r="FJ157" s="0" t="n">
        <v>0.553212851405623</v>
      </c>
      <c r="FK157" s="0" t="n">
        <v>17</v>
      </c>
      <c r="FL157" s="0" t="n">
        <v>58.59</v>
      </c>
      <c r="FM157" s="0" t="n">
        <v>0.5106</v>
      </c>
      <c r="FN157" s="0" t="n">
        <v>0.4894</v>
      </c>
      <c r="FO157" s="0" t="n">
        <v>-0.061</v>
      </c>
      <c r="FP157" s="0" t="n">
        <v>-0.0262</v>
      </c>
      <c r="FQ157" s="0" t="n">
        <v>-0.0498</v>
      </c>
      <c r="FR157" s="0" t="n">
        <v>39</v>
      </c>
      <c r="FS157" s="0" t="n">
        <v>48</v>
      </c>
      <c r="FT157" s="0" t="n">
        <v>2.82</v>
      </c>
      <c r="FU157" s="0" t="n">
        <v>18.3</v>
      </c>
      <c r="FV157" s="0" t="n">
        <v>5317</v>
      </c>
      <c r="FW157" s="0" t="n">
        <v>3170</v>
      </c>
      <c r="FX157" s="0" t="n">
        <v>0.596</v>
      </c>
      <c r="FY157" s="0" t="n">
        <v>5</v>
      </c>
      <c r="FZ157" s="0" t="n">
        <v>3</v>
      </c>
      <c r="GA157" s="0" t="n">
        <v>0.724248193828235</v>
      </c>
      <c r="GB157" s="0" t="n">
        <v>63.1</v>
      </c>
      <c r="GC157" s="0" t="n">
        <v>47.3</v>
      </c>
      <c r="GD157" s="0" t="n">
        <v>56.6</v>
      </c>
      <c r="GE157" s="0" t="n">
        <v>480</v>
      </c>
      <c r="GF157" s="0" t="n">
        <v>461</v>
      </c>
      <c r="GG157" s="0" t="n">
        <v>50</v>
      </c>
      <c r="GH157" s="0" t="n">
        <v>242</v>
      </c>
      <c r="GI157" s="0" t="n">
        <v>136</v>
      </c>
      <c r="GJ157" s="0" t="n">
        <v>40</v>
      </c>
      <c r="GK157" s="0" t="n">
        <v>0.104</v>
      </c>
      <c r="GL157" s="0" t="n">
        <v>0.525</v>
      </c>
      <c r="GM157" s="0" t="n">
        <v>0.294</v>
      </c>
      <c r="GN157" s="0" t="n">
        <v>13.628</v>
      </c>
      <c r="GO157" s="0" t="n">
        <v>13.628</v>
      </c>
      <c r="GP157" s="0" t="n">
        <v>13.628</v>
      </c>
      <c r="GQ157" s="0" t="n">
        <v>0</v>
      </c>
      <c r="GR157" s="0" t="n">
        <v>3.375</v>
      </c>
      <c r="GS157" s="0" t="n">
        <v>54</v>
      </c>
      <c r="GT157" s="0" t="n">
        <v>4.038</v>
      </c>
      <c r="GU157" s="0" t="n">
        <v>0.226</v>
      </c>
      <c r="GY157" s="0" t="n">
        <v>4</v>
      </c>
      <c r="HC157" s="0" t="n">
        <v>0.037</v>
      </c>
      <c r="HD157" s="0" t="n">
        <v>0.077</v>
      </c>
      <c r="HG157" s="0" t="n">
        <v>165.87</v>
      </c>
      <c r="HH157" s="0" t="n">
        <v>21.76</v>
      </c>
      <c r="HI157" s="0" t="n">
        <v>134</v>
      </c>
      <c r="HJ157" s="0" t="n">
        <v>276</v>
      </c>
      <c r="HK157" s="0" t="s">
        <v>909</v>
      </c>
      <c r="HL157" s="0" t="n">
        <v>0</v>
      </c>
      <c r="HM157" s="0" t="n">
        <v>19</v>
      </c>
      <c r="HN157" s="0" t="n">
        <v>26</v>
      </c>
      <c r="HO157" s="0" t="n">
        <v>0.123</v>
      </c>
      <c r="HP157" s="0" t="n">
        <v>26</v>
      </c>
      <c r="HQ157" s="0" t="n">
        <v>-0.184</v>
      </c>
      <c r="HR157" s="0" t="s">
        <v>102</v>
      </c>
    </row>
    <row r="158" customFormat="false" ht="15" hidden="false" customHeight="false" outlineLevel="0" collapsed="false">
      <c r="A158" s="0" t="s">
        <v>896</v>
      </c>
      <c r="B158" s="0" t="s">
        <v>897</v>
      </c>
      <c r="C158" s="0" t="s">
        <v>898</v>
      </c>
      <c r="D158" s="0" t="s">
        <v>455</v>
      </c>
      <c r="E158" s="0" t="n">
        <v>15561</v>
      </c>
      <c r="F158" s="0" t="s">
        <v>149</v>
      </c>
      <c r="G158" s="0" t="n">
        <v>166.29</v>
      </c>
      <c r="H158" s="0" t="n">
        <v>22.34</v>
      </c>
      <c r="I158" s="0" t="n">
        <v>131</v>
      </c>
      <c r="J158" s="0" t="n">
        <v>228</v>
      </c>
      <c r="L158" s="0" t="s">
        <v>1799</v>
      </c>
      <c r="O158" s="0" t="n">
        <v>63.7</v>
      </c>
      <c r="U158" s="0" t="n">
        <v>11</v>
      </c>
      <c r="V158" s="0" t="s">
        <v>455</v>
      </c>
      <c r="W158" s="0" t="s">
        <v>901</v>
      </c>
      <c r="X158" s="0" t="s">
        <v>972</v>
      </c>
      <c r="Y158" s="0" t="s">
        <v>1800</v>
      </c>
      <c r="Z158" s="0" t="n">
        <v>15561</v>
      </c>
      <c r="AA158" s="0" t="s">
        <v>1801</v>
      </c>
      <c r="AB158" s="0" t="s">
        <v>904</v>
      </c>
      <c r="AC158" s="0" t="s">
        <v>135</v>
      </c>
      <c r="AD158" s="0" t="s">
        <v>135</v>
      </c>
      <c r="AE158" s="0" t="s">
        <v>135</v>
      </c>
      <c r="AF158" s="0" t="s">
        <v>135</v>
      </c>
      <c r="AG158" s="0" t="s">
        <v>135</v>
      </c>
      <c r="AH158" s="0" t="s">
        <v>905</v>
      </c>
      <c r="AI158" s="0" t="n">
        <v>1</v>
      </c>
      <c r="AJ158" s="0" t="s">
        <v>149</v>
      </c>
      <c r="AK158" s="0" t="n">
        <v>157</v>
      </c>
      <c r="AL158" s="0" t="n">
        <v>19</v>
      </c>
      <c r="AM158" s="0" t="s">
        <v>456</v>
      </c>
      <c r="AN158" s="0" t="n">
        <v>0</v>
      </c>
      <c r="AO158" s="0" t="n">
        <v>0</v>
      </c>
      <c r="AP158" s="0" t="n">
        <v>0</v>
      </c>
      <c r="AQ158" s="0" t="n">
        <v>0</v>
      </c>
      <c r="AR158" s="0" t="n">
        <v>0</v>
      </c>
      <c r="AS158" s="0" t="n">
        <v>0</v>
      </c>
      <c r="AT158" s="0" t="n">
        <v>0</v>
      </c>
      <c r="AU158" s="0" t="n">
        <v>0</v>
      </c>
      <c r="AV158" s="0" t="n">
        <v>0</v>
      </c>
      <c r="AW158" s="0" t="n">
        <v>0</v>
      </c>
      <c r="AX158" s="0" t="n">
        <v>0</v>
      </c>
      <c r="AY158" s="0" t="n">
        <v>0</v>
      </c>
      <c r="AZ158" s="0" t="n">
        <v>0</v>
      </c>
      <c r="BA158" s="0" t="n">
        <v>0</v>
      </c>
      <c r="BB158" s="0" t="n">
        <v>0</v>
      </c>
      <c r="BC158" s="0" t="n">
        <v>60</v>
      </c>
      <c r="BD158" s="0" t="n">
        <v>87</v>
      </c>
      <c r="BE158" s="0" t="n">
        <v>768</v>
      </c>
      <c r="BF158" s="0" t="n">
        <v>7</v>
      </c>
      <c r="BG158" s="0" t="n">
        <v>710</v>
      </c>
      <c r="BH158" s="0" t="n">
        <v>335</v>
      </c>
      <c r="BI158" s="0" t="n">
        <v>42</v>
      </c>
      <c r="BJ158" s="0" t="n">
        <v>37.6889966467623</v>
      </c>
      <c r="BK158" s="0" t="n">
        <v>0</v>
      </c>
      <c r="BL158" s="0" t="n">
        <v>0</v>
      </c>
      <c r="BM158" s="0" t="n">
        <v>118.8</v>
      </c>
      <c r="BN158" s="0" t="n">
        <v>178.8</v>
      </c>
      <c r="BO158" s="0" t="n">
        <v>17</v>
      </c>
      <c r="BP158" s="0" t="s">
        <v>135</v>
      </c>
      <c r="BQ158" s="0" t="n">
        <v>1</v>
      </c>
      <c r="BR158" s="0" t="n">
        <v>148.8</v>
      </c>
      <c r="BS158" s="0" t="n">
        <v>0.1805</v>
      </c>
      <c r="BT158" s="0" t="n">
        <v>0</v>
      </c>
      <c r="BU158" s="0" t="n">
        <v>0.1587</v>
      </c>
      <c r="BV158" s="0" t="n">
        <v>0.1805</v>
      </c>
      <c r="BW158" s="0" t="n">
        <v>0</v>
      </c>
      <c r="BX158" s="0" t="n">
        <v>0.1587</v>
      </c>
      <c r="BY158" s="0" t="n">
        <v>0.3818</v>
      </c>
      <c r="BZ158" s="0" t="n">
        <v>17</v>
      </c>
      <c r="CA158" s="0" t="n">
        <v>6.6</v>
      </c>
      <c r="CB158" s="0" t="n">
        <v>14.86</v>
      </c>
      <c r="CC158" s="0" t="n">
        <v>9.1</v>
      </c>
      <c r="CD158" s="0" t="n">
        <v>7.28</v>
      </c>
      <c r="CE158" s="0" t="n">
        <v>2</v>
      </c>
      <c r="CF158" s="0" t="n">
        <v>1</v>
      </c>
      <c r="CG158" s="0" t="n">
        <v>17</v>
      </c>
      <c r="CH158" s="0" t="n">
        <v>0.118</v>
      </c>
      <c r="CI158" s="0" t="n">
        <v>0.059</v>
      </c>
      <c r="CJ158" s="0" t="n">
        <v>0.8</v>
      </c>
      <c r="CK158" s="0" t="n">
        <v>22</v>
      </c>
      <c r="CL158" s="0" t="n">
        <v>10</v>
      </c>
      <c r="CM158" s="0" t="n">
        <v>6</v>
      </c>
      <c r="CN158" s="0" t="n">
        <v>7</v>
      </c>
      <c r="CO158" s="0" t="n">
        <v>6.94968413816847</v>
      </c>
      <c r="CP158" s="0" t="n">
        <v>0</v>
      </c>
      <c r="CQ158" s="0" t="n">
        <v>0</v>
      </c>
      <c r="CR158" s="0" t="n">
        <v>0</v>
      </c>
      <c r="CS158" s="0" t="n">
        <v>0</v>
      </c>
      <c r="CT158" s="0" t="n">
        <v>0</v>
      </c>
      <c r="CU158" s="0" t="n">
        <v>22</v>
      </c>
      <c r="CV158" s="0" t="n">
        <v>10</v>
      </c>
      <c r="CW158" s="0" t="n">
        <v>6</v>
      </c>
      <c r="CX158" s="0" t="n">
        <v>7</v>
      </c>
      <c r="CY158" s="0" t="n">
        <v>6.95</v>
      </c>
      <c r="CZ158" s="0" t="n">
        <v>0.05</v>
      </c>
      <c r="DA158" s="0" t="n">
        <v>3.01504326959347</v>
      </c>
      <c r="DB158" s="0" t="n">
        <v>6.01625</v>
      </c>
      <c r="DC158" s="0" t="n">
        <v>7.97574712643678</v>
      </c>
      <c r="DD158" s="0" t="n">
        <v>15.7582295297898</v>
      </c>
      <c r="DE158" s="0" t="n">
        <v>0.324564541084164</v>
      </c>
      <c r="DF158" s="0" t="n">
        <v>68.9655172413793</v>
      </c>
      <c r="DM158" s="0" t="s">
        <v>1802</v>
      </c>
      <c r="DS158" s="0" t="n">
        <v>87</v>
      </c>
      <c r="DT158" s="0" t="n">
        <v>1</v>
      </c>
      <c r="DU158" s="0" t="n">
        <v>3</v>
      </c>
      <c r="DV158" s="0" t="n">
        <v>7.217</v>
      </c>
      <c r="DW158" s="0" t="n">
        <v>5.583</v>
      </c>
      <c r="DX158" s="0" t="n">
        <v>8</v>
      </c>
      <c r="DY158" s="0" t="n">
        <v>0.0345</v>
      </c>
      <c r="DZ158" s="0" t="n">
        <v>869</v>
      </c>
      <c r="EA158" s="0" t="n">
        <v>0.794</v>
      </c>
      <c r="EB158" s="0" t="n">
        <v>17</v>
      </c>
      <c r="EC158" s="0" t="s">
        <v>1803</v>
      </c>
      <c r="ED158" s="0" t="n">
        <v>2016</v>
      </c>
      <c r="EE158" s="0" t="n">
        <v>2</v>
      </c>
      <c r="EF158" s="0" t="n">
        <v>35</v>
      </c>
      <c r="EG158" s="0" t="n">
        <v>2016</v>
      </c>
      <c r="EH158" s="0" t="n">
        <v>2026</v>
      </c>
      <c r="EI158" s="0" t="n">
        <v>11</v>
      </c>
      <c r="EJ158" s="0" t="n">
        <v>77</v>
      </c>
      <c r="EK158" s="0" t="n">
        <v>249</v>
      </c>
      <c r="EL158" s="0" t="s">
        <v>1804</v>
      </c>
      <c r="EM158" s="0" t="n">
        <v>31.7</v>
      </c>
      <c r="EN158" s="15" t="b">
        <f aca="false">FALSE()</f>
        <v>0</v>
      </c>
      <c r="EO158" s="0" t="n">
        <v>371</v>
      </c>
      <c r="EP158" s="0" t="n">
        <v>2.77951482479784</v>
      </c>
      <c r="EQ158" s="0" t="n">
        <v>0.194070080862534</v>
      </c>
      <c r="ER158" s="0" t="n">
        <v>1.19676549865229</v>
      </c>
      <c r="ES158" s="0" t="n">
        <v>1.20485175202156</v>
      </c>
      <c r="ET158" s="0" t="n">
        <v>33</v>
      </c>
      <c r="EU158" s="0" t="n">
        <v>19</v>
      </c>
      <c r="EV158" s="0" t="n">
        <v>4.63072776280323</v>
      </c>
      <c r="EW158" s="0" t="n">
        <v>0.575757575757576</v>
      </c>
      <c r="EX158" s="0" t="n">
        <v>2.9254952414656</v>
      </c>
      <c r="EY158" s="0" t="n">
        <v>2.802</v>
      </c>
      <c r="EZ158" s="0" t="n">
        <v>0.1883</v>
      </c>
      <c r="FA158" s="0" t="n">
        <v>2.561</v>
      </c>
      <c r="FB158" s="0" t="n">
        <v>1.874</v>
      </c>
      <c r="FC158" s="0" t="n">
        <v>33</v>
      </c>
      <c r="FD158" s="0" t="n">
        <v>613</v>
      </c>
      <c r="FE158" s="0" t="n">
        <v>0.0783034257748776</v>
      </c>
      <c r="FF158" s="0" t="n">
        <v>0.0789</v>
      </c>
      <c r="FG158" s="0" t="n">
        <v>0.261</v>
      </c>
      <c r="FH158" s="0" t="n">
        <v>2.406</v>
      </c>
      <c r="FI158" s="0" t="n">
        <v>1017</v>
      </c>
      <c r="FJ158" s="0" t="n">
        <v>0.541789577187807</v>
      </c>
      <c r="FK158" s="0" t="n">
        <v>17</v>
      </c>
      <c r="FL158" s="0" t="n">
        <v>59.82</v>
      </c>
      <c r="FM158" s="0" t="n">
        <v>0.5691</v>
      </c>
      <c r="FN158" s="0" t="n">
        <v>0.4309</v>
      </c>
      <c r="FO158" s="0" t="n">
        <v>0.0242</v>
      </c>
      <c r="FP158" s="0" t="n">
        <v>0.0077</v>
      </c>
      <c r="FQ158" s="0" t="n">
        <v>0.2873</v>
      </c>
      <c r="FR158" s="0" t="n">
        <v>38</v>
      </c>
      <c r="FS158" s="0" t="n">
        <v>64</v>
      </c>
      <c r="FT158" s="0" t="n">
        <v>3.76</v>
      </c>
      <c r="FU158" s="0" t="n">
        <v>28.8</v>
      </c>
      <c r="FV158" s="0" t="n">
        <v>5553</v>
      </c>
      <c r="FW158" s="0" t="n">
        <v>2959</v>
      </c>
      <c r="FX158" s="0" t="n">
        <v>0.533</v>
      </c>
      <c r="FY158" s="0" t="n">
        <v>5</v>
      </c>
      <c r="FZ158" s="0" t="n">
        <v>3</v>
      </c>
      <c r="GA158" s="0" t="n">
        <v>-0.369404903105602</v>
      </c>
      <c r="GB158" s="0" t="n">
        <v>43.3</v>
      </c>
      <c r="GC158" s="0" t="n">
        <v>43.5</v>
      </c>
      <c r="GD158" s="0" t="n">
        <v>41.6</v>
      </c>
      <c r="GE158" s="0" t="n">
        <v>482</v>
      </c>
      <c r="GF158" s="0" t="n">
        <v>494</v>
      </c>
      <c r="GG158" s="0" t="n">
        <v>128</v>
      </c>
      <c r="GH158" s="0" t="n">
        <v>10</v>
      </c>
      <c r="GI158" s="0" t="n">
        <v>154</v>
      </c>
      <c r="GJ158" s="0" t="n">
        <v>17</v>
      </c>
      <c r="GK158" s="0" t="n">
        <v>0.266</v>
      </c>
      <c r="GL158" s="0" t="n">
        <v>0.02</v>
      </c>
      <c r="GM158" s="0" t="n">
        <v>0.11</v>
      </c>
      <c r="GN158" s="0" t="n">
        <v>10.518</v>
      </c>
      <c r="GO158" s="0" t="n">
        <v>8.753</v>
      </c>
      <c r="GP158" s="0" t="n">
        <v>6.988</v>
      </c>
      <c r="GQ158" s="0" t="n">
        <v>5.118</v>
      </c>
      <c r="GR158" s="0" t="n">
        <v>0</v>
      </c>
      <c r="GS158" s="0" t="n">
        <v>87</v>
      </c>
      <c r="GT158" s="0" t="n">
        <v>2.055</v>
      </c>
      <c r="GU158" s="0" t="n">
        <v>0.206</v>
      </c>
      <c r="GV158" s="0" t="n">
        <v>8.828</v>
      </c>
      <c r="GW158" s="0" t="n">
        <v>12.8</v>
      </c>
      <c r="GX158" s="0" t="n">
        <v>0.69</v>
      </c>
      <c r="GZ158" s="0" t="n">
        <v>8.161</v>
      </c>
      <c r="HA158" s="0" t="n">
        <v>5.583</v>
      </c>
      <c r="HB158" s="0" t="n">
        <v>1.082</v>
      </c>
      <c r="HC158" s="0" t="n">
        <v>0.08</v>
      </c>
      <c r="HE158" s="0" t="n">
        <v>0.433</v>
      </c>
      <c r="HG158" s="0" t="n">
        <v>166.29</v>
      </c>
      <c r="HH158" s="0" t="n">
        <v>22.34</v>
      </c>
      <c r="HI158" s="0" t="n">
        <v>131</v>
      </c>
      <c r="HJ158" s="0" t="n">
        <v>228</v>
      </c>
      <c r="HK158" s="0" t="s">
        <v>909</v>
      </c>
      <c r="HL158" s="0" t="n">
        <v>0</v>
      </c>
      <c r="HM158" s="0" t="n">
        <v>9</v>
      </c>
      <c r="HN158" s="0" t="n">
        <v>19</v>
      </c>
      <c r="HO158" s="0" t="n">
        <v>0.314</v>
      </c>
      <c r="HP158" s="0" t="n">
        <v>13</v>
      </c>
      <c r="HQ158" s="0" t="n">
        <v>0.138</v>
      </c>
      <c r="HR158" s="0" t="s">
        <v>102</v>
      </c>
    </row>
    <row r="159" customFormat="false" ht="15" hidden="false" customHeight="false" outlineLevel="0" collapsed="false">
      <c r="A159" s="0" t="s">
        <v>896</v>
      </c>
      <c r="B159" s="0" t="s">
        <v>897</v>
      </c>
      <c r="C159" s="0" t="s">
        <v>898</v>
      </c>
      <c r="D159" s="0" t="s">
        <v>457</v>
      </c>
      <c r="E159" s="0" t="n">
        <v>28127</v>
      </c>
      <c r="F159" s="0" t="s">
        <v>99</v>
      </c>
      <c r="G159" s="0" t="n">
        <v>167.8</v>
      </c>
      <c r="H159" s="0" t="n">
        <v>31.69</v>
      </c>
      <c r="I159" s="0" t="n">
        <v>133</v>
      </c>
      <c r="J159" s="0" t="n">
        <v>301</v>
      </c>
      <c r="L159" s="0" t="s">
        <v>1805</v>
      </c>
      <c r="O159" s="0" t="n">
        <v>29.3</v>
      </c>
      <c r="U159" s="0" t="n">
        <v>13</v>
      </c>
      <c r="V159" s="0" t="s">
        <v>1806</v>
      </c>
      <c r="W159" s="0" t="s">
        <v>901</v>
      </c>
      <c r="X159" s="0" t="s">
        <v>186</v>
      </c>
      <c r="Y159" s="0" t="s">
        <v>1807</v>
      </c>
      <c r="Z159" s="0" t="n">
        <v>28127</v>
      </c>
      <c r="AA159" s="0" t="s">
        <v>1808</v>
      </c>
      <c r="AB159" s="0" t="s">
        <v>904</v>
      </c>
      <c r="AC159" s="0" t="s">
        <v>186</v>
      </c>
      <c r="AD159" s="0" t="s">
        <v>186</v>
      </c>
      <c r="AE159" s="0" t="s">
        <v>186</v>
      </c>
      <c r="AF159" s="0" t="s">
        <v>186</v>
      </c>
      <c r="AG159" s="0" t="s">
        <v>186</v>
      </c>
      <c r="AH159" s="0" t="s">
        <v>905</v>
      </c>
      <c r="AI159" s="0" t="n">
        <v>3</v>
      </c>
      <c r="AJ159" s="0" t="s">
        <v>99</v>
      </c>
      <c r="AK159" s="0" t="n">
        <v>158</v>
      </c>
      <c r="AL159" s="0" t="n">
        <v>61</v>
      </c>
      <c r="AM159" s="0" t="s">
        <v>458</v>
      </c>
      <c r="EC159" s="0" t="s">
        <v>1809</v>
      </c>
      <c r="EG159" s="0" t="n">
        <v>2026</v>
      </c>
      <c r="EH159" s="0" t="n">
        <v>2026</v>
      </c>
      <c r="EI159" s="0" t="n">
        <v>0</v>
      </c>
      <c r="EJ159" s="0" t="n">
        <v>72</v>
      </c>
      <c r="EK159" s="0" t="n">
        <v>199</v>
      </c>
      <c r="EL159" s="0" t="s">
        <v>1810</v>
      </c>
      <c r="EM159" s="0" t="n">
        <v>22.7</v>
      </c>
      <c r="EN159" s="15" t="b">
        <f aca="false">TRUE()</f>
        <v>1</v>
      </c>
      <c r="EO159" s="0" t="n">
        <v>334</v>
      </c>
      <c r="EP159" s="0" t="n">
        <v>2.84431137724551</v>
      </c>
      <c r="EQ159" s="0" t="n">
        <v>0.182634730538922</v>
      </c>
      <c r="ER159" s="0" t="n">
        <v>1.19161676646707</v>
      </c>
      <c r="ES159" s="0" t="n">
        <v>0.940119760479042</v>
      </c>
      <c r="ET159" s="0" t="n">
        <v>23</v>
      </c>
      <c r="EU159" s="0" t="n">
        <v>17</v>
      </c>
      <c r="EV159" s="0" t="n">
        <v>4.44011976047904</v>
      </c>
      <c r="EW159" s="0" t="n">
        <v>0.739130434782609</v>
      </c>
      <c r="EX159" s="0" t="n">
        <v>2.90111469172123</v>
      </c>
      <c r="EY159" s="0" t="n">
        <v>2.892</v>
      </c>
      <c r="EZ159" s="0" t="n">
        <v>0.1813</v>
      </c>
      <c r="FA159" s="0" t="n">
        <v>2.899</v>
      </c>
      <c r="FB159" s="0" t="n">
        <v>1.697</v>
      </c>
      <c r="FC159" s="0" t="n">
        <v>18</v>
      </c>
      <c r="FD159" s="0" t="n">
        <v>608</v>
      </c>
      <c r="FE159" s="0" t="n">
        <v>0.0986842105263158</v>
      </c>
      <c r="FF159" s="0" t="n">
        <v>0.0989</v>
      </c>
      <c r="FG159" s="0" t="n">
        <v>0.3117</v>
      </c>
      <c r="FH159" s="0" t="n">
        <v>2.423</v>
      </c>
      <c r="FI159" s="0" t="n">
        <v>1009</v>
      </c>
      <c r="FJ159" s="0" t="n">
        <v>0.551040634291378</v>
      </c>
      <c r="FK159" s="0" t="n">
        <v>17</v>
      </c>
      <c r="FL159" s="0" t="n">
        <v>59.35</v>
      </c>
      <c r="FM159" s="0" t="n">
        <v>0.4319</v>
      </c>
      <c r="FN159" s="0" t="n">
        <v>0.5681</v>
      </c>
      <c r="FO159" s="0" t="n">
        <v>-0.0877</v>
      </c>
      <c r="FP159" s="0" t="n">
        <v>-0.061</v>
      </c>
      <c r="FQ159" s="0" t="n">
        <v>-0.1799</v>
      </c>
      <c r="FR159" s="0" t="n">
        <v>38</v>
      </c>
      <c r="FS159" s="0" t="n">
        <v>42</v>
      </c>
      <c r="FT159" s="0" t="n">
        <v>2.47</v>
      </c>
      <c r="FU159" s="0" t="n">
        <v>17.6</v>
      </c>
      <c r="FV159" s="0" t="n">
        <v>5302</v>
      </c>
      <c r="FW159" s="0" t="n">
        <v>4286</v>
      </c>
      <c r="FX159" s="0" t="n">
        <v>0.808</v>
      </c>
      <c r="FY159" s="0" t="n">
        <v>5</v>
      </c>
      <c r="FZ159" s="0" t="n">
        <v>3</v>
      </c>
      <c r="GA159" s="0" t="n">
        <v>0.350287370649638</v>
      </c>
      <c r="GB159" s="0" t="n">
        <v>56.3</v>
      </c>
      <c r="GC159" s="0" t="n">
        <v>25.8</v>
      </c>
      <c r="GD159" s="0" t="n">
        <v>38.6</v>
      </c>
      <c r="GE159" s="0" t="n">
        <v>472</v>
      </c>
      <c r="GF159" s="0" t="n">
        <v>456</v>
      </c>
      <c r="GG159" s="0" t="n">
        <v>76</v>
      </c>
      <c r="GH159" s="0" t="n">
        <v>117</v>
      </c>
      <c r="GI159" s="0" t="n">
        <v>116</v>
      </c>
      <c r="GJ159" s="0" t="n">
        <v>27</v>
      </c>
      <c r="GK159" s="0" t="n">
        <v>0.161</v>
      </c>
      <c r="GL159" s="0" t="n">
        <v>0.257</v>
      </c>
      <c r="GM159" s="0" t="n">
        <v>0.233</v>
      </c>
      <c r="HF159" s="0" t="s">
        <v>206</v>
      </c>
      <c r="HG159" s="0" t="n">
        <v>167.8</v>
      </c>
      <c r="HH159" s="0" t="n">
        <v>31.69</v>
      </c>
      <c r="HI159" s="0" t="n">
        <v>133</v>
      </c>
      <c r="HJ159" s="0" t="n">
        <v>301</v>
      </c>
      <c r="HK159" s="0" t="s">
        <v>909</v>
      </c>
      <c r="HL159" s="0" t="n">
        <v>0</v>
      </c>
      <c r="HN159" s="0" t="n">
        <v>61</v>
      </c>
    </row>
    <row r="160" customFormat="false" ht="15" hidden="false" customHeight="false" outlineLevel="0" collapsed="false">
      <c r="A160" s="0" t="s">
        <v>896</v>
      </c>
      <c r="B160" s="0" t="s">
        <v>897</v>
      </c>
      <c r="C160" s="0" t="s">
        <v>898</v>
      </c>
      <c r="D160" s="0" t="s">
        <v>459</v>
      </c>
      <c r="E160" s="0" t="n">
        <v>22908</v>
      </c>
      <c r="F160" s="0" t="s">
        <v>104</v>
      </c>
      <c r="G160" s="0" t="n">
        <v>168.33</v>
      </c>
      <c r="H160" s="0" t="n">
        <v>22.85</v>
      </c>
      <c r="I160" s="0" t="n">
        <v>132</v>
      </c>
      <c r="J160" s="0" t="n">
        <v>234</v>
      </c>
      <c r="L160" s="0" t="s">
        <v>1811</v>
      </c>
      <c r="O160" s="0" t="n">
        <v>25.9</v>
      </c>
      <c r="U160" s="0" t="n">
        <v>10</v>
      </c>
      <c r="V160" s="0" t="s">
        <v>459</v>
      </c>
      <c r="W160" s="0" t="s">
        <v>901</v>
      </c>
      <c r="X160" s="0" t="s">
        <v>136</v>
      </c>
      <c r="Y160" s="0" t="s">
        <v>1812</v>
      </c>
      <c r="Z160" s="0" t="n">
        <v>22908</v>
      </c>
      <c r="AA160" s="0" t="s">
        <v>1813</v>
      </c>
      <c r="AB160" s="0" t="s">
        <v>904</v>
      </c>
      <c r="AC160" s="0" t="s">
        <v>136</v>
      </c>
      <c r="AD160" s="0" t="s">
        <v>136</v>
      </c>
      <c r="AE160" s="0" t="s">
        <v>136</v>
      </c>
      <c r="AF160" s="0" t="s">
        <v>136</v>
      </c>
      <c r="AG160" s="0" t="s">
        <v>136</v>
      </c>
      <c r="AH160" s="0" t="s">
        <v>905</v>
      </c>
      <c r="AI160" s="0" t="n">
        <v>2</v>
      </c>
      <c r="AJ160" s="0" t="s">
        <v>281</v>
      </c>
      <c r="AK160" s="0" t="n">
        <v>159</v>
      </c>
      <c r="AL160" s="0" t="n">
        <v>53</v>
      </c>
      <c r="AM160" s="0" t="s">
        <v>460</v>
      </c>
      <c r="AN160" s="0" t="n">
        <v>0</v>
      </c>
      <c r="AO160" s="0" t="n">
        <v>0</v>
      </c>
      <c r="AP160" s="0" t="n">
        <v>0</v>
      </c>
      <c r="AQ160" s="0" t="n">
        <v>0</v>
      </c>
      <c r="AR160" s="0" t="n">
        <v>0</v>
      </c>
      <c r="AS160" s="0" t="n">
        <v>0</v>
      </c>
      <c r="AT160" s="0" t="n">
        <v>0</v>
      </c>
      <c r="AU160" s="0" t="n">
        <v>0</v>
      </c>
      <c r="AV160" s="0" t="n">
        <v>0</v>
      </c>
      <c r="AW160" s="0" t="n">
        <v>63</v>
      </c>
      <c r="AX160" s="0" t="n">
        <v>356</v>
      </c>
      <c r="AY160" s="0" t="n">
        <v>2</v>
      </c>
      <c r="AZ160" s="0" t="n">
        <v>18</v>
      </c>
      <c r="BA160" s="0" t="n">
        <v>7.24921927263672</v>
      </c>
      <c r="BB160" s="0" t="n">
        <v>0</v>
      </c>
      <c r="BC160" s="0" t="n">
        <v>3</v>
      </c>
      <c r="BD160" s="0" t="n">
        <v>4</v>
      </c>
      <c r="BE160" s="0" t="n">
        <v>32</v>
      </c>
      <c r="BF160" s="0" t="n">
        <v>0</v>
      </c>
      <c r="BG160" s="0" t="n">
        <v>-6</v>
      </c>
      <c r="BH160" s="0" t="n">
        <v>39</v>
      </c>
      <c r="BI160" s="0" t="n">
        <v>1</v>
      </c>
      <c r="BJ160" s="0" t="n">
        <v>-0.737251585582271</v>
      </c>
      <c r="BK160" s="0" t="n">
        <v>0</v>
      </c>
      <c r="BL160" s="0" t="n">
        <v>0</v>
      </c>
      <c r="BM160" s="0" t="n">
        <v>50.8</v>
      </c>
      <c r="BN160" s="0" t="n">
        <v>53.8</v>
      </c>
      <c r="BO160" s="0" t="n">
        <v>15</v>
      </c>
      <c r="BP160" s="0" t="s">
        <v>136</v>
      </c>
      <c r="BQ160" s="0" t="n">
        <v>2</v>
      </c>
      <c r="BR160" s="0" t="n">
        <v>52.3</v>
      </c>
      <c r="BS160" s="0" t="n">
        <v>0.004</v>
      </c>
      <c r="BT160" s="0" t="n">
        <v>0.0651</v>
      </c>
      <c r="BU160" s="0" t="n">
        <v>-0.0007</v>
      </c>
      <c r="BV160" s="0" t="n">
        <v>0.0134</v>
      </c>
      <c r="BW160" s="0" t="n">
        <v>0.1903</v>
      </c>
      <c r="BX160" s="0" t="n">
        <v>-0.0022</v>
      </c>
      <c r="BY160" s="0" t="n">
        <v>0.0186</v>
      </c>
      <c r="BZ160" s="0" t="n">
        <v>11</v>
      </c>
      <c r="CA160" s="0" t="n">
        <v>0.7</v>
      </c>
      <c r="CB160" s="0" t="n">
        <v>9.84</v>
      </c>
      <c r="CC160" s="0" t="n">
        <v>1.9</v>
      </c>
      <c r="CD160" s="0" t="n">
        <v>5.35</v>
      </c>
      <c r="CE160" s="0" t="n">
        <v>1</v>
      </c>
      <c r="CF160" s="0" t="n">
        <v>8</v>
      </c>
      <c r="CG160" s="0" t="n">
        <v>13</v>
      </c>
      <c r="CH160" s="0" t="n">
        <v>0.077</v>
      </c>
      <c r="CI160" s="0" t="n">
        <v>0.615</v>
      </c>
      <c r="CJ160" s="0" t="n">
        <v>2.817</v>
      </c>
      <c r="CK160" s="0" t="n">
        <v>1</v>
      </c>
      <c r="CL160" s="0" t="n">
        <v>0</v>
      </c>
      <c r="CM160" s="0" t="n">
        <v>0</v>
      </c>
      <c r="CN160" s="0" t="n">
        <v>0</v>
      </c>
      <c r="CO160" s="0" t="n">
        <v>0.175338963418263</v>
      </c>
      <c r="CP160" s="0" t="n">
        <v>18</v>
      </c>
      <c r="CQ160" s="0" t="n">
        <v>9</v>
      </c>
      <c r="CR160" s="0" t="n">
        <v>6</v>
      </c>
      <c r="CS160" s="0" t="n">
        <v>2</v>
      </c>
      <c r="CT160" s="0" t="n">
        <v>3.73922620668534</v>
      </c>
      <c r="CU160" s="0" t="n">
        <v>19</v>
      </c>
      <c r="CV160" s="0" t="n">
        <v>9</v>
      </c>
      <c r="CW160" s="0" t="n">
        <v>6</v>
      </c>
      <c r="CX160" s="0" t="n">
        <v>2</v>
      </c>
      <c r="CY160" s="0" t="n">
        <v>3.91</v>
      </c>
      <c r="CZ160" s="0" t="n">
        <v>-1.91</v>
      </c>
      <c r="DM160" s="0" t="s">
        <v>1814</v>
      </c>
      <c r="DN160" s="0" t="n">
        <v>63</v>
      </c>
      <c r="DO160" s="0" t="n">
        <v>10</v>
      </c>
      <c r="DP160" s="0" t="n">
        <v>2.984</v>
      </c>
      <c r="DQ160" s="0" t="n">
        <v>2.667</v>
      </c>
      <c r="DR160" s="0" t="n">
        <v>6.3</v>
      </c>
      <c r="DS160" s="0" t="n">
        <v>4</v>
      </c>
      <c r="DT160" s="0" t="n">
        <v>1</v>
      </c>
      <c r="DU160" s="0" t="n">
        <v>0</v>
      </c>
      <c r="DZ160" s="0" t="n">
        <v>139</v>
      </c>
      <c r="EA160" s="0" t="n">
        <v>0.126</v>
      </c>
      <c r="EB160" s="0" t="n">
        <v>17</v>
      </c>
      <c r="EC160" s="0" t="s">
        <v>1140</v>
      </c>
      <c r="ED160" s="0" t="n">
        <v>2023</v>
      </c>
      <c r="EE160" s="0" t="n">
        <v>3</v>
      </c>
      <c r="EF160" s="0" t="n">
        <v>88</v>
      </c>
      <c r="EG160" s="0" t="n">
        <v>2023</v>
      </c>
      <c r="EH160" s="0" t="n">
        <v>2026</v>
      </c>
      <c r="EI160" s="0" t="n">
        <v>4</v>
      </c>
      <c r="EJ160" s="0" t="n">
        <v>71</v>
      </c>
      <c r="EK160" s="0" t="n">
        <v>215</v>
      </c>
      <c r="EL160" s="0" t="s">
        <v>1815</v>
      </c>
      <c r="EM160" s="0" t="n">
        <v>24</v>
      </c>
      <c r="EN160" s="15" t="b">
        <f aca="false">FALSE()</f>
        <v>0</v>
      </c>
      <c r="EO160" s="0" t="n">
        <v>364</v>
      </c>
      <c r="EP160" s="0" t="n">
        <v>2.7760989010989</v>
      </c>
      <c r="EQ160" s="0" t="n">
        <v>0.222527472527473</v>
      </c>
      <c r="ER160" s="0" t="n">
        <v>1.3489010989011</v>
      </c>
      <c r="ES160" s="0" t="n">
        <v>0.862637362637363</v>
      </c>
      <c r="ET160" s="0" t="n">
        <v>15</v>
      </c>
      <c r="EU160" s="0" t="n">
        <v>7</v>
      </c>
      <c r="EV160" s="0" t="n">
        <v>4.37637362637363</v>
      </c>
      <c r="EW160" s="0" t="n">
        <v>0.466666666666667</v>
      </c>
      <c r="EX160" s="0" t="n">
        <v>2.97533830221885</v>
      </c>
      <c r="EY160" s="0" t="n">
        <v>2.749</v>
      </c>
      <c r="EZ160" s="0" t="n">
        <v>0.2192</v>
      </c>
      <c r="FA160" s="0" t="n">
        <v>2.6</v>
      </c>
      <c r="FB160" s="0" t="n">
        <v>1.559</v>
      </c>
      <c r="FC160" s="0" t="n">
        <v>33</v>
      </c>
      <c r="FD160" s="0" t="n">
        <v>573</v>
      </c>
      <c r="FE160" s="0" t="n">
        <v>0.0610820244328098</v>
      </c>
      <c r="FF160" s="0" t="n">
        <v>0.0577</v>
      </c>
      <c r="FG160" s="0" t="n">
        <v>0.2334</v>
      </c>
      <c r="FH160" s="0" t="n">
        <v>2.491</v>
      </c>
      <c r="FI160" s="0" t="n">
        <v>995</v>
      </c>
      <c r="FJ160" s="0" t="n">
        <v>0.534673366834171</v>
      </c>
      <c r="FK160" s="0" t="n">
        <v>17</v>
      </c>
      <c r="FL160" s="0" t="n">
        <v>58.53</v>
      </c>
      <c r="FM160" s="0" t="n">
        <v>0.5347</v>
      </c>
      <c r="FN160" s="0" t="n">
        <v>0.4653</v>
      </c>
      <c r="FO160" s="0" t="n">
        <v>-0.0248</v>
      </c>
      <c r="FP160" s="0" t="n">
        <v>0.0054</v>
      </c>
      <c r="FQ160" s="0" t="n">
        <v>0.0436</v>
      </c>
      <c r="FR160" s="0" t="n">
        <v>39</v>
      </c>
      <c r="FS160" s="0" t="n">
        <v>47</v>
      </c>
      <c r="FT160" s="0" t="n">
        <v>2.76</v>
      </c>
      <c r="FU160" s="0" t="n">
        <v>22.3</v>
      </c>
      <c r="FV160" s="0" t="n">
        <v>5320</v>
      </c>
      <c r="FW160" s="0" t="n">
        <v>4835</v>
      </c>
      <c r="FX160" s="0" t="n">
        <v>0.909</v>
      </c>
      <c r="FY160" s="0" t="n">
        <v>5</v>
      </c>
      <c r="FZ160" s="0" t="n">
        <v>5</v>
      </c>
      <c r="GA160" s="0" t="n">
        <v>-0.79459899751177</v>
      </c>
      <c r="GB160" s="0" t="n">
        <v>35.6</v>
      </c>
      <c r="GC160" s="0" t="n">
        <v>61.6</v>
      </c>
      <c r="GD160" s="0" t="n">
        <v>48.2</v>
      </c>
      <c r="GE160" s="0" t="n">
        <v>464</v>
      </c>
      <c r="GF160" s="0" t="n">
        <v>478</v>
      </c>
      <c r="GG160" s="0" t="n">
        <v>175</v>
      </c>
      <c r="GH160" s="0" t="n">
        <v>12</v>
      </c>
      <c r="GI160" s="0" t="n">
        <v>148</v>
      </c>
      <c r="GJ160" s="0" t="n">
        <v>23</v>
      </c>
      <c r="GK160" s="0" t="n">
        <v>0.377</v>
      </c>
      <c r="GL160" s="0" t="n">
        <v>0.025</v>
      </c>
      <c r="GM160" s="0" t="n">
        <v>0.155</v>
      </c>
      <c r="GN160" s="0" t="n">
        <v>3.587</v>
      </c>
      <c r="GO160" s="0" t="n">
        <v>3.487</v>
      </c>
      <c r="GP160" s="0" t="n">
        <v>3.387</v>
      </c>
      <c r="GQ160" s="0" t="n">
        <v>0.267</v>
      </c>
      <c r="GR160" s="0" t="n">
        <v>4.2</v>
      </c>
      <c r="GS160" s="0" t="n">
        <v>67</v>
      </c>
      <c r="GT160" s="0" t="n">
        <v>0.803</v>
      </c>
      <c r="GU160" s="0" t="n">
        <v>0.387</v>
      </c>
      <c r="GY160" s="0" t="n">
        <v>5.651</v>
      </c>
      <c r="HC160" s="0" t="n">
        <v>0.03</v>
      </c>
      <c r="HD160" s="0" t="n">
        <v>0.115</v>
      </c>
      <c r="HE160" s="0" t="n">
        <v>-0.184</v>
      </c>
      <c r="HG160" s="0" t="n">
        <v>168.33</v>
      </c>
      <c r="HH160" s="0" t="n">
        <v>22.85</v>
      </c>
      <c r="HI160" s="0" t="n">
        <v>132</v>
      </c>
      <c r="HJ160" s="0" t="n">
        <v>234</v>
      </c>
      <c r="HK160" s="0" t="s">
        <v>909</v>
      </c>
      <c r="HL160" s="0" t="n">
        <v>0</v>
      </c>
      <c r="HM160" s="0" t="n">
        <v>59</v>
      </c>
      <c r="HN160" s="0" t="n">
        <v>53</v>
      </c>
      <c r="HO160" s="0" t="n">
        <v>-0.673</v>
      </c>
      <c r="HP160" s="0" t="n">
        <v>63</v>
      </c>
      <c r="HQ160" s="0" t="n">
        <v>-0.849</v>
      </c>
      <c r="HR160" s="0" t="s">
        <v>121</v>
      </c>
    </row>
    <row r="161" customFormat="false" ht="15" hidden="false" customHeight="false" outlineLevel="0" collapsed="false">
      <c r="A161" s="0" t="s">
        <v>896</v>
      </c>
      <c r="B161" s="0" t="s">
        <v>897</v>
      </c>
      <c r="C161" s="0" t="s">
        <v>898</v>
      </c>
      <c r="D161" s="0" t="s">
        <v>461</v>
      </c>
      <c r="E161" s="0" t="n">
        <v>23179</v>
      </c>
      <c r="F161" s="0" t="s">
        <v>99</v>
      </c>
      <c r="G161" s="0" t="n">
        <v>168.98</v>
      </c>
      <c r="H161" s="0" t="n">
        <v>24.54</v>
      </c>
      <c r="I161" s="0" t="n">
        <v>128</v>
      </c>
      <c r="J161" s="0" t="n">
        <v>293</v>
      </c>
      <c r="L161" s="0" t="s">
        <v>1816</v>
      </c>
      <c r="O161" s="0" t="n">
        <v>26.9</v>
      </c>
      <c r="U161" s="0" t="n">
        <v>10</v>
      </c>
      <c r="V161" s="0" t="s">
        <v>461</v>
      </c>
      <c r="W161" s="0" t="s">
        <v>901</v>
      </c>
      <c r="X161" s="0" t="s">
        <v>1111</v>
      </c>
      <c r="Y161" s="0" t="s">
        <v>1817</v>
      </c>
      <c r="Z161" s="0" t="n">
        <v>23179</v>
      </c>
      <c r="AA161" s="0" t="s">
        <v>1818</v>
      </c>
      <c r="AB161" s="0" t="s">
        <v>904</v>
      </c>
      <c r="AC161" s="0" t="s">
        <v>198</v>
      </c>
      <c r="AD161" s="0" t="s">
        <v>198</v>
      </c>
      <c r="AE161" s="0" t="s">
        <v>198</v>
      </c>
      <c r="AF161" s="0" t="s">
        <v>198</v>
      </c>
      <c r="AG161" s="0" t="s">
        <v>198</v>
      </c>
      <c r="AH161" s="0" t="s">
        <v>905</v>
      </c>
      <c r="AI161" s="0" t="n">
        <v>3</v>
      </c>
      <c r="AJ161" s="0" t="s">
        <v>99</v>
      </c>
      <c r="AK161" s="0" t="n">
        <v>160</v>
      </c>
      <c r="AL161" s="0" t="n">
        <v>62</v>
      </c>
      <c r="AM161" s="0" t="s">
        <v>462</v>
      </c>
      <c r="AN161" s="0" t="n">
        <v>0</v>
      </c>
      <c r="AO161" s="0" t="n">
        <v>0</v>
      </c>
      <c r="AP161" s="0" t="n">
        <v>0</v>
      </c>
      <c r="AQ161" s="0" t="n">
        <v>0</v>
      </c>
      <c r="AR161" s="0" t="n">
        <v>0</v>
      </c>
      <c r="AS161" s="0" t="n">
        <v>0</v>
      </c>
      <c r="AT161" s="0" t="n">
        <v>0</v>
      </c>
      <c r="AU161" s="0" t="n">
        <v>0</v>
      </c>
      <c r="AV161" s="0" t="n">
        <v>0</v>
      </c>
      <c r="AW161" s="0" t="n">
        <v>1</v>
      </c>
      <c r="AX161" s="0" t="n">
        <v>1</v>
      </c>
      <c r="AY161" s="0" t="n">
        <v>0</v>
      </c>
      <c r="AZ161" s="0" t="n">
        <v>0</v>
      </c>
      <c r="BA161" s="0" t="n">
        <v>-0.462281365238596</v>
      </c>
      <c r="BB161" s="0" t="n">
        <v>0</v>
      </c>
      <c r="BC161" s="0" t="n">
        <v>12</v>
      </c>
      <c r="BD161" s="0" t="n">
        <v>15</v>
      </c>
      <c r="BE161" s="0" t="n">
        <v>178</v>
      </c>
      <c r="BF161" s="0" t="n">
        <v>0</v>
      </c>
      <c r="BG161" s="0" t="n">
        <v>179</v>
      </c>
      <c r="BH161" s="0" t="n">
        <v>59</v>
      </c>
      <c r="BI161" s="0" t="n">
        <v>8</v>
      </c>
      <c r="BJ161" s="0" t="n">
        <v>12.4897812766206</v>
      </c>
      <c r="BK161" s="0" t="n">
        <v>0</v>
      </c>
      <c r="BL161" s="0" t="n">
        <v>0</v>
      </c>
      <c r="BM161" s="0" t="n">
        <v>17.9</v>
      </c>
      <c r="BN161" s="0" t="n">
        <v>29.9</v>
      </c>
      <c r="BO161" s="0" t="n">
        <v>4</v>
      </c>
      <c r="BP161" s="0" t="s">
        <v>198</v>
      </c>
      <c r="BQ161" s="0" t="n">
        <v>1</v>
      </c>
      <c r="BR161" s="0" t="n">
        <v>23.9</v>
      </c>
      <c r="BS161" s="0" t="n">
        <v>0.0277</v>
      </c>
      <c r="BT161" s="0" t="n">
        <v>0.0021</v>
      </c>
      <c r="BU161" s="0" t="n">
        <v>0.0413</v>
      </c>
      <c r="BV161" s="0" t="n">
        <v>0.122</v>
      </c>
      <c r="BW161" s="0" t="n">
        <v>0.0088</v>
      </c>
      <c r="BX161" s="0" t="n">
        <v>0.175</v>
      </c>
      <c r="BY161" s="0" t="n">
        <v>0.3055</v>
      </c>
      <c r="BZ161" s="0" t="n">
        <v>4</v>
      </c>
      <c r="CA161" s="0" t="n">
        <v>3.22</v>
      </c>
      <c r="CB161" s="0" t="n">
        <v>12.73</v>
      </c>
      <c r="CC161" s="0" t="n">
        <v>4.7</v>
      </c>
      <c r="CD161" s="0" t="n">
        <v>7.44</v>
      </c>
      <c r="CE161" s="0" t="n">
        <v>1</v>
      </c>
      <c r="CF161" s="0" t="n">
        <v>0</v>
      </c>
      <c r="CG161" s="0" t="n">
        <v>4</v>
      </c>
      <c r="CH161" s="0" t="n">
        <v>0.25</v>
      </c>
      <c r="CI161" s="0" t="n">
        <v>0</v>
      </c>
      <c r="CJ161" s="0" t="n">
        <v>1.583</v>
      </c>
      <c r="CK161" s="0" t="n">
        <v>1</v>
      </c>
      <c r="CL161" s="0" t="n">
        <v>0</v>
      </c>
      <c r="CM161" s="0" t="n">
        <v>0</v>
      </c>
      <c r="CN161" s="0" t="n">
        <v>0</v>
      </c>
      <c r="CO161" s="0" t="n">
        <v>0.378179117760469</v>
      </c>
      <c r="CP161" s="0" t="n">
        <v>1</v>
      </c>
      <c r="CQ161" s="0" t="n">
        <v>0</v>
      </c>
      <c r="CR161" s="0" t="n">
        <v>0</v>
      </c>
      <c r="CS161" s="0" t="n">
        <v>0</v>
      </c>
      <c r="CT161" s="0" t="n">
        <v>0.0446791226645004</v>
      </c>
      <c r="CU161" s="0" t="n">
        <v>2</v>
      </c>
      <c r="CV161" s="0" t="n">
        <v>0</v>
      </c>
      <c r="CW161" s="0" t="n">
        <v>0</v>
      </c>
      <c r="CX161" s="0" t="n">
        <v>0</v>
      </c>
      <c r="CY161" s="0" t="n">
        <v>0.42</v>
      </c>
      <c r="CZ161" s="0" t="n">
        <v>-0.42</v>
      </c>
      <c r="DM161" s="0" t="s">
        <v>1819</v>
      </c>
      <c r="DN161" s="0" t="n">
        <v>1</v>
      </c>
      <c r="DO161" s="0" t="n">
        <v>0</v>
      </c>
      <c r="DS161" s="0" t="n">
        <v>15</v>
      </c>
      <c r="DT161" s="0" t="n">
        <v>0</v>
      </c>
      <c r="DU161" s="0" t="n">
        <v>1</v>
      </c>
      <c r="DV161" s="0" t="n">
        <v>9.917</v>
      </c>
      <c r="DW161" s="0" t="n">
        <v>4.917</v>
      </c>
      <c r="DX161" s="0" t="n">
        <v>11.9</v>
      </c>
      <c r="DY161" s="0" t="n">
        <v>0.0667</v>
      </c>
      <c r="DZ161" s="0" t="n">
        <v>138</v>
      </c>
      <c r="EA161" s="0" t="n">
        <v>0.515</v>
      </c>
      <c r="EB161" s="0" t="n">
        <v>4</v>
      </c>
      <c r="EC161" s="0" t="s">
        <v>1820</v>
      </c>
      <c r="ED161" s="0" t="n">
        <v>2024</v>
      </c>
      <c r="EE161" s="0" t="n">
        <v>3</v>
      </c>
      <c r="EF161" s="0" t="n">
        <v>92</v>
      </c>
      <c r="EG161" s="0" t="n">
        <v>2024</v>
      </c>
      <c r="EH161" s="0" t="n">
        <v>2026</v>
      </c>
      <c r="EI161" s="0" t="n">
        <v>3</v>
      </c>
      <c r="EJ161" s="0" t="n">
        <v>73</v>
      </c>
      <c r="EK161" s="0" t="n">
        <v>192</v>
      </c>
      <c r="EL161" s="0" t="s">
        <v>1250</v>
      </c>
      <c r="EM161" s="0" t="n">
        <v>24.7</v>
      </c>
      <c r="EN161" s="15" t="b">
        <f aca="false">FALSE()</f>
        <v>0</v>
      </c>
      <c r="EO161" s="0" t="n">
        <v>398</v>
      </c>
      <c r="EP161" s="0" t="n">
        <v>2.76407035175879</v>
      </c>
      <c r="EQ161" s="0" t="n">
        <v>0.183417085427136</v>
      </c>
      <c r="ER161" s="0" t="n">
        <v>1.05276381909548</v>
      </c>
      <c r="ES161" s="0" t="n">
        <v>0.42462311557789</v>
      </c>
      <c r="ET161" s="0" t="n">
        <v>48</v>
      </c>
      <c r="EU161" s="0" t="n">
        <v>34</v>
      </c>
      <c r="EV161" s="0" t="n">
        <v>3.76130653266332</v>
      </c>
      <c r="EW161" s="0" t="n">
        <v>0.708333333333333</v>
      </c>
      <c r="EX161" s="0" t="n">
        <v>2.97696363334511</v>
      </c>
      <c r="EY161" s="0" t="n">
        <v>2.736</v>
      </c>
      <c r="EZ161" s="0" t="n">
        <v>0.1938</v>
      </c>
      <c r="FA161" s="0" t="n">
        <v>2.699</v>
      </c>
      <c r="FB161" s="0" t="n">
        <v>1.426</v>
      </c>
      <c r="FC161" s="0" t="n">
        <v>31</v>
      </c>
      <c r="FD161" s="0" t="n">
        <v>638</v>
      </c>
      <c r="FE161" s="0" t="n">
        <v>0.0595611285266458</v>
      </c>
      <c r="FF161" s="0" t="n">
        <v>0.0571</v>
      </c>
      <c r="FG161" s="0" t="n">
        <v>0.172</v>
      </c>
      <c r="FH161" s="0" t="n">
        <v>2.292</v>
      </c>
      <c r="FI161" s="0" t="n">
        <v>1065</v>
      </c>
      <c r="FJ161" s="0" t="n">
        <v>0.564319248826291</v>
      </c>
      <c r="FK161" s="0" t="n">
        <v>17</v>
      </c>
      <c r="FL161" s="0" t="n">
        <v>62.65</v>
      </c>
      <c r="FM161" s="0" t="n">
        <v>0.5148</v>
      </c>
      <c r="FN161" s="0" t="n">
        <v>0.4852</v>
      </c>
      <c r="FO161" s="0" t="n">
        <v>-0.0347</v>
      </c>
      <c r="FP161" s="0" t="n">
        <v>0.0138</v>
      </c>
      <c r="FQ161" s="0" t="n">
        <v>-0.0264</v>
      </c>
      <c r="FR161" s="0" t="n">
        <v>41</v>
      </c>
      <c r="FS161" s="0" t="n">
        <v>53</v>
      </c>
      <c r="FT161" s="0" t="n">
        <v>3.12</v>
      </c>
      <c r="FU161" s="0" t="n">
        <v>22.4</v>
      </c>
      <c r="FV161" s="0" t="n">
        <v>5692</v>
      </c>
      <c r="FW161" s="0" t="n">
        <v>4502</v>
      </c>
      <c r="FX161" s="0" t="n">
        <v>0.791</v>
      </c>
      <c r="FY161" s="0" t="n">
        <v>5</v>
      </c>
      <c r="FZ161" s="0" t="n">
        <v>4</v>
      </c>
      <c r="GA161" s="0" t="n">
        <v>-0.202503543001561</v>
      </c>
      <c r="GB161" s="0" t="n">
        <v>46.3</v>
      </c>
      <c r="GC161" s="0" t="n">
        <v>65.4</v>
      </c>
      <c r="GD161" s="0" t="n">
        <v>57.4</v>
      </c>
      <c r="GE161" s="0" t="n">
        <v>541</v>
      </c>
      <c r="GF161" s="0" t="n">
        <v>472</v>
      </c>
      <c r="GG161" s="0" t="n">
        <v>111</v>
      </c>
      <c r="GH161" s="0" t="n">
        <v>138</v>
      </c>
      <c r="GI161" s="0" t="n">
        <v>136</v>
      </c>
      <c r="GJ161" s="0" t="n">
        <v>38</v>
      </c>
      <c r="GK161" s="0" t="n">
        <v>0.205</v>
      </c>
      <c r="GL161" s="0" t="n">
        <v>0.292</v>
      </c>
      <c r="GM161" s="0" t="n">
        <v>0.279</v>
      </c>
      <c r="GN161" s="0" t="n">
        <v>7.475</v>
      </c>
      <c r="GO161" s="0" t="n">
        <v>5.975</v>
      </c>
      <c r="GP161" s="0" t="n">
        <v>4.475</v>
      </c>
      <c r="GQ161" s="0" t="n">
        <v>3.75</v>
      </c>
      <c r="GR161" s="0" t="n">
        <v>0.25</v>
      </c>
      <c r="GS161" s="0" t="n">
        <v>16</v>
      </c>
      <c r="GT161" s="0" t="n">
        <v>1.869</v>
      </c>
      <c r="GU161" s="0" t="n">
        <v>0.217</v>
      </c>
      <c r="GV161" s="0" t="n">
        <v>11.867</v>
      </c>
      <c r="GW161" s="0" t="n">
        <v>14.833</v>
      </c>
      <c r="GX161" s="0" t="n">
        <v>0.8</v>
      </c>
      <c r="GZ161" s="0" t="n">
        <v>11.933</v>
      </c>
      <c r="HA161" s="0" t="n">
        <v>4.917</v>
      </c>
      <c r="HB161" s="0" t="n">
        <v>0.994</v>
      </c>
      <c r="HC161" s="0" t="n">
        <v>0</v>
      </c>
      <c r="HE161" s="0" t="n">
        <v>0.833</v>
      </c>
      <c r="HG161" s="0" t="n">
        <v>168.98</v>
      </c>
      <c r="HH161" s="0" t="n">
        <v>24.54</v>
      </c>
      <c r="HI161" s="0" t="n">
        <v>128</v>
      </c>
      <c r="HJ161" s="0" t="n">
        <v>293</v>
      </c>
      <c r="HK161" s="0" t="s">
        <v>909</v>
      </c>
      <c r="HL161" s="0" t="n">
        <v>0</v>
      </c>
      <c r="HM161" s="0" t="n">
        <v>86</v>
      </c>
      <c r="HN161" s="0" t="n">
        <v>62</v>
      </c>
      <c r="HO161" s="0" t="n">
        <v>-1.538</v>
      </c>
      <c r="HP161" s="0" t="n">
        <v>64</v>
      </c>
      <c r="HQ161" s="0" t="n">
        <v>-0.574</v>
      </c>
      <c r="HR161" s="0" t="s">
        <v>165</v>
      </c>
    </row>
    <row r="162" customFormat="false" ht="15" hidden="false" customHeight="false" outlineLevel="0" collapsed="false">
      <c r="A162" s="0" t="s">
        <v>896</v>
      </c>
      <c r="B162" s="0" t="s">
        <v>897</v>
      </c>
      <c r="C162" s="0" t="s">
        <v>898</v>
      </c>
      <c r="D162" s="0" t="s">
        <v>463</v>
      </c>
      <c r="E162" s="0" t="n">
        <v>20094</v>
      </c>
      <c r="F162" s="0" t="s">
        <v>104</v>
      </c>
      <c r="G162" s="0" t="n">
        <v>170.02</v>
      </c>
      <c r="H162" s="0" t="n">
        <v>20.52</v>
      </c>
      <c r="I162" s="0" t="n">
        <v>144</v>
      </c>
      <c r="J162" s="0" t="n">
        <v>234</v>
      </c>
      <c r="L162" s="0" t="s">
        <v>1821</v>
      </c>
      <c r="O162" s="0" t="n">
        <v>32.8</v>
      </c>
      <c r="U162" s="0" t="n">
        <v>11</v>
      </c>
      <c r="V162" s="0" t="s">
        <v>1822</v>
      </c>
      <c r="W162" s="0" t="s">
        <v>901</v>
      </c>
      <c r="X162" s="0" t="s">
        <v>112</v>
      </c>
      <c r="Y162" s="0" t="s">
        <v>1823</v>
      </c>
      <c r="Z162" s="0" t="n">
        <v>20094</v>
      </c>
      <c r="AA162" s="0" t="s">
        <v>1824</v>
      </c>
      <c r="AB162" s="0" t="s">
        <v>904</v>
      </c>
      <c r="AC162" s="0" t="s">
        <v>112</v>
      </c>
      <c r="AD162" s="0" t="s">
        <v>112</v>
      </c>
      <c r="AE162" s="0" t="s">
        <v>112</v>
      </c>
      <c r="AF162" s="0" t="s">
        <v>112</v>
      </c>
      <c r="AG162" s="0" t="s">
        <v>112</v>
      </c>
      <c r="AH162" s="0" t="s">
        <v>905</v>
      </c>
      <c r="AI162" s="0" t="n">
        <v>2</v>
      </c>
      <c r="AJ162" s="0" t="s">
        <v>104</v>
      </c>
      <c r="AK162" s="0" t="n">
        <v>161</v>
      </c>
      <c r="AL162" s="0" t="n">
        <v>54</v>
      </c>
      <c r="AM162" s="0" t="s">
        <v>464</v>
      </c>
      <c r="AN162" s="0" t="n">
        <v>0</v>
      </c>
      <c r="AO162" s="0" t="n">
        <v>0</v>
      </c>
      <c r="AP162" s="0" t="n">
        <v>0</v>
      </c>
      <c r="AQ162" s="0" t="n">
        <v>0</v>
      </c>
      <c r="AR162" s="0" t="n">
        <v>0</v>
      </c>
      <c r="AS162" s="0" t="n">
        <v>0</v>
      </c>
      <c r="AT162" s="0" t="n">
        <v>0</v>
      </c>
      <c r="AU162" s="0" t="n">
        <v>0</v>
      </c>
      <c r="AV162" s="0" t="n">
        <v>0</v>
      </c>
      <c r="AW162" s="0" t="n">
        <v>92</v>
      </c>
      <c r="AX162" s="0" t="n">
        <v>400</v>
      </c>
      <c r="AY162" s="0" t="n">
        <v>2</v>
      </c>
      <c r="AZ162" s="0" t="n">
        <v>20</v>
      </c>
      <c r="BA162" s="0" t="n">
        <v>-0.71961626869652</v>
      </c>
      <c r="BB162" s="0" t="n">
        <v>0</v>
      </c>
      <c r="BC162" s="0" t="n">
        <v>8</v>
      </c>
      <c r="BD162" s="0" t="n">
        <v>12</v>
      </c>
      <c r="BE162" s="0" t="n">
        <v>25</v>
      </c>
      <c r="BF162" s="0" t="n">
        <v>0</v>
      </c>
      <c r="BG162" s="0" t="n">
        <v>0</v>
      </c>
      <c r="BH162" s="0" t="n">
        <v>35</v>
      </c>
      <c r="BI162" s="0" t="n">
        <v>1</v>
      </c>
      <c r="BJ162" s="0" t="n">
        <v>-4.06271440396085</v>
      </c>
      <c r="BK162" s="0" t="n">
        <v>0</v>
      </c>
      <c r="BL162" s="0" t="n">
        <v>0</v>
      </c>
      <c r="BM162" s="0" t="n">
        <v>54.5</v>
      </c>
      <c r="BN162" s="0" t="n">
        <v>62.5</v>
      </c>
      <c r="BO162" s="0" t="n">
        <v>17</v>
      </c>
      <c r="BP162" s="0" t="s">
        <v>124</v>
      </c>
      <c r="BQ162" s="0" t="n">
        <v>1</v>
      </c>
      <c r="BR162" s="0" t="n">
        <v>58.5</v>
      </c>
      <c r="BS162" s="0" t="n">
        <v>0.0218</v>
      </c>
      <c r="BT162" s="0" t="n">
        <v>0.1913</v>
      </c>
      <c r="BU162" s="0" t="n">
        <v>0</v>
      </c>
      <c r="BV162" s="0" t="n">
        <v>0.0218</v>
      </c>
      <c r="BW162" s="0" t="n">
        <v>0.1913</v>
      </c>
      <c r="BX162" s="0" t="n">
        <v>0</v>
      </c>
      <c r="BY162" s="0" t="n">
        <v>0.0327</v>
      </c>
      <c r="BZ162" s="0" t="n">
        <v>17</v>
      </c>
      <c r="CA162" s="0" t="n">
        <v>2.1</v>
      </c>
      <c r="CB162" s="0" t="n">
        <v>5.12</v>
      </c>
      <c r="CC162" s="0" t="n">
        <v>2.6</v>
      </c>
      <c r="CD162" s="0" t="n">
        <v>3.2</v>
      </c>
      <c r="CE162" s="0" t="n">
        <v>0</v>
      </c>
      <c r="CF162" s="0" t="n">
        <v>9</v>
      </c>
      <c r="CG162" s="0" t="n">
        <v>17</v>
      </c>
      <c r="CH162" s="0" t="n">
        <v>0</v>
      </c>
      <c r="CI162" s="0" t="n">
        <v>0.529</v>
      </c>
      <c r="CJ162" s="0" t="n">
        <v>1.232</v>
      </c>
      <c r="CK162" s="0" t="n">
        <v>4</v>
      </c>
      <c r="CL162" s="0" t="n">
        <v>1</v>
      </c>
      <c r="CM162" s="0" t="n">
        <v>1</v>
      </c>
      <c r="CN162" s="0" t="n">
        <v>0</v>
      </c>
      <c r="CO162" s="0" t="n">
        <v>1.02599466977436</v>
      </c>
      <c r="CP162" s="0" t="n">
        <v>13</v>
      </c>
      <c r="CQ162" s="0" t="n">
        <v>4</v>
      </c>
      <c r="CR162" s="0" t="n">
        <v>2</v>
      </c>
      <c r="CS162" s="0" t="n">
        <v>2</v>
      </c>
      <c r="CT162" s="0" t="n">
        <v>2.21730453111355</v>
      </c>
      <c r="CU162" s="0" t="n">
        <v>17</v>
      </c>
      <c r="CV162" s="0" t="n">
        <v>5</v>
      </c>
      <c r="CW162" s="0" t="n">
        <v>3</v>
      </c>
      <c r="CX162" s="0" t="n">
        <v>2</v>
      </c>
      <c r="CY162" s="0" t="n">
        <v>3.24</v>
      </c>
      <c r="CZ162" s="0" t="n">
        <v>-1.24</v>
      </c>
      <c r="DG162" s="0" t="n">
        <v>3.75625</v>
      </c>
      <c r="DH162" s="0" t="n">
        <v>30.4347826086957</v>
      </c>
      <c r="DI162" s="0" t="n">
        <v>2.71843373493976</v>
      </c>
      <c r="DJ162" s="0" t="n">
        <v>-5.84992535610274</v>
      </c>
      <c r="DK162" s="0" t="n">
        <v>-0.0642848940231071</v>
      </c>
      <c r="DL162" s="0" t="n">
        <v>0.384615384615385</v>
      </c>
      <c r="DM162" s="0" t="s">
        <v>1825</v>
      </c>
      <c r="DN162" s="0" t="n">
        <v>92</v>
      </c>
      <c r="DO162" s="0" t="n">
        <v>10</v>
      </c>
      <c r="DP162" s="0" t="n">
        <v>2.576</v>
      </c>
      <c r="DQ162" s="0" t="n">
        <v>1.772</v>
      </c>
      <c r="DR162" s="0" t="n">
        <v>9.2</v>
      </c>
      <c r="DS162" s="0" t="n">
        <v>12</v>
      </c>
      <c r="DT162" s="0" t="n">
        <v>0</v>
      </c>
      <c r="DU162" s="0" t="n">
        <v>0</v>
      </c>
      <c r="DV162" s="0" t="n">
        <v>-1.25</v>
      </c>
      <c r="DW162" s="0" t="n">
        <v>4.375</v>
      </c>
      <c r="DX162" s="0" t="n">
        <v>0</v>
      </c>
      <c r="DY162" s="0" t="n">
        <v>0</v>
      </c>
      <c r="DZ162" s="0" t="n">
        <v>190</v>
      </c>
      <c r="EA162" s="0" t="n">
        <v>0.167</v>
      </c>
      <c r="EB162" s="0" t="n">
        <v>17</v>
      </c>
      <c r="EC162" s="0" t="s">
        <v>1826</v>
      </c>
      <c r="ED162" s="0" t="n">
        <v>2022</v>
      </c>
      <c r="EE162" s="0" t="n">
        <v>3</v>
      </c>
      <c r="EF162" s="0" t="n">
        <v>98</v>
      </c>
      <c r="EG162" s="0" t="n">
        <v>2022</v>
      </c>
      <c r="EH162" s="0" t="n">
        <v>2026</v>
      </c>
      <c r="EI162" s="0" t="n">
        <v>3</v>
      </c>
      <c r="EJ162" s="0" t="n">
        <v>73</v>
      </c>
      <c r="EK162" s="0" t="n">
        <v>225</v>
      </c>
      <c r="EL162" s="0" t="s">
        <v>1045</v>
      </c>
      <c r="EM162" s="0" t="n">
        <v>27.4</v>
      </c>
      <c r="EN162" s="15" t="b">
        <f aca="false">FALSE()</f>
        <v>0</v>
      </c>
      <c r="EO162" s="0" t="n">
        <v>439</v>
      </c>
      <c r="EP162" s="0" t="n">
        <v>3.05466970387244</v>
      </c>
      <c r="EQ162" s="0" t="n">
        <v>0.16628701594533</v>
      </c>
      <c r="ER162" s="0" t="n">
        <v>1.35307517084283</v>
      </c>
      <c r="ES162" s="0" t="n">
        <v>0.89749430523918</v>
      </c>
      <c r="ET162" s="0" t="n">
        <v>42</v>
      </c>
      <c r="EU162" s="0" t="n">
        <v>22</v>
      </c>
      <c r="EV162" s="0" t="n">
        <v>4.67425968109339</v>
      </c>
      <c r="EW162" s="0" t="n">
        <v>0.523809523809524</v>
      </c>
      <c r="EX162" s="0" t="n">
        <v>2.93179766542752</v>
      </c>
      <c r="EY162" s="0" t="n">
        <v>3.071</v>
      </c>
      <c r="EZ162" s="0" t="n">
        <v>0.1627</v>
      </c>
      <c r="FA162" s="0" t="n">
        <v>2.522</v>
      </c>
      <c r="FB162" s="0" t="n">
        <v>1.96</v>
      </c>
      <c r="FC162" s="0" t="n">
        <v>31</v>
      </c>
      <c r="FD162" s="0" t="n">
        <v>583</v>
      </c>
      <c r="FE162" s="0" t="n">
        <v>0.0445969125214408</v>
      </c>
      <c r="FF162" s="0" t="n">
        <v>0.0494</v>
      </c>
      <c r="FG162" s="0" t="n">
        <v>0.2037</v>
      </c>
      <c r="FH162" s="0" t="n">
        <v>2.4</v>
      </c>
      <c r="FI162" s="0" t="n">
        <v>1036</v>
      </c>
      <c r="FJ162" s="0" t="n">
        <v>0.551158301158301</v>
      </c>
      <c r="FK162" s="0" t="n">
        <v>17</v>
      </c>
      <c r="FL162" s="0" t="n">
        <v>60.94</v>
      </c>
      <c r="FM162" s="0" t="n">
        <v>0.549</v>
      </c>
      <c r="FN162" s="0" t="n">
        <v>0.451</v>
      </c>
      <c r="FO162" s="0" t="n">
        <v>-0.0621</v>
      </c>
      <c r="FP162" s="0" t="n">
        <v>-0.0314</v>
      </c>
      <c r="FQ162" s="0" t="n">
        <v>-0.0132</v>
      </c>
      <c r="FR162" s="0" t="n">
        <v>38</v>
      </c>
      <c r="FS162" s="0" t="n">
        <v>53</v>
      </c>
      <c r="FT162" s="0" t="n">
        <v>3.12</v>
      </c>
      <c r="FU162" s="0" t="n">
        <v>20.8</v>
      </c>
      <c r="FV162" s="0" t="n">
        <v>5484</v>
      </c>
      <c r="FW162" s="0" t="n">
        <v>4377</v>
      </c>
      <c r="FX162" s="0" t="n">
        <v>0.798</v>
      </c>
      <c r="FY162" s="0" t="n">
        <v>5</v>
      </c>
      <c r="FZ162" s="0" t="n">
        <v>4</v>
      </c>
      <c r="GA162" s="0" t="n">
        <v>0.149012046753805</v>
      </c>
      <c r="GB162" s="0" t="n">
        <v>52.7</v>
      </c>
      <c r="GC162" s="0" t="n">
        <v>66.9</v>
      </c>
      <c r="GD162" s="0" t="n">
        <v>62.4</v>
      </c>
      <c r="GE162" s="0" t="n">
        <v>519</v>
      </c>
      <c r="GF162" s="0" t="n">
        <v>477</v>
      </c>
      <c r="GG162" s="0" t="n">
        <v>151</v>
      </c>
      <c r="GH162" s="0" t="n">
        <v>160</v>
      </c>
      <c r="GI162" s="0" t="n">
        <v>132</v>
      </c>
      <c r="GJ162" s="0" t="n">
        <v>49</v>
      </c>
      <c r="GK162" s="0" t="n">
        <v>0.291</v>
      </c>
      <c r="GL162" s="0" t="n">
        <v>0.335</v>
      </c>
      <c r="GM162" s="0" t="n">
        <v>0.371</v>
      </c>
      <c r="GN162" s="0" t="n">
        <v>3.676</v>
      </c>
      <c r="GO162" s="0" t="n">
        <v>3.441</v>
      </c>
      <c r="GP162" s="0" t="n">
        <v>3.206</v>
      </c>
      <c r="GQ162" s="0" t="n">
        <v>0.706</v>
      </c>
      <c r="GR162" s="0" t="n">
        <v>5.412</v>
      </c>
      <c r="GS162" s="0" t="n">
        <v>104</v>
      </c>
      <c r="GT162" s="0" t="n">
        <v>0.601</v>
      </c>
      <c r="GU162" s="0" t="n">
        <v>0.329</v>
      </c>
      <c r="GV162" s="0" t="n">
        <v>2.083</v>
      </c>
      <c r="GW162" s="0" t="n">
        <v>3.125</v>
      </c>
      <c r="GX162" s="0" t="n">
        <v>0.667</v>
      </c>
      <c r="GY162" s="0" t="n">
        <v>4.348</v>
      </c>
      <c r="GZ162" s="0" t="n">
        <v>0</v>
      </c>
      <c r="HA162" s="0" t="n">
        <v>4.375</v>
      </c>
      <c r="HC162" s="0" t="n">
        <v>0.019</v>
      </c>
      <c r="HD162" s="0" t="n">
        <v>-0.008</v>
      </c>
      <c r="HE162" s="0" t="n">
        <v>-0.339</v>
      </c>
      <c r="HG162" s="0" t="n">
        <v>170.02</v>
      </c>
      <c r="HH162" s="0" t="n">
        <v>20.52</v>
      </c>
      <c r="HI162" s="0" t="n">
        <v>144</v>
      </c>
      <c r="HJ162" s="0" t="n">
        <v>234</v>
      </c>
      <c r="HK162" s="0" t="s">
        <v>909</v>
      </c>
      <c r="HL162" s="0" t="n">
        <v>0</v>
      </c>
      <c r="HM162" s="0" t="n">
        <v>56</v>
      </c>
      <c r="HN162" s="0" t="n">
        <v>54</v>
      </c>
      <c r="HO162" s="0" t="n">
        <v>-0.506</v>
      </c>
      <c r="HP162" s="0" t="n">
        <v>62</v>
      </c>
      <c r="HQ162" s="0" t="n">
        <v>-0.77</v>
      </c>
      <c r="HR162" s="0" t="s">
        <v>121</v>
      </c>
    </row>
    <row r="163" customFormat="false" ht="15" hidden="false" customHeight="false" outlineLevel="0" collapsed="false">
      <c r="A163" s="0" t="s">
        <v>896</v>
      </c>
      <c r="B163" s="0" t="s">
        <v>897</v>
      </c>
      <c r="C163" s="0" t="s">
        <v>898</v>
      </c>
      <c r="D163" s="0" t="s">
        <v>465</v>
      </c>
      <c r="E163" s="0" t="n">
        <v>24357</v>
      </c>
      <c r="F163" s="0" t="s">
        <v>99</v>
      </c>
      <c r="G163" s="0" t="n">
        <v>171.09</v>
      </c>
      <c r="H163" s="0" t="n">
        <v>24.55</v>
      </c>
      <c r="I163" s="0" t="n">
        <v>133</v>
      </c>
      <c r="J163" s="0" t="n">
        <v>270</v>
      </c>
      <c r="L163" s="0" t="s">
        <v>1827</v>
      </c>
      <c r="O163" s="0" t="n">
        <v>17.1</v>
      </c>
      <c r="U163" s="0" t="n">
        <v>13</v>
      </c>
      <c r="V163" s="0" t="s">
        <v>465</v>
      </c>
      <c r="W163" s="0" t="s">
        <v>901</v>
      </c>
      <c r="X163" s="0" t="s">
        <v>186</v>
      </c>
      <c r="Y163" s="0" t="s">
        <v>1828</v>
      </c>
      <c r="Z163" s="0" t="n">
        <v>24357</v>
      </c>
      <c r="AA163" s="0" t="s">
        <v>1829</v>
      </c>
      <c r="AB163" s="0" t="s">
        <v>904</v>
      </c>
      <c r="AC163" s="0" t="s">
        <v>186</v>
      </c>
      <c r="AD163" s="0" t="s">
        <v>186</v>
      </c>
      <c r="AE163" s="0" t="s">
        <v>186</v>
      </c>
      <c r="AF163" s="0" t="s">
        <v>186</v>
      </c>
      <c r="AG163" s="0" t="s">
        <v>186</v>
      </c>
      <c r="AH163" s="0" t="s">
        <v>905</v>
      </c>
      <c r="AI163" s="0" t="n">
        <v>2</v>
      </c>
      <c r="AJ163" s="0" t="s">
        <v>99</v>
      </c>
      <c r="AK163" s="0" t="n">
        <v>162</v>
      </c>
      <c r="AL163" s="0" t="n">
        <v>63</v>
      </c>
      <c r="AM163" s="0" t="s">
        <v>466</v>
      </c>
      <c r="AN163" s="0" t="n">
        <v>0</v>
      </c>
      <c r="AO163" s="0" t="n">
        <v>0</v>
      </c>
      <c r="AP163" s="0" t="n">
        <v>0</v>
      </c>
      <c r="AQ163" s="0" t="n">
        <v>0</v>
      </c>
      <c r="AR163" s="0" t="n">
        <v>0</v>
      </c>
      <c r="AS163" s="0" t="n">
        <v>0</v>
      </c>
      <c r="AT163" s="0" t="n">
        <v>0</v>
      </c>
      <c r="AU163" s="0" t="n">
        <v>0</v>
      </c>
      <c r="AV163" s="0" t="n">
        <v>0</v>
      </c>
      <c r="AW163" s="0" t="n">
        <v>1</v>
      </c>
      <c r="AX163" s="0" t="n">
        <v>-4</v>
      </c>
      <c r="AY163" s="0" t="n">
        <v>0</v>
      </c>
      <c r="AZ163" s="0" t="n">
        <v>0</v>
      </c>
      <c r="BA163" s="0" t="n">
        <v>-1.11264033283806</v>
      </c>
      <c r="BB163" s="0" t="n">
        <v>0</v>
      </c>
      <c r="BC163" s="0" t="n">
        <v>33</v>
      </c>
      <c r="BD163" s="0" t="n">
        <v>74</v>
      </c>
      <c r="BE163" s="0" t="n">
        <v>453</v>
      </c>
      <c r="BF163" s="0" t="n">
        <v>2</v>
      </c>
      <c r="BG163" s="0" t="n">
        <v>1102</v>
      </c>
      <c r="BH163" s="0" t="n">
        <v>80</v>
      </c>
      <c r="BI163" s="0" t="n">
        <v>15</v>
      </c>
      <c r="BJ163" s="0" t="n">
        <v>-16.1100964833598</v>
      </c>
      <c r="BK163" s="0" t="n">
        <v>1</v>
      </c>
      <c r="BL163" s="0" t="n">
        <v>0</v>
      </c>
      <c r="BM163" s="0" t="n">
        <v>54.9</v>
      </c>
      <c r="BN163" s="0" t="n">
        <v>87.9</v>
      </c>
      <c r="BO163" s="0" t="n">
        <v>16</v>
      </c>
      <c r="BP163" s="0" t="s">
        <v>186</v>
      </c>
      <c r="BQ163" s="0" t="n">
        <v>2</v>
      </c>
      <c r="BR163" s="0" t="n">
        <v>71.4</v>
      </c>
      <c r="BS163" s="0" t="n">
        <v>0.0739</v>
      </c>
      <c r="BT163" s="0" t="n">
        <v>0.0011</v>
      </c>
      <c r="BU163" s="0" t="n">
        <v>0.1471</v>
      </c>
      <c r="BV163" s="0" t="n">
        <v>0.1498</v>
      </c>
      <c r="BW163" s="0" t="n">
        <v>0.0025</v>
      </c>
      <c r="BX163" s="0" t="n">
        <v>0.2846</v>
      </c>
      <c r="BY163" s="0" t="n">
        <v>0.4239</v>
      </c>
      <c r="BZ163" s="0" t="n">
        <v>16</v>
      </c>
      <c r="CA163" s="0" t="n">
        <v>1.28</v>
      </c>
      <c r="CB163" s="0" t="n">
        <v>9.78</v>
      </c>
      <c r="CC163" s="0" t="n">
        <v>3.7</v>
      </c>
      <c r="CD163" s="0" t="n">
        <v>6.79</v>
      </c>
      <c r="CE163" s="0" t="n">
        <v>1</v>
      </c>
      <c r="CF163" s="0" t="n">
        <v>6</v>
      </c>
      <c r="CG163" s="0" t="n">
        <v>16</v>
      </c>
      <c r="CH163" s="0" t="n">
        <v>0.062</v>
      </c>
      <c r="CI163" s="0" t="n">
        <v>0.375</v>
      </c>
      <c r="CJ163" s="0" t="n">
        <v>1.835</v>
      </c>
      <c r="CK163" s="0" t="n">
        <v>8</v>
      </c>
      <c r="CL163" s="0" t="n">
        <v>2</v>
      </c>
      <c r="CM163" s="0" t="n">
        <v>0</v>
      </c>
      <c r="CN163" s="0" t="n">
        <v>2</v>
      </c>
      <c r="CO163" s="0" t="n">
        <v>2.16017374873446</v>
      </c>
      <c r="CP163" s="0" t="n">
        <v>0</v>
      </c>
      <c r="CQ163" s="0" t="n">
        <v>0</v>
      </c>
      <c r="CR163" s="0" t="n">
        <v>0</v>
      </c>
      <c r="CS163" s="0" t="n">
        <v>0</v>
      </c>
      <c r="CT163" s="0" t="n">
        <v>0.015972894482091</v>
      </c>
      <c r="CU163" s="0" t="n">
        <v>8</v>
      </c>
      <c r="CV163" s="0" t="n">
        <v>2</v>
      </c>
      <c r="CW163" s="0" t="n">
        <v>0</v>
      </c>
      <c r="CX163" s="0" t="n">
        <v>2</v>
      </c>
      <c r="CY163" s="0" t="n">
        <v>2.18</v>
      </c>
      <c r="CZ163" s="0" t="n">
        <v>-0.18</v>
      </c>
      <c r="DA163" s="0" t="n">
        <v>2.75514206986972</v>
      </c>
      <c r="DB163" s="0" t="n">
        <v>5.78756756756757</v>
      </c>
      <c r="DC163" s="0" t="n">
        <v>14.7783783783784</v>
      </c>
      <c r="DD163" s="0" t="n">
        <v>25.5076574286154</v>
      </c>
      <c r="DE163" s="0" t="n">
        <v>0.837069484350886</v>
      </c>
      <c r="DF163" s="0" t="n">
        <v>44.5945945945946</v>
      </c>
      <c r="DM163" s="0" t="s">
        <v>1830</v>
      </c>
      <c r="DN163" s="0" t="n">
        <v>1</v>
      </c>
      <c r="DO163" s="0" t="n">
        <v>0</v>
      </c>
      <c r="DS163" s="0" t="n">
        <v>74</v>
      </c>
      <c r="DT163" s="0" t="n">
        <v>0</v>
      </c>
      <c r="DU163" s="0" t="n">
        <v>2</v>
      </c>
      <c r="DV163" s="0" t="n">
        <v>11.303</v>
      </c>
      <c r="DW163" s="0" t="n">
        <v>2.424</v>
      </c>
      <c r="DX163" s="0" t="n">
        <v>14.92</v>
      </c>
      <c r="DY163" s="0" t="n">
        <v>0.027</v>
      </c>
      <c r="DZ163" s="0" t="n">
        <v>498</v>
      </c>
      <c r="EA163" s="0" t="n">
        <v>0.506</v>
      </c>
      <c r="EB163" s="0" t="n">
        <v>16</v>
      </c>
      <c r="EC163" s="0" t="s">
        <v>1334</v>
      </c>
      <c r="ED163" s="0" t="n">
        <v>2024</v>
      </c>
      <c r="EE163" s="0" t="n">
        <v>2</v>
      </c>
      <c r="EF163" s="0" t="n">
        <v>52</v>
      </c>
      <c r="EG163" s="0" t="n">
        <v>2024</v>
      </c>
      <c r="EH163" s="0" t="n">
        <v>2026</v>
      </c>
      <c r="EI163" s="0" t="n">
        <v>3</v>
      </c>
      <c r="EJ163" s="0" t="n">
        <v>74</v>
      </c>
      <c r="EK163" s="0" t="n">
        <v>205</v>
      </c>
      <c r="EL163" s="0" t="s">
        <v>1831</v>
      </c>
      <c r="EM163" s="0" t="n">
        <v>23.9</v>
      </c>
      <c r="EN163" s="15" t="b">
        <f aca="false">FALSE()</f>
        <v>0</v>
      </c>
      <c r="EO163" s="0" t="n">
        <v>334</v>
      </c>
      <c r="EP163" s="0" t="n">
        <v>2.84431137724551</v>
      </c>
      <c r="EQ163" s="0" t="n">
        <v>0.182634730538922</v>
      </c>
      <c r="ER163" s="0" t="n">
        <v>1.19161676646707</v>
      </c>
      <c r="ES163" s="0" t="n">
        <v>0.940119760479042</v>
      </c>
      <c r="ET163" s="0" t="n">
        <v>23</v>
      </c>
      <c r="EU163" s="0" t="n">
        <v>17</v>
      </c>
      <c r="EV163" s="0" t="n">
        <v>4.44011976047904</v>
      </c>
      <c r="EW163" s="0" t="n">
        <v>0.739130434782609</v>
      </c>
      <c r="EX163" s="0" t="n">
        <v>2.90111469172123</v>
      </c>
      <c r="EY163" s="0" t="n">
        <v>2.892</v>
      </c>
      <c r="EZ163" s="0" t="n">
        <v>0.1813</v>
      </c>
      <c r="FA163" s="0" t="n">
        <v>2.899</v>
      </c>
      <c r="FB163" s="0" t="n">
        <v>1.697</v>
      </c>
      <c r="FC163" s="0" t="n">
        <v>18</v>
      </c>
      <c r="FD163" s="0" t="n">
        <v>608</v>
      </c>
      <c r="FE163" s="0" t="n">
        <v>0.0986842105263158</v>
      </c>
      <c r="FF163" s="0" t="n">
        <v>0.0989</v>
      </c>
      <c r="FG163" s="0" t="n">
        <v>0.3117</v>
      </c>
      <c r="FH163" s="0" t="n">
        <v>2.423</v>
      </c>
      <c r="FI163" s="0" t="n">
        <v>1009</v>
      </c>
      <c r="FJ163" s="0" t="n">
        <v>0.551040634291378</v>
      </c>
      <c r="FK163" s="0" t="n">
        <v>17</v>
      </c>
      <c r="FL163" s="0" t="n">
        <v>59.35</v>
      </c>
      <c r="FM163" s="0" t="n">
        <v>0.4319</v>
      </c>
      <c r="FN163" s="0" t="n">
        <v>0.5681</v>
      </c>
      <c r="FO163" s="0" t="n">
        <v>-0.0877</v>
      </c>
      <c r="FP163" s="0" t="n">
        <v>-0.061</v>
      </c>
      <c r="FQ163" s="0" t="n">
        <v>-0.1799</v>
      </c>
      <c r="FR163" s="0" t="n">
        <v>38</v>
      </c>
      <c r="FS163" s="0" t="n">
        <v>42</v>
      </c>
      <c r="FT163" s="0" t="n">
        <v>2.47</v>
      </c>
      <c r="FU163" s="0" t="n">
        <v>17.6</v>
      </c>
      <c r="FV163" s="0" t="n">
        <v>5302</v>
      </c>
      <c r="FW163" s="0" t="n">
        <v>4286</v>
      </c>
      <c r="FX163" s="0" t="n">
        <v>0.808</v>
      </c>
      <c r="FY163" s="0" t="n">
        <v>5</v>
      </c>
      <c r="FZ163" s="0" t="n">
        <v>3</v>
      </c>
      <c r="GA163" s="0" t="n">
        <v>0.350287370649638</v>
      </c>
      <c r="GB163" s="0" t="n">
        <v>56.3</v>
      </c>
      <c r="GC163" s="0" t="n">
        <v>25.8</v>
      </c>
      <c r="GD163" s="0" t="n">
        <v>38.6</v>
      </c>
      <c r="GE163" s="0" t="n">
        <v>472</v>
      </c>
      <c r="GF163" s="0" t="n">
        <v>456</v>
      </c>
      <c r="GG163" s="0" t="n">
        <v>76</v>
      </c>
      <c r="GH163" s="0" t="n">
        <v>117</v>
      </c>
      <c r="GI163" s="0" t="n">
        <v>116</v>
      </c>
      <c r="GJ163" s="0" t="n">
        <v>27</v>
      </c>
      <c r="GK163" s="0" t="n">
        <v>0.161</v>
      </c>
      <c r="GL163" s="0" t="n">
        <v>0.257</v>
      </c>
      <c r="GM163" s="0" t="n">
        <v>0.233</v>
      </c>
      <c r="GN163" s="0" t="n">
        <v>5.494</v>
      </c>
      <c r="GO163" s="0" t="n">
        <v>4.462</v>
      </c>
      <c r="GP163" s="0" t="n">
        <v>3.431</v>
      </c>
      <c r="GQ163" s="0" t="n">
        <v>4.625</v>
      </c>
      <c r="GR163" s="0" t="n">
        <v>0.062</v>
      </c>
      <c r="GS163" s="0" t="n">
        <v>75</v>
      </c>
      <c r="GT163" s="0" t="n">
        <v>1.172</v>
      </c>
      <c r="GU163" s="0" t="n">
        <v>0.177</v>
      </c>
      <c r="GV163" s="0" t="n">
        <v>6.122</v>
      </c>
      <c r="GW163" s="0" t="n">
        <v>13.727</v>
      </c>
      <c r="GX163" s="0" t="n">
        <v>0.446</v>
      </c>
      <c r="GZ163" s="0" t="n">
        <v>14.892</v>
      </c>
      <c r="HA163" s="0" t="n">
        <v>2.424</v>
      </c>
      <c r="HB163" s="0" t="n">
        <v>0.411</v>
      </c>
      <c r="HC163" s="0" t="n">
        <v>0.027</v>
      </c>
      <c r="HE163" s="0" t="n">
        <v>-0.218</v>
      </c>
      <c r="HG163" s="0" t="n">
        <v>171.09</v>
      </c>
      <c r="HH163" s="0" t="n">
        <v>24.55</v>
      </c>
      <c r="HI163" s="0" t="n">
        <v>133</v>
      </c>
      <c r="HJ163" s="0" t="n">
        <v>270</v>
      </c>
      <c r="HK163" s="0" t="s">
        <v>909</v>
      </c>
      <c r="HL163" s="0" t="n">
        <v>0</v>
      </c>
      <c r="HM163" s="0" t="n">
        <v>65</v>
      </c>
      <c r="HN163" s="0" t="n">
        <v>63</v>
      </c>
      <c r="HO163" s="0" t="n">
        <v>-0.582</v>
      </c>
      <c r="HP163" s="0" t="n">
        <v>77</v>
      </c>
      <c r="HQ163" s="0" t="n">
        <v>-1.108</v>
      </c>
      <c r="HR163" s="0" t="s">
        <v>121</v>
      </c>
    </row>
    <row r="164" customFormat="false" ht="15" hidden="false" customHeight="false" outlineLevel="0" collapsed="false">
      <c r="A164" s="0" t="s">
        <v>896</v>
      </c>
      <c r="B164" s="0" t="s">
        <v>897</v>
      </c>
      <c r="C164" s="0" t="s">
        <v>898</v>
      </c>
      <c r="D164" s="0" t="s">
        <v>467</v>
      </c>
      <c r="E164" s="0" t="n">
        <v>25337</v>
      </c>
      <c r="F164" s="0" t="s">
        <v>99</v>
      </c>
      <c r="G164" s="0" t="n">
        <v>172.63</v>
      </c>
      <c r="H164" s="0" t="n">
        <v>28.44</v>
      </c>
      <c r="I164" s="0" t="n">
        <v>109</v>
      </c>
      <c r="J164" s="0" t="n">
        <v>289</v>
      </c>
      <c r="L164" s="0" t="s">
        <v>1832</v>
      </c>
      <c r="O164" s="0" t="n">
        <v>20.2</v>
      </c>
      <c r="U164" s="0" t="n">
        <v>13</v>
      </c>
      <c r="V164" s="0" t="s">
        <v>467</v>
      </c>
      <c r="W164" s="0" t="s">
        <v>901</v>
      </c>
      <c r="X164" s="0" t="s">
        <v>985</v>
      </c>
      <c r="Y164" s="0" t="s">
        <v>1833</v>
      </c>
      <c r="Z164" s="0" t="n">
        <v>25337</v>
      </c>
      <c r="AA164" s="0" t="s">
        <v>1834</v>
      </c>
      <c r="AB164" s="0" t="s">
        <v>904</v>
      </c>
      <c r="AC164" s="0" t="s">
        <v>142</v>
      </c>
      <c r="AD164" s="0" t="s">
        <v>142</v>
      </c>
      <c r="AE164" s="0" t="s">
        <v>142</v>
      </c>
      <c r="AF164" s="0" t="s">
        <v>142</v>
      </c>
      <c r="AG164" s="0" t="s">
        <v>142</v>
      </c>
      <c r="AH164" s="0" t="s">
        <v>905</v>
      </c>
      <c r="AI164" s="0" t="n">
        <v>1</v>
      </c>
      <c r="AJ164" s="0" t="s">
        <v>270</v>
      </c>
      <c r="AK164" s="0" t="n">
        <v>163</v>
      </c>
      <c r="AL164" s="0" t="n">
        <v>64</v>
      </c>
      <c r="AM164" s="0" t="s">
        <v>468</v>
      </c>
      <c r="AN164" s="0" t="n">
        <v>0</v>
      </c>
      <c r="AO164" s="0" t="n">
        <v>0</v>
      </c>
      <c r="AP164" s="0" t="n">
        <v>0</v>
      </c>
      <c r="AQ164" s="0" t="n">
        <v>0</v>
      </c>
      <c r="AR164" s="0" t="n">
        <v>0</v>
      </c>
      <c r="AS164" s="0" t="n">
        <v>0</v>
      </c>
      <c r="AT164" s="0" t="n">
        <v>0</v>
      </c>
      <c r="AU164" s="0" t="n">
        <v>0</v>
      </c>
      <c r="AV164" s="0" t="n">
        <v>0</v>
      </c>
      <c r="AW164" s="0" t="n">
        <v>11</v>
      </c>
      <c r="AX164" s="0" t="n">
        <v>51</v>
      </c>
      <c r="AY164" s="0" t="n">
        <v>0</v>
      </c>
      <c r="AZ164" s="0" t="n">
        <v>1</v>
      </c>
      <c r="BA164" s="0" t="n">
        <v>-0.469534552539699</v>
      </c>
      <c r="BB164" s="0" t="n">
        <v>0</v>
      </c>
      <c r="BC164" s="0" t="n">
        <v>57</v>
      </c>
      <c r="BD164" s="0" t="n">
        <v>92</v>
      </c>
      <c r="BE164" s="0" t="n">
        <v>696</v>
      </c>
      <c r="BF164" s="0" t="n">
        <v>5</v>
      </c>
      <c r="BG164" s="0" t="n">
        <v>935</v>
      </c>
      <c r="BH164" s="0" t="n">
        <v>291</v>
      </c>
      <c r="BI164" s="0" t="n">
        <v>32</v>
      </c>
      <c r="BJ164" s="0" t="n">
        <v>21.818872602487</v>
      </c>
      <c r="BK164" s="0" t="n">
        <v>0</v>
      </c>
      <c r="BL164" s="0" t="n">
        <v>0</v>
      </c>
      <c r="BM164" s="0" t="n">
        <v>104.7</v>
      </c>
      <c r="BN164" s="0" t="n">
        <v>161.7</v>
      </c>
      <c r="BO164" s="0" t="n">
        <v>17</v>
      </c>
      <c r="BP164" s="0" t="s">
        <v>142</v>
      </c>
      <c r="BQ164" s="0" t="n">
        <v>1</v>
      </c>
      <c r="BR164" s="0" t="n">
        <v>133.2</v>
      </c>
      <c r="BS164" s="0" t="n">
        <v>0.1862</v>
      </c>
      <c r="BT164" s="0" t="n">
        <v>0.0298</v>
      </c>
      <c r="BU164" s="0" t="n">
        <v>0.2923</v>
      </c>
      <c r="BV164" s="0" t="n">
        <v>0.1862</v>
      </c>
      <c r="BW164" s="0" t="n">
        <v>0.0298</v>
      </c>
      <c r="BX164" s="0" t="n">
        <v>0.2923</v>
      </c>
      <c r="BY164" s="0" t="n">
        <v>0.4839</v>
      </c>
      <c r="BZ164" s="0" t="n">
        <v>17</v>
      </c>
      <c r="CA164" s="0" t="n">
        <v>5</v>
      </c>
      <c r="CB164" s="0" t="n">
        <v>12.84</v>
      </c>
      <c r="CC164" s="0" t="n">
        <v>6.8</v>
      </c>
      <c r="CD164" s="0" t="n">
        <v>8.94</v>
      </c>
      <c r="CE164" s="0" t="n">
        <v>1</v>
      </c>
      <c r="CF164" s="0" t="n">
        <v>1</v>
      </c>
      <c r="CG164" s="0" t="n">
        <v>17</v>
      </c>
      <c r="CH164" s="0" t="n">
        <v>0.059</v>
      </c>
      <c r="CI164" s="0" t="n">
        <v>0.059</v>
      </c>
      <c r="CJ164" s="0" t="n">
        <v>1.314</v>
      </c>
      <c r="CK164" s="0" t="n">
        <v>10</v>
      </c>
      <c r="CL164" s="0" t="n">
        <v>5</v>
      </c>
      <c r="CM164" s="0" t="n">
        <v>1</v>
      </c>
      <c r="CN164" s="0" t="n">
        <v>5</v>
      </c>
      <c r="CO164" s="0" t="n">
        <v>3.60585530471939</v>
      </c>
      <c r="CP164" s="0" t="n">
        <v>1</v>
      </c>
      <c r="CQ164" s="0" t="n">
        <v>0</v>
      </c>
      <c r="CR164" s="0" t="n">
        <v>0</v>
      </c>
      <c r="CS164" s="0" t="n">
        <v>0</v>
      </c>
      <c r="CT164" s="0" t="n">
        <v>0.110208382084169</v>
      </c>
      <c r="CU164" s="0" t="n">
        <v>11</v>
      </c>
      <c r="CV164" s="0" t="n">
        <v>5</v>
      </c>
      <c r="CW164" s="0" t="n">
        <v>1</v>
      </c>
      <c r="CX164" s="0" t="n">
        <v>5</v>
      </c>
      <c r="CY164" s="0" t="n">
        <v>3.72</v>
      </c>
      <c r="CZ164" s="0" t="n">
        <v>1.28</v>
      </c>
      <c r="DA164" s="0" t="n">
        <v>3.6219217863116</v>
      </c>
      <c r="DB164" s="0" t="n">
        <v>7.61873563218391</v>
      </c>
      <c r="DC164" s="0" t="n">
        <v>10.3054347826087</v>
      </c>
      <c r="DD164" s="0" t="n">
        <v>29.0818407967829</v>
      </c>
      <c r="DE164" s="0" t="n">
        <v>0.232019825940532</v>
      </c>
      <c r="DF164" s="0" t="n">
        <v>61.9565217391304</v>
      </c>
      <c r="DM164" s="0" t="s">
        <v>1835</v>
      </c>
      <c r="DN164" s="0" t="n">
        <v>11</v>
      </c>
      <c r="DO164" s="0" t="n">
        <v>1</v>
      </c>
      <c r="DS164" s="0" t="n">
        <v>92</v>
      </c>
      <c r="DT164" s="0" t="n">
        <v>3</v>
      </c>
      <c r="DU164" s="0" t="n">
        <v>4</v>
      </c>
      <c r="DV164" s="0" t="n">
        <v>7.105</v>
      </c>
      <c r="DW164" s="0" t="n">
        <v>5.105</v>
      </c>
      <c r="DX164" s="0" t="n">
        <v>9.4</v>
      </c>
      <c r="DY164" s="0" t="n">
        <v>0.0435</v>
      </c>
      <c r="DZ164" s="0" t="n">
        <v>942</v>
      </c>
      <c r="EA164" s="0" t="n">
        <v>0.948</v>
      </c>
      <c r="EB164" s="0" t="n">
        <v>17</v>
      </c>
      <c r="EC164" s="0" t="s">
        <v>1836</v>
      </c>
      <c r="ED164" s="0" t="n">
        <v>2023</v>
      </c>
      <c r="EE164" s="0" t="n">
        <v>3</v>
      </c>
      <c r="EF164" s="0" t="n">
        <v>100</v>
      </c>
      <c r="EG164" s="0" t="n">
        <v>2023</v>
      </c>
      <c r="EH164" s="0" t="n">
        <v>2026</v>
      </c>
      <c r="EI164" s="0" t="n">
        <v>4</v>
      </c>
      <c r="EJ164" s="0" t="n">
        <v>68</v>
      </c>
      <c r="EK164" s="0" t="n">
        <v>177</v>
      </c>
      <c r="EL164" s="0" t="s">
        <v>1431</v>
      </c>
      <c r="EM164" s="0" t="n">
        <v>25.4</v>
      </c>
      <c r="EN164" s="15" t="b">
        <f aca="false">FALSE()</f>
        <v>0</v>
      </c>
      <c r="EO164" s="0" t="n">
        <v>307</v>
      </c>
      <c r="EP164" s="0" t="n">
        <v>2.4599348534202</v>
      </c>
      <c r="EQ164" s="0" t="n">
        <v>0.257328990228013</v>
      </c>
      <c r="ER164" s="0" t="n">
        <v>1.04234527687296</v>
      </c>
      <c r="ES164" s="0" t="n">
        <v>0.605863192182411</v>
      </c>
      <c r="ET164" s="0" t="n">
        <v>30</v>
      </c>
      <c r="EU164" s="0" t="n">
        <v>11</v>
      </c>
      <c r="EV164" s="0" t="n">
        <v>3.64820846905537</v>
      </c>
      <c r="EW164" s="0" t="n">
        <v>0.366666666666667</v>
      </c>
      <c r="EX164" s="0" t="n">
        <v>2.91882875417365</v>
      </c>
      <c r="EY164" s="0" t="n">
        <v>2.49</v>
      </c>
      <c r="EZ164" s="0" t="n">
        <v>0.2502</v>
      </c>
      <c r="FA164" s="0" t="n">
        <v>1.629</v>
      </c>
      <c r="FB164" s="0" t="n">
        <v>1.94</v>
      </c>
      <c r="FC164" s="0" t="n">
        <v>30</v>
      </c>
      <c r="FD164" s="0" t="n">
        <v>598</v>
      </c>
      <c r="FE164" s="0" t="n">
        <v>0.107023411371238</v>
      </c>
      <c r="FF164" s="0" t="n">
        <v>0.1019</v>
      </c>
      <c r="FG164" s="0" t="n">
        <v>0.2641</v>
      </c>
      <c r="FH164" s="0" t="n">
        <v>2.487</v>
      </c>
      <c r="FI164" s="0" t="n">
        <v>942</v>
      </c>
      <c r="FJ164" s="0" t="n">
        <v>0.613588110403397</v>
      </c>
      <c r="FK164" s="0" t="n">
        <v>17</v>
      </c>
      <c r="FL164" s="0" t="n">
        <v>55.41</v>
      </c>
      <c r="FM164" s="0" t="n">
        <v>0.5679</v>
      </c>
      <c r="FN164" s="0" t="n">
        <v>0.4321</v>
      </c>
      <c r="FO164" s="0" t="n">
        <v>-0.0175</v>
      </c>
      <c r="FP164" s="0" t="n">
        <v>-0.2605</v>
      </c>
      <c r="FQ164" s="0" t="n">
        <v>-0.187</v>
      </c>
      <c r="FR164" s="0" t="n">
        <v>38</v>
      </c>
      <c r="FS164" s="0" t="n">
        <v>38</v>
      </c>
      <c r="FT164" s="0" t="n">
        <v>2.24</v>
      </c>
      <c r="FU164" s="0" t="n">
        <v>14.2</v>
      </c>
      <c r="FV164" s="0" t="n">
        <v>4992</v>
      </c>
      <c r="FW164" s="0" t="n">
        <v>1916</v>
      </c>
      <c r="FX164" s="0" t="n">
        <v>0.384</v>
      </c>
      <c r="FY164" s="0" t="n">
        <v>5</v>
      </c>
      <c r="FZ164" s="0" t="n">
        <v>2</v>
      </c>
      <c r="GA164" s="0" t="n">
        <v>-2.33610006354308</v>
      </c>
      <c r="GB164" s="0" t="n">
        <v>7.8</v>
      </c>
      <c r="GC164" s="0" t="n">
        <v>37.5</v>
      </c>
      <c r="GD164" s="0" t="n">
        <v>15.2</v>
      </c>
      <c r="GE164" s="0" t="n">
        <v>494</v>
      </c>
      <c r="GF164" s="0" t="n">
        <v>369</v>
      </c>
      <c r="GG164" s="0" t="n">
        <v>55</v>
      </c>
      <c r="GH164" s="0" t="n">
        <v>58</v>
      </c>
      <c r="GI164" s="0" t="n">
        <v>106</v>
      </c>
      <c r="GJ164" s="0" t="n">
        <v>13</v>
      </c>
      <c r="GK164" s="0" t="n">
        <v>0.111</v>
      </c>
      <c r="GL164" s="0" t="n">
        <v>0.157</v>
      </c>
      <c r="GM164" s="0" t="n">
        <v>0.123</v>
      </c>
      <c r="GN164" s="0" t="n">
        <v>9.512</v>
      </c>
      <c r="GO164" s="0" t="n">
        <v>7.835</v>
      </c>
      <c r="GP164" s="0" t="n">
        <v>6.159</v>
      </c>
      <c r="GQ164" s="0" t="n">
        <v>5.412</v>
      </c>
      <c r="GR164" s="0" t="n">
        <v>0.647</v>
      </c>
      <c r="GS164" s="0" t="n">
        <v>103</v>
      </c>
      <c r="GT164" s="0" t="n">
        <v>1.57</v>
      </c>
      <c r="GU164" s="0" t="n">
        <v>0.172</v>
      </c>
      <c r="GV164" s="0" t="n">
        <v>7.565</v>
      </c>
      <c r="GW164" s="0" t="n">
        <v>12.211</v>
      </c>
      <c r="GX164" s="0" t="n">
        <v>0.62</v>
      </c>
      <c r="GZ164" s="0" t="n">
        <v>10.163</v>
      </c>
      <c r="HA164" s="0" t="n">
        <v>5.105</v>
      </c>
      <c r="HB164" s="0" t="n">
        <v>0.744</v>
      </c>
      <c r="HC164" s="0" t="n">
        <v>0.049</v>
      </c>
      <c r="HE164" s="0" t="n">
        <v>0.237</v>
      </c>
      <c r="HG164" s="0" t="n">
        <v>172.63</v>
      </c>
      <c r="HH164" s="0" t="n">
        <v>28.44</v>
      </c>
      <c r="HI164" s="0" t="n">
        <v>109</v>
      </c>
      <c r="HJ164" s="0" t="n">
        <v>289</v>
      </c>
      <c r="HK164" s="0" t="s">
        <v>909</v>
      </c>
      <c r="HL164" s="0" t="n">
        <v>0</v>
      </c>
      <c r="HM164" s="0" t="n">
        <v>38</v>
      </c>
      <c r="HN164" s="0" t="n">
        <v>64</v>
      </c>
      <c r="HO164" s="0" t="n">
        <v>0.636</v>
      </c>
      <c r="HP164" s="0" t="n">
        <v>50</v>
      </c>
      <c r="HQ164" s="0" t="n">
        <v>0.11</v>
      </c>
      <c r="HR164" s="0" t="s">
        <v>232</v>
      </c>
    </row>
    <row r="165" customFormat="false" ht="15" hidden="false" customHeight="false" outlineLevel="0" collapsed="false">
      <c r="A165" s="0" t="s">
        <v>896</v>
      </c>
      <c r="B165" s="0" t="s">
        <v>897</v>
      </c>
      <c r="C165" s="0" t="s">
        <v>898</v>
      </c>
      <c r="D165" s="0" t="s">
        <v>469</v>
      </c>
      <c r="E165" s="0" t="n">
        <v>28138</v>
      </c>
      <c r="F165" s="0" t="s">
        <v>99</v>
      </c>
      <c r="G165" s="0" t="n">
        <v>174.84</v>
      </c>
      <c r="H165" s="0" t="n">
        <v>42.74</v>
      </c>
      <c r="I165" s="0" t="n">
        <v>100</v>
      </c>
      <c r="J165" s="0" t="n">
        <v>290</v>
      </c>
      <c r="L165" s="0" t="s">
        <v>1837</v>
      </c>
      <c r="O165" s="0" t="n">
        <v>22.7</v>
      </c>
      <c r="U165" s="0" t="n">
        <v>8</v>
      </c>
      <c r="V165" s="0" t="s">
        <v>1838</v>
      </c>
      <c r="W165" s="0" t="s">
        <v>901</v>
      </c>
      <c r="X165" s="0" t="s">
        <v>948</v>
      </c>
      <c r="Y165" s="0" t="s">
        <v>1839</v>
      </c>
      <c r="Z165" s="0" t="n">
        <v>28138</v>
      </c>
      <c r="AA165" s="0" t="s">
        <v>1840</v>
      </c>
      <c r="AB165" s="0" t="s">
        <v>904</v>
      </c>
      <c r="AC165" s="0" t="s">
        <v>124</v>
      </c>
      <c r="AD165" s="0" t="s">
        <v>124</v>
      </c>
      <c r="AE165" s="0" t="s">
        <v>124</v>
      </c>
      <c r="AF165" s="0" t="s">
        <v>124</v>
      </c>
      <c r="AG165" s="0" t="s">
        <v>124</v>
      </c>
      <c r="AH165" s="0" t="s">
        <v>905</v>
      </c>
      <c r="AI165" s="0" t="n">
        <v>4</v>
      </c>
      <c r="AJ165" s="0" t="s">
        <v>99</v>
      </c>
      <c r="AK165" s="0" t="n">
        <v>164</v>
      </c>
      <c r="AL165" s="0" t="n">
        <v>65</v>
      </c>
      <c r="AM165" s="0" t="s">
        <v>470</v>
      </c>
      <c r="EC165" s="0" t="s">
        <v>1841</v>
      </c>
      <c r="EG165" s="0" t="n">
        <v>2026</v>
      </c>
      <c r="EH165" s="0" t="n">
        <v>2026</v>
      </c>
      <c r="EI165" s="0" t="n">
        <v>0</v>
      </c>
      <c r="EJ165" s="0" t="n">
        <v>74</v>
      </c>
      <c r="EK165" s="0" t="n">
        <v>207</v>
      </c>
      <c r="EL165" s="0" t="s">
        <v>1842</v>
      </c>
      <c r="EM165" s="0" t="n">
        <v>23.7</v>
      </c>
      <c r="EN165" s="15" t="b">
        <f aca="false">TRUE()</f>
        <v>1</v>
      </c>
      <c r="EO165" s="0" t="n">
        <v>405</v>
      </c>
      <c r="EP165" s="0" t="n">
        <v>2.91456790123457</v>
      </c>
      <c r="EQ165" s="0" t="n">
        <v>0.180246913580247</v>
      </c>
      <c r="ER165" s="0" t="n">
        <v>1.17530864197531</v>
      </c>
      <c r="ES165" s="0" t="n">
        <v>0.402469135802469</v>
      </c>
      <c r="ET165" s="0" t="n">
        <v>29</v>
      </c>
      <c r="EU165" s="0" t="n">
        <v>19</v>
      </c>
      <c r="EV165" s="0" t="n">
        <v>3.94814814814815</v>
      </c>
      <c r="EW165" s="0" t="n">
        <v>0.655172413793103</v>
      </c>
      <c r="EX165" s="0" t="n">
        <v>2.9571088201075</v>
      </c>
      <c r="EY165" s="0" t="n">
        <v>2.906</v>
      </c>
      <c r="EZ165" s="0" t="n">
        <v>0.1848</v>
      </c>
      <c r="FA165" s="0" t="n">
        <v>2.349</v>
      </c>
      <c r="FB165" s="0" t="n">
        <v>1.428</v>
      </c>
      <c r="FC165" s="0" t="n">
        <v>23</v>
      </c>
      <c r="FD165" s="0" t="n">
        <v>624</v>
      </c>
      <c r="FE165" s="0" t="n">
        <v>0.0432692307692308</v>
      </c>
      <c r="FF165" s="0" t="n">
        <v>0.0428</v>
      </c>
      <c r="FG165" s="0" t="n">
        <v>0.2125</v>
      </c>
      <c r="FH165" s="0" t="n">
        <v>2.547</v>
      </c>
      <c r="FI165" s="0" t="n">
        <v>1065</v>
      </c>
      <c r="FJ165" s="0" t="n">
        <v>0.566197183098592</v>
      </c>
      <c r="FK165" s="0" t="n">
        <v>17</v>
      </c>
      <c r="FL165" s="0" t="n">
        <v>62.65</v>
      </c>
      <c r="FM165" s="0" t="n">
        <v>0.5521</v>
      </c>
      <c r="FN165" s="0" t="n">
        <v>0.4479</v>
      </c>
      <c r="FO165" s="0" t="n">
        <v>-0.0088</v>
      </c>
      <c r="FP165" s="0" t="n">
        <v>-0.0044</v>
      </c>
      <c r="FQ165" s="0" t="n">
        <v>0.1587</v>
      </c>
      <c r="FR165" s="0" t="n">
        <v>38</v>
      </c>
      <c r="FS165" s="0" t="n">
        <v>66</v>
      </c>
      <c r="FT165" s="0" t="n">
        <v>3.88</v>
      </c>
      <c r="FU165" s="0" t="n">
        <v>25.7</v>
      </c>
      <c r="FV165" s="0" t="n">
        <v>5615</v>
      </c>
      <c r="FW165" s="0" t="n">
        <v>4784</v>
      </c>
      <c r="FX165" s="0" t="n">
        <v>0.852</v>
      </c>
      <c r="FY165" s="0" t="n">
        <v>5</v>
      </c>
      <c r="FZ165" s="0" t="n">
        <v>4</v>
      </c>
      <c r="GA165" s="0" t="n">
        <v>-0.196965652614142</v>
      </c>
      <c r="GB165" s="0" t="n">
        <v>46.4</v>
      </c>
      <c r="GC165" s="0" t="n">
        <v>74.5</v>
      </c>
      <c r="GD165" s="0" t="n">
        <v>63.3</v>
      </c>
      <c r="GE165" s="0" t="n">
        <v>550</v>
      </c>
      <c r="GF165" s="0" t="n">
        <v>481</v>
      </c>
      <c r="GG165" s="0" t="n">
        <v>170</v>
      </c>
      <c r="GH165" s="0" t="n">
        <v>94</v>
      </c>
      <c r="GI165" s="0" t="n">
        <v>185</v>
      </c>
      <c r="GJ165" s="0" t="n">
        <v>38</v>
      </c>
      <c r="GK165" s="0" t="n">
        <v>0.309</v>
      </c>
      <c r="GL165" s="0" t="n">
        <v>0.195</v>
      </c>
      <c r="GM165" s="0" t="n">
        <v>0.205</v>
      </c>
      <c r="HF165" s="0" t="s">
        <v>206</v>
      </c>
      <c r="HG165" s="0" t="n">
        <v>174.84</v>
      </c>
      <c r="HH165" s="0" t="n">
        <v>42.74</v>
      </c>
      <c r="HI165" s="0" t="n">
        <v>100</v>
      </c>
      <c r="HJ165" s="0" t="n">
        <v>290</v>
      </c>
      <c r="HK165" s="0" t="s">
        <v>909</v>
      </c>
      <c r="HL165" s="0" t="n">
        <v>0</v>
      </c>
      <c r="HN165" s="0" t="n">
        <v>65</v>
      </c>
    </row>
    <row r="166" customFormat="false" ht="15" hidden="false" customHeight="false" outlineLevel="0" collapsed="false">
      <c r="A166" s="0" t="s">
        <v>896</v>
      </c>
      <c r="B166" s="0" t="s">
        <v>897</v>
      </c>
      <c r="C166" s="0" t="s">
        <v>898</v>
      </c>
      <c r="D166" s="0" t="s">
        <v>471</v>
      </c>
      <c r="E166" s="0" t="n">
        <v>26034</v>
      </c>
      <c r="F166" s="0" t="s">
        <v>99</v>
      </c>
      <c r="G166" s="0" t="n">
        <v>175.65</v>
      </c>
      <c r="H166" s="0" t="n">
        <v>30.86</v>
      </c>
      <c r="I166" s="0" t="n">
        <v>116</v>
      </c>
      <c r="J166" s="0" t="n">
        <v>292</v>
      </c>
      <c r="L166" s="0" t="s">
        <v>1843</v>
      </c>
      <c r="O166" s="0" t="n">
        <v>66.2</v>
      </c>
      <c r="U166" s="0" t="n">
        <v>7</v>
      </c>
      <c r="V166" s="0" t="s">
        <v>471</v>
      </c>
      <c r="W166" s="0" t="s">
        <v>901</v>
      </c>
      <c r="X166" s="0" t="s">
        <v>1284</v>
      </c>
      <c r="Y166" s="0" t="s">
        <v>1844</v>
      </c>
      <c r="Z166" s="0" t="n">
        <v>26034</v>
      </c>
      <c r="AA166" s="0" t="s">
        <v>1845</v>
      </c>
      <c r="AB166" s="0" t="s">
        <v>904</v>
      </c>
      <c r="AC166" s="0" t="s">
        <v>235</v>
      </c>
      <c r="AD166" s="0" t="s">
        <v>235</v>
      </c>
      <c r="AE166" s="0" t="s">
        <v>235</v>
      </c>
      <c r="AF166" s="0" t="s">
        <v>235</v>
      </c>
      <c r="AG166" s="0" t="s">
        <v>235</v>
      </c>
      <c r="AH166" s="0" t="s">
        <v>905</v>
      </c>
      <c r="AI166" s="0" t="n">
        <v>1</v>
      </c>
      <c r="AJ166" s="0" t="s">
        <v>473</v>
      </c>
      <c r="AK166" s="0" t="n">
        <v>165</v>
      </c>
      <c r="AL166" s="0" t="n">
        <v>66</v>
      </c>
      <c r="AM166" s="0" t="s">
        <v>472</v>
      </c>
      <c r="AN166" s="0" t="n">
        <v>0</v>
      </c>
      <c r="AO166" s="0" t="n">
        <v>0</v>
      </c>
      <c r="AP166" s="0" t="n">
        <v>0</v>
      </c>
      <c r="AQ166" s="0" t="n">
        <v>0</v>
      </c>
      <c r="AR166" s="0" t="n">
        <v>0</v>
      </c>
      <c r="AS166" s="0" t="n">
        <v>0</v>
      </c>
      <c r="AT166" s="0" t="n">
        <v>0</v>
      </c>
      <c r="AU166" s="0" t="n">
        <v>0</v>
      </c>
      <c r="AV166" s="0" t="n">
        <v>0</v>
      </c>
      <c r="AW166" s="0" t="n">
        <v>1</v>
      </c>
      <c r="AX166" s="0" t="n">
        <v>0</v>
      </c>
      <c r="AY166" s="0" t="n">
        <v>0</v>
      </c>
      <c r="AZ166" s="0" t="n">
        <v>0</v>
      </c>
      <c r="BA166" s="0" t="n">
        <v>-0.661191540188156</v>
      </c>
      <c r="BB166" s="0" t="n">
        <v>0</v>
      </c>
      <c r="BC166" s="0" t="n">
        <v>28</v>
      </c>
      <c r="BD166" s="0" t="n">
        <v>45</v>
      </c>
      <c r="BE166" s="0" t="n">
        <v>298</v>
      </c>
      <c r="BF166" s="0" t="n">
        <v>1</v>
      </c>
      <c r="BG166" s="0" t="n">
        <v>354</v>
      </c>
      <c r="BH166" s="0" t="n">
        <v>140</v>
      </c>
      <c r="BI166" s="0" t="n">
        <v>12</v>
      </c>
      <c r="BJ166" s="0" t="n">
        <v>-2.30709011504414</v>
      </c>
      <c r="BK166" s="0" t="n">
        <v>0</v>
      </c>
      <c r="BL166" s="0" t="n">
        <v>0</v>
      </c>
      <c r="BM166" s="0" t="n">
        <v>35.8</v>
      </c>
      <c r="BN166" s="0" t="n">
        <v>63.8</v>
      </c>
      <c r="BO166" s="0" t="n">
        <v>7</v>
      </c>
      <c r="BP166" s="0" t="s">
        <v>235</v>
      </c>
      <c r="BQ166" s="0" t="n">
        <v>1</v>
      </c>
      <c r="BR166" s="0" t="n">
        <v>49.8</v>
      </c>
      <c r="BS166" s="0" t="n">
        <v>0.0823</v>
      </c>
      <c r="BT166" s="0" t="n">
        <v>0.002</v>
      </c>
      <c r="BU166" s="0" t="n">
        <v>0.0726</v>
      </c>
      <c r="BV166" s="0" t="n">
        <v>0.1786</v>
      </c>
      <c r="BW166" s="0" t="n">
        <v>0.0056</v>
      </c>
      <c r="BX166" s="0" t="n">
        <v>0.1683</v>
      </c>
      <c r="BY166" s="0" t="n">
        <v>0.3857</v>
      </c>
      <c r="BZ166" s="0" t="n">
        <v>7</v>
      </c>
      <c r="CK166" s="0" t="n">
        <v>5</v>
      </c>
      <c r="CL166" s="0" t="n">
        <v>2</v>
      </c>
      <c r="CM166" s="0" t="n">
        <v>0</v>
      </c>
      <c r="CN166" s="0" t="n">
        <v>1</v>
      </c>
      <c r="CO166" s="0" t="n">
        <v>1.9554367158119</v>
      </c>
      <c r="CP166" s="0" t="n">
        <v>1</v>
      </c>
      <c r="CQ166" s="0" t="n">
        <v>0</v>
      </c>
      <c r="CR166" s="0" t="n">
        <v>0</v>
      </c>
      <c r="CS166" s="0" t="n">
        <v>0</v>
      </c>
      <c r="CT166" s="0" t="n">
        <v>0.0446791226645004</v>
      </c>
      <c r="CU166" s="0" t="n">
        <v>6</v>
      </c>
      <c r="CV166" s="0" t="n">
        <v>2</v>
      </c>
      <c r="CW166" s="0" t="n">
        <v>0</v>
      </c>
      <c r="CX166" s="0" t="n">
        <v>1</v>
      </c>
      <c r="CY166" s="0" t="n">
        <v>2</v>
      </c>
      <c r="CZ166" s="0" t="n">
        <v>-1</v>
      </c>
      <c r="DA166" s="0" t="n">
        <v>3.3185259802665</v>
      </c>
      <c r="DB166" s="0" t="n">
        <v>7.03475</v>
      </c>
      <c r="DC166" s="0" t="n">
        <v>7.59466666666667</v>
      </c>
      <c r="DD166" s="0" t="n">
        <v>7.00537455878193</v>
      </c>
      <c r="DE166" s="0" t="n">
        <v>0.762109481768929</v>
      </c>
      <c r="DF166" s="0" t="n">
        <v>62.2222222222222</v>
      </c>
      <c r="DM166" s="0" t="s">
        <v>1846</v>
      </c>
      <c r="DN166" s="0" t="n">
        <v>1</v>
      </c>
      <c r="DO166" s="0" t="n">
        <v>0</v>
      </c>
      <c r="DS166" s="0" t="n">
        <v>45</v>
      </c>
      <c r="DT166" s="0" t="n">
        <v>3</v>
      </c>
      <c r="DU166" s="0" t="n">
        <v>2</v>
      </c>
      <c r="DV166" s="0" t="n">
        <v>5.643</v>
      </c>
      <c r="DW166" s="0" t="n">
        <v>5</v>
      </c>
      <c r="DX166" s="0" t="n">
        <v>7.8</v>
      </c>
      <c r="DY166" s="0" t="n">
        <v>0.0444</v>
      </c>
      <c r="DZ166" s="0" t="n">
        <v>324</v>
      </c>
      <c r="EA166" s="0" t="n">
        <v>0.663</v>
      </c>
      <c r="EB166" s="0" t="n">
        <v>7</v>
      </c>
      <c r="EC166" s="0" t="s">
        <v>1847</v>
      </c>
      <c r="ED166" s="0" t="n">
        <v>2025</v>
      </c>
      <c r="EE166" s="0" t="n">
        <v>1</v>
      </c>
      <c r="EF166" s="0" t="n">
        <v>2</v>
      </c>
      <c r="EG166" s="0" t="n">
        <v>2025</v>
      </c>
      <c r="EH166" s="0" t="n">
        <v>2026</v>
      </c>
      <c r="EI166" s="0" t="n">
        <v>2</v>
      </c>
      <c r="EJ166" s="0" t="n">
        <v>73</v>
      </c>
      <c r="EK166" s="0" t="n">
        <v>185</v>
      </c>
      <c r="EL166" s="0" t="s">
        <v>1848</v>
      </c>
      <c r="EM166" s="0" t="n">
        <v>23.3</v>
      </c>
      <c r="EN166" s="15" t="b">
        <f aca="false">FALSE()</f>
        <v>0</v>
      </c>
      <c r="EO166" s="0" t="n">
        <v>373</v>
      </c>
      <c r="EP166" s="0" t="n">
        <v>2.85254691689008</v>
      </c>
      <c r="EQ166" s="0" t="n">
        <v>0.184986595174263</v>
      </c>
      <c r="ER166" s="0" t="n">
        <v>1.10991957104558</v>
      </c>
      <c r="ES166" s="0" t="n">
        <v>0.683646112600536</v>
      </c>
      <c r="ET166" s="0" t="n">
        <v>30</v>
      </c>
      <c r="EU166" s="0" t="n">
        <v>15</v>
      </c>
      <c r="EV166" s="0" t="n">
        <v>4.1313672922252</v>
      </c>
      <c r="EW166" s="0" t="n">
        <v>0.5</v>
      </c>
      <c r="EX166" s="0" t="n">
        <v>2.91568836248392</v>
      </c>
      <c r="EY166" s="0" t="n">
        <v>2.885</v>
      </c>
      <c r="EZ166" s="0" t="n">
        <v>0.1784</v>
      </c>
      <c r="FA166" s="0" t="n">
        <v>2.219</v>
      </c>
      <c r="FB166" s="0" t="n">
        <v>1.781</v>
      </c>
      <c r="FC166" s="0" t="n">
        <v>22</v>
      </c>
      <c r="FD166" s="0" t="n">
        <v>644</v>
      </c>
      <c r="FE166" s="0" t="n">
        <v>0.0636645962732919</v>
      </c>
      <c r="FF166" s="0" t="n">
        <v>0.0647</v>
      </c>
      <c r="FG166" s="0" t="n">
        <v>0.2504</v>
      </c>
      <c r="FH166" s="0" t="n">
        <v>2.395</v>
      </c>
      <c r="FI166" s="0" t="n">
        <v>1074</v>
      </c>
      <c r="FJ166" s="0" t="n">
        <v>0.56145251396648</v>
      </c>
      <c r="FK166" s="0" t="n">
        <v>17</v>
      </c>
      <c r="FL166" s="0" t="n">
        <v>63.18</v>
      </c>
      <c r="FM166" s="0" t="n">
        <v>0.5756</v>
      </c>
      <c r="FN166" s="0" t="n">
        <v>0.4244</v>
      </c>
      <c r="FO166" s="0" t="n">
        <v>0.0164</v>
      </c>
      <c r="FP166" s="0" t="n">
        <v>-0.0041</v>
      </c>
      <c r="FQ166" s="0" t="n">
        <v>0.0592</v>
      </c>
      <c r="FR166" s="0" t="n">
        <v>40</v>
      </c>
      <c r="FS166" s="0" t="n">
        <v>72</v>
      </c>
      <c r="FT166" s="0" t="n">
        <v>4.24</v>
      </c>
      <c r="FU166" s="0" t="n">
        <v>27.9</v>
      </c>
      <c r="FV166" s="0" t="n">
        <v>5856</v>
      </c>
      <c r="FW166" s="0" t="n">
        <v>5856</v>
      </c>
      <c r="FX166" s="0" t="n">
        <v>1</v>
      </c>
      <c r="FY166" s="0" t="n">
        <v>5</v>
      </c>
      <c r="FZ166" s="0" t="n">
        <v>5</v>
      </c>
      <c r="GA166" s="0" t="n">
        <v>-0.543031520615496</v>
      </c>
      <c r="GB166" s="0" t="n">
        <v>40.2</v>
      </c>
      <c r="GC166" s="0" t="n">
        <v>50.8</v>
      </c>
      <c r="GD166" s="0" t="n">
        <v>44.3</v>
      </c>
      <c r="GE166" s="0" t="n">
        <v>547</v>
      </c>
      <c r="GF166" s="0" t="n">
        <v>489</v>
      </c>
      <c r="GG166" s="0" t="n">
        <v>132</v>
      </c>
      <c r="GH166" s="0" t="n">
        <v>271</v>
      </c>
      <c r="GI166" s="0" t="n">
        <v>198</v>
      </c>
      <c r="GJ166" s="0" t="n">
        <v>85</v>
      </c>
      <c r="GK166" s="0" t="n">
        <v>0.241</v>
      </c>
      <c r="GL166" s="0" t="n">
        <v>0.554</v>
      </c>
      <c r="GM166" s="0" t="n">
        <v>0.429</v>
      </c>
      <c r="GN166" s="0" t="n">
        <v>9.114</v>
      </c>
      <c r="GO166" s="0" t="n">
        <v>7.114</v>
      </c>
      <c r="GP166" s="0" t="n">
        <v>5.114</v>
      </c>
      <c r="GQ166" s="0" t="n">
        <v>6.429</v>
      </c>
      <c r="GR166" s="0" t="n">
        <v>0.143</v>
      </c>
      <c r="GS166" s="0" t="n">
        <v>46</v>
      </c>
      <c r="GT166" s="0" t="n">
        <v>1.387</v>
      </c>
      <c r="GU166" s="0" t="n">
        <v>0.197</v>
      </c>
      <c r="GV166" s="0" t="n">
        <v>6.622</v>
      </c>
      <c r="GW166" s="0" t="n">
        <v>10.643</v>
      </c>
      <c r="GX166" s="0" t="n">
        <v>0.622</v>
      </c>
      <c r="GZ166" s="0" t="n">
        <v>7.867</v>
      </c>
      <c r="HA166" s="0" t="n">
        <v>5</v>
      </c>
      <c r="HB166" s="0" t="n">
        <v>0.842</v>
      </c>
      <c r="HC166" s="0" t="n">
        <v>0.022</v>
      </c>
      <c r="HE166" s="0" t="n">
        <v>-0.051</v>
      </c>
      <c r="HG166" s="0" t="n">
        <v>175.65</v>
      </c>
      <c r="HH166" s="0" t="n">
        <v>30.86</v>
      </c>
      <c r="HI166" s="0" t="n">
        <v>116</v>
      </c>
      <c r="HJ166" s="0" t="n">
        <v>292</v>
      </c>
      <c r="HK166" s="0" t="s">
        <v>909</v>
      </c>
      <c r="HL166" s="0" t="n">
        <v>0</v>
      </c>
      <c r="HM166" s="0" t="n">
        <v>77</v>
      </c>
      <c r="HN166" s="0" t="n">
        <v>66</v>
      </c>
      <c r="HO166" s="0" t="n">
        <v>-1.002</v>
      </c>
      <c r="HP166" s="0" t="n">
        <v>52</v>
      </c>
      <c r="HQ166" s="0" t="n">
        <v>0.093</v>
      </c>
      <c r="HR166" s="0" t="s">
        <v>165</v>
      </c>
    </row>
    <row r="167" customFormat="false" ht="15" hidden="false" customHeight="false" outlineLevel="0" collapsed="false">
      <c r="A167" s="0" t="s">
        <v>896</v>
      </c>
      <c r="B167" s="0" t="s">
        <v>897</v>
      </c>
      <c r="C167" s="0" t="s">
        <v>898</v>
      </c>
      <c r="D167" s="0" t="s">
        <v>474</v>
      </c>
      <c r="E167" s="0" t="n">
        <v>25997</v>
      </c>
      <c r="F167" s="0" t="s">
        <v>149</v>
      </c>
      <c r="G167" s="0" t="n">
        <v>178.5</v>
      </c>
      <c r="H167" s="0" t="n">
        <v>35.54</v>
      </c>
      <c r="I167" s="0" t="n">
        <v>97</v>
      </c>
      <c r="J167" s="0" t="n">
        <v>246</v>
      </c>
      <c r="L167" s="0" t="s">
        <v>1849</v>
      </c>
      <c r="O167" s="0" t="n">
        <v>44.9</v>
      </c>
      <c r="U167" s="0" t="n">
        <v>7</v>
      </c>
      <c r="V167" s="0" t="s">
        <v>1850</v>
      </c>
      <c r="W167" s="0" t="s">
        <v>901</v>
      </c>
      <c r="X167" s="0" t="s">
        <v>170</v>
      </c>
      <c r="Y167" s="0" t="s">
        <v>1851</v>
      </c>
      <c r="Z167" s="0" t="n">
        <v>25997</v>
      </c>
      <c r="AA167" s="0" t="s">
        <v>1852</v>
      </c>
      <c r="AB167" s="0" t="s">
        <v>904</v>
      </c>
      <c r="AC167" s="0" t="s">
        <v>170</v>
      </c>
      <c r="AD167" s="0" t="s">
        <v>170</v>
      </c>
      <c r="AE167" s="0" t="s">
        <v>170</v>
      </c>
      <c r="AF167" s="0" t="s">
        <v>170</v>
      </c>
      <c r="AG167" s="0" t="s">
        <v>170</v>
      </c>
      <c r="AH167" s="0" t="s">
        <v>905</v>
      </c>
      <c r="AI167" s="0" t="n">
        <v>1</v>
      </c>
      <c r="AJ167" s="0" t="s">
        <v>149</v>
      </c>
      <c r="AK167" s="0" t="n">
        <v>166</v>
      </c>
      <c r="AL167" s="0" t="n">
        <v>20</v>
      </c>
      <c r="AM167" s="0" t="s">
        <v>475</v>
      </c>
      <c r="AN167" s="0" t="n">
        <v>0</v>
      </c>
      <c r="AO167" s="0" t="n">
        <v>0</v>
      </c>
      <c r="AP167" s="0" t="n">
        <v>0</v>
      </c>
      <c r="AQ167" s="0" t="n">
        <v>0</v>
      </c>
      <c r="AR167" s="0" t="n">
        <v>0</v>
      </c>
      <c r="AS167" s="0" t="n">
        <v>0</v>
      </c>
      <c r="AT167" s="0" t="n">
        <v>0</v>
      </c>
      <c r="AU167" s="0" t="n">
        <v>0</v>
      </c>
      <c r="AV167" s="0" t="n">
        <v>0</v>
      </c>
      <c r="AW167" s="0" t="n">
        <v>0</v>
      </c>
      <c r="AX167" s="0" t="n">
        <v>0</v>
      </c>
      <c r="AY167" s="0" t="n">
        <v>0</v>
      </c>
      <c r="AZ167" s="0" t="n">
        <v>0</v>
      </c>
      <c r="BA167" s="0" t="n">
        <v>0</v>
      </c>
      <c r="BB167" s="0" t="n">
        <v>0</v>
      </c>
      <c r="BC167" s="0" t="n">
        <v>49</v>
      </c>
      <c r="BD167" s="0" t="n">
        <v>69</v>
      </c>
      <c r="BE167" s="0" t="n">
        <v>664</v>
      </c>
      <c r="BF167" s="0" t="n">
        <v>3</v>
      </c>
      <c r="BG167" s="0" t="n">
        <v>624</v>
      </c>
      <c r="BH167" s="0" t="n">
        <v>221</v>
      </c>
      <c r="BI167" s="0" t="n">
        <v>28</v>
      </c>
      <c r="BJ167" s="0" t="n">
        <v>16.5150553240987</v>
      </c>
      <c r="BK167" s="0" t="n">
        <v>1</v>
      </c>
      <c r="BL167" s="0" t="n">
        <v>0</v>
      </c>
      <c r="BM167" s="0" t="n">
        <v>82.4</v>
      </c>
      <c r="BN167" s="0" t="n">
        <v>131.4</v>
      </c>
      <c r="BO167" s="0" t="n">
        <v>15</v>
      </c>
      <c r="BP167" s="0" t="s">
        <v>170</v>
      </c>
      <c r="BQ167" s="0" t="n">
        <v>1</v>
      </c>
      <c r="BR167" s="0" t="n">
        <v>106.9</v>
      </c>
      <c r="BS167" s="0" t="n">
        <v>0.1268</v>
      </c>
      <c r="BT167" s="0" t="n">
        <v>0</v>
      </c>
      <c r="BU167" s="0" t="n">
        <v>0.1416</v>
      </c>
      <c r="BV167" s="0" t="n">
        <v>0.1429</v>
      </c>
      <c r="BW167" s="0" t="n">
        <v>0</v>
      </c>
      <c r="BX167" s="0" t="n">
        <v>0.1633</v>
      </c>
      <c r="BY167" s="0" t="n">
        <v>0.3287</v>
      </c>
      <c r="BZ167" s="0" t="n">
        <v>15</v>
      </c>
      <c r="CA167" s="0" t="n">
        <v>3.65</v>
      </c>
      <c r="CB167" s="0" t="n">
        <v>12.16</v>
      </c>
      <c r="CC167" s="0" t="n">
        <v>6.1</v>
      </c>
      <c r="CD167" s="0" t="n">
        <v>7.54</v>
      </c>
      <c r="CE167" s="0" t="n">
        <v>2</v>
      </c>
      <c r="CF167" s="0" t="n">
        <v>1</v>
      </c>
      <c r="CG167" s="0" t="n">
        <v>15</v>
      </c>
      <c r="CH167" s="0" t="n">
        <v>0.133</v>
      </c>
      <c r="CI167" s="0" t="n">
        <v>0.067</v>
      </c>
      <c r="CJ167" s="0" t="n">
        <v>1.237</v>
      </c>
      <c r="CK167" s="0" t="n">
        <v>15</v>
      </c>
      <c r="CL167" s="0" t="n">
        <v>5</v>
      </c>
      <c r="CM167" s="0" t="n">
        <v>1</v>
      </c>
      <c r="CN167" s="0" t="n">
        <v>3</v>
      </c>
      <c r="CO167" s="0" t="n">
        <v>3.98229378335859</v>
      </c>
      <c r="CP167" s="0" t="n">
        <v>0</v>
      </c>
      <c r="CQ167" s="0" t="n">
        <v>0</v>
      </c>
      <c r="CR167" s="0" t="n">
        <v>0</v>
      </c>
      <c r="CS167" s="0" t="n">
        <v>0</v>
      </c>
      <c r="CT167" s="0" t="n">
        <v>0</v>
      </c>
      <c r="CU167" s="0" t="n">
        <v>15</v>
      </c>
      <c r="CV167" s="0" t="n">
        <v>5</v>
      </c>
      <c r="CW167" s="0" t="n">
        <v>1</v>
      </c>
      <c r="CX167" s="0" t="n">
        <v>3</v>
      </c>
      <c r="CY167" s="0" t="n">
        <v>3.98</v>
      </c>
      <c r="CZ167" s="0" t="n">
        <v>-0.98</v>
      </c>
      <c r="DA167" s="0" t="n">
        <v>3.16367343364934</v>
      </c>
      <c r="DB167" s="0" t="n">
        <v>5.95758620689655</v>
      </c>
      <c r="DC167" s="0" t="n">
        <v>9.0204347826087</v>
      </c>
      <c r="DD167" s="0" t="n">
        <v>14.0551221109443</v>
      </c>
      <c r="DE167" s="0" t="n">
        <v>1.34867647299471</v>
      </c>
      <c r="DF167" s="0" t="n">
        <v>71.0144927536232</v>
      </c>
      <c r="DM167" s="0" t="s">
        <v>1853</v>
      </c>
      <c r="DS167" s="0" t="n">
        <v>69</v>
      </c>
      <c r="DT167" s="0" t="n">
        <v>1</v>
      </c>
      <c r="DU167" s="0" t="n">
        <v>5</v>
      </c>
      <c r="DV167" s="0" t="n">
        <v>9.041</v>
      </c>
      <c r="DW167" s="0" t="n">
        <v>4.51</v>
      </c>
      <c r="DX167" s="0" t="n">
        <v>9</v>
      </c>
      <c r="DY167" s="0" t="n">
        <v>0.0725</v>
      </c>
      <c r="DZ167" s="0" t="n">
        <v>627</v>
      </c>
      <c r="EA167" s="0" t="n">
        <v>0.626</v>
      </c>
      <c r="EB167" s="0" t="n">
        <v>15</v>
      </c>
      <c r="EC167" s="0" t="s">
        <v>1854</v>
      </c>
      <c r="ED167" s="0" t="n">
        <v>2025</v>
      </c>
      <c r="EE167" s="0" t="n">
        <v>5</v>
      </c>
      <c r="EF167" s="0" t="n">
        <v>165</v>
      </c>
      <c r="EG167" s="0" t="n">
        <v>2025</v>
      </c>
      <c r="EH167" s="0" t="n">
        <v>2026</v>
      </c>
      <c r="EI167" s="0" t="n">
        <v>2</v>
      </c>
      <c r="EJ167" s="0" t="n">
        <v>77</v>
      </c>
      <c r="EK167" s="0" t="n">
        <v>236</v>
      </c>
      <c r="EL167" s="0" t="s">
        <v>1855</v>
      </c>
      <c r="EM167" s="0" t="n">
        <v>23.1</v>
      </c>
      <c r="EN167" s="15" t="b">
        <f aca="false">FALSE()</f>
        <v>0</v>
      </c>
      <c r="EO167" s="0" t="n">
        <v>359</v>
      </c>
      <c r="EP167" s="0" t="n">
        <v>2.71309192200557</v>
      </c>
      <c r="EQ167" s="0" t="n">
        <v>0.22841225626741</v>
      </c>
      <c r="ER167" s="0" t="n">
        <v>1.12534818941504</v>
      </c>
      <c r="ES167" s="0" t="n">
        <v>0.746518105849582</v>
      </c>
      <c r="ET167" s="0" t="n">
        <v>36</v>
      </c>
      <c r="EU167" s="0" t="n">
        <v>22</v>
      </c>
      <c r="EV167" s="0" t="n">
        <v>4.06685236768802</v>
      </c>
      <c r="EW167" s="0" t="n">
        <v>0.611111111111111</v>
      </c>
      <c r="EX167" s="0" t="n">
        <v>2.89104964249176</v>
      </c>
      <c r="EY167" s="0" t="n">
        <v>2.77</v>
      </c>
      <c r="EZ167" s="0" t="n">
        <v>0.2195</v>
      </c>
      <c r="FA167" s="0" t="n">
        <v>2.614</v>
      </c>
      <c r="FB167" s="0" t="n">
        <v>1.822</v>
      </c>
      <c r="FC167" s="0" t="n">
        <v>24</v>
      </c>
      <c r="FD167" s="0" t="n">
        <v>681</v>
      </c>
      <c r="FE167" s="0" t="n">
        <v>0.0881057268722467</v>
      </c>
      <c r="FF167" s="0" t="n">
        <v>0.0832</v>
      </c>
      <c r="FG167" s="0" t="n">
        <v>0.3427</v>
      </c>
      <c r="FH167" s="0" t="n">
        <v>2.37</v>
      </c>
      <c r="FI167" s="0" t="n">
        <v>1080</v>
      </c>
      <c r="FJ167" s="0" t="n">
        <v>0.578703703703704</v>
      </c>
      <c r="FK167" s="0" t="n">
        <v>17</v>
      </c>
      <c r="FL167" s="0" t="n">
        <v>63.53</v>
      </c>
      <c r="FM167" s="0" t="n">
        <v>0.579</v>
      </c>
      <c r="FN167" s="0" t="n">
        <v>0.421</v>
      </c>
      <c r="FO167" s="0" t="n">
        <v>0.0064</v>
      </c>
      <c r="FP167" s="0" t="n">
        <v>0.0187</v>
      </c>
      <c r="FQ167" s="0" t="n">
        <v>-0.0542</v>
      </c>
      <c r="FR167" s="0" t="n">
        <v>39</v>
      </c>
      <c r="FS167" s="0" t="n">
        <v>59</v>
      </c>
      <c r="FT167" s="0" t="n">
        <v>3.47</v>
      </c>
      <c r="FU167" s="0" t="n">
        <v>21.6</v>
      </c>
      <c r="FV167" s="0" t="n">
        <v>5784</v>
      </c>
      <c r="FW167" s="0" t="n">
        <v>1183</v>
      </c>
      <c r="FX167" s="0" t="n">
        <v>0.205</v>
      </c>
      <c r="FY167" s="0" t="n">
        <v>5</v>
      </c>
      <c r="FZ167" s="0" t="n">
        <v>1</v>
      </c>
      <c r="GA167" s="0" t="n">
        <v>-0.516900207039375</v>
      </c>
      <c r="GB167" s="0" t="n">
        <v>40.7</v>
      </c>
      <c r="GC167" s="0" t="n">
        <v>23</v>
      </c>
      <c r="GD167" s="0" t="n">
        <v>26.9</v>
      </c>
      <c r="GE167" s="0" t="n">
        <v>544</v>
      </c>
      <c r="GF167" s="0" t="n">
        <v>466</v>
      </c>
      <c r="GG167" s="0" t="n">
        <v>15</v>
      </c>
      <c r="GH167" s="0" t="n">
        <v>23</v>
      </c>
      <c r="GI167" s="0" t="n">
        <v>152</v>
      </c>
      <c r="GJ167" s="0" t="n">
        <v>2</v>
      </c>
      <c r="GK167" s="0" t="n">
        <v>0.028</v>
      </c>
      <c r="GL167" s="0" t="n">
        <v>0.049</v>
      </c>
      <c r="GM167" s="0" t="n">
        <v>0.013</v>
      </c>
      <c r="GN167" s="0" t="n">
        <v>8.76</v>
      </c>
      <c r="GO167" s="0" t="n">
        <v>7.127</v>
      </c>
      <c r="GP167" s="0" t="n">
        <v>5.493</v>
      </c>
      <c r="GQ167" s="0" t="n">
        <v>4.6</v>
      </c>
      <c r="GR167" s="0" t="n">
        <v>0</v>
      </c>
      <c r="GS167" s="0" t="n">
        <v>69</v>
      </c>
      <c r="GT167" s="0" t="n">
        <v>1.904</v>
      </c>
      <c r="GU167" s="0" t="n">
        <v>0.21</v>
      </c>
      <c r="GV167" s="0" t="n">
        <v>9.623</v>
      </c>
      <c r="GW167" s="0" t="n">
        <v>13.551</v>
      </c>
      <c r="GX167" s="0" t="n">
        <v>0.71</v>
      </c>
      <c r="GZ167" s="0" t="n">
        <v>9.043</v>
      </c>
      <c r="HA167" s="0" t="n">
        <v>4.51</v>
      </c>
      <c r="HB167" s="0" t="n">
        <v>1.064</v>
      </c>
      <c r="HC167" s="0" t="n">
        <v>0.043</v>
      </c>
      <c r="HE167" s="0" t="n">
        <v>0.239</v>
      </c>
      <c r="HG167" s="0" t="n">
        <v>178.5</v>
      </c>
      <c r="HH167" s="0" t="n">
        <v>35.54</v>
      </c>
      <c r="HI167" s="0" t="n">
        <v>97</v>
      </c>
      <c r="HJ167" s="0" t="n">
        <v>246</v>
      </c>
      <c r="HK167" s="0" t="s">
        <v>909</v>
      </c>
      <c r="HL167" s="0" t="n">
        <v>0</v>
      </c>
      <c r="HM167" s="0" t="n">
        <v>15</v>
      </c>
      <c r="HN167" s="0" t="n">
        <v>20</v>
      </c>
      <c r="HO167" s="0" t="n">
        <v>0.086</v>
      </c>
      <c r="HP167" s="0" t="n">
        <v>19</v>
      </c>
      <c r="HQ167" s="0" t="n">
        <v>-0.09</v>
      </c>
      <c r="HR167" s="0" t="s">
        <v>102</v>
      </c>
    </row>
    <row r="168" customFormat="false" ht="15" hidden="false" customHeight="false" outlineLevel="0" collapsed="false">
      <c r="A168" s="0" t="s">
        <v>896</v>
      </c>
      <c r="B168" s="0" t="s">
        <v>897</v>
      </c>
      <c r="C168" s="0" t="s">
        <v>898</v>
      </c>
      <c r="D168" s="0" t="s">
        <v>476</v>
      </c>
      <c r="E168" s="0" t="n">
        <v>17349</v>
      </c>
      <c r="F168" s="0" t="s">
        <v>149</v>
      </c>
      <c r="G168" s="0" t="n">
        <v>178.88</v>
      </c>
      <c r="H168" s="0" t="n">
        <v>25.34</v>
      </c>
      <c r="I168" s="0" t="n">
        <v>97</v>
      </c>
      <c r="J168" s="0" t="n">
        <v>229</v>
      </c>
      <c r="L168" s="0" t="s">
        <v>1856</v>
      </c>
      <c r="O168" s="0" t="n">
        <v>26.9</v>
      </c>
      <c r="U168" s="0" t="n">
        <v>8</v>
      </c>
      <c r="V168" s="0" t="s">
        <v>476</v>
      </c>
      <c r="W168" s="0" t="s">
        <v>901</v>
      </c>
      <c r="X168" s="0" t="s">
        <v>139</v>
      </c>
      <c r="Y168" s="0" t="s">
        <v>1857</v>
      </c>
      <c r="Z168" s="0" t="n">
        <v>17349</v>
      </c>
      <c r="AA168" s="0" t="s">
        <v>1858</v>
      </c>
      <c r="AB168" s="0" t="s">
        <v>904</v>
      </c>
      <c r="AC168" s="0" t="s">
        <v>139</v>
      </c>
      <c r="AD168" s="0" t="s">
        <v>139</v>
      </c>
      <c r="AE168" s="0" t="s">
        <v>139</v>
      </c>
      <c r="AF168" s="0" t="s">
        <v>139</v>
      </c>
      <c r="AG168" s="0" t="s">
        <v>139</v>
      </c>
      <c r="AH168" s="0" t="s">
        <v>905</v>
      </c>
      <c r="AI168" s="0" t="n">
        <v>1</v>
      </c>
      <c r="AJ168" s="0" t="s">
        <v>149</v>
      </c>
      <c r="AK168" s="0" t="n">
        <v>167</v>
      </c>
      <c r="AL168" s="0" t="n">
        <v>21</v>
      </c>
      <c r="AM168" s="0" t="s">
        <v>477</v>
      </c>
      <c r="AN168" s="0" t="n">
        <v>0</v>
      </c>
      <c r="AO168" s="0" t="n">
        <v>0</v>
      </c>
      <c r="AP168" s="0" t="n">
        <v>0</v>
      </c>
      <c r="AQ168" s="0" t="n">
        <v>0</v>
      </c>
      <c r="AR168" s="0" t="n">
        <v>0</v>
      </c>
      <c r="AS168" s="0" t="n">
        <v>0</v>
      </c>
      <c r="AT168" s="0" t="n">
        <v>0</v>
      </c>
      <c r="AU168" s="0" t="n">
        <v>0</v>
      </c>
      <c r="AV168" s="0" t="n">
        <v>0</v>
      </c>
      <c r="AW168" s="0" t="n">
        <v>0</v>
      </c>
      <c r="AX168" s="0" t="n">
        <v>0</v>
      </c>
      <c r="AY168" s="0" t="n">
        <v>0</v>
      </c>
      <c r="AZ168" s="0" t="n">
        <v>0</v>
      </c>
      <c r="BA168" s="0" t="n">
        <v>0</v>
      </c>
      <c r="BB168" s="0" t="n">
        <v>0</v>
      </c>
      <c r="BC168" s="0" t="n">
        <v>82</v>
      </c>
      <c r="BD168" s="0" t="n">
        <v>106</v>
      </c>
      <c r="BE168" s="0" t="n">
        <v>777</v>
      </c>
      <c r="BF168" s="0" t="n">
        <v>3</v>
      </c>
      <c r="BG168" s="0" t="n">
        <v>659</v>
      </c>
      <c r="BH168" s="0" t="n">
        <v>358</v>
      </c>
      <c r="BI168" s="0" t="n">
        <v>39</v>
      </c>
      <c r="BJ168" s="0" t="n">
        <v>36.7161405716526</v>
      </c>
      <c r="BK168" s="0" t="n">
        <v>0</v>
      </c>
      <c r="BL168" s="0" t="n">
        <v>0</v>
      </c>
      <c r="BM168" s="0" t="n">
        <v>95.7</v>
      </c>
      <c r="BN168" s="0" t="n">
        <v>177.7</v>
      </c>
      <c r="BO168" s="0" t="n">
        <v>17</v>
      </c>
      <c r="BP168" s="0" t="s">
        <v>139</v>
      </c>
      <c r="BQ168" s="0" t="n">
        <v>1</v>
      </c>
      <c r="BR168" s="0" t="n">
        <v>136.7</v>
      </c>
      <c r="BS168" s="0" t="n">
        <v>0.1917</v>
      </c>
      <c r="BT168" s="0" t="n">
        <v>0</v>
      </c>
      <c r="BU168" s="0" t="n">
        <v>0.1434</v>
      </c>
      <c r="BV168" s="0" t="n">
        <v>0.1917</v>
      </c>
      <c r="BW168" s="0" t="n">
        <v>0</v>
      </c>
      <c r="BX168" s="0" t="n">
        <v>0.1434</v>
      </c>
      <c r="BY168" s="0" t="n">
        <v>0.3879</v>
      </c>
      <c r="BZ168" s="0" t="n">
        <v>17</v>
      </c>
      <c r="CA168" s="0" t="n">
        <v>5.8</v>
      </c>
      <c r="CB168" s="0" t="n">
        <v>16.78</v>
      </c>
      <c r="CC168" s="0" t="n">
        <v>11</v>
      </c>
      <c r="CD168" s="0" t="n">
        <v>5.64</v>
      </c>
      <c r="CE168" s="0" t="n">
        <v>2</v>
      </c>
      <c r="CF168" s="0" t="n">
        <v>0</v>
      </c>
      <c r="CG168" s="0" t="n">
        <v>17</v>
      </c>
      <c r="CH168" s="0" t="n">
        <v>0.118</v>
      </c>
      <c r="CI168" s="0" t="n">
        <v>0</v>
      </c>
      <c r="CJ168" s="0" t="n">
        <v>0.513</v>
      </c>
      <c r="CK168" s="0" t="n">
        <v>11</v>
      </c>
      <c r="CL168" s="0" t="n">
        <v>6</v>
      </c>
      <c r="CM168" s="0" t="n">
        <v>4</v>
      </c>
      <c r="CN168" s="0" t="n">
        <v>3</v>
      </c>
      <c r="CO168" s="0" t="n">
        <v>4.83358225337415</v>
      </c>
      <c r="CP168" s="0" t="n">
        <v>0</v>
      </c>
      <c r="CQ168" s="0" t="n">
        <v>0</v>
      </c>
      <c r="CR168" s="0" t="n">
        <v>0</v>
      </c>
      <c r="CS168" s="0" t="n">
        <v>0</v>
      </c>
      <c r="CT168" s="0" t="n">
        <v>0</v>
      </c>
      <c r="CU168" s="0" t="n">
        <v>11</v>
      </c>
      <c r="CV168" s="0" t="n">
        <v>6</v>
      </c>
      <c r="CW168" s="0" t="n">
        <v>4</v>
      </c>
      <c r="CX168" s="0" t="n">
        <v>3</v>
      </c>
      <c r="CY168" s="0" t="n">
        <v>4.83</v>
      </c>
      <c r="CZ168" s="0" t="n">
        <v>-1.83</v>
      </c>
      <c r="DA168" s="0" t="n">
        <v>3.76798020900135</v>
      </c>
      <c r="DB168" s="0" t="n">
        <v>5.42714285714286</v>
      </c>
      <c r="DC168" s="0" t="n">
        <v>6.25254716981132</v>
      </c>
      <c r="DD168" s="0" t="n">
        <v>14.5924476041807</v>
      </c>
      <c r="DE168" s="0" t="n">
        <v>0.101724123836226</v>
      </c>
      <c r="DF168" s="0" t="n">
        <v>77.3584905660377</v>
      </c>
      <c r="DM168" s="0" t="s">
        <v>1859</v>
      </c>
      <c r="DS168" s="0" t="n">
        <v>106</v>
      </c>
      <c r="DT168" s="0" t="n">
        <v>3</v>
      </c>
      <c r="DU168" s="0" t="n">
        <v>2</v>
      </c>
      <c r="DV168" s="0" t="n">
        <v>5.11</v>
      </c>
      <c r="DW168" s="0" t="n">
        <v>4.366</v>
      </c>
      <c r="DX168" s="0" t="n">
        <v>6.2</v>
      </c>
      <c r="DY168" s="0" t="n">
        <v>0.0189</v>
      </c>
      <c r="DZ168" s="0" t="n">
        <v>827</v>
      </c>
      <c r="EA168" s="0" t="n">
        <v>0.711</v>
      </c>
      <c r="EB168" s="0" t="n">
        <v>17</v>
      </c>
      <c r="EC168" s="0" t="s">
        <v>1860</v>
      </c>
      <c r="ED168" s="0" t="n">
        <v>2018</v>
      </c>
      <c r="EE168" s="0" t="n">
        <v>4</v>
      </c>
      <c r="EF168" s="0" t="n">
        <v>137</v>
      </c>
      <c r="EG168" s="0" t="n">
        <v>2018</v>
      </c>
      <c r="EH168" s="0" t="n">
        <v>2026</v>
      </c>
      <c r="EI168" s="0" t="n">
        <v>9</v>
      </c>
      <c r="EJ168" s="0" t="n">
        <v>77</v>
      </c>
      <c r="EK168" s="0" t="n">
        <v>242</v>
      </c>
      <c r="EL168" s="0" t="s">
        <v>953</v>
      </c>
      <c r="EM168" s="0" t="n">
        <v>30.1</v>
      </c>
      <c r="EN168" s="15" t="b">
        <f aca="false">FALSE()</f>
        <v>0</v>
      </c>
      <c r="EO168" s="0" t="n">
        <v>399</v>
      </c>
      <c r="EP168" s="0" t="n">
        <v>2.7453634085213</v>
      </c>
      <c r="EQ168" s="0" t="n">
        <v>0.203007518796993</v>
      </c>
      <c r="ER168" s="0" t="n">
        <v>1.1077694235589</v>
      </c>
      <c r="ES168" s="0" t="n">
        <v>0.496240601503759</v>
      </c>
      <c r="ET168" s="0" t="n">
        <v>35</v>
      </c>
      <c r="EU168" s="0" t="n">
        <v>17</v>
      </c>
      <c r="EV168" s="0" t="n">
        <v>3.83709273182957</v>
      </c>
      <c r="EW168" s="0" t="n">
        <v>0.485714285714286</v>
      </c>
      <c r="EX168" s="0" t="n">
        <v>2.88168562194261</v>
      </c>
      <c r="EY168" s="0" t="n">
        <v>2.812</v>
      </c>
      <c r="EZ168" s="0" t="n">
        <v>0.1937</v>
      </c>
      <c r="FA168" s="0" t="n">
        <v>2.099</v>
      </c>
      <c r="FB168" s="0" t="n">
        <v>1.8</v>
      </c>
      <c r="FC168" s="0" t="n">
        <v>23</v>
      </c>
      <c r="FD168" s="0" t="n">
        <v>643</v>
      </c>
      <c r="FE168" s="0" t="n">
        <v>0.0482115085536547</v>
      </c>
      <c r="FF168" s="0" t="n">
        <v>0.0526</v>
      </c>
      <c r="FG168" s="0" t="n">
        <v>0.2216</v>
      </c>
      <c r="FH168" s="0" t="n">
        <v>2.345</v>
      </c>
      <c r="FI168" s="0" t="n">
        <v>1078</v>
      </c>
      <c r="FJ168" s="0" t="n">
        <v>0.570500927643785</v>
      </c>
      <c r="FK168" s="0" t="n">
        <v>17</v>
      </c>
      <c r="FL168" s="0" t="n">
        <v>63.41</v>
      </c>
      <c r="FM168" s="0" t="n">
        <v>0.5638</v>
      </c>
      <c r="FN168" s="0" t="n">
        <v>0.4362</v>
      </c>
      <c r="FO168" s="0" t="n">
        <v>-0.0098</v>
      </c>
      <c r="FP168" s="0" t="n">
        <v>-0.0779</v>
      </c>
      <c r="FQ168" s="0" t="n">
        <v>0.036</v>
      </c>
      <c r="FR168" s="0" t="n">
        <v>38</v>
      </c>
      <c r="FS168" s="0" t="n">
        <v>58</v>
      </c>
      <c r="FT168" s="0" t="n">
        <v>3.41</v>
      </c>
      <c r="FU168" s="0" t="n">
        <v>23.8</v>
      </c>
      <c r="FV168" s="0" t="n">
        <v>6010</v>
      </c>
      <c r="FW168" s="0" t="n">
        <v>4286</v>
      </c>
      <c r="FX168" s="0" t="n">
        <v>0.713</v>
      </c>
      <c r="FY168" s="0" t="n">
        <v>5</v>
      </c>
      <c r="FZ168" s="0" t="n">
        <v>2</v>
      </c>
      <c r="GA168" s="0" t="n">
        <v>-0.878307115745538</v>
      </c>
      <c r="GB168" s="0" t="n">
        <v>34.1</v>
      </c>
      <c r="GC168" s="0" t="n">
        <v>59.3</v>
      </c>
      <c r="GD168" s="0" t="n">
        <v>45.8</v>
      </c>
      <c r="GE168" s="0" t="n">
        <v>553</v>
      </c>
      <c r="GF168" s="0" t="n">
        <v>475</v>
      </c>
      <c r="GG168" s="0" t="n">
        <v>82</v>
      </c>
      <c r="GH168" s="0" t="n">
        <v>21</v>
      </c>
      <c r="GI168" s="0" t="n">
        <v>150</v>
      </c>
      <c r="GJ168" s="0" t="n">
        <v>18</v>
      </c>
      <c r="GK168" s="0" t="n">
        <v>0.148</v>
      </c>
      <c r="GL168" s="0" t="n">
        <v>0.044</v>
      </c>
      <c r="GM168" s="0" t="n">
        <v>0.12</v>
      </c>
      <c r="GN168" s="0" t="n">
        <v>10.453</v>
      </c>
      <c r="GO168" s="0" t="n">
        <v>8.041</v>
      </c>
      <c r="GP168" s="0" t="n">
        <v>5.629</v>
      </c>
      <c r="GQ168" s="0" t="n">
        <v>6.235</v>
      </c>
      <c r="GR168" s="0" t="n">
        <v>0</v>
      </c>
      <c r="GS168" s="0" t="n">
        <v>106</v>
      </c>
      <c r="GT168" s="0" t="n">
        <v>1.676</v>
      </c>
      <c r="GU168" s="0" t="n">
        <v>0.215</v>
      </c>
      <c r="GV168" s="0" t="n">
        <v>7.33</v>
      </c>
      <c r="GW168" s="0" t="n">
        <v>9.476</v>
      </c>
      <c r="GX168" s="0" t="n">
        <v>0.774</v>
      </c>
      <c r="GZ168" s="0" t="n">
        <v>6.217</v>
      </c>
      <c r="HA168" s="0" t="n">
        <v>4.366</v>
      </c>
      <c r="HB168" s="0" t="n">
        <v>1.179</v>
      </c>
      <c r="HC168" s="0" t="n">
        <v>0.028</v>
      </c>
      <c r="HE168" s="0" t="n">
        <v>0.346</v>
      </c>
      <c r="HG168" s="0" t="n">
        <v>178.88</v>
      </c>
      <c r="HH168" s="0" t="n">
        <v>25.34</v>
      </c>
      <c r="HI168" s="0" t="n">
        <v>97</v>
      </c>
      <c r="HJ168" s="0" t="n">
        <v>229</v>
      </c>
      <c r="HK168" s="0" t="s">
        <v>909</v>
      </c>
      <c r="HL168" s="0" t="n">
        <v>0</v>
      </c>
      <c r="HM168" s="0" t="n">
        <v>10</v>
      </c>
      <c r="HN168" s="0" t="n">
        <v>21</v>
      </c>
      <c r="HO168" s="0" t="n">
        <v>0.341</v>
      </c>
      <c r="HP168" s="0" t="n">
        <v>15</v>
      </c>
      <c r="HQ168" s="0" t="n">
        <v>0.121</v>
      </c>
      <c r="HR168" s="0" t="s">
        <v>102</v>
      </c>
    </row>
    <row r="169" customFormat="false" ht="15" hidden="false" customHeight="false" outlineLevel="0" collapsed="false">
      <c r="A169" s="0" t="s">
        <v>896</v>
      </c>
      <c r="B169" s="0" t="s">
        <v>897</v>
      </c>
      <c r="C169" s="0" t="s">
        <v>898</v>
      </c>
      <c r="D169" s="0" t="s">
        <v>478</v>
      </c>
      <c r="E169" s="0" t="n">
        <v>26215</v>
      </c>
      <c r="F169" s="0" t="s">
        <v>99</v>
      </c>
      <c r="G169" s="0" t="n">
        <v>180.35</v>
      </c>
      <c r="H169" s="0" t="n">
        <v>27.53</v>
      </c>
      <c r="I169" s="0" t="n">
        <v>123</v>
      </c>
      <c r="J169" s="0" t="n">
        <v>296</v>
      </c>
      <c r="L169" s="0" t="s">
        <v>1861</v>
      </c>
      <c r="O169" s="0" t="n">
        <v>13.7</v>
      </c>
      <c r="U169" s="0" t="n">
        <v>7</v>
      </c>
      <c r="V169" s="0" t="s">
        <v>1862</v>
      </c>
      <c r="W169" s="0" t="s">
        <v>901</v>
      </c>
      <c r="X169" s="0" t="s">
        <v>170</v>
      </c>
      <c r="Y169" s="0" t="s">
        <v>1863</v>
      </c>
      <c r="Z169" s="0" t="n">
        <v>26215</v>
      </c>
      <c r="AA169" s="0" t="s">
        <v>1864</v>
      </c>
      <c r="AB169" s="0" t="s">
        <v>904</v>
      </c>
      <c r="AC169" s="0" t="s">
        <v>170</v>
      </c>
      <c r="AD169" s="0" t="s">
        <v>170</v>
      </c>
      <c r="AE169" s="0" t="s">
        <v>170</v>
      </c>
      <c r="AF169" s="0" t="s">
        <v>170</v>
      </c>
      <c r="AG169" s="0" t="s">
        <v>170</v>
      </c>
      <c r="AH169" s="0" t="s">
        <v>905</v>
      </c>
      <c r="AI169" s="0" t="n">
        <v>3</v>
      </c>
      <c r="AJ169" s="0" t="s">
        <v>99</v>
      </c>
      <c r="AK169" s="0" t="n">
        <v>168</v>
      </c>
      <c r="AL169" s="0" t="n">
        <v>67</v>
      </c>
      <c r="AM169" s="0" t="s">
        <v>479</v>
      </c>
      <c r="AN169" s="0" t="n">
        <v>0</v>
      </c>
      <c r="AO169" s="0" t="n">
        <v>0</v>
      </c>
      <c r="AP169" s="0" t="n">
        <v>0</v>
      </c>
      <c r="AQ169" s="0" t="n">
        <v>0</v>
      </c>
      <c r="AR169" s="0" t="n">
        <v>0</v>
      </c>
      <c r="AS169" s="0" t="n">
        <v>0</v>
      </c>
      <c r="AT169" s="0" t="n">
        <v>0</v>
      </c>
      <c r="AU169" s="0" t="n">
        <v>0</v>
      </c>
      <c r="AV169" s="0" t="n">
        <v>0</v>
      </c>
      <c r="AW169" s="0" t="n">
        <v>2</v>
      </c>
      <c r="AX169" s="0" t="n">
        <v>10</v>
      </c>
      <c r="AY169" s="0" t="n">
        <v>0</v>
      </c>
      <c r="AZ169" s="0" t="n">
        <v>0</v>
      </c>
      <c r="BA169" s="0" t="n">
        <v>-0.0119711994775571</v>
      </c>
      <c r="BB169" s="0" t="n">
        <v>0</v>
      </c>
      <c r="BC169" s="0" t="n">
        <v>30</v>
      </c>
      <c r="BD169" s="0" t="n">
        <v>43</v>
      </c>
      <c r="BE169" s="0" t="n">
        <v>324</v>
      </c>
      <c r="BF169" s="0" t="n">
        <v>1</v>
      </c>
      <c r="BG169" s="0" t="n">
        <v>398</v>
      </c>
      <c r="BH169" s="0" t="n">
        <v>139</v>
      </c>
      <c r="BI169" s="0" t="n">
        <v>18</v>
      </c>
      <c r="BJ169" s="0" t="n">
        <v>15.3272822430976</v>
      </c>
      <c r="BK169" s="0" t="n">
        <v>0</v>
      </c>
      <c r="BL169" s="0" t="n">
        <v>0</v>
      </c>
      <c r="BM169" s="0" t="n">
        <v>39.4</v>
      </c>
      <c r="BN169" s="0" t="n">
        <v>69.4</v>
      </c>
      <c r="BO169" s="0" t="n">
        <v>16</v>
      </c>
      <c r="BP169" s="0" t="s">
        <v>170</v>
      </c>
      <c r="BQ169" s="0" t="n">
        <v>1</v>
      </c>
      <c r="BR169" s="0" t="n">
        <v>54.4</v>
      </c>
      <c r="BS169" s="0" t="n">
        <v>0.079</v>
      </c>
      <c r="BT169" s="0" t="n">
        <v>0.0043</v>
      </c>
      <c r="BU169" s="0" t="n">
        <v>0.0903</v>
      </c>
      <c r="BV169" s="0" t="n">
        <v>0.084</v>
      </c>
      <c r="BW169" s="0" t="n">
        <v>0.0046</v>
      </c>
      <c r="BX169" s="0" t="n">
        <v>0.093</v>
      </c>
      <c r="BY169" s="0" t="n">
        <v>0.1911</v>
      </c>
      <c r="BZ169" s="0" t="n">
        <v>16</v>
      </c>
      <c r="CA169" s="0" t="n">
        <v>2.35</v>
      </c>
      <c r="CB169" s="0" t="n">
        <v>7.6</v>
      </c>
      <c r="CC169" s="0" t="n">
        <v>4.05</v>
      </c>
      <c r="CD169" s="0" t="n">
        <v>2.88</v>
      </c>
      <c r="CE169" s="0" t="n">
        <v>0</v>
      </c>
      <c r="CF169" s="0" t="n">
        <v>3</v>
      </c>
      <c r="CG169" s="0" t="n">
        <v>16</v>
      </c>
      <c r="CH169" s="0" t="n">
        <v>0</v>
      </c>
      <c r="CI169" s="0" t="n">
        <v>0.188</v>
      </c>
      <c r="CJ169" s="0" t="n">
        <v>0.71</v>
      </c>
      <c r="CK169" s="0" t="n">
        <v>5</v>
      </c>
      <c r="CL169" s="0" t="n">
        <v>1</v>
      </c>
      <c r="CM169" s="0" t="n">
        <v>0</v>
      </c>
      <c r="CN169" s="0" t="n">
        <v>1</v>
      </c>
      <c r="CO169" s="0" t="n">
        <v>1.32259976188107</v>
      </c>
      <c r="CP169" s="0" t="n">
        <v>1</v>
      </c>
      <c r="CQ169" s="0" t="n">
        <v>0</v>
      </c>
      <c r="CR169" s="0" t="n">
        <v>0</v>
      </c>
      <c r="CS169" s="0" t="n">
        <v>0</v>
      </c>
      <c r="CT169" s="0" t="n">
        <v>0.053266164038427</v>
      </c>
      <c r="CU169" s="0" t="n">
        <v>6</v>
      </c>
      <c r="CV169" s="0" t="n">
        <v>1</v>
      </c>
      <c r="CW169" s="0" t="n">
        <v>0</v>
      </c>
      <c r="CX169" s="0" t="n">
        <v>1</v>
      </c>
      <c r="CY169" s="0" t="n">
        <v>1.38</v>
      </c>
      <c r="CZ169" s="0" t="n">
        <v>-0.38</v>
      </c>
      <c r="DM169" s="0" t="s">
        <v>1865</v>
      </c>
      <c r="DN169" s="0" t="n">
        <v>2</v>
      </c>
      <c r="DO169" s="0" t="n">
        <v>0</v>
      </c>
      <c r="DS169" s="0" t="n">
        <v>43</v>
      </c>
      <c r="DT169" s="0" t="n">
        <v>1</v>
      </c>
      <c r="DU169" s="0" t="n">
        <v>1</v>
      </c>
      <c r="DV169" s="0" t="n">
        <v>6.167</v>
      </c>
      <c r="DW169" s="0" t="n">
        <v>4.633</v>
      </c>
      <c r="DX169" s="0" t="n">
        <v>7.7</v>
      </c>
      <c r="DY169" s="0" t="n">
        <v>0.0233</v>
      </c>
      <c r="DZ169" s="0" t="n">
        <v>555</v>
      </c>
      <c r="EA169" s="0" t="n">
        <v>0.485</v>
      </c>
      <c r="EB169" s="0" t="n">
        <v>17</v>
      </c>
      <c r="EC169" s="0" t="s">
        <v>1866</v>
      </c>
      <c r="ED169" s="0" t="n">
        <v>2025</v>
      </c>
      <c r="EE169" s="0" t="n">
        <v>2</v>
      </c>
      <c r="EF169" s="0" t="n">
        <v>55</v>
      </c>
      <c r="EG169" s="0" t="n">
        <v>2025</v>
      </c>
      <c r="EH169" s="0" t="n">
        <v>2026</v>
      </c>
      <c r="EI169" s="0" t="n">
        <v>2</v>
      </c>
      <c r="EJ169" s="0" t="n">
        <v>75</v>
      </c>
      <c r="EK169" s="0" t="n">
        <v>210</v>
      </c>
      <c r="EL169" s="0" t="s">
        <v>1867</v>
      </c>
      <c r="EM169" s="0" t="n">
        <v>24.5</v>
      </c>
      <c r="EN169" s="15" t="b">
        <f aca="false">FALSE()</f>
        <v>0</v>
      </c>
      <c r="EO169" s="0" t="n">
        <v>359</v>
      </c>
      <c r="EP169" s="0" t="n">
        <v>2.71309192200557</v>
      </c>
      <c r="EQ169" s="0" t="n">
        <v>0.22841225626741</v>
      </c>
      <c r="ER169" s="0" t="n">
        <v>1.12534818941504</v>
      </c>
      <c r="ES169" s="0" t="n">
        <v>0.746518105849582</v>
      </c>
      <c r="ET169" s="0" t="n">
        <v>36</v>
      </c>
      <c r="EU169" s="0" t="n">
        <v>22</v>
      </c>
      <c r="EV169" s="0" t="n">
        <v>4.06685236768802</v>
      </c>
      <c r="EW169" s="0" t="n">
        <v>0.611111111111111</v>
      </c>
      <c r="EX169" s="0" t="n">
        <v>2.89104964249176</v>
      </c>
      <c r="EY169" s="0" t="n">
        <v>2.77</v>
      </c>
      <c r="EZ169" s="0" t="n">
        <v>0.2195</v>
      </c>
      <c r="FA169" s="0" t="n">
        <v>2.614</v>
      </c>
      <c r="FB169" s="0" t="n">
        <v>1.822</v>
      </c>
      <c r="FC169" s="0" t="n">
        <v>24</v>
      </c>
      <c r="FD169" s="0" t="n">
        <v>681</v>
      </c>
      <c r="FE169" s="0" t="n">
        <v>0.0881057268722467</v>
      </c>
      <c r="FF169" s="0" t="n">
        <v>0.0832</v>
      </c>
      <c r="FG169" s="0" t="n">
        <v>0.3427</v>
      </c>
      <c r="FH169" s="0" t="n">
        <v>2.37</v>
      </c>
      <c r="FI169" s="0" t="n">
        <v>1080</v>
      </c>
      <c r="FJ169" s="0" t="n">
        <v>0.578703703703704</v>
      </c>
      <c r="FK169" s="0" t="n">
        <v>17</v>
      </c>
      <c r="FL169" s="0" t="n">
        <v>63.53</v>
      </c>
      <c r="FM169" s="0" t="n">
        <v>0.579</v>
      </c>
      <c r="FN169" s="0" t="n">
        <v>0.421</v>
      </c>
      <c r="FO169" s="0" t="n">
        <v>0.0064</v>
      </c>
      <c r="FP169" s="0" t="n">
        <v>0.0187</v>
      </c>
      <c r="FQ169" s="0" t="n">
        <v>-0.0542</v>
      </c>
      <c r="FR169" s="0" t="n">
        <v>39</v>
      </c>
      <c r="FS169" s="0" t="n">
        <v>59</v>
      </c>
      <c r="FT169" s="0" t="n">
        <v>3.47</v>
      </c>
      <c r="FU169" s="0" t="n">
        <v>21.6</v>
      </c>
      <c r="FV169" s="0" t="n">
        <v>5784</v>
      </c>
      <c r="FW169" s="0" t="n">
        <v>1183</v>
      </c>
      <c r="FX169" s="0" t="n">
        <v>0.205</v>
      </c>
      <c r="FY169" s="0" t="n">
        <v>5</v>
      </c>
      <c r="FZ169" s="0" t="n">
        <v>1</v>
      </c>
      <c r="GA169" s="0" t="n">
        <v>-0.516900207039375</v>
      </c>
      <c r="GB169" s="0" t="n">
        <v>40.7</v>
      </c>
      <c r="GC169" s="0" t="n">
        <v>23</v>
      </c>
      <c r="GD169" s="0" t="n">
        <v>26.9</v>
      </c>
      <c r="GE169" s="0" t="n">
        <v>544</v>
      </c>
      <c r="GF169" s="0" t="n">
        <v>466</v>
      </c>
      <c r="GG169" s="0" t="n">
        <v>15</v>
      </c>
      <c r="GH169" s="0" t="n">
        <v>23</v>
      </c>
      <c r="GI169" s="0" t="n">
        <v>152</v>
      </c>
      <c r="GJ169" s="0" t="n">
        <v>2</v>
      </c>
      <c r="GK169" s="0" t="n">
        <v>0.028</v>
      </c>
      <c r="GL169" s="0" t="n">
        <v>0.049</v>
      </c>
      <c r="GM169" s="0" t="n">
        <v>0.013</v>
      </c>
      <c r="GN169" s="0" t="n">
        <v>4.338</v>
      </c>
      <c r="GO169" s="0" t="n">
        <v>3.4</v>
      </c>
      <c r="GP169" s="0" t="n">
        <v>2.462</v>
      </c>
      <c r="GQ169" s="0" t="n">
        <v>2.688</v>
      </c>
      <c r="GR169" s="0" t="n">
        <v>0.125</v>
      </c>
      <c r="GS169" s="0" t="n">
        <v>45</v>
      </c>
      <c r="GT169" s="0" t="n">
        <v>1.542</v>
      </c>
      <c r="GU169" s="0" t="n">
        <v>0.125</v>
      </c>
      <c r="GV169" s="0" t="n">
        <v>7.535</v>
      </c>
      <c r="GW169" s="0" t="n">
        <v>10.8</v>
      </c>
      <c r="GX169" s="0" t="n">
        <v>0.698</v>
      </c>
      <c r="GZ169" s="0" t="n">
        <v>9.256</v>
      </c>
      <c r="HA169" s="0" t="n">
        <v>4.633</v>
      </c>
      <c r="HB169" s="0" t="n">
        <v>0.814</v>
      </c>
      <c r="HC169" s="0" t="n">
        <v>0.022</v>
      </c>
      <c r="HE169" s="0" t="n">
        <v>0.356</v>
      </c>
      <c r="HG169" s="0" t="n">
        <v>180.35</v>
      </c>
      <c r="HH169" s="0" t="n">
        <v>27.53</v>
      </c>
      <c r="HI169" s="0" t="n">
        <v>123</v>
      </c>
      <c r="HJ169" s="0" t="n">
        <v>296</v>
      </c>
      <c r="HK169" s="0" t="s">
        <v>909</v>
      </c>
      <c r="HL169" s="0" t="n">
        <v>0</v>
      </c>
      <c r="HM169" s="0" t="n">
        <v>74</v>
      </c>
      <c r="HN169" s="0" t="n">
        <v>67</v>
      </c>
      <c r="HO169" s="0" t="n">
        <v>-0.835</v>
      </c>
      <c r="HP169" s="0" t="n">
        <v>82</v>
      </c>
      <c r="HQ169" s="0" t="n">
        <v>-1.186</v>
      </c>
      <c r="HR169" s="0" t="s">
        <v>121</v>
      </c>
    </row>
    <row r="170" customFormat="false" ht="15" hidden="false" customHeight="false" outlineLevel="0" collapsed="false">
      <c r="A170" s="0" t="s">
        <v>896</v>
      </c>
      <c r="B170" s="0" t="s">
        <v>897</v>
      </c>
      <c r="C170" s="0" t="s">
        <v>898</v>
      </c>
      <c r="D170" s="0" t="s">
        <v>480</v>
      </c>
      <c r="E170" s="0" t="n">
        <v>24346</v>
      </c>
      <c r="F170" s="0" t="s">
        <v>104</v>
      </c>
      <c r="G170" s="0" t="n">
        <v>182.34</v>
      </c>
      <c r="H170" s="0" t="n">
        <v>31.3</v>
      </c>
      <c r="I170" s="0" t="n">
        <v>135</v>
      </c>
      <c r="J170" s="0" t="n">
        <v>266</v>
      </c>
      <c r="L170" s="0" t="s">
        <v>1868</v>
      </c>
      <c r="O170" s="0" t="n">
        <v>16.8</v>
      </c>
      <c r="U170" s="0" t="n">
        <v>13</v>
      </c>
      <c r="V170" s="0" t="s">
        <v>480</v>
      </c>
      <c r="W170" s="0" t="s">
        <v>901</v>
      </c>
      <c r="X170" s="0" t="s">
        <v>186</v>
      </c>
      <c r="Y170" s="0" t="s">
        <v>1869</v>
      </c>
      <c r="Z170" s="0" t="n">
        <v>24346</v>
      </c>
      <c r="AA170" s="0" t="s">
        <v>1870</v>
      </c>
      <c r="AB170" s="0" t="s">
        <v>904</v>
      </c>
      <c r="AC170" s="0" t="s">
        <v>186</v>
      </c>
      <c r="AD170" s="0" t="s">
        <v>186</v>
      </c>
      <c r="AE170" s="0" t="s">
        <v>186</v>
      </c>
      <c r="AF170" s="0" t="s">
        <v>186</v>
      </c>
      <c r="AG170" s="0" t="s">
        <v>186</v>
      </c>
      <c r="AH170" s="0" t="s">
        <v>905</v>
      </c>
      <c r="AI170" s="0" t="n">
        <v>2</v>
      </c>
      <c r="AJ170" s="0" t="s">
        <v>104</v>
      </c>
      <c r="AK170" s="0" t="n">
        <v>169</v>
      </c>
      <c r="AL170" s="0" t="n">
        <v>55</v>
      </c>
      <c r="AM170" s="0" t="s">
        <v>481</v>
      </c>
      <c r="AN170" s="0" t="n">
        <v>0</v>
      </c>
      <c r="AO170" s="0" t="n">
        <v>0</v>
      </c>
      <c r="AP170" s="0" t="n">
        <v>0</v>
      </c>
      <c r="AQ170" s="0" t="n">
        <v>0</v>
      </c>
      <c r="AR170" s="0" t="n">
        <v>0</v>
      </c>
      <c r="AS170" s="0" t="n">
        <v>0</v>
      </c>
      <c r="AT170" s="0" t="n">
        <v>0</v>
      </c>
      <c r="AU170" s="0" t="n">
        <v>0</v>
      </c>
      <c r="AV170" s="0" t="n">
        <v>0</v>
      </c>
      <c r="AW170" s="0" t="n">
        <v>18</v>
      </c>
      <c r="AX170" s="0" t="n">
        <v>76</v>
      </c>
      <c r="AY170" s="0" t="n">
        <v>1</v>
      </c>
      <c r="AZ170" s="0" t="n">
        <v>4</v>
      </c>
      <c r="BA170" s="0" t="n">
        <v>-8.69959321456542</v>
      </c>
      <c r="BB170" s="0" t="n">
        <v>1</v>
      </c>
      <c r="BC170" s="0" t="n">
        <v>2</v>
      </c>
      <c r="BD170" s="0" t="n">
        <v>3</v>
      </c>
      <c r="BE170" s="0" t="n">
        <v>17</v>
      </c>
      <c r="BF170" s="0" t="n">
        <v>0</v>
      </c>
      <c r="BG170" s="0" t="n">
        <v>8</v>
      </c>
      <c r="BH170" s="0" t="n">
        <v>9</v>
      </c>
      <c r="BI170" s="0" t="n">
        <v>1</v>
      </c>
      <c r="BJ170" s="0" t="n">
        <v>-0.214526426279917</v>
      </c>
      <c r="BK170" s="0" t="n">
        <v>0</v>
      </c>
      <c r="BL170" s="0" t="n">
        <v>0</v>
      </c>
      <c r="BM170" s="0" t="n">
        <v>13.3</v>
      </c>
      <c r="BN170" s="0" t="n">
        <v>15.3</v>
      </c>
      <c r="BO170" s="0" t="n">
        <v>4</v>
      </c>
      <c r="BP170" s="0" t="s">
        <v>186</v>
      </c>
      <c r="BQ170" s="0" t="n">
        <v>1</v>
      </c>
      <c r="BR170" s="0" t="n">
        <v>14.3</v>
      </c>
      <c r="BS170" s="0" t="n">
        <v>0.0064</v>
      </c>
      <c r="BT170" s="0" t="n">
        <v>0.0395</v>
      </c>
      <c r="BU170" s="0" t="n">
        <v>0.0025</v>
      </c>
      <c r="BV170" s="0" t="n">
        <v>0.0288</v>
      </c>
      <c r="BW170" s="0" t="n">
        <v>0.1622</v>
      </c>
      <c r="BX170" s="0" t="n">
        <v>0.0119</v>
      </c>
      <c r="BY170" s="0" t="n">
        <v>0.0515</v>
      </c>
      <c r="BZ170" s="0" t="n">
        <v>4</v>
      </c>
      <c r="CA170" s="0" t="n">
        <v>0.98</v>
      </c>
      <c r="CB170" s="0" t="n">
        <v>6.81</v>
      </c>
      <c r="CC170" s="0" t="n">
        <v>3.9</v>
      </c>
      <c r="CD170" s="0" t="n">
        <v>3.44</v>
      </c>
      <c r="CE170" s="0" t="n">
        <v>0</v>
      </c>
      <c r="CF170" s="0" t="n">
        <v>2</v>
      </c>
      <c r="CG170" s="0" t="n">
        <v>4</v>
      </c>
      <c r="CH170" s="0" t="n">
        <v>0</v>
      </c>
      <c r="CI170" s="0" t="n">
        <v>0.5</v>
      </c>
      <c r="CJ170" s="0" t="n">
        <v>0.883</v>
      </c>
      <c r="CK170" s="0" t="n">
        <v>2</v>
      </c>
      <c r="CL170" s="0" t="n">
        <v>2</v>
      </c>
      <c r="CM170" s="0" t="n">
        <v>1</v>
      </c>
      <c r="CN170" s="0" t="n">
        <v>0</v>
      </c>
      <c r="CO170" s="0" t="n">
        <v>0.758860852567358</v>
      </c>
      <c r="CP170" s="0" t="n">
        <v>6</v>
      </c>
      <c r="CQ170" s="0" t="n">
        <v>3</v>
      </c>
      <c r="CR170" s="0" t="n">
        <v>0</v>
      </c>
      <c r="CS170" s="0" t="n">
        <v>1</v>
      </c>
      <c r="CT170" s="0" t="n">
        <v>0.625580489166548</v>
      </c>
      <c r="CU170" s="0" t="n">
        <v>8</v>
      </c>
      <c r="CV170" s="0" t="n">
        <v>5</v>
      </c>
      <c r="CW170" s="0" t="n">
        <v>1</v>
      </c>
      <c r="CX170" s="0" t="n">
        <v>1</v>
      </c>
      <c r="CY170" s="0" t="n">
        <v>1.38</v>
      </c>
      <c r="CZ170" s="0" t="n">
        <v>-0.38</v>
      </c>
      <c r="DM170" s="0" t="s">
        <v>1871</v>
      </c>
      <c r="DN170" s="0" t="n">
        <v>18</v>
      </c>
      <c r="DO170" s="0" t="n">
        <v>0</v>
      </c>
      <c r="DS170" s="0" t="n">
        <v>3</v>
      </c>
      <c r="DT170" s="0" t="n">
        <v>1</v>
      </c>
      <c r="DU170" s="0" t="n">
        <v>1</v>
      </c>
      <c r="DZ170" s="0" t="n">
        <v>58</v>
      </c>
      <c r="EA170" s="0" t="n">
        <v>0.232</v>
      </c>
      <c r="EB170" s="0" t="n">
        <v>4</v>
      </c>
      <c r="EC170" s="0" t="s">
        <v>1872</v>
      </c>
      <c r="ED170" s="0" t="n">
        <v>2024</v>
      </c>
      <c r="EE170" s="0" t="n">
        <v>4</v>
      </c>
      <c r="EF170" s="0" t="n">
        <v>134</v>
      </c>
      <c r="EG170" s="0" t="n">
        <v>2024</v>
      </c>
      <c r="EH170" s="0" t="n">
        <v>2026</v>
      </c>
      <c r="EI170" s="0" t="n">
        <v>3</v>
      </c>
      <c r="EJ170" s="0" t="n">
        <v>73</v>
      </c>
      <c r="EK170" s="0" t="n">
        <v>235</v>
      </c>
      <c r="EL170" s="0" t="s">
        <v>964</v>
      </c>
      <c r="EM170" s="0" t="n">
        <v>22.6</v>
      </c>
      <c r="EN170" s="15" t="b">
        <f aca="false">FALSE()</f>
        <v>0</v>
      </c>
      <c r="EO170" s="0" t="n">
        <v>334</v>
      </c>
      <c r="EP170" s="0" t="n">
        <v>2.84431137724551</v>
      </c>
      <c r="EQ170" s="0" t="n">
        <v>0.182634730538922</v>
      </c>
      <c r="ER170" s="0" t="n">
        <v>1.19161676646707</v>
      </c>
      <c r="ES170" s="0" t="n">
        <v>0.940119760479042</v>
      </c>
      <c r="ET170" s="0" t="n">
        <v>23</v>
      </c>
      <c r="EU170" s="0" t="n">
        <v>17</v>
      </c>
      <c r="EV170" s="0" t="n">
        <v>4.44011976047904</v>
      </c>
      <c r="EW170" s="0" t="n">
        <v>0.739130434782609</v>
      </c>
      <c r="EX170" s="0" t="n">
        <v>2.90111469172123</v>
      </c>
      <c r="EY170" s="0" t="n">
        <v>2.892</v>
      </c>
      <c r="EZ170" s="0" t="n">
        <v>0.1813</v>
      </c>
      <c r="FA170" s="0" t="n">
        <v>2.899</v>
      </c>
      <c r="FB170" s="0" t="n">
        <v>1.697</v>
      </c>
      <c r="FC170" s="0" t="n">
        <v>18</v>
      </c>
      <c r="FD170" s="0" t="n">
        <v>608</v>
      </c>
      <c r="FE170" s="0" t="n">
        <v>0.0986842105263158</v>
      </c>
      <c r="FF170" s="0" t="n">
        <v>0.0989</v>
      </c>
      <c r="FG170" s="0" t="n">
        <v>0.3117</v>
      </c>
      <c r="FH170" s="0" t="n">
        <v>2.423</v>
      </c>
      <c r="FI170" s="0" t="n">
        <v>1009</v>
      </c>
      <c r="FJ170" s="0" t="n">
        <v>0.551040634291378</v>
      </c>
      <c r="FK170" s="0" t="n">
        <v>17</v>
      </c>
      <c r="FL170" s="0" t="n">
        <v>59.35</v>
      </c>
      <c r="FM170" s="0" t="n">
        <v>0.4319</v>
      </c>
      <c r="FN170" s="0" t="n">
        <v>0.5681</v>
      </c>
      <c r="FO170" s="0" t="n">
        <v>-0.0877</v>
      </c>
      <c r="FP170" s="0" t="n">
        <v>-0.061</v>
      </c>
      <c r="FQ170" s="0" t="n">
        <v>-0.1799</v>
      </c>
      <c r="FR170" s="0" t="n">
        <v>38</v>
      </c>
      <c r="FS170" s="0" t="n">
        <v>42</v>
      </c>
      <c r="FT170" s="0" t="n">
        <v>2.47</v>
      </c>
      <c r="FU170" s="0" t="n">
        <v>17.6</v>
      </c>
      <c r="FV170" s="0" t="n">
        <v>5302</v>
      </c>
      <c r="FW170" s="0" t="n">
        <v>4286</v>
      </c>
      <c r="FX170" s="0" t="n">
        <v>0.808</v>
      </c>
      <c r="FY170" s="0" t="n">
        <v>5</v>
      </c>
      <c r="FZ170" s="0" t="n">
        <v>3</v>
      </c>
      <c r="GA170" s="0" t="n">
        <v>0.350287370649638</v>
      </c>
      <c r="GB170" s="0" t="n">
        <v>56.3</v>
      </c>
      <c r="GC170" s="0" t="n">
        <v>25.8</v>
      </c>
      <c r="GD170" s="0" t="n">
        <v>38.6</v>
      </c>
      <c r="GE170" s="0" t="n">
        <v>472</v>
      </c>
      <c r="GF170" s="0" t="n">
        <v>456</v>
      </c>
      <c r="GG170" s="0" t="n">
        <v>76</v>
      </c>
      <c r="GH170" s="0" t="n">
        <v>117</v>
      </c>
      <c r="GI170" s="0" t="n">
        <v>116</v>
      </c>
      <c r="GJ170" s="0" t="n">
        <v>27</v>
      </c>
      <c r="GK170" s="0" t="n">
        <v>0.161</v>
      </c>
      <c r="GL170" s="0" t="n">
        <v>0.257</v>
      </c>
      <c r="GM170" s="0" t="n">
        <v>0.233</v>
      </c>
      <c r="GN170" s="0" t="n">
        <v>3.825</v>
      </c>
      <c r="GO170" s="0" t="n">
        <v>3.575</v>
      </c>
      <c r="GP170" s="0" t="n">
        <v>3.325</v>
      </c>
      <c r="GQ170" s="0" t="n">
        <v>0.75</v>
      </c>
      <c r="GR170" s="0" t="n">
        <v>4.5</v>
      </c>
      <c r="GS170" s="0" t="n">
        <v>21</v>
      </c>
      <c r="GT170" s="0" t="n">
        <v>0.729</v>
      </c>
      <c r="GU170" s="0" t="n">
        <v>0.264</v>
      </c>
      <c r="HC170" s="0" t="n">
        <v>0.048</v>
      </c>
      <c r="HE170" s="0" t="n">
        <v>-0.072</v>
      </c>
      <c r="HG170" s="0" t="n">
        <v>182.34</v>
      </c>
      <c r="HH170" s="0" t="n">
        <v>31.3</v>
      </c>
      <c r="HI170" s="0" t="n">
        <v>135</v>
      </c>
      <c r="HJ170" s="0" t="n">
        <v>266</v>
      </c>
      <c r="HK170" s="0" t="s">
        <v>909</v>
      </c>
      <c r="HL170" s="0" t="n">
        <v>0</v>
      </c>
      <c r="HM170" s="0" t="n">
        <v>67</v>
      </c>
      <c r="HN170" s="0" t="n">
        <v>55</v>
      </c>
      <c r="HO170" s="0" t="n">
        <v>-0.953</v>
      </c>
      <c r="HP170" s="0" t="n">
        <v>60</v>
      </c>
      <c r="HQ170" s="0" t="n">
        <v>-0.647</v>
      </c>
      <c r="HR170" s="0" t="s">
        <v>121</v>
      </c>
    </row>
    <row r="171" customFormat="false" ht="15" hidden="false" customHeight="false" outlineLevel="0" collapsed="false">
      <c r="A171" s="0" t="s">
        <v>896</v>
      </c>
      <c r="B171" s="0" t="s">
        <v>897</v>
      </c>
      <c r="C171" s="0" t="s">
        <v>898</v>
      </c>
      <c r="D171" s="0" t="s">
        <v>482</v>
      </c>
      <c r="E171" s="0" t="n">
        <v>26398</v>
      </c>
      <c r="F171" s="0" t="s">
        <v>99</v>
      </c>
      <c r="G171" s="0" t="n">
        <v>182.63</v>
      </c>
      <c r="H171" s="0" t="n">
        <v>25.51</v>
      </c>
      <c r="I171" s="0" t="n">
        <v>149</v>
      </c>
      <c r="J171" s="0" t="n">
        <v>327</v>
      </c>
      <c r="L171" s="0" t="s">
        <v>1873</v>
      </c>
      <c r="O171" s="0" t="n">
        <v>13</v>
      </c>
      <c r="U171" s="0" t="n">
        <v>14</v>
      </c>
      <c r="V171" s="0" t="s">
        <v>482</v>
      </c>
      <c r="W171" s="0" t="s">
        <v>901</v>
      </c>
      <c r="X171" s="0" t="s">
        <v>120</v>
      </c>
      <c r="Y171" s="0" t="s">
        <v>1874</v>
      </c>
      <c r="Z171" s="0" t="n">
        <v>26398</v>
      </c>
      <c r="AA171" s="0" t="s">
        <v>1875</v>
      </c>
      <c r="AB171" s="0" t="s">
        <v>904</v>
      </c>
      <c r="AC171" s="0" t="s">
        <v>120</v>
      </c>
      <c r="AD171" s="0" t="s">
        <v>120</v>
      </c>
      <c r="AE171" s="0" t="s">
        <v>120</v>
      </c>
      <c r="AF171" s="0" t="s">
        <v>120</v>
      </c>
      <c r="AG171" s="0" t="s">
        <v>120</v>
      </c>
      <c r="AH171" s="0" t="s">
        <v>905</v>
      </c>
      <c r="AI171" s="0" t="n">
        <v>3</v>
      </c>
      <c r="AJ171" s="0" t="s">
        <v>99</v>
      </c>
      <c r="AK171" s="0" t="n">
        <v>170</v>
      </c>
      <c r="AL171" s="0" t="n">
        <v>68</v>
      </c>
      <c r="AM171" s="0" t="s">
        <v>483</v>
      </c>
      <c r="AN171" s="0" t="n">
        <v>0</v>
      </c>
      <c r="AO171" s="0" t="n">
        <v>0</v>
      </c>
      <c r="AP171" s="0" t="n">
        <v>0</v>
      </c>
      <c r="AQ171" s="0" t="n">
        <v>0</v>
      </c>
      <c r="AR171" s="0" t="n">
        <v>0</v>
      </c>
      <c r="AS171" s="0" t="n">
        <v>0</v>
      </c>
      <c r="AT171" s="0" t="n">
        <v>0</v>
      </c>
      <c r="AU171" s="0" t="n">
        <v>0</v>
      </c>
      <c r="AV171" s="0" t="n">
        <v>0</v>
      </c>
      <c r="AW171" s="0" t="n">
        <v>4</v>
      </c>
      <c r="AX171" s="0" t="n">
        <v>25</v>
      </c>
      <c r="AY171" s="0" t="n">
        <v>0</v>
      </c>
      <c r="AZ171" s="0" t="n">
        <v>2</v>
      </c>
      <c r="BA171" s="0" t="n">
        <v>0.472844568779692</v>
      </c>
      <c r="BB171" s="0" t="n">
        <v>0</v>
      </c>
      <c r="BC171" s="0" t="n">
        <v>40</v>
      </c>
      <c r="BD171" s="0" t="n">
        <v>56</v>
      </c>
      <c r="BE171" s="0" t="n">
        <v>475</v>
      </c>
      <c r="BF171" s="0" t="n">
        <v>4</v>
      </c>
      <c r="BG171" s="0" t="n">
        <v>466</v>
      </c>
      <c r="BH171" s="0" t="n">
        <v>204</v>
      </c>
      <c r="BI171" s="0" t="n">
        <v>29</v>
      </c>
      <c r="BJ171" s="0" t="n">
        <v>28.6348330703759</v>
      </c>
      <c r="BK171" s="0" t="n">
        <v>0</v>
      </c>
      <c r="BL171" s="0" t="n">
        <v>0</v>
      </c>
      <c r="BM171" s="0" t="n">
        <v>74</v>
      </c>
      <c r="BN171" s="0" t="n">
        <v>114</v>
      </c>
      <c r="BO171" s="0" t="n">
        <v>15</v>
      </c>
      <c r="BP171" s="0" t="s">
        <v>120</v>
      </c>
      <c r="BQ171" s="0" t="n">
        <v>1</v>
      </c>
      <c r="BR171" s="0" t="n">
        <v>94</v>
      </c>
      <c r="BS171" s="0" t="n">
        <v>0.0923</v>
      </c>
      <c r="BT171" s="0" t="n">
        <v>0.0086</v>
      </c>
      <c r="BU171" s="0" t="n">
        <v>0.0946</v>
      </c>
      <c r="BV171" s="0" t="n">
        <v>0.1041</v>
      </c>
      <c r="BW171" s="0" t="n">
        <v>0.01</v>
      </c>
      <c r="BX171" s="0" t="n">
        <v>0.1107</v>
      </c>
      <c r="BY171" s="0" t="n">
        <v>0.2336</v>
      </c>
      <c r="BZ171" s="0" t="n">
        <v>15</v>
      </c>
      <c r="CA171" s="0" t="n">
        <v>2.9</v>
      </c>
      <c r="CB171" s="0" t="n">
        <v>11.6</v>
      </c>
      <c r="CC171" s="0" t="n">
        <v>6.4</v>
      </c>
      <c r="CD171" s="0" t="n">
        <v>7.23</v>
      </c>
      <c r="CE171" s="0" t="n">
        <v>1</v>
      </c>
      <c r="CF171" s="0" t="n">
        <v>4</v>
      </c>
      <c r="CG171" s="0" t="n">
        <v>15</v>
      </c>
      <c r="CH171" s="0" t="n">
        <v>0.067</v>
      </c>
      <c r="CI171" s="0" t="n">
        <v>0.267</v>
      </c>
      <c r="CJ171" s="0" t="n">
        <v>1.13</v>
      </c>
      <c r="CK171" s="0" t="n">
        <v>7</v>
      </c>
      <c r="CL171" s="0" t="n">
        <v>5</v>
      </c>
      <c r="CM171" s="0" t="n">
        <v>4</v>
      </c>
      <c r="CN171" s="0" t="n">
        <v>4</v>
      </c>
      <c r="CO171" s="0" t="n">
        <v>3.18060496579503</v>
      </c>
      <c r="CP171" s="0" t="n">
        <v>0</v>
      </c>
      <c r="CQ171" s="0" t="n">
        <v>0</v>
      </c>
      <c r="CR171" s="0" t="n">
        <v>0</v>
      </c>
      <c r="CS171" s="0" t="n">
        <v>0</v>
      </c>
      <c r="CT171" s="0" t="n">
        <v>0.0390876258446277</v>
      </c>
      <c r="CU171" s="0" t="n">
        <v>7</v>
      </c>
      <c r="CV171" s="0" t="n">
        <v>5</v>
      </c>
      <c r="CW171" s="0" t="n">
        <v>4</v>
      </c>
      <c r="CX171" s="0" t="n">
        <v>4</v>
      </c>
      <c r="CY171" s="0" t="n">
        <v>3.22</v>
      </c>
      <c r="CZ171" s="0" t="n">
        <v>0.78</v>
      </c>
      <c r="DA171" s="0" t="n">
        <v>3.04081483374996</v>
      </c>
      <c r="DB171" s="0" t="n">
        <v>6.30471698113208</v>
      </c>
      <c r="DC171" s="0" t="n">
        <v>8.79178571428571</v>
      </c>
      <c r="DD171" s="0" t="n">
        <v>9.71617573343964</v>
      </c>
      <c r="DE171" s="0" t="n">
        <v>0.65235875249429</v>
      </c>
      <c r="DF171" s="0" t="n">
        <v>71.4285714285714</v>
      </c>
      <c r="DM171" s="0" t="s">
        <v>1876</v>
      </c>
      <c r="DN171" s="0" t="n">
        <v>4</v>
      </c>
      <c r="DO171" s="0" t="n">
        <v>0</v>
      </c>
      <c r="DS171" s="0" t="n">
        <v>56</v>
      </c>
      <c r="DT171" s="0" t="n">
        <v>2</v>
      </c>
      <c r="DU171" s="0" t="n">
        <v>2</v>
      </c>
      <c r="DV171" s="0" t="n">
        <v>6.775</v>
      </c>
      <c r="DW171" s="0" t="n">
        <v>5.1</v>
      </c>
      <c r="DX171" s="0" t="n">
        <v>8.3</v>
      </c>
      <c r="DY171" s="0" t="n">
        <v>0.0357</v>
      </c>
      <c r="DZ171" s="0" t="n">
        <v>479</v>
      </c>
      <c r="EA171" s="0" t="n">
        <v>0.448</v>
      </c>
      <c r="EB171" s="0" t="n">
        <v>16</v>
      </c>
      <c r="EC171" s="0" t="s">
        <v>1877</v>
      </c>
      <c r="ED171" s="0" t="n">
        <v>2024</v>
      </c>
      <c r="EE171" s="0" t="n">
        <v>6</v>
      </c>
      <c r="EF171" s="0" t="n">
        <v>216</v>
      </c>
      <c r="EG171" s="0" t="n">
        <v>2024</v>
      </c>
      <c r="EH171" s="0" t="n">
        <v>2026</v>
      </c>
      <c r="EI171" s="0" t="n">
        <v>3</v>
      </c>
      <c r="EJ171" s="0" t="n">
        <v>73</v>
      </c>
      <c r="EK171" s="0" t="n">
        <v>205</v>
      </c>
      <c r="EL171" s="0" t="s">
        <v>1878</v>
      </c>
      <c r="EM171" s="0" t="n">
        <v>26.8</v>
      </c>
      <c r="EN171" s="15" t="b">
        <f aca="false">FALSE()</f>
        <v>0</v>
      </c>
      <c r="EO171" s="0" t="n">
        <v>383</v>
      </c>
      <c r="EP171" s="0" t="n">
        <v>3.16527415143603</v>
      </c>
      <c r="EQ171" s="0" t="n">
        <v>0.130548302872063</v>
      </c>
      <c r="ER171" s="0" t="n">
        <v>1.25587467362924</v>
      </c>
      <c r="ES171" s="0" t="n">
        <v>0.845953002610966</v>
      </c>
      <c r="ET171" s="0" t="n">
        <v>34</v>
      </c>
      <c r="EU171" s="0" t="n">
        <v>24</v>
      </c>
      <c r="EV171" s="0" t="n">
        <v>4.66318537859008</v>
      </c>
      <c r="EW171" s="0" t="n">
        <v>0.705882352941177</v>
      </c>
      <c r="EX171" s="0" t="n">
        <v>3.04016625444487</v>
      </c>
      <c r="EY171" s="0" t="n">
        <v>3.074</v>
      </c>
      <c r="EZ171" s="0" t="n">
        <v>0.1352</v>
      </c>
      <c r="FA171" s="0" t="n">
        <v>2.563</v>
      </c>
      <c r="FB171" s="0" t="n">
        <v>2.03</v>
      </c>
      <c r="FC171" s="0" t="n">
        <v>33</v>
      </c>
      <c r="FD171" s="0" t="n">
        <v>681</v>
      </c>
      <c r="FE171" s="0" t="n">
        <v>0.0455212922173275</v>
      </c>
      <c r="FF171" s="0" t="n">
        <v>0.044</v>
      </c>
      <c r="FG171" s="0" t="n">
        <v>0.2356</v>
      </c>
      <c r="FH171" s="0" t="n">
        <v>2.396</v>
      </c>
      <c r="FI171" s="0" t="n">
        <v>1104</v>
      </c>
      <c r="FJ171" s="0" t="n">
        <v>0.593297101449275</v>
      </c>
      <c r="FK171" s="0" t="n">
        <v>17</v>
      </c>
      <c r="FL171" s="0" t="n">
        <v>64.94</v>
      </c>
      <c r="FM171" s="0" t="n">
        <v>0.5628</v>
      </c>
      <c r="FN171" s="0" t="n">
        <v>0.4372</v>
      </c>
      <c r="FO171" s="0" t="n">
        <v>-0.0098</v>
      </c>
      <c r="FP171" s="0" t="n">
        <v>0.005</v>
      </c>
      <c r="FQ171" s="0" t="n">
        <v>0.1615</v>
      </c>
      <c r="FR171" s="0" t="n">
        <v>36</v>
      </c>
      <c r="FS171" s="0" t="n">
        <v>65</v>
      </c>
      <c r="FT171" s="0" t="n">
        <v>3.82</v>
      </c>
      <c r="FU171" s="0" t="n">
        <v>27.7</v>
      </c>
      <c r="FV171" s="0" t="n">
        <v>5938</v>
      </c>
      <c r="FW171" s="0" t="n">
        <v>5037</v>
      </c>
      <c r="FX171" s="0" t="n">
        <v>0.848</v>
      </c>
      <c r="FY171" s="0" t="n">
        <v>5</v>
      </c>
      <c r="FZ171" s="0" t="n">
        <v>5</v>
      </c>
      <c r="GA171" s="0" t="n">
        <v>0.642644133012613</v>
      </c>
      <c r="GB171" s="0" t="n">
        <v>61.6</v>
      </c>
      <c r="GC171" s="0" t="n">
        <v>62.2</v>
      </c>
      <c r="GD171" s="0" t="n">
        <v>65.1</v>
      </c>
      <c r="GE171" s="0" t="n">
        <v>607</v>
      </c>
      <c r="GF171" s="0" t="n">
        <v>465</v>
      </c>
      <c r="GG171" s="0" t="n">
        <v>34</v>
      </c>
      <c r="GH171" s="0" t="n">
        <v>0</v>
      </c>
      <c r="GI171" s="0" t="n">
        <v>187</v>
      </c>
      <c r="GJ171" s="0" t="n">
        <v>4</v>
      </c>
      <c r="GK171" s="0" t="n">
        <v>0.056</v>
      </c>
      <c r="GL171" s="0" t="n">
        <v>0</v>
      </c>
      <c r="GM171" s="0" t="n">
        <v>0.021</v>
      </c>
      <c r="GN171" s="0" t="n">
        <v>7.6</v>
      </c>
      <c r="GO171" s="0" t="n">
        <v>6.267</v>
      </c>
      <c r="GP171" s="0" t="n">
        <v>4.933</v>
      </c>
      <c r="GQ171" s="0" t="n">
        <v>3.733</v>
      </c>
      <c r="GR171" s="0" t="n">
        <v>0.267</v>
      </c>
      <c r="GS171" s="0" t="n">
        <v>60</v>
      </c>
      <c r="GT171" s="0" t="n">
        <v>1.9</v>
      </c>
      <c r="GU171" s="0" t="n">
        <v>0.238</v>
      </c>
      <c r="GV171" s="0" t="n">
        <v>8.482</v>
      </c>
      <c r="GW171" s="0" t="n">
        <v>11.875</v>
      </c>
      <c r="GX171" s="0" t="n">
        <v>0.714</v>
      </c>
      <c r="GZ171" s="0" t="n">
        <v>8.321</v>
      </c>
      <c r="HA171" s="0" t="n">
        <v>5.1</v>
      </c>
      <c r="HB171" s="0" t="n">
        <v>1.019</v>
      </c>
      <c r="HC171" s="0" t="n">
        <v>0.067</v>
      </c>
      <c r="HE171" s="0" t="n">
        <v>0.511</v>
      </c>
      <c r="HG171" s="0" t="n">
        <v>182.63</v>
      </c>
      <c r="HH171" s="0" t="n">
        <v>25.51</v>
      </c>
      <c r="HI171" s="0" t="n">
        <v>149</v>
      </c>
      <c r="HJ171" s="0" t="n">
        <v>327</v>
      </c>
      <c r="HK171" s="0" t="s">
        <v>909</v>
      </c>
      <c r="HL171" s="0" t="n">
        <v>0</v>
      </c>
      <c r="HM171" s="0" t="n">
        <v>56</v>
      </c>
      <c r="HN171" s="0" t="n">
        <v>68</v>
      </c>
      <c r="HO171" s="0" t="n">
        <v>-0.011</v>
      </c>
      <c r="HP171" s="0" t="n">
        <v>62</v>
      </c>
      <c r="HQ171" s="0" t="n">
        <v>-0.274</v>
      </c>
      <c r="HR171" s="0" t="s">
        <v>102</v>
      </c>
    </row>
    <row r="172" customFormat="false" ht="15" hidden="false" customHeight="false" outlineLevel="0" collapsed="false">
      <c r="A172" s="0" t="s">
        <v>896</v>
      </c>
      <c r="B172" s="0" t="s">
        <v>897</v>
      </c>
      <c r="C172" s="0" t="s">
        <v>898</v>
      </c>
      <c r="D172" s="0" t="s">
        <v>484</v>
      </c>
      <c r="E172" s="0" t="n">
        <v>18290</v>
      </c>
      <c r="F172" s="0" t="s">
        <v>149</v>
      </c>
      <c r="G172" s="0" t="n">
        <v>191.24</v>
      </c>
      <c r="H172" s="0" t="n">
        <v>21.43</v>
      </c>
      <c r="I172" s="0" t="n">
        <v>124</v>
      </c>
      <c r="J172" s="0" t="n">
        <v>246</v>
      </c>
      <c r="L172" s="0" t="s">
        <v>1879</v>
      </c>
      <c r="O172" s="0" t="n">
        <v>49.7</v>
      </c>
      <c r="U172" s="0" t="n">
        <v>6</v>
      </c>
      <c r="V172" s="0" t="s">
        <v>1880</v>
      </c>
      <c r="W172" s="0" t="s">
        <v>901</v>
      </c>
      <c r="X172" s="0" t="s">
        <v>127</v>
      </c>
      <c r="Y172" s="0" t="s">
        <v>1881</v>
      </c>
      <c r="Z172" s="0" t="n">
        <v>18290</v>
      </c>
      <c r="AA172" s="0" t="s">
        <v>1882</v>
      </c>
      <c r="AB172" s="0" t="s">
        <v>904</v>
      </c>
      <c r="AC172" s="0" t="s">
        <v>127</v>
      </c>
      <c r="AD172" s="0" t="s">
        <v>127</v>
      </c>
      <c r="AE172" s="0" t="s">
        <v>127</v>
      </c>
      <c r="AF172" s="0" t="s">
        <v>127</v>
      </c>
      <c r="AG172" s="0" t="s">
        <v>127</v>
      </c>
      <c r="AH172" s="0" t="s">
        <v>905</v>
      </c>
      <c r="AI172" s="0" t="n">
        <v>1</v>
      </c>
      <c r="AJ172" s="0" t="s">
        <v>149</v>
      </c>
      <c r="AK172" s="0" t="n">
        <v>171</v>
      </c>
      <c r="AL172" s="0" t="n">
        <v>22</v>
      </c>
      <c r="AM172" s="0" t="s">
        <v>485</v>
      </c>
      <c r="AN172" s="0" t="n">
        <v>0</v>
      </c>
      <c r="AO172" s="0" t="n">
        <v>0</v>
      </c>
      <c r="AP172" s="0" t="n">
        <v>0</v>
      </c>
      <c r="AQ172" s="0" t="n">
        <v>0</v>
      </c>
      <c r="AR172" s="0" t="n">
        <v>0</v>
      </c>
      <c r="AS172" s="0" t="n">
        <v>0</v>
      </c>
      <c r="AT172" s="0" t="n">
        <v>0</v>
      </c>
      <c r="AU172" s="0" t="n">
        <v>0</v>
      </c>
      <c r="AV172" s="0" t="n">
        <v>0</v>
      </c>
      <c r="AW172" s="0" t="n">
        <v>1</v>
      </c>
      <c r="AX172" s="0" t="n">
        <v>0</v>
      </c>
      <c r="AY172" s="0" t="n">
        <v>0</v>
      </c>
      <c r="AZ172" s="0" t="n">
        <v>0</v>
      </c>
      <c r="BA172" s="0" t="n">
        <v>-1.10678490594728</v>
      </c>
      <c r="BB172" s="0" t="n">
        <v>0</v>
      </c>
      <c r="BC172" s="0" t="n">
        <v>51</v>
      </c>
      <c r="BD172" s="0" t="n">
        <v>66</v>
      </c>
      <c r="BE172" s="0" t="n">
        <v>438</v>
      </c>
      <c r="BF172" s="0" t="n">
        <v>3</v>
      </c>
      <c r="BG172" s="0" t="n">
        <v>329</v>
      </c>
      <c r="BH172" s="0" t="n">
        <v>219</v>
      </c>
      <c r="BI172" s="0" t="n">
        <v>22</v>
      </c>
      <c r="BJ172" s="0" t="n">
        <v>14.0954654578706</v>
      </c>
      <c r="BK172" s="0" t="n">
        <v>0</v>
      </c>
      <c r="BL172" s="0" t="n">
        <v>0</v>
      </c>
      <c r="BM172" s="0" t="n">
        <v>61.8</v>
      </c>
      <c r="BN172" s="0" t="n">
        <v>112.8</v>
      </c>
      <c r="BO172" s="0" t="n">
        <v>15</v>
      </c>
      <c r="BP172" s="0" t="s">
        <v>127</v>
      </c>
      <c r="BQ172" s="0" t="n">
        <v>1</v>
      </c>
      <c r="BR172" s="0" t="n">
        <v>87.3</v>
      </c>
      <c r="BS172" s="0" t="n">
        <v>0.141</v>
      </c>
      <c r="BT172" s="0" t="n">
        <v>0.0024</v>
      </c>
      <c r="BU172" s="0" t="n">
        <v>0.0883</v>
      </c>
      <c r="BV172" s="0" t="n">
        <v>0.1557</v>
      </c>
      <c r="BW172" s="0" t="n">
        <v>0.0028</v>
      </c>
      <c r="BX172" s="0" t="n">
        <v>0.0947</v>
      </c>
      <c r="BY172" s="0" t="n">
        <v>0.2998</v>
      </c>
      <c r="BZ172" s="0" t="n">
        <v>15</v>
      </c>
      <c r="CA172" s="0" t="n">
        <v>4.55</v>
      </c>
      <c r="CB172" s="0" t="n">
        <v>10.57</v>
      </c>
      <c r="CC172" s="0" t="n">
        <v>7.9</v>
      </c>
      <c r="CD172" s="0" t="n">
        <v>4.04</v>
      </c>
      <c r="CE172" s="0" t="n">
        <v>1</v>
      </c>
      <c r="CF172" s="0" t="n">
        <v>2</v>
      </c>
      <c r="CG172" s="0" t="n">
        <v>15</v>
      </c>
      <c r="CH172" s="0" t="n">
        <v>0.067</v>
      </c>
      <c r="CI172" s="0" t="n">
        <v>0.133</v>
      </c>
      <c r="CJ172" s="0" t="n">
        <v>0.511</v>
      </c>
      <c r="CK172" s="0" t="n">
        <v>11</v>
      </c>
      <c r="CL172" s="0" t="n">
        <v>3</v>
      </c>
      <c r="CM172" s="0" t="n">
        <v>2</v>
      </c>
      <c r="CN172" s="0" t="n">
        <v>3</v>
      </c>
      <c r="CO172" s="0" t="n">
        <v>3.3105939642687</v>
      </c>
      <c r="CP172" s="0" t="n">
        <v>1</v>
      </c>
      <c r="CQ172" s="0" t="n">
        <v>0</v>
      </c>
      <c r="CR172" s="0" t="n">
        <v>0</v>
      </c>
      <c r="CS172" s="0" t="n">
        <v>0</v>
      </c>
      <c r="CT172" s="0" t="n">
        <v>0.0446791226645004</v>
      </c>
      <c r="CU172" s="0" t="n">
        <v>12</v>
      </c>
      <c r="CV172" s="0" t="n">
        <v>3</v>
      </c>
      <c r="CW172" s="0" t="n">
        <v>2</v>
      </c>
      <c r="CX172" s="0" t="n">
        <v>3</v>
      </c>
      <c r="CY172" s="0" t="n">
        <v>3.36</v>
      </c>
      <c r="CZ172" s="0" t="n">
        <v>-0.36</v>
      </c>
      <c r="DA172" s="0" t="n">
        <v>3.75453022718054</v>
      </c>
      <c r="DB172" s="0" t="n">
        <v>6.19933333333333</v>
      </c>
      <c r="DC172" s="0" t="n">
        <v>4.78757575757576</v>
      </c>
      <c r="DD172" s="0" t="n">
        <v>8.30708723519483</v>
      </c>
      <c r="DE172" s="0" t="n">
        <v>-0.148333656963932</v>
      </c>
      <c r="DF172" s="0" t="n">
        <v>77.2727272727273</v>
      </c>
      <c r="DM172" s="0" t="s">
        <v>1883</v>
      </c>
      <c r="DN172" s="0" t="n">
        <v>1</v>
      </c>
      <c r="DO172" s="0" t="n">
        <v>0</v>
      </c>
      <c r="DS172" s="0" t="n">
        <v>66</v>
      </c>
      <c r="DT172" s="0" t="n">
        <v>2</v>
      </c>
      <c r="DU172" s="0" t="n">
        <v>3</v>
      </c>
      <c r="DV172" s="0" t="n">
        <v>4.294</v>
      </c>
      <c r="DW172" s="0" t="n">
        <v>4.294</v>
      </c>
      <c r="DX172" s="0" t="n">
        <v>5.2</v>
      </c>
      <c r="DY172" s="0" t="n">
        <v>0.0455</v>
      </c>
      <c r="DZ172" s="0" t="n">
        <v>691</v>
      </c>
      <c r="EA172" s="0" t="n">
        <v>0.779</v>
      </c>
      <c r="EB172" s="0" t="n">
        <v>15</v>
      </c>
      <c r="EC172" s="0" t="s">
        <v>1884</v>
      </c>
      <c r="ED172" s="0" t="n">
        <v>2019</v>
      </c>
      <c r="EE172" s="0" t="n">
        <v>1</v>
      </c>
      <c r="EF172" s="0" t="n">
        <v>8</v>
      </c>
      <c r="EG172" s="0" t="n">
        <v>2019</v>
      </c>
      <c r="EH172" s="0" t="n">
        <v>2026</v>
      </c>
      <c r="EI172" s="0" t="n">
        <v>8</v>
      </c>
      <c r="EJ172" s="0" t="n">
        <v>77</v>
      </c>
      <c r="EK172" s="0" t="n">
        <v>248</v>
      </c>
      <c r="EL172" s="0" t="s">
        <v>1374</v>
      </c>
      <c r="EM172" s="0" t="n">
        <v>29.1</v>
      </c>
      <c r="EN172" s="15" t="b">
        <f aca="false">FALSE()</f>
        <v>0</v>
      </c>
      <c r="EO172" s="0" t="n">
        <v>348</v>
      </c>
      <c r="EP172" s="0" t="n">
        <v>3.06781609195402</v>
      </c>
      <c r="EQ172" s="0" t="n">
        <v>0.160919540229885</v>
      </c>
      <c r="ER172" s="0" t="n">
        <v>1.27011494252874</v>
      </c>
      <c r="ES172" s="0" t="n">
        <v>0.548850574712644</v>
      </c>
      <c r="ET172" s="0" t="n">
        <v>30</v>
      </c>
      <c r="EU172" s="0" t="n">
        <v>21</v>
      </c>
      <c r="EV172" s="0" t="n">
        <v>4.28448275862069</v>
      </c>
      <c r="EW172" s="0" t="n">
        <v>0.7</v>
      </c>
      <c r="EX172" s="0" t="n">
        <v>3.05559506502035</v>
      </c>
      <c r="EY172" s="0" t="n">
        <v>2.961</v>
      </c>
      <c r="EZ172" s="0" t="n">
        <v>0.1751</v>
      </c>
      <c r="FA172" s="0" t="n">
        <v>2.441</v>
      </c>
      <c r="FB172" s="0" t="n">
        <v>2.049</v>
      </c>
      <c r="FC172" s="0" t="n">
        <v>27</v>
      </c>
      <c r="FD172" s="0" t="n">
        <v>571</v>
      </c>
      <c r="FE172" s="0" t="n">
        <v>0.10507880910683</v>
      </c>
      <c r="FF172" s="0" t="n">
        <v>0.1028</v>
      </c>
      <c r="FG172" s="0" t="n">
        <v>0.3037</v>
      </c>
      <c r="FH172" s="0" t="n">
        <v>2.429</v>
      </c>
      <c r="FI172" s="0" t="n">
        <v>943</v>
      </c>
      <c r="FJ172" s="0" t="n">
        <v>0.580063626723224</v>
      </c>
      <c r="FK172" s="0" t="n">
        <v>17</v>
      </c>
      <c r="FL172" s="0" t="n">
        <v>55.47</v>
      </c>
      <c r="FM172" s="0" t="n">
        <v>0.5369</v>
      </c>
      <c r="FN172" s="0" t="n">
        <v>0.4631</v>
      </c>
      <c r="FO172" s="0" t="n">
        <v>-0.012</v>
      </c>
      <c r="FP172" s="0" t="n">
        <v>-0.0149</v>
      </c>
      <c r="FQ172" s="0" t="n">
        <v>-0.1883</v>
      </c>
      <c r="FR172" s="0" t="n">
        <v>39</v>
      </c>
      <c r="FS172" s="0" t="n">
        <v>53</v>
      </c>
      <c r="FT172" s="0" t="n">
        <v>3.12</v>
      </c>
      <c r="FU172" s="0" t="n">
        <v>20.2</v>
      </c>
      <c r="FV172" s="0" t="n">
        <v>5009</v>
      </c>
      <c r="FW172" s="0" t="n">
        <v>4102</v>
      </c>
      <c r="FX172" s="0" t="n">
        <v>0.819</v>
      </c>
      <c r="FY172" s="0" t="n">
        <v>5</v>
      </c>
      <c r="FZ172" s="0" t="n">
        <v>5</v>
      </c>
      <c r="GA172" s="0" t="n">
        <v>0.100485160629548</v>
      </c>
      <c r="GB172" s="0" t="n">
        <v>51.8</v>
      </c>
      <c r="GC172" s="0" t="n">
        <v>26.2</v>
      </c>
      <c r="GD172" s="0" t="n">
        <v>36</v>
      </c>
      <c r="GE172" s="0" t="n">
        <v>468</v>
      </c>
      <c r="GF172" s="0" t="n">
        <v>410</v>
      </c>
      <c r="GG172" s="0" t="n">
        <v>82</v>
      </c>
      <c r="GH172" s="0" t="n">
        <v>24</v>
      </c>
      <c r="GI172" s="0" t="n">
        <v>131</v>
      </c>
      <c r="GJ172" s="0" t="n">
        <v>17</v>
      </c>
      <c r="GK172" s="0" t="n">
        <v>0.175</v>
      </c>
      <c r="GL172" s="0" t="n">
        <v>0.059</v>
      </c>
      <c r="GM172" s="0" t="n">
        <v>0.13</v>
      </c>
      <c r="GN172" s="0" t="n">
        <v>7.52</v>
      </c>
      <c r="GO172" s="0" t="n">
        <v>5.82</v>
      </c>
      <c r="GP172" s="0" t="n">
        <v>4.12</v>
      </c>
      <c r="GQ172" s="0" t="n">
        <v>4.4</v>
      </c>
      <c r="GR172" s="0" t="n">
        <v>0.067</v>
      </c>
      <c r="GS172" s="0" t="n">
        <v>67</v>
      </c>
      <c r="GT172" s="0" t="n">
        <v>1.684</v>
      </c>
      <c r="GU172" s="0" t="n">
        <v>0.163</v>
      </c>
      <c r="GV172" s="0" t="n">
        <v>6.636</v>
      </c>
      <c r="GW172" s="0" t="n">
        <v>8.588</v>
      </c>
      <c r="GX172" s="0" t="n">
        <v>0.773</v>
      </c>
      <c r="GZ172" s="0" t="n">
        <v>4.985</v>
      </c>
      <c r="HA172" s="0" t="n">
        <v>4.294</v>
      </c>
      <c r="HB172" s="0" t="n">
        <v>1.331</v>
      </c>
      <c r="HC172" s="0" t="n">
        <v>0.045</v>
      </c>
      <c r="HE172" s="0" t="n">
        <v>0.214</v>
      </c>
      <c r="HG172" s="0" t="n">
        <v>191.24</v>
      </c>
      <c r="HH172" s="0" t="n">
        <v>21.43</v>
      </c>
      <c r="HI172" s="0" t="n">
        <v>124</v>
      </c>
      <c r="HJ172" s="0" t="n">
        <v>246</v>
      </c>
      <c r="HK172" s="0" t="s">
        <v>909</v>
      </c>
      <c r="HL172" s="0" t="n">
        <v>0</v>
      </c>
      <c r="HM172" s="0" t="n">
        <v>24</v>
      </c>
      <c r="HN172" s="0" t="n">
        <v>22</v>
      </c>
      <c r="HO172" s="0" t="n">
        <v>-0.237</v>
      </c>
      <c r="HP172" s="0" t="n">
        <v>25</v>
      </c>
      <c r="HQ172" s="0" t="n">
        <v>-0.282</v>
      </c>
      <c r="HR172" s="0" t="s">
        <v>102</v>
      </c>
    </row>
    <row r="173" customFormat="false" ht="15" hidden="false" customHeight="false" outlineLevel="0" collapsed="false">
      <c r="A173" s="0" t="s">
        <v>896</v>
      </c>
      <c r="B173" s="0" t="s">
        <v>897</v>
      </c>
      <c r="C173" s="0" t="s">
        <v>898</v>
      </c>
      <c r="D173" s="0" t="s">
        <v>486</v>
      </c>
      <c r="E173" s="0" t="n">
        <v>24177</v>
      </c>
      <c r="F173" s="0" t="s">
        <v>99</v>
      </c>
      <c r="G173" s="0" t="n">
        <v>192.56</v>
      </c>
      <c r="H173" s="0" t="n">
        <v>42.21</v>
      </c>
      <c r="I173" s="0" t="n">
        <v>123</v>
      </c>
      <c r="J173" s="0" t="n">
        <v>305</v>
      </c>
      <c r="L173" s="0" t="s">
        <v>1885</v>
      </c>
      <c r="O173" s="0" t="n">
        <v>26.3</v>
      </c>
      <c r="U173" s="0" t="n">
        <v>13</v>
      </c>
      <c r="V173" s="0" t="s">
        <v>486</v>
      </c>
      <c r="W173" s="0" t="s">
        <v>901</v>
      </c>
      <c r="X173" s="0" t="s">
        <v>985</v>
      </c>
      <c r="Y173" s="0" t="s">
        <v>1886</v>
      </c>
      <c r="Z173" s="0" t="n">
        <v>24177</v>
      </c>
      <c r="AA173" s="0" t="s">
        <v>1887</v>
      </c>
      <c r="AB173" s="0" t="s">
        <v>904</v>
      </c>
      <c r="AC173" s="0" t="s">
        <v>142</v>
      </c>
      <c r="AD173" s="0" t="s">
        <v>142</v>
      </c>
      <c r="AE173" s="0" t="s">
        <v>142</v>
      </c>
      <c r="AF173" s="0" t="s">
        <v>142</v>
      </c>
      <c r="AG173" s="0" t="s">
        <v>142</v>
      </c>
      <c r="AH173" s="0" t="s">
        <v>905</v>
      </c>
      <c r="AI173" s="0" t="n">
        <v>2</v>
      </c>
      <c r="AJ173" s="0" t="s">
        <v>99</v>
      </c>
      <c r="AK173" s="0" t="n">
        <v>172</v>
      </c>
      <c r="AL173" s="0" t="n">
        <v>69</v>
      </c>
      <c r="AM173" s="0" t="s">
        <v>487</v>
      </c>
      <c r="AN173" s="0" t="n">
        <v>0</v>
      </c>
      <c r="AO173" s="0" t="n">
        <v>0</v>
      </c>
      <c r="AP173" s="0" t="n">
        <v>0</v>
      </c>
      <c r="AQ173" s="0" t="n">
        <v>0</v>
      </c>
      <c r="AR173" s="0" t="n">
        <v>0</v>
      </c>
      <c r="AS173" s="0" t="n">
        <v>0</v>
      </c>
      <c r="AT173" s="0" t="n">
        <v>0</v>
      </c>
      <c r="AU173" s="0" t="n">
        <v>0</v>
      </c>
      <c r="AV173" s="0" t="n">
        <v>0</v>
      </c>
      <c r="AW173" s="0" t="n">
        <v>2</v>
      </c>
      <c r="AX173" s="0" t="n">
        <v>13</v>
      </c>
      <c r="AY173" s="0" t="n">
        <v>0</v>
      </c>
      <c r="AZ173" s="0" t="n">
        <v>1</v>
      </c>
      <c r="BA173" s="0" t="n">
        <v>-1.27200508932583</v>
      </c>
      <c r="BB173" s="0" t="n">
        <v>0</v>
      </c>
      <c r="BC173" s="0" t="n">
        <v>29</v>
      </c>
      <c r="BD173" s="0" t="n">
        <v>53</v>
      </c>
      <c r="BE173" s="0" t="n">
        <v>444</v>
      </c>
      <c r="BF173" s="0" t="n">
        <v>4</v>
      </c>
      <c r="BG173" s="0" t="n">
        <v>656</v>
      </c>
      <c r="BH173" s="0" t="n">
        <v>112</v>
      </c>
      <c r="BI173" s="0" t="n">
        <v>23</v>
      </c>
      <c r="BJ173" s="0" t="n">
        <v>11.5625890953043</v>
      </c>
      <c r="BK173" s="0" t="n">
        <v>0</v>
      </c>
      <c r="BL173" s="0" t="n">
        <v>0</v>
      </c>
      <c r="BM173" s="0" t="n">
        <v>71.7</v>
      </c>
      <c r="BN173" s="0" t="n">
        <v>100.7</v>
      </c>
      <c r="BO173" s="0" t="n">
        <v>17</v>
      </c>
      <c r="BP173" s="0" t="s">
        <v>127</v>
      </c>
      <c r="BQ173" s="0" t="n">
        <v>1</v>
      </c>
      <c r="BR173" s="0" t="n">
        <v>86.2</v>
      </c>
      <c r="BS173" s="0" t="n">
        <v>0.1132</v>
      </c>
      <c r="BT173" s="0" t="n">
        <v>0.0049</v>
      </c>
      <c r="BU173" s="0" t="n">
        <v>0.1761</v>
      </c>
      <c r="BV173" s="0" t="n">
        <v>0.1132</v>
      </c>
      <c r="BW173" s="0" t="n">
        <v>0.0049</v>
      </c>
      <c r="BX173" s="0" t="n">
        <v>0.1761</v>
      </c>
      <c r="BY173" s="0" t="n">
        <v>0.2931</v>
      </c>
      <c r="BZ173" s="0" t="n">
        <v>17</v>
      </c>
      <c r="CA173" s="0" t="n">
        <v>0</v>
      </c>
      <c r="CB173" s="0" t="n">
        <v>8.68</v>
      </c>
      <c r="CC173" s="0" t="n">
        <v>5.7</v>
      </c>
      <c r="CD173" s="0" t="n">
        <v>6.66</v>
      </c>
      <c r="CE173" s="0" t="n">
        <v>2</v>
      </c>
      <c r="CF173" s="0" t="n">
        <v>5</v>
      </c>
      <c r="CG173" s="0" t="n">
        <v>17</v>
      </c>
      <c r="CH173" s="0" t="n">
        <v>0.118</v>
      </c>
      <c r="CI173" s="0" t="n">
        <v>0.294</v>
      </c>
      <c r="CJ173" s="0" t="n">
        <v>1.168</v>
      </c>
      <c r="CK173" s="0" t="n">
        <v>12</v>
      </c>
      <c r="CL173" s="0" t="n">
        <v>6</v>
      </c>
      <c r="CM173" s="0" t="n">
        <v>4</v>
      </c>
      <c r="CN173" s="0" t="n">
        <v>4</v>
      </c>
      <c r="CO173" s="0" t="n">
        <v>4.21708667096594</v>
      </c>
      <c r="CP173" s="0" t="n">
        <v>0</v>
      </c>
      <c r="CQ173" s="0" t="n">
        <v>0</v>
      </c>
      <c r="CR173" s="0" t="n">
        <v>0</v>
      </c>
      <c r="CS173" s="0" t="n">
        <v>0</v>
      </c>
      <c r="CT173" s="0" t="n">
        <v>0.0195438129223138</v>
      </c>
      <c r="CU173" s="0" t="n">
        <v>12</v>
      </c>
      <c r="CV173" s="0" t="n">
        <v>6</v>
      </c>
      <c r="CW173" s="0" t="n">
        <v>4</v>
      </c>
      <c r="CX173" s="0" t="n">
        <v>4</v>
      </c>
      <c r="CY173" s="0" t="n">
        <v>4.24</v>
      </c>
      <c r="CZ173" s="0" t="n">
        <v>-0.24</v>
      </c>
      <c r="DA173" s="0" t="n">
        <v>2.43189356834246</v>
      </c>
      <c r="DB173" s="0" t="n">
        <v>5.55163265306122</v>
      </c>
      <c r="DC173" s="0" t="n">
        <v>12.9690566037736</v>
      </c>
      <c r="DD173" s="0" t="n">
        <v>18.0706357427164</v>
      </c>
      <c r="DE173" s="0" t="n">
        <v>1.37515578928028</v>
      </c>
      <c r="DF173" s="0" t="n">
        <v>54.7169811320755</v>
      </c>
      <c r="DM173" s="0" t="s">
        <v>1888</v>
      </c>
      <c r="DN173" s="0" t="n">
        <v>2</v>
      </c>
      <c r="DO173" s="0" t="n">
        <v>0</v>
      </c>
      <c r="DS173" s="0" t="n">
        <v>53</v>
      </c>
      <c r="DT173" s="0" t="n">
        <v>2</v>
      </c>
      <c r="DU173" s="0" t="n">
        <v>1</v>
      </c>
      <c r="DV173" s="0" t="n">
        <v>11.448</v>
      </c>
      <c r="DW173" s="0" t="n">
        <v>3.862</v>
      </c>
      <c r="DX173" s="0" t="n">
        <v>12.5</v>
      </c>
      <c r="DY173" s="0" t="n">
        <v>0.0189</v>
      </c>
      <c r="DZ173" s="0" t="n">
        <v>653</v>
      </c>
      <c r="EA173" s="0" t="n">
        <v>0.654</v>
      </c>
      <c r="EB173" s="0" t="n">
        <v>17</v>
      </c>
      <c r="EC173" s="0" t="s">
        <v>1745</v>
      </c>
      <c r="ED173" s="0" t="n">
        <v>2022</v>
      </c>
      <c r="EE173" s="0" t="n">
        <v>6</v>
      </c>
      <c r="EF173" s="0" t="n">
        <v>191</v>
      </c>
      <c r="EG173" s="0" t="n">
        <v>2022</v>
      </c>
      <c r="EH173" s="0" t="n">
        <v>2026</v>
      </c>
      <c r="EI173" s="0" t="n">
        <v>5</v>
      </c>
      <c r="EJ173" s="0" t="n">
        <v>71</v>
      </c>
      <c r="EK173" s="0" t="n">
        <v>186</v>
      </c>
      <c r="EL173" s="0" t="s">
        <v>1889</v>
      </c>
      <c r="EM173" s="0" t="n">
        <v>27.5</v>
      </c>
      <c r="EN173" s="15" t="b">
        <f aca="false">FALSE()</f>
        <v>0</v>
      </c>
      <c r="EO173" s="0" t="n">
        <v>307</v>
      </c>
      <c r="EP173" s="0" t="n">
        <v>2.4599348534202</v>
      </c>
      <c r="EQ173" s="0" t="n">
        <v>0.257328990228013</v>
      </c>
      <c r="ER173" s="0" t="n">
        <v>1.04234527687296</v>
      </c>
      <c r="ES173" s="0" t="n">
        <v>0.605863192182411</v>
      </c>
      <c r="ET173" s="0" t="n">
        <v>30</v>
      </c>
      <c r="EU173" s="0" t="n">
        <v>11</v>
      </c>
      <c r="EV173" s="0" t="n">
        <v>3.64820846905537</v>
      </c>
      <c r="EW173" s="0" t="n">
        <v>0.366666666666667</v>
      </c>
      <c r="EX173" s="0" t="n">
        <v>2.91882875417365</v>
      </c>
      <c r="EY173" s="0" t="n">
        <v>2.49</v>
      </c>
      <c r="EZ173" s="0" t="n">
        <v>0.2502</v>
      </c>
      <c r="FA173" s="0" t="n">
        <v>1.629</v>
      </c>
      <c r="FB173" s="0" t="n">
        <v>1.94</v>
      </c>
      <c r="FC173" s="0" t="n">
        <v>30</v>
      </c>
      <c r="FD173" s="0" t="n">
        <v>598</v>
      </c>
      <c r="FE173" s="0" t="n">
        <v>0.107023411371238</v>
      </c>
      <c r="FF173" s="0" t="n">
        <v>0.1019</v>
      </c>
      <c r="FG173" s="0" t="n">
        <v>0.2641</v>
      </c>
      <c r="FH173" s="0" t="n">
        <v>2.487</v>
      </c>
      <c r="FI173" s="0" t="n">
        <v>942</v>
      </c>
      <c r="FJ173" s="0" t="n">
        <v>0.613588110403397</v>
      </c>
      <c r="FK173" s="0" t="n">
        <v>17</v>
      </c>
      <c r="FL173" s="0" t="n">
        <v>55.41</v>
      </c>
      <c r="FM173" s="0" t="n">
        <v>0.5679</v>
      </c>
      <c r="FN173" s="0" t="n">
        <v>0.4321</v>
      </c>
      <c r="FO173" s="0" t="n">
        <v>-0.0175</v>
      </c>
      <c r="FP173" s="0" t="n">
        <v>-0.2605</v>
      </c>
      <c r="FQ173" s="0" t="n">
        <v>-0.187</v>
      </c>
      <c r="FR173" s="0" t="n">
        <v>38</v>
      </c>
      <c r="FS173" s="0" t="n">
        <v>38</v>
      </c>
      <c r="FT173" s="0" t="n">
        <v>2.24</v>
      </c>
      <c r="FU173" s="0" t="n">
        <v>14.2</v>
      </c>
      <c r="FV173" s="0" t="n">
        <v>4992</v>
      </c>
      <c r="FW173" s="0" t="n">
        <v>1916</v>
      </c>
      <c r="FX173" s="0" t="n">
        <v>0.384</v>
      </c>
      <c r="FY173" s="0" t="n">
        <v>5</v>
      </c>
      <c r="FZ173" s="0" t="n">
        <v>2</v>
      </c>
      <c r="GA173" s="0" t="n">
        <v>-2.33610006354308</v>
      </c>
      <c r="GB173" s="0" t="n">
        <v>7.8</v>
      </c>
      <c r="GC173" s="0" t="n">
        <v>37.5</v>
      </c>
      <c r="GD173" s="0" t="n">
        <v>15.2</v>
      </c>
      <c r="GE173" s="0" t="n">
        <v>494</v>
      </c>
      <c r="GF173" s="0" t="n">
        <v>369</v>
      </c>
      <c r="GG173" s="0" t="n">
        <v>55</v>
      </c>
      <c r="GH173" s="0" t="n">
        <v>58</v>
      </c>
      <c r="GI173" s="0" t="n">
        <v>106</v>
      </c>
      <c r="GJ173" s="0" t="n">
        <v>13</v>
      </c>
      <c r="GK173" s="0" t="n">
        <v>0.111</v>
      </c>
      <c r="GL173" s="0" t="n">
        <v>0.157</v>
      </c>
      <c r="GM173" s="0" t="n">
        <v>0.123</v>
      </c>
      <c r="GN173" s="0" t="n">
        <v>5.924</v>
      </c>
      <c r="GO173" s="0" t="n">
        <v>5.071</v>
      </c>
      <c r="GP173" s="0" t="n">
        <v>4.218</v>
      </c>
      <c r="GQ173" s="0" t="n">
        <v>3.118</v>
      </c>
      <c r="GR173" s="0" t="n">
        <v>0.118</v>
      </c>
      <c r="GS173" s="0" t="n">
        <v>55</v>
      </c>
      <c r="GT173" s="0" t="n">
        <v>1.831</v>
      </c>
      <c r="GU173" s="0" t="n">
        <v>0.154</v>
      </c>
      <c r="GV173" s="0" t="n">
        <v>8.377</v>
      </c>
      <c r="GW173" s="0" t="n">
        <v>15.31</v>
      </c>
      <c r="GX173" s="0" t="n">
        <v>0.547</v>
      </c>
      <c r="GZ173" s="0" t="n">
        <v>12.377</v>
      </c>
      <c r="HA173" s="0" t="n">
        <v>3.862</v>
      </c>
      <c r="HB173" s="0" t="n">
        <v>0.677</v>
      </c>
      <c r="HC173" s="0" t="n">
        <v>0.073</v>
      </c>
      <c r="HE173" s="0" t="n">
        <v>0.218</v>
      </c>
      <c r="HG173" s="0" t="n">
        <v>192.56</v>
      </c>
      <c r="HH173" s="0" t="n">
        <v>42.21</v>
      </c>
      <c r="HI173" s="0" t="n">
        <v>123</v>
      </c>
      <c r="HJ173" s="0" t="n">
        <v>305</v>
      </c>
      <c r="HK173" s="0" t="s">
        <v>909</v>
      </c>
      <c r="HL173" s="0" t="n">
        <v>0</v>
      </c>
      <c r="HM173" s="0" t="n">
        <v>59</v>
      </c>
      <c r="HN173" s="0" t="n">
        <v>69</v>
      </c>
      <c r="HO173" s="0" t="n">
        <v>-0.107</v>
      </c>
      <c r="HP173" s="0" t="n">
        <v>74</v>
      </c>
      <c r="HQ173" s="0" t="n">
        <v>-0.764</v>
      </c>
      <c r="HR173" s="0" t="s">
        <v>102</v>
      </c>
    </row>
    <row r="174" customFormat="false" ht="15" hidden="false" customHeight="false" outlineLevel="0" collapsed="false">
      <c r="A174" s="0" t="s">
        <v>896</v>
      </c>
      <c r="B174" s="0" t="s">
        <v>897</v>
      </c>
      <c r="C174" s="0" t="s">
        <v>898</v>
      </c>
      <c r="D174" s="0" t="s">
        <v>488</v>
      </c>
      <c r="E174" s="0" t="n">
        <v>26191</v>
      </c>
      <c r="F174" s="0" t="s">
        <v>104</v>
      </c>
      <c r="G174" s="0" t="n">
        <v>192.99</v>
      </c>
      <c r="H174" s="0" t="n">
        <v>30.27</v>
      </c>
      <c r="I174" s="0" t="n">
        <v>143</v>
      </c>
      <c r="J174" s="0" t="n">
        <v>263</v>
      </c>
      <c r="L174" s="0" t="s">
        <v>1890</v>
      </c>
      <c r="O174" s="0" t="n">
        <v>13.5</v>
      </c>
      <c r="U174" s="0" t="n">
        <v>7</v>
      </c>
      <c r="V174" s="0" t="s">
        <v>488</v>
      </c>
      <c r="W174" s="0" t="s">
        <v>901</v>
      </c>
      <c r="X174" s="0" t="s">
        <v>147</v>
      </c>
      <c r="Y174" s="0" t="s">
        <v>1891</v>
      </c>
      <c r="Z174" s="0" t="n">
        <v>26191</v>
      </c>
      <c r="AA174" s="0" t="s">
        <v>1892</v>
      </c>
      <c r="AB174" s="0" t="s">
        <v>904</v>
      </c>
      <c r="AC174" s="0" t="s">
        <v>147</v>
      </c>
      <c r="AD174" s="0" t="s">
        <v>147</v>
      </c>
      <c r="AE174" s="0" t="s">
        <v>147</v>
      </c>
      <c r="AF174" s="0" t="s">
        <v>147</v>
      </c>
      <c r="AG174" s="0" t="s">
        <v>147</v>
      </c>
      <c r="AH174" s="0" t="s">
        <v>905</v>
      </c>
      <c r="AI174" s="0" t="n">
        <v>1</v>
      </c>
      <c r="AJ174" s="0" t="s">
        <v>281</v>
      </c>
      <c r="AK174" s="0" t="n">
        <v>173</v>
      </c>
      <c r="AL174" s="0" t="n">
        <v>56</v>
      </c>
      <c r="AM174" s="0" t="s">
        <v>489</v>
      </c>
      <c r="AN174" s="0" t="n">
        <v>0</v>
      </c>
      <c r="AO174" s="0" t="n">
        <v>0</v>
      </c>
      <c r="AP174" s="0" t="n">
        <v>0</v>
      </c>
      <c r="AQ174" s="0" t="n">
        <v>0</v>
      </c>
      <c r="AR174" s="0" t="n">
        <v>0</v>
      </c>
      <c r="AS174" s="0" t="n">
        <v>0</v>
      </c>
      <c r="AT174" s="0" t="n">
        <v>0</v>
      </c>
      <c r="AU174" s="0" t="n">
        <v>0</v>
      </c>
      <c r="AV174" s="0" t="n">
        <v>0</v>
      </c>
      <c r="AW174" s="0" t="n">
        <v>58</v>
      </c>
      <c r="AX174" s="0" t="n">
        <v>275</v>
      </c>
      <c r="AY174" s="0" t="n">
        <v>0</v>
      </c>
      <c r="AZ174" s="0" t="n">
        <v>15</v>
      </c>
      <c r="BA174" s="0" t="n">
        <v>1.3505360862473</v>
      </c>
      <c r="BB174" s="0" t="n">
        <v>0</v>
      </c>
      <c r="BC174" s="0" t="n">
        <v>10</v>
      </c>
      <c r="BD174" s="0" t="n">
        <v>13</v>
      </c>
      <c r="BE174" s="0" t="n">
        <v>86</v>
      </c>
      <c r="BF174" s="0" t="n">
        <v>2</v>
      </c>
      <c r="BG174" s="0" t="n">
        <v>1</v>
      </c>
      <c r="BH174" s="0" t="n">
        <v>99</v>
      </c>
      <c r="BI174" s="0" t="n">
        <v>7</v>
      </c>
      <c r="BJ174" s="0" t="n">
        <v>4.70655069213547</v>
      </c>
      <c r="BK174" s="0" t="n">
        <v>0</v>
      </c>
      <c r="BL174" s="0" t="n">
        <v>1</v>
      </c>
      <c r="BM174" s="0" t="n">
        <v>54.1</v>
      </c>
      <c r="BN174" s="0" t="n">
        <v>64.1</v>
      </c>
      <c r="BO174" s="0" t="n">
        <v>17</v>
      </c>
      <c r="BP174" s="0" t="s">
        <v>147</v>
      </c>
      <c r="BQ174" s="0" t="n">
        <v>1</v>
      </c>
      <c r="BR174" s="0" t="n">
        <v>59.1</v>
      </c>
      <c r="BS174" s="0" t="n">
        <v>0.0271</v>
      </c>
      <c r="BT174" s="0" t="n">
        <v>0.106</v>
      </c>
      <c r="BU174" s="0" t="n">
        <v>0.0003</v>
      </c>
      <c r="BV174" s="0" t="n">
        <v>0.0271</v>
      </c>
      <c r="BW174" s="0" t="n">
        <v>0.106</v>
      </c>
      <c r="BX174" s="0" t="n">
        <v>0.0003</v>
      </c>
      <c r="BY174" s="0" t="n">
        <v>0.0409</v>
      </c>
      <c r="BZ174" s="0" t="n">
        <v>17</v>
      </c>
      <c r="CA174" s="0" t="n">
        <v>0.1</v>
      </c>
      <c r="CB174" s="0" t="n">
        <v>6.12</v>
      </c>
      <c r="CC174" s="0" t="n">
        <v>1.6</v>
      </c>
      <c r="CD174" s="0" t="n">
        <v>6.26</v>
      </c>
      <c r="CE174" s="0" t="n">
        <v>1</v>
      </c>
      <c r="CF174" s="0" t="n">
        <v>11</v>
      </c>
      <c r="CG174" s="0" t="n">
        <v>17</v>
      </c>
      <c r="CH174" s="0" t="n">
        <v>0.059</v>
      </c>
      <c r="CI174" s="0" t="n">
        <v>0.647</v>
      </c>
      <c r="CJ174" s="0" t="n">
        <v>3.914</v>
      </c>
      <c r="CK174" s="0" t="n">
        <v>4</v>
      </c>
      <c r="CL174" s="0" t="n">
        <v>2</v>
      </c>
      <c r="CM174" s="0" t="n">
        <v>2</v>
      </c>
      <c r="CN174" s="0" t="n">
        <v>2</v>
      </c>
      <c r="CO174" s="0" t="n">
        <v>1.53441265586859</v>
      </c>
      <c r="CP174" s="0" t="n">
        <v>7</v>
      </c>
      <c r="CQ174" s="0" t="n">
        <v>3</v>
      </c>
      <c r="CR174" s="0" t="n">
        <v>2</v>
      </c>
      <c r="CS174" s="0" t="n">
        <v>0</v>
      </c>
      <c r="CT174" s="0" t="n">
        <v>1.44941027908783</v>
      </c>
      <c r="CU174" s="0" t="n">
        <v>11</v>
      </c>
      <c r="CV174" s="0" t="n">
        <v>5</v>
      </c>
      <c r="CW174" s="0" t="n">
        <v>4</v>
      </c>
      <c r="CX174" s="0" t="n">
        <v>2</v>
      </c>
      <c r="CY174" s="0" t="n">
        <v>2.98</v>
      </c>
      <c r="CZ174" s="0" t="n">
        <v>-0.98</v>
      </c>
      <c r="DM174" s="0" t="s">
        <v>1893</v>
      </c>
      <c r="DN174" s="0" t="n">
        <v>58</v>
      </c>
      <c r="DO174" s="0" t="n">
        <v>3</v>
      </c>
      <c r="DP174" s="0" t="n">
        <v>2.5</v>
      </c>
      <c r="DQ174" s="0" t="n">
        <v>2.241</v>
      </c>
      <c r="DR174" s="0" t="n">
        <v>19.33</v>
      </c>
      <c r="DS174" s="0" t="n">
        <v>13</v>
      </c>
      <c r="DT174" s="0" t="n">
        <v>0</v>
      </c>
      <c r="DU174" s="0" t="n">
        <v>2</v>
      </c>
      <c r="DV174" s="0" t="n">
        <v>-1.3</v>
      </c>
      <c r="DW174" s="0" t="n">
        <v>9.9</v>
      </c>
      <c r="DX174" s="0" t="n">
        <v>0</v>
      </c>
      <c r="DY174" s="0" t="n">
        <v>0.1538</v>
      </c>
      <c r="DZ174" s="0" t="n">
        <v>168</v>
      </c>
      <c r="EA174" s="0" t="n">
        <v>0.143</v>
      </c>
      <c r="EB174" s="0" t="n">
        <v>17</v>
      </c>
      <c r="EC174" s="0" t="s">
        <v>1894</v>
      </c>
      <c r="ED174" s="0" t="n">
        <v>2024</v>
      </c>
      <c r="EE174" s="0" t="n">
        <v>4</v>
      </c>
      <c r="EF174" s="0" t="n">
        <v>128</v>
      </c>
      <c r="EG174" s="0" t="n">
        <v>2024</v>
      </c>
      <c r="EH174" s="0" t="n">
        <v>2026</v>
      </c>
      <c r="EI174" s="0" t="n">
        <v>3</v>
      </c>
      <c r="EJ174" s="0" t="n">
        <v>68</v>
      </c>
      <c r="EK174" s="0" t="n">
        <v>211</v>
      </c>
      <c r="EL174" s="0" t="s">
        <v>1895</v>
      </c>
      <c r="EM174" s="0" t="n">
        <v>26.7</v>
      </c>
      <c r="EN174" s="15" t="b">
        <f aca="false">FALSE()</f>
        <v>0</v>
      </c>
      <c r="EO174" s="0" t="n">
        <v>419</v>
      </c>
      <c r="EP174" s="0" t="n">
        <v>3.36658711217184</v>
      </c>
      <c r="EQ174" s="0" t="n">
        <v>0.126491646778043</v>
      </c>
      <c r="ER174" s="0" t="n">
        <v>1.44630071599045</v>
      </c>
      <c r="ES174" s="0" t="n">
        <v>0.897374701670644</v>
      </c>
      <c r="ET174" s="0" t="n">
        <v>37</v>
      </c>
      <c r="EU174" s="0" t="n">
        <v>20</v>
      </c>
      <c r="EV174" s="0" t="n">
        <v>5.01193317422434</v>
      </c>
      <c r="EW174" s="0" t="n">
        <v>0.540540540540541</v>
      </c>
      <c r="EX174" s="0" t="n">
        <v>2.91817960590113</v>
      </c>
      <c r="EY174" s="0" t="n">
        <v>3.397</v>
      </c>
      <c r="EZ174" s="0" t="n">
        <v>0.1265</v>
      </c>
      <c r="FA174" s="0" t="n">
        <v>2.905</v>
      </c>
      <c r="FB174" s="0" t="n">
        <v>2.057</v>
      </c>
      <c r="FC174" s="0" t="n">
        <v>35</v>
      </c>
      <c r="FD174" s="0" t="n">
        <v>584</v>
      </c>
      <c r="FE174" s="0" t="n">
        <v>0.0684931506849315</v>
      </c>
      <c r="FF174" s="0" t="n">
        <v>0.0702</v>
      </c>
      <c r="FG174" s="0" t="n">
        <v>0.2</v>
      </c>
      <c r="FH174" s="0" t="n">
        <v>2.507</v>
      </c>
      <c r="FI174" s="0" t="n">
        <v>1065</v>
      </c>
      <c r="FJ174" s="0" t="n">
        <v>0.509859154929578</v>
      </c>
      <c r="FK174" s="0" t="n">
        <v>17</v>
      </c>
      <c r="FL174" s="0" t="n">
        <v>62.65</v>
      </c>
      <c r="FM174" s="0" t="n">
        <v>0.5028</v>
      </c>
      <c r="FN174" s="0" t="n">
        <v>0.4972</v>
      </c>
      <c r="FO174" s="0" t="n">
        <v>-0.0352</v>
      </c>
      <c r="FP174" s="0" t="n">
        <v>0.1102</v>
      </c>
      <c r="FQ174" s="0" t="n">
        <v>0.1599</v>
      </c>
      <c r="FR174" s="0" t="n">
        <v>40</v>
      </c>
      <c r="FS174" s="0" t="n">
        <v>68</v>
      </c>
      <c r="FT174" s="0" t="n">
        <v>4</v>
      </c>
      <c r="FU174" s="0" t="n">
        <v>28.3</v>
      </c>
      <c r="FV174" s="0" t="n">
        <v>5677</v>
      </c>
      <c r="FW174" s="0" t="n">
        <v>4330</v>
      </c>
      <c r="FX174" s="0" t="n">
        <v>0.763</v>
      </c>
      <c r="FY174" s="0" t="n">
        <v>5</v>
      </c>
      <c r="FZ174" s="0" t="n">
        <v>4</v>
      </c>
      <c r="GA174" s="0" t="n">
        <v>1.26194193528219</v>
      </c>
      <c r="GB174" s="0" t="n">
        <v>72.8</v>
      </c>
      <c r="GC174" s="0" t="n">
        <v>64.4</v>
      </c>
      <c r="GD174" s="0" t="n">
        <v>73.6</v>
      </c>
      <c r="GE174" s="0" t="n">
        <v>479</v>
      </c>
      <c r="GF174" s="0" t="n">
        <v>547</v>
      </c>
      <c r="GG174" s="0" t="n">
        <v>19</v>
      </c>
      <c r="GH174" s="0" t="n">
        <v>17</v>
      </c>
      <c r="GI174" s="0" t="n">
        <v>180</v>
      </c>
      <c r="GJ174" s="0" t="n">
        <v>2</v>
      </c>
      <c r="GK174" s="0" t="n">
        <v>0.04</v>
      </c>
      <c r="GL174" s="0" t="n">
        <v>0.031</v>
      </c>
      <c r="GM174" s="0" t="n">
        <v>0.011</v>
      </c>
      <c r="GN174" s="0" t="n">
        <v>3.771</v>
      </c>
      <c r="GO174" s="0" t="n">
        <v>3.476</v>
      </c>
      <c r="GP174" s="0" t="n">
        <v>3.182</v>
      </c>
      <c r="GQ174" s="0" t="n">
        <v>0.765</v>
      </c>
      <c r="GR174" s="0" t="n">
        <v>3.412</v>
      </c>
      <c r="GS174" s="0" t="n">
        <v>71</v>
      </c>
      <c r="GT174" s="0" t="n">
        <v>0.903</v>
      </c>
      <c r="GU174" s="0" t="n">
        <v>0.382</v>
      </c>
      <c r="GV174" s="0" t="n">
        <v>6.615</v>
      </c>
      <c r="GW174" s="0" t="n">
        <v>8.6</v>
      </c>
      <c r="GX174" s="0" t="n">
        <v>0.769</v>
      </c>
      <c r="GY174" s="0" t="n">
        <v>4.741</v>
      </c>
      <c r="GZ174" s="0" t="n">
        <v>0.077</v>
      </c>
      <c r="HA174" s="0" t="n">
        <v>9.9</v>
      </c>
      <c r="HB174" s="0" t="n">
        <v>86</v>
      </c>
      <c r="HC174" s="0" t="n">
        <v>0.028</v>
      </c>
      <c r="HD174" s="0" t="n">
        <v>0.023</v>
      </c>
      <c r="HE174" s="0" t="n">
        <v>0.362</v>
      </c>
      <c r="HG174" s="0" t="n">
        <v>192.99</v>
      </c>
      <c r="HH174" s="0" t="n">
        <v>30.27</v>
      </c>
      <c r="HI174" s="0" t="n">
        <v>143</v>
      </c>
      <c r="HJ174" s="0" t="n">
        <v>263</v>
      </c>
      <c r="HK174" s="0" t="s">
        <v>909</v>
      </c>
      <c r="HL174" s="0" t="n">
        <v>0</v>
      </c>
      <c r="HM174" s="0" t="n">
        <v>55</v>
      </c>
      <c r="HN174" s="0" t="n">
        <v>56</v>
      </c>
      <c r="HO174" s="0" t="n">
        <v>-0.392</v>
      </c>
      <c r="HP174" s="0" t="n">
        <v>61</v>
      </c>
      <c r="HQ174" s="0" t="n">
        <v>-0.655</v>
      </c>
      <c r="HR174" s="0" t="s">
        <v>121</v>
      </c>
    </row>
    <row r="175" customFormat="false" ht="15" hidden="false" customHeight="false" outlineLevel="0" collapsed="false">
      <c r="A175" s="0" t="s">
        <v>896</v>
      </c>
      <c r="B175" s="0" t="s">
        <v>897</v>
      </c>
      <c r="C175" s="0" t="s">
        <v>898</v>
      </c>
      <c r="D175" s="0" t="s">
        <v>490</v>
      </c>
      <c r="E175" s="0" t="n">
        <v>16447</v>
      </c>
      <c r="F175" s="0" t="s">
        <v>104</v>
      </c>
      <c r="G175" s="0" t="n">
        <v>194.7</v>
      </c>
      <c r="H175" s="0" t="n">
        <v>41.07</v>
      </c>
      <c r="I175" s="0" t="n">
        <v>117</v>
      </c>
      <c r="J175" s="0" t="n">
        <v>318</v>
      </c>
      <c r="L175" s="0" t="s">
        <v>1896</v>
      </c>
      <c r="O175" s="0" t="n">
        <v>19.5</v>
      </c>
      <c r="U175" s="0" t="n">
        <v>14</v>
      </c>
      <c r="V175" s="0" t="s">
        <v>490</v>
      </c>
      <c r="W175" s="0" t="s">
        <v>901</v>
      </c>
      <c r="X175" s="0" t="s">
        <v>151</v>
      </c>
      <c r="Y175" s="0" t="s">
        <v>1897</v>
      </c>
      <c r="Z175" s="0" t="n">
        <v>16447</v>
      </c>
      <c r="AA175" s="0" t="s">
        <v>1898</v>
      </c>
      <c r="AB175" s="0" t="s">
        <v>904</v>
      </c>
      <c r="AC175" s="0" t="s">
        <v>151</v>
      </c>
      <c r="AD175" s="0" t="s">
        <v>151</v>
      </c>
      <c r="AE175" s="0" t="s">
        <v>151</v>
      </c>
      <c r="AF175" s="0" t="s">
        <v>151</v>
      </c>
      <c r="AG175" s="0" t="s">
        <v>151</v>
      </c>
      <c r="AH175" s="0" t="s">
        <v>905</v>
      </c>
      <c r="AI175" s="0" t="n">
        <v>3</v>
      </c>
      <c r="AJ175" s="0" t="s">
        <v>104</v>
      </c>
      <c r="AK175" s="0" t="n">
        <v>174</v>
      </c>
      <c r="AL175" s="0" t="n">
        <v>57</v>
      </c>
      <c r="AM175" s="0" t="s">
        <v>491</v>
      </c>
      <c r="AN175" s="0" t="n">
        <v>0</v>
      </c>
      <c r="AO175" s="0" t="n">
        <v>0</v>
      </c>
      <c r="AP175" s="0" t="n">
        <v>0</v>
      </c>
      <c r="AQ175" s="0" t="n">
        <v>0</v>
      </c>
      <c r="AR175" s="0" t="n">
        <v>0</v>
      </c>
      <c r="AS175" s="0" t="n">
        <v>0</v>
      </c>
      <c r="AT175" s="0" t="n">
        <v>0</v>
      </c>
      <c r="AU175" s="0" t="n">
        <v>0</v>
      </c>
      <c r="AV175" s="0" t="n">
        <v>0</v>
      </c>
      <c r="AW175" s="0" t="n">
        <v>32</v>
      </c>
      <c r="AX175" s="0" t="n">
        <v>95</v>
      </c>
      <c r="AY175" s="0" t="n">
        <v>1</v>
      </c>
      <c r="AZ175" s="0" t="n">
        <v>7</v>
      </c>
      <c r="BA175" s="0" t="n">
        <v>-2.77954208484152</v>
      </c>
      <c r="BB175" s="0" t="n">
        <v>0</v>
      </c>
      <c r="BC175" s="0" t="n">
        <v>8</v>
      </c>
      <c r="BD175" s="0" t="n">
        <v>9</v>
      </c>
      <c r="BE175" s="0" t="n">
        <v>38</v>
      </c>
      <c r="BF175" s="0" t="n">
        <v>1</v>
      </c>
      <c r="BG175" s="0" t="n">
        <v>-9</v>
      </c>
      <c r="BH175" s="0" t="n">
        <v>68</v>
      </c>
      <c r="BI175" s="0" t="n">
        <v>4</v>
      </c>
      <c r="BJ175" s="0" t="n">
        <v>2.2344548034016</v>
      </c>
      <c r="BK175" s="0" t="n">
        <v>0</v>
      </c>
      <c r="BL175" s="0" t="n">
        <v>0</v>
      </c>
      <c r="BM175" s="0" t="n">
        <v>25.3</v>
      </c>
      <c r="BN175" s="0" t="n">
        <v>33.3</v>
      </c>
      <c r="BO175" s="0" t="n">
        <v>3</v>
      </c>
      <c r="BP175" s="0" t="s">
        <v>151</v>
      </c>
      <c r="BQ175" s="0" t="n">
        <v>1</v>
      </c>
      <c r="BR175" s="0" t="n">
        <v>29.3</v>
      </c>
      <c r="BS175" s="0" t="n">
        <v>0.0146</v>
      </c>
      <c r="BT175" s="0" t="n">
        <v>0.0874</v>
      </c>
      <c r="BU175" s="0" t="n">
        <v>-0.002</v>
      </c>
      <c r="BV175" s="0" t="n">
        <v>0.1023</v>
      </c>
      <c r="BW175" s="0" t="n">
        <v>0.4156</v>
      </c>
      <c r="BX175" s="0" t="n">
        <v>-0.0178</v>
      </c>
      <c r="BY175" s="0" t="n">
        <v>0.141</v>
      </c>
      <c r="BZ175" s="0" t="n">
        <v>3</v>
      </c>
      <c r="CA175" s="0" t="n">
        <v>9.45</v>
      </c>
      <c r="CB175" s="0" t="n">
        <v>13.74</v>
      </c>
      <c r="CC175" s="0" t="n">
        <v>12.2</v>
      </c>
      <c r="CD175" s="0" t="n">
        <v>3.97</v>
      </c>
      <c r="CE175" s="0" t="n">
        <v>0</v>
      </c>
      <c r="CF175" s="0" t="n">
        <v>0</v>
      </c>
      <c r="CG175" s="0" t="n">
        <v>3</v>
      </c>
      <c r="CH175" s="0" t="n">
        <v>0</v>
      </c>
      <c r="CI175" s="0" t="n">
        <v>0</v>
      </c>
      <c r="CK175" s="0" t="n">
        <v>1</v>
      </c>
      <c r="CL175" s="0" t="n">
        <v>1</v>
      </c>
      <c r="CM175" s="0" t="n">
        <v>1</v>
      </c>
      <c r="CN175" s="0" t="n">
        <v>1</v>
      </c>
      <c r="CO175" s="0" t="n">
        <v>0.555406625661105</v>
      </c>
      <c r="CP175" s="0" t="n">
        <v>5</v>
      </c>
      <c r="CQ175" s="0" t="n">
        <v>3</v>
      </c>
      <c r="CR175" s="0" t="n">
        <v>3</v>
      </c>
      <c r="CS175" s="0" t="n">
        <v>1</v>
      </c>
      <c r="CT175" s="0" t="n">
        <v>1.50873952503755</v>
      </c>
      <c r="CU175" s="0" t="n">
        <v>6</v>
      </c>
      <c r="CV175" s="0" t="n">
        <v>4</v>
      </c>
      <c r="CW175" s="0" t="n">
        <v>4</v>
      </c>
      <c r="CX175" s="0" t="n">
        <v>2</v>
      </c>
      <c r="CY175" s="0" t="n">
        <v>2.06</v>
      </c>
      <c r="CZ175" s="0" t="n">
        <v>-0.06</v>
      </c>
      <c r="DM175" s="0" t="s">
        <v>1899</v>
      </c>
      <c r="DN175" s="0" t="n">
        <v>32</v>
      </c>
      <c r="DO175" s="0" t="n">
        <v>3</v>
      </c>
      <c r="DS175" s="0" t="n">
        <v>9</v>
      </c>
      <c r="DT175" s="0" t="n">
        <v>3</v>
      </c>
      <c r="DU175" s="0" t="n">
        <v>0</v>
      </c>
      <c r="DZ175" s="0" t="n">
        <v>93</v>
      </c>
      <c r="EA175" s="0" t="n">
        <v>0.5</v>
      </c>
      <c r="EB175" s="0" t="n">
        <v>3</v>
      </c>
      <c r="EC175" s="0" t="s">
        <v>1900</v>
      </c>
      <c r="ED175" s="0" t="n">
        <v>2017</v>
      </c>
      <c r="EE175" s="0" t="n">
        <v>3</v>
      </c>
      <c r="EF175" s="0" t="n">
        <v>105</v>
      </c>
      <c r="EG175" s="0" t="n">
        <v>2017</v>
      </c>
      <c r="EH175" s="0" t="n">
        <v>2026</v>
      </c>
      <c r="EI175" s="0" t="n">
        <v>10</v>
      </c>
      <c r="EJ175" s="0" t="n">
        <v>73</v>
      </c>
      <c r="EK175" s="0" t="n">
        <v>233</v>
      </c>
      <c r="EL175" s="0" t="s">
        <v>1901</v>
      </c>
      <c r="EM175" s="0" t="n">
        <v>31.3</v>
      </c>
      <c r="EN175" s="15" t="b">
        <f aca="false">FALSE()</f>
        <v>0</v>
      </c>
      <c r="EO175" s="0" t="n">
        <v>292</v>
      </c>
      <c r="EP175" s="0" t="n">
        <v>2.76198630136986</v>
      </c>
      <c r="EQ175" s="0" t="n">
        <v>0.198630136986301</v>
      </c>
      <c r="ER175" s="0" t="n">
        <v>1.1472602739726</v>
      </c>
      <c r="ES175" s="0" t="n">
        <v>0.828767123287671</v>
      </c>
      <c r="ET175" s="0" t="n">
        <v>32</v>
      </c>
      <c r="EU175" s="0" t="n">
        <v>21</v>
      </c>
      <c r="EV175" s="0" t="n">
        <v>4.20205479452055</v>
      </c>
      <c r="EW175" s="0" t="n">
        <v>0.65625</v>
      </c>
      <c r="EX175" s="0" t="n">
        <v>2.93895253186521</v>
      </c>
      <c r="EY175" s="0" t="n">
        <v>2.771</v>
      </c>
      <c r="EZ175" s="0" t="n">
        <v>0.2005</v>
      </c>
      <c r="FA175" s="0" t="n">
        <v>2.593</v>
      </c>
      <c r="FB175" s="0" t="n">
        <v>1.732</v>
      </c>
      <c r="FC175" s="0" t="n">
        <v>22</v>
      </c>
      <c r="FD175" s="0" t="n">
        <v>745</v>
      </c>
      <c r="FE175" s="0" t="n">
        <v>0.0791946308724832</v>
      </c>
      <c r="FF175" s="0" t="n">
        <v>0.0839</v>
      </c>
      <c r="FG175" s="0" t="n">
        <v>0.282</v>
      </c>
      <c r="FH175" s="0" t="n">
        <v>2.373</v>
      </c>
      <c r="FI175" s="0" t="n">
        <v>1074</v>
      </c>
      <c r="FJ175" s="0" t="n">
        <v>0.661080074487896</v>
      </c>
      <c r="FK175" s="0" t="n">
        <v>17</v>
      </c>
      <c r="FL175" s="0" t="n">
        <v>63.18</v>
      </c>
      <c r="FM175" s="0" t="n">
        <v>0.6204</v>
      </c>
      <c r="FN175" s="0" t="n">
        <v>0.3796</v>
      </c>
      <c r="FO175" s="0" t="n">
        <v>0.0399</v>
      </c>
      <c r="FP175" s="0" t="n">
        <v>-0.0591</v>
      </c>
      <c r="FQ175" s="0" t="n">
        <v>0.0023</v>
      </c>
      <c r="FR175" s="0" t="n">
        <v>39</v>
      </c>
      <c r="FS175" s="0" t="n">
        <v>61</v>
      </c>
      <c r="FT175" s="0" t="n">
        <v>3.59</v>
      </c>
      <c r="FU175" s="0" t="n">
        <v>20.9</v>
      </c>
      <c r="FV175" s="0" t="n">
        <v>5838</v>
      </c>
      <c r="FW175" s="0" t="n">
        <v>4005</v>
      </c>
      <c r="FX175" s="0" t="n">
        <v>0.686</v>
      </c>
      <c r="FY175" s="0" t="n">
        <v>5</v>
      </c>
      <c r="FZ175" s="0" t="n">
        <v>3</v>
      </c>
      <c r="GA175" s="0" t="n">
        <v>-0.344439654226007</v>
      </c>
      <c r="GB175" s="0" t="n">
        <v>43.8</v>
      </c>
      <c r="GC175" s="0" t="n">
        <v>35.6</v>
      </c>
      <c r="GD175" s="0" t="n">
        <v>36.9</v>
      </c>
      <c r="GE175" s="0" t="n">
        <v>617</v>
      </c>
      <c r="GF175" s="0" t="n">
        <v>366</v>
      </c>
      <c r="GG175" s="0" t="n">
        <v>106</v>
      </c>
      <c r="GH175" s="0" t="n">
        <v>173</v>
      </c>
      <c r="GI175" s="0" t="n">
        <v>153</v>
      </c>
      <c r="GJ175" s="0" t="n">
        <v>41</v>
      </c>
      <c r="GK175" s="0" t="n">
        <v>0.172</v>
      </c>
      <c r="GL175" s="0" t="n">
        <v>0.473</v>
      </c>
      <c r="GM175" s="0" t="n">
        <v>0.268</v>
      </c>
      <c r="GN175" s="0" t="n">
        <v>11.1</v>
      </c>
      <c r="GO175" s="0" t="n">
        <v>9.767</v>
      </c>
      <c r="GP175" s="0" t="n">
        <v>8.433</v>
      </c>
      <c r="GQ175" s="0" t="n">
        <v>3</v>
      </c>
      <c r="GR175" s="0" t="n">
        <v>10.667</v>
      </c>
      <c r="GS175" s="0" t="n">
        <v>41</v>
      </c>
      <c r="HE175" s="0" t="n">
        <v>0.248</v>
      </c>
      <c r="HG175" s="0" t="n">
        <v>194.7</v>
      </c>
      <c r="HH175" s="0" t="n">
        <v>41.07</v>
      </c>
      <c r="HI175" s="0" t="n">
        <v>117</v>
      </c>
      <c r="HJ175" s="0" t="n">
        <v>318</v>
      </c>
      <c r="HK175" s="0" t="s">
        <v>909</v>
      </c>
      <c r="HL175" s="0" t="n">
        <v>0</v>
      </c>
      <c r="HM175" s="0" t="n">
        <v>62</v>
      </c>
      <c r="HN175" s="0" t="n">
        <v>57</v>
      </c>
      <c r="HO175" s="0" t="n">
        <v>-0.663</v>
      </c>
      <c r="HP175" s="0" t="n">
        <v>30</v>
      </c>
      <c r="HQ175" s="0" t="n">
        <v>0.739</v>
      </c>
      <c r="HR175" s="0" t="s">
        <v>121</v>
      </c>
    </row>
    <row r="176" customFormat="false" ht="15" hidden="false" customHeight="false" outlineLevel="0" collapsed="false">
      <c r="A176" s="0" t="s">
        <v>896</v>
      </c>
      <c r="B176" s="0" t="s">
        <v>897</v>
      </c>
      <c r="C176" s="0" t="s">
        <v>898</v>
      </c>
      <c r="D176" s="0" t="s">
        <v>492</v>
      </c>
      <c r="E176" s="0" t="n">
        <v>26355</v>
      </c>
      <c r="F176" s="0" t="s">
        <v>104</v>
      </c>
      <c r="G176" s="0" t="n">
        <v>194.76</v>
      </c>
      <c r="H176" s="0" t="n">
        <v>35.11</v>
      </c>
      <c r="I176" s="0" t="n">
        <v>152</v>
      </c>
      <c r="J176" s="0" t="n">
        <v>288</v>
      </c>
      <c r="L176" s="0" t="s">
        <v>1902</v>
      </c>
      <c r="O176" s="0" t="n">
        <v>11.8</v>
      </c>
      <c r="U176" s="0" t="n">
        <v>7</v>
      </c>
      <c r="V176" s="0" t="s">
        <v>492</v>
      </c>
      <c r="W176" s="0" t="s">
        <v>901</v>
      </c>
      <c r="X176" s="0" t="s">
        <v>170</v>
      </c>
      <c r="Y176" s="0" t="s">
        <v>1903</v>
      </c>
      <c r="Z176" s="0" t="n">
        <v>26355</v>
      </c>
      <c r="AA176" s="0" t="s">
        <v>1904</v>
      </c>
      <c r="AB176" s="0" t="s">
        <v>904</v>
      </c>
      <c r="AC176" s="0" t="s">
        <v>170</v>
      </c>
      <c r="AD176" s="0" t="s">
        <v>170</v>
      </c>
      <c r="AE176" s="0" t="s">
        <v>170</v>
      </c>
      <c r="AF176" s="0" t="s">
        <v>170</v>
      </c>
      <c r="AG176" s="0" t="s">
        <v>170</v>
      </c>
      <c r="AH176" s="0" t="s">
        <v>905</v>
      </c>
      <c r="AI176" s="0" t="n">
        <v>3</v>
      </c>
      <c r="AJ176" s="0" t="s">
        <v>281</v>
      </c>
      <c r="AK176" s="0" t="n">
        <v>175</v>
      </c>
      <c r="AL176" s="0" t="n">
        <v>58</v>
      </c>
      <c r="AM176" s="0" t="s">
        <v>493</v>
      </c>
      <c r="AN176" s="0" t="n">
        <v>0</v>
      </c>
      <c r="AO176" s="0" t="n">
        <v>0</v>
      </c>
      <c r="AP176" s="0" t="n">
        <v>0</v>
      </c>
      <c r="AQ176" s="0" t="n">
        <v>0</v>
      </c>
      <c r="AR176" s="0" t="n">
        <v>0</v>
      </c>
      <c r="AS176" s="0" t="n">
        <v>0</v>
      </c>
      <c r="AT176" s="0" t="n">
        <v>0</v>
      </c>
      <c r="AU176" s="0" t="n">
        <v>0</v>
      </c>
      <c r="AV176" s="0" t="n">
        <v>0</v>
      </c>
      <c r="AW176" s="0" t="n">
        <v>155</v>
      </c>
      <c r="AX176" s="0" t="n">
        <v>643</v>
      </c>
      <c r="AY176" s="0" t="n">
        <v>3</v>
      </c>
      <c r="AZ176" s="0" t="n">
        <v>32</v>
      </c>
      <c r="BA176" s="0" t="n">
        <v>-14.0890543369715</v>
      </c>
      <c r="BB176" s="0" t="n">
        <v>0</v>
      </c>
      <c r="BC176" s="0" t="n">
        <v>16</v>
      </c>
      <c r="BD176" s="0" t="n">
        <v>22</v>
      </c>
      <c r="BE176" s="0" t="n">
        <v>136</v>
      </c>
      <c r="BF176" s="0" t="n">
        <v>1</v>
      </c>
      <c r="BG176" s="0" t="n">
        <v>-14</v>
      </c>
      <c r="BH176" s="0" t="n">
        <v>170</v>
      </c>
      <c r="BI176" s="0" t="n">
        <v>6</v>
      </c>
      <c r="BJ176" s="0" t="n">
        <v>0.738720937386843</v>
      </c>
      <c r="BK176" s="0" t="n">
        <v>0</v>
      </c>
      <c r="BL176" s="0" t="n">
        <v>0</v>
      </c>
      <c r="BM176" s="0" t="n">
        <v>101.9</v>
      </c>
      <c r="BN176" s="0" t="n">
        <v>117.9</v>
      </c>
      <c r="BO176" s="0" t="n">
        <v>13</v>
      </c>
      <c r="BP176" s="0" t="s">
        <v>170</v>
      </c>
      <c r="BQ176" s="0" t="n">
        <v>1</v>
      </c>
      <c r="BR176" s="0" t="n">
        <v>109.9</v>
      </c>
      <c r="BS176" s="0" t="n">
        <v>0.0404</v>
      </c>
      <c r="BT176" s="0" t="n">
        <v>0.3326</v>
      </c>
      <c r="BU176" s="0" t="n">
        <v>-0.0032</v>
      </c>
      <c r="BV176" s="0" t="n">
        <v>0.0541</v>
      </c>
      <c r="BW176" s="0" t="n">
        <v>0.4247</v>
      </c>
      <c r="BX176" s="0" t="n">
        <v>-0.0044</v>
      </c>
      <c r="BY176" s="0" t="n">
        <v>0.0781</v>
      </c>
      <c r="BZ176" s="0" t="n">
        <v>13</v>
      </c>
      <c r="CA176" s="0" t="n">
        <v>2.9</v>
      </c>
      <c r="CB176" s="0" t="n">
        <v>19.9</v>
      </c>
      <c r="CC176" s="0" t="n">
        <v>5.8</v>
      </c>
      <c r="CD176" s="0" t="n">
        <v>8.35</v>
      </c>
      <c r="CE176" s="0" t="n">
        <v>4</v>
      </c>
      <c r="CF176" s="0" t="n">
        <v>3</v>
      </c>
      <c r="CG176" s="0" t="n">
        <v>13</v>
      </c>
      <c r="CH176" s="0" t="n">
        <v>0.308</v>
      </c>
      <c r="CI176" s="0" t="n">
        <v>0.231</v>
      </c>
      <c r="CJ176" s="0" t="n">
        <v>1.44</v>
      </c>
      <c r="CK176" s="0" t="n">
        <v>6</v>
      </c>
      <c r="CL176" s="0" t="n">
        <v>3</v>
      </c>
      <c r="CM176" s="0" t="n">
        <v>0</v>
      </c>
      <c r="CN176" s="0" t="n">
        <v>1</v>
      </c>
      <c r="CO176" s="0" t="n">
        <v>1.62647963260696</v>
      </c>
      <c r="CP176" s="0" t="n">
        <v>26</v>
      </c>
      <c r="CQ176" s="0" t="n">
        <v>11</v>
      </c>
      <c r="CR176" s="0" t="n">
        <v>7</v>
      </c>
      <c r="CS176" s="0" t="n">
        <v>3</v>
      </c>
      <c r="CT176" s="0" t="n">
        <v>5.21774680994766</v>
      </c>
      <c r="CU176" s="0" t="n">
        <v>32</v>
      </c>
      <c r="CV176" s="0" t="n">
        <v>14</v>
      </c>
      <c r="CW176" s="0" t="n">
        <v>7</v>
      </c>
      <c r="CX176" s="0" t="n">
        <v>4</v>
      </c>
      <c r="CY176" s="0" t="n">
        <v>6.84</v>
      </c>
      <c r="CZ176" s="0" t="n">
        <v>-2.84</v>
      </c>
      <c r="DG176" s="0" t="n">
        <v>3.90367029548989</v>
      </c>
      <c r="DH176" s="0" t="n">
        <v>31.6129032258065</v>
      </c>
      <c r="DI176" s="0" t="n">
        <v>2.9214696969697</v>
      </c>
      <c r="DJ176" s="0" t="n">
        <v>74.6590465841341</v>
      </c>
      <c r="DK176" s="0" t="n">
        <v>0.497726977227561</v>
      </c>
      <c r="DL176" s="0" t="n">
        <v>0.36</v>
      </c>
      <c r="DM176" s="0" t="s">
        <v>1905</v>
      </c>
      <c r="DN176" s="0" t="n">
        <v>155</v>
      </c>
      <c r="DO176" s="0" t="n">
        <v>3</v>
      </c>
      <c r="DP176" s="0" t="n">
        <v>1.781</v>
      </c>
      <c r="DQ176" s="0" t="n">
        <v>2.368</v>
      </c>
      <c r="DR176" s="0" t="n">
        <v>51.67</v>
      </c>
      <c r="DS176" s="0" t="n">
        <v>22</v>
      </c>
      <c r="DT176" s="0" t="n">
        <v>3</v>
      </c>
      <c r="DU176" s="0" t="n">
        <v>2</v>
      </c>
      <c r="DV176" s="0" t="n">
        <v>-2.125</v>
      </c>
      <c r="DW176" s="0" t="n">
        <v>10.625</v>
      </c>
      <c r="DX176" s="0" t="n">
        <v>-0.6</v>
      </c>
      <c r="DY176" s="0" t="n">
        <v>0.0909</v>
      </c>
      <c r="DZ176" s="0" t="n">
        <v>481</v>
      </c>
      <c r="EA176" s="0" t="n">
        <v>0.545</v>
      </c>
      <c r="EB176" s="0" t="n">
        <v>13</v>
      </c>
      <c r="EC176" s="0" t="s">
        <v>1906</v>
      </c>
      <c r="ED176" s="0" t="n">
        <v>2024</v>
      </c>
      <c r="EE176" s="0" t="n">
        <v>6</v>
      </c>
      <c r="EF176" s="0" t="n">
        <v>181</v>
      </c>
      <c r="EG176" s="0" t="n">
        <v>2024</v>
      </c>
      <c r="EH176" s="0" t="n">
        <v>2026</v>
      </c>
      <c r="EI176" s="0" t="n">
        <v>3</v>
      </c>
      <c r="EJ176" s="0" t="n">
        <v>68</v>
      </c>
      <c r="EK176" s="0" t="n">
        <v>215</v>
      </c>
      <c r="EL176" s="0" t="s">
        <v>1907</v>
      </c>
      <c r="EM176" s="0" t="n">
        <v>25</v>
      </c>
      <c r="EN176" s="15" t="b">
        <f aca="false">FALSE()</f>
        <v>0</v>
      </c>
      <c r="EO176" s="0" t="n">
        <v>359</v>
      </c>
      <c r="EP176" s="0" t="n">
        <v>2.71309192200557</v>
      </c>
      <c r="EQ176" s="0" t="n">
        <v>0.22841225626741</v>
      </c>
      <c r="ER176" s="0" t="n">
        <v>1.12534818941504</v>
      </c>
      <c r="ES176" s="0" t="n">
        <v>0.746518105849582</v>
      </c>
      <c r="ET176" s="0" t="n">
        <v>36</v>
      </c>
      <c r="EU176" s="0" t="n">
        <v>22</v>
      </c>
      <c r="EV176" s="0" t="n">
        <v>4.06685236768802</v>
      </c>
      <c r="EW176" s="0" t="n">
        <v>0.611111111111111</v>
      </c>
      <c r="EX176" s="0" t="n">
        <v>2.89104964249176</v>
      </c>
      <c r="EY176" s="0" t="n">
        <v>2.77</v>
      </c>
      <c r="EZ176" s="0" t="n">
        <v>0.2195</v>
      </c>
      <c r="FA176" s="0" t="n">
        <v>2.614</v>
      </c>
      <c r="FB176" s="0" t="n">
        <v>1.822</v>
      </c>
      <c r="FC176" s="0" t="n">
        <v>24</v>
      </c>
      <c r="FD176" s="0" t="n">
        <v>681</v>
      </c>
      <c r="FE176" s="0" t="n">
        <v>0.0881057268722467</v>
      </c>
      <c r="FF176" s="0" t="n">
        <v>0.0832</v>
      </c>
      <c r="FG176" s="0" t="n">
        <v>0.3427</v>
      </c>
      <c r="FH176" s="0" t="n">
        <v>2.37</v>
      </c>
      <c r="FI176" s="0" t="n">
        <v>1080</v>
      </c>
      <c r="FJ176" s="0" t="n">
        <v>0.578703703703704</v>
      </c>
      <c r="FK176" s="0" t="n">
        <v>17</v>
      </c>
      <c r="FL176" s="0" t="n">
        <v>63.53</v>
      </c>
      <c r="FM176" s="0" t="n">
        <v>0.579</v>
      </c>
      <c r="FN176" s="0" t="n">
        <v>0.421</v>
      </c>
      <c r="FO176" s="0" t="n">
        <v>0.0064</v>
      </c>
      <c r="FP176" s="0" t="n">
        <v>0.0187</v>
      </c>
      <c r="FQ176" s="0" t="n">
        <v>-0.0542</v>
      </c>
      <c r="FR176" s="0" t="n">
        <v>39</v>
      </c>
      <c r="FS176" s="0" t="n">
        <v>59</v>
      </c>
      <c r="FT176" s="0" t="n">
        <v>3.47</v>
      </c>
      <c r="FU176" s="0" t="n">
        <v>21.6</v>
      </c>
      <c r="FV176" s="0" t="n">
        <v>5784</v>
      </c>
      <c r="FW176" s="0" t="n">
        <v>1183</v>
      </c>
      <c r="FX176" s="0" t="n">
        <v>0.205</v>
      </c>
      <c r="FY176" s="0" t="n">
        <v>5</v>
      </c>
      <c r="FZ176" s="0" t="n">
        <v>1</v>
      </c>
      <c r="GA176" s="0" t="n">
        <v>-0.516900207039375</v>
      </c>
      <c r="GB176" s="0" t="n">
        <v>40.7</v>
      </c>
      <c r="GC176" s="0" t="n">
        <v>23</v>
      </c>
      <c r="GD176" s="0" t="n">
        <v>26.9</v>
      </c>
      <c r="GE176" s="0" t="n">
        <v>544</v>
      </c>
      <c r="GF176" s="0" t="n">
        <v>466</v>
      </c>
      <c r="GG176" s="0" t="n">
        <v>15</v>
      </c>
      <c r="GH176" s="0" t="n">
        <v>23</v>
      </c>
      <c r="GI176" s="0" t="n">
        <v>152</v>
      </c>
      <c r="GJ176" s="0" t="n">
        <v>2</v>
      </c>
      <c r="GK176" s="0" t="n">
        <v>0.028</v>
      </c>
      <c r="GL176" s="0" t="n">
        <v>0.049</v>
      </c>
      <c r="GM176" s="0" t="n">
        <v>0.013</v>
      </c>
      <c r="GN176" s="0" t="n">
        <v>9.069</v>
      </c>
      <c r="GO176" s="0" t="n">
        <v>8.454</v>
      </c>
      <c r="GP176" s="0" t="n">
        <v>7.838</v>
      </c>
      <c r="GQ176" s="0" t="n">
        <v>1.692</v>
      </c>
      <c r="GR176" s="0" t="n">
        <v>11.923</v>
      </c>
      <c r="GS176" s="0" t="n">
        <v>177</v>
      </c>
      <c r="GT176" s="0" t="n">
        <v>0.666</v>
      </c>
      <c r="GU176" s="0" t="n">
        <v>0.245</v>
      </c>
      <c r="GV176" s="0" t="n">
        <v>6.182</v>
      </c>
      <c r="GW176" s="0" t="n">
        <v>8.5</v>
      </c>
      <c r="GX176" s="0" t="n">
        <v>0.727</v>
      </c>
      <c r="GY176" s="0" t="n">
        <v>4.148</v>
      </c>
      <c r="GZ176" s="0" t="n">
        <v>-0.636</v>
      </c>
      <c r="HA176" s="0" t="n">
        <v>10.625</v>
      </c>
      <c r="HB176" s="0" t="n">
        <v>-9.714</v>
      </c>
      <c r="HC176" s="0" t="n">
        <v>0.023</v>
      </c>
      <c r="HD176" s="0" t="n">
        <v>-0.091</v>
      </c>
      <c r="HE176" s="0" t="n">
        <v>0.034</v>
      </c>
      <c r="HG176" s="0" t="n">
        <v>194.76</v>
      </c>
      <c r="HH176" s="0" t="n">
        <v>35.11</v>
      </c>
      <c r="HI176" s="0" t="n">
        <v>152</v>
      </c>
      <c r="HJ176" s="0" t="n">
        <v>288</v>
      </c>
      <c r="HK176" s="0" t="s">
        <v>909</v>
      </c>
      <c r="HL176" s="0" t="n">
        <v>0</v>
      </c>
      <c r="HM176" s="0" t="n">
        <v>41</v>
      </c>
      <c r="HN176" s="0" t="n">
        <v>58</v>
      </c>
      <c r="HO176" s="0" t="n">
        <v>0.293</v>
      </c>
      <c r="HP176" s="0" t="n">
        <v>36</v>
      </c>
      <c r="HQ176" s="0" t="n">
        <v>0.511</v>
      </c>
      <c r="HR176" s="0" t="s">
        <v>102</v>
      </c>
    </row>
    <row r="177" customFormat="false" ht="15" hidden="false" customHeight="false" outlineLevel="0" collapsed="false">
      <c r="A177" s="0" t="s">
        <v>896</v>
      </c>
      <c r="B177" s="0" t="s">
        <v>897</v>
      </c>
      <c r="C177" s="0" t="s">
        <v>898</v>
      </c>
      <c r="D177" s="0" t="s">
        <v>494</v>
      </c>
      <c r="E177" s="0" t="n">
        <v>22989</v>
      </c>
      <c r="F177" s="0" t="s">
        <v>99</v>
      </c>
      <c r="G177" s="0" t="n">
        <v>195.4</v>
      </c>
      <c r="H177" s="0" t="n">
        <v>27.4</v>
      </c>
      <c r="I177" s="0" t="n">
        <v>154</v>
      </c>
      <c r="J177" s="0" t="n">
        <v>277</v>
      </c>
      <c r="L177" s="0" t="s">
        <v>1908</v>
      </c>
      <c r="O177" s="0" t="n">
        <v>14.6</v>
      </c>
      <c r="U177" s="0" t="n">
        <v>11</v>
      </c>
      <c r="V177" s="0" t="s">
        <v>494</v>
      </c>
      <c r="W177" s="0" t="s">
        <v>901</v>
      </c>
      <c r="X177" s="0" t="s">
        <v>972</v>
      </c>
      <c r="Y177" s="0" t="s">
        <v>1909</v>
      </c>
      <c r="Z177" s="0" t="n">
        <v>22989</v>
      </c>
      <c r="AA177" s="0" t="s">
        <v>1910</v>
      </c>
      <c r="AB177" s="0" t="s">
        <v>904</v>
      </c>
      <c r="AC177" s="0" t="s">
        <v>135</v>
      </c>
      <c r="AD177" s="0" t="s">
        <v>135</v>
      </c>
      <c r="AE177" s="0" t="s">
        <v>135</v>
      </c>
      <c r="AF177" s="0" t="s">
        <v>135</v>
      </c>
      <c r="AG177" s="0" t="s">
        <v>135</v>
      </c>
      <c r="AH177" s="0" t="s">
        <v>905</v>
      </c>
      <c r="AI177" s="0" t="n">
        <v>4</v>
      </c>
      <c r="AJ177" s="0" t="s">
        <v>99</v>
      </c>
      <c r="AK177" s="0" t="n">
        <v>176</v>
      </c>
      <c r="AL177" s="0" t="n">
        <v>70</v>
      </c>
      <c r="AM177" s="0" t="s">
        <v>495</v>
      </c>
      <c r="AN177" s="0" t="n">
        <v>0</v>
      </c>
      <c r="AO177" s="0" t="n">
        <v>0</v>
      </c>
      <c r="AP177" s="0" t="n">
        <v>0</v>
      </c>
      <c r="AQ177" s="0" t="n">
        <v>0</v>
      </c>
      <c r="AR177" s="0" t="n">
        <v>0</v>
      </c>
      <c r="AS177" s="0" t="n">
        <v>0</v>
      </c>
      <c r="AT177" s="0" t="n">
        <v>0</v>
      </c>
      <c r="AU177" s="0" t="n">
        <v>0</v>
      </c>
      <c r="AV177" s="0" t="n">
        <v>0</v>
      </c>
      <c r="AW177" s="0" t="n">
        <v>0</v>
      </c>
      <c r="AX177" s="0" t="n">
        <v>0</v>
      </c>
      <c r="AY177" s="0" t="n">
        <v>0</v>
      </c>
      <c r="AZ177" s="0" t="n">
        <v>0</v>
      </c>
      <c r="BA177" s="0" t="n">
        <v>0</v>
      </c>
      <c r="BB177" s="0" t="n">
        <v>0</v>
      </c>
      <c r="BC177" s="0" t="n">
        <v>33</v>
      </c>
      <c r="BD177" s="0" t="n">
        <v>46</v>
      </c>
      <c r="BE177" s="0" t="n">
        <v>551</v>
      </c>
      <c r="BF177" s="0" t="n">
        <v>6</v>
      </c>
      <c r="BG177" s="0" t="n">
        <v>781</v>
      </c>
      <c r="BH177" s="0" t="n">
        <v>38</v>
      </c>
      <c r="BI177" s="0" t="n">
        <v>27</v>
      </c>
      <c r="BJ177" s="0" t="n">
        <v>36.8603411761869</v>
      </c>
      <c r="BK177" s="0" t="n">
        <v>0</v>
      </c>
      <c r="BL177" s="0" t="n">
        <v>0</v>
      </c>
      <c r="BM177" s="0" t="n">
        <v>91.1</v>
      </c>
      <c r="BN177" s="0" t="n">
        <v>124.1</v>
      </c>
      <c r="BO177" s="0" t="n">
        <v>14</v>
      </c>
      <c r="BP177" s="0" t="s">
        <v>135</v>
      </c>
      <c r="BQ177" s="0" t="n">
        <v>1</v>
      </c>
      <c r="BR177" s="0" t="n">
        <v>107.6</v>
      </c>
      <c r="BS177" s="0" t="n">
        <v>0.0954</v>
      </c>
      <c r="BT177" s="0" t="n">
        <v>0</v>
      </c>
      <c r="BU177" s="0" t="n">
        <v>0.1745</v>
      </c>
      <c r="BV177" s="0" t="n">
        <v>0.1165</v>
      </c>
      <c r="BW177" s="0" t="n">
        <v>0</v>
      </c>
      <c r="BX177" s="0" t="n">
        <v>0.2217</v>
      </c>
      <c r="BY177" s="0" t="n">
        <v>0.3299</v>
      </c>
      <c r="BZ177" s="0" t="n">
        <v>14</v>
      </c>
      <c r="CA177" s="0" t="n">
        <v>3.62</v>
      </c>
      <c r="CB177" s="0" t="n">
        <v>16.31</v>
      </c>
      <c r="CC177" s="0" t="n">
        <v>6.05</v>
      </c>
      <c r="CD177" s="0" t="n">
        <v>7.37</v>
      </c>
      <c r="CE177" s="0" t="n">
        <v>2</v>
      </c>
      <c r="CF177" s="0" t="n">
        <v>1</v>
      </c>
      <c r="CG177" s="0" t="n">
        <v>14</v>
      </c>
      <c r="CH177" s="0" t="n">
        <v>0.143</v>
      </c>
      <c r="CI177" s="0" t="n">
        <v>0.071</v>
      </c>
      <c r="CJ177" s="0" t="n">
        <v>1.219</v>
      </c>
      <c r="CK177" s="0" t="n">
        <v>4</v>
      </c>
      <c r="CL177" s="0" t="n">
        <v>2</v>
      </c>
      <c r="CM177" s="0" t="n">
        <v>2</v>
      </c>
      <c r="CN177" s="0" t="n">
        <v>6</v>
      </c>
      <c r="CO177" s="0" t="n">
        <v>1.87743863513752</v>
      </c>
      <c r="CP177" s="0" t="n">
        <v>0</v>
      </c>
      <c r="CQ177" s="0" t="n">
        <v>0</v>
      </c>
      <c r="CR177" s="0" t="n">
        <v>0</v>
      </c>
      <c r="CS177" s="0" t="n">
        <v>0</v>
      </c>
      <c r="CT177" s="0" t="n">
        <v>0</v>
      </c>
      <c r="CU177" s="0" t="n">
        <v>4</v>
      </c>
      <c r="CV177" s="0" t="n">
        <v>2</v>
      </c>
      <c r="CW177" s="0" t="n">
        <v>2</v>
      </c>
      <c r="CX177" s="0" t="n">
        <v>6</v>
      </c>
      <c r="CY177" s="0" t="n">
        <v>1.88</v>
      </c>
      <c r="CZ177" s="0" t="n">
        <v>4.12</v>
      </c>
      <c r="DA177" s="0" t="n">
        <v>2.32162196559548</v>
      </c>
      <c r="DB177" s="0" t="n">
        <v>4.89521739130435</v>
      </c>
      <c r="DC177" s="0" t="n">
        <v>17.2471739130435</v>
      </c>
      <c r="DD177" s="0" t="n">
        <v>18.0174185563264</v>
      </c>
      <c r="DE177" s="0" t="n">
        <v>-0.428373284492274</v>
      </c>
      <c r="DF177" s="0" t="n">
        <v>71.7391304347826</v>
      </c>
      <c r="DM177" s="0" t="s">
        <v>1911</v>
      </c>
      <c r="DS177" s="0" t="n">
        <v>46</v>
      </c>
      <c r="DT177" s="0" t="n">
        <v>1</v>
      </c>
      <c r="DU177" s="0" t="n">
        <v>1</v>
      </c>
      <c r="DV177" s="0" t="n">
        <v>15.545</v>
      </c>
      <c r="DW177" s="0" t="n">
        <v>1.152</v>
      </c>
      <c r="DX177" s="0" t="n">
        <v>17</v>
      </c>
      <c r="DY177" s="0" t="n">
        <v>0.0217</v>
      </c>
      <c r="DZ177" s="0" t="n">
        <v>607</v>
      </c>
      <c r="EA177" s="0" t="n">
        <v>0.675</v>
      </c>
      <c r="EB177" s="0" t="n">
        <v>14</v>
      </c>
      <c r="EC177" s="0" t="s">
        <v>1912</v>
      </c>
      <c r="ED177" s="0" t="n">
        <v>2023</v>
      </c>
      <c r="EE177" s="0" t="n">
        <v>6</v>
      </c>
      <c r="EF177" s="0" t="n">
        <v>187</v>
      </c>
      <c r="EG177" s="0" t="n">
        <v>2023</v>
      </c>
      <c r="EH177" s="0" t="n">
        <v>2026</v>
      </c>
      <c r="EI177" s="0" t="n">
        <v>4</v>
      </c>
      <c r="EJ177" s="0" t="n">
        <v>71</v>
      </c>
      <c r="EK177" s="0" t="n">
        <v>203</v>
      </c>
      <c r="EL177" s="0" t="s">
        <v>908</v>
      </c>
      <c r="EM177" s="0" t="n">
        <v>24.3</v>
      </c>
      <c r="EN177" s="15" t="b">
        <f aca="false">FALSE()</f>
        <v>0</v>
      </c>
      <c r="EO177" s="0" t="n">
        <v>371</v>
      </c>
      <c r="EP177" s="0" t="n">
        <v>2.77951482479784</v>
      </c>
      <c r="EQ177" s="0" t="n">
        <v>0.194070080862534</v>
      </c>
      <c r="ER177" s="0" t="n">
        <v>1.19676549865229</v>
      </c>
      <c r="ES177" s="0" t="n">
        <v>1.20485175202156</v>
      </c>
      <c r="ET177" s="0" t="n">
        <v>33</v>
      </c>
      <c r="EU177" s="0" t="n">
        <v>19</v>
      </c>
      <c r="EV177" s="0" t="n">
        <v>4.63072776280323</v>
      </c>
      <c r="EW177" s="0" t="n">
        <v>0.575757575757576</v>
      </c>
      <c r="EX177" s="0" t="n">
        <v>2.9254952414656</v>
      </c>
      <c r="EY177" s="0" t="n">
        <v>2.802</v>
      </c>
      <c r="EZ177" s="0" t="n">
        <v>0.1883</v>
      </c>
      <c r="FA177" s="0" t="n">
        <v>2.561</v>
      </c>
      <c r="FB177" s="0" t="n">
        <v>1.874</v>
      </c>
      <c r="FC177" s="0" t="n">
        <v>33</v>
      </c>
      <c r="FD177" s="0" t="n">
        <v>613</v>
      </c>
      <c r="FE177" s="0" t="n">
        <v>0.0783034257748776</v>
      </c>
      <c r="FF177" s="0" t="n">
        <v>0.0789</v>
      </c>
      <c r="FG177" s="0" t="n">
        <v>0.261</v>
      </c>
      <c r="FH177" s="0" t="n">
        <v>2.406</v>
      </c>
      <c r="FI177" s="0" t="n">
        <v>1017</v>
      </c>
      <c r="FJ177" s="0" t="n">
        <v>0.541789577187807</v>
      </c>
      <c r="FK177" s="0" t="n">
        <v>17</v>
      </c>
      <c r="FL177" s="0" t="n">
        <v>59.82</v>
      </c>
      <c r="FM177" s="0" t="n">
        <v>0.5691</v>
      </c>
      <c r="FN177" s="0" t="n">
        <v>0.4309</v>
      </c>
      <c r="FO177" s="0" t="n">
        <v>0.0242</v>
      </c>
      <c r="FP177" s="0" t="n">
        <v>0.0077</v>
      </c>
      <c r="FQ177" s="0" t="n">
        <v>0.2873</v>
      </c>
      <c r="FR177" s="0" t="n">
        <v>38</v>
      </c>
      <c r="FS177" s="0" t="n">
        <v>64</v>
      </c>
      <c r="FT177" s="0" t="n">
        <v>3.76</v>
      </c>
      <c r="FU177" s="0" t="n">
        <v>28.8</v>
      </c>
      <c r="FV177" s="0" t="n">
        <v>5553</v>
      </c>
      <c r="FW177" s="0" t="n">
        <v>2959</v>
      </c>
      <c r="FX177" s="0" t="n">
        <v>0.533</v>
      </c>
      <c r="FY177" s="0" t="n">
        <v>5</v>
      </c>
      <c r="FZ177" s="0" t="n">
        <v>3</v>
      </c>
      <c r="GA177" s="0" t="n">
        <v>-0.369404903105602</v>
      </c>
      <c r="GB177" s="0" t="n">
        <v>43.3</v>
      </c>
      <c r="GC177" s="0" t="n">
        <v>43.5</v>
      </c>
      <c r="GD177" s="0" t="n">
        <v>41.6</v>
      </c>
      <c r="GE177" s="0" t="n">
        <v>482</v>
      </c>
      <c r="GF177" s="0" t="n">
        <v>494</v>
      </c>
      <c r="GG177" s="0" t="n">
        <v>128</v>
      </c>
      <c r="GH177" s="0" t="n">
        <v>10</v>
      </c>
      <c r="GI177" s="0" t="n">
        <v>154</v>
      </c>
      <c r="GJ177" s="0" t="n">
        <v>17</v>
      </c>
      <c r="GK177" s="0" t="n">
        <v>0.266</v>
      </c>
      <c r="GL177" s="0" t="n">
        <v>0.02</v>
      </c>
      <c r="GM177" s="0" t="n">
        <v>0.11</v>
      </c>
      <c r="GN177" s="0" t="n">
        <v>8.864</v>
      </c>
      <c r="GO177" s="0" t="n">
        <v>7.686</v>
      </c>
      <c r="GP177" s="0" t="n">
        <v>6.507</v>
      </c>
      <c r="GQ177" s="0" t="n">
        <v>3.286</v>
      </c>
      <c r="GR177" s="0" t="n">
        <v>0</v>
      </c>
      <c r="GS177" s="0" t="n">
        <v>46</v>
      </c>
      <c r="GT177" s="0" t="n">
        <v>2.698</v>
      </c>
      <c r="GU177" s="0" t="n">
        <v>0.204</v>
      </c>
      <c r="GV177" s="0" t="n">
        <v>11.978</v>
      </c>
      <c r="GW177" s="0" t="n">
        <v>16.697</v>
      </c>
      <c r="GX177" s="0" t="n">
        <v>0.717</v>
      </c>
      <c r="GZ177" s="0" t="n">
        <v>16.978</v>
      </c>
      <c r="HA177" s="0" t="n">
        <v>1.152</v>
      </c>
      <c r="HB177" s="0" t="n">
        <v>0.706</v>
      </c>
      <c r="HC177" s="0" t="n">
        <v>0.13</v>
      </c>
      <c r="HE177" s="0" t="n">
        <v>0.801</v>
      </c>
      <c r="HG177" s="0" t="n">
        <v>195.4</v>
      </c>
      <c r="HH177" s="0" t="n">
        <v>27.4</v>
      </c>
      <c r="HI177" s="0" t="n">
        <v>154</v>
      </c>
      <c r="HJ177" s="0" t="n">
        <v>277</v>
      </c>
      <c r="HK177" s="0" t="s">
        <v>909</v>
      </c>
      <c r="HL177" s="0" t="n">
        <v>0</v>
      </c>
      <c r="HM177" s="0" t="n">
        <v>50</v>
      </c>
      <c r="HN177" s="0" t="n">
        <v>70</v>
      </c>
      <c r="HO177" s="0" t="n">
        <v>0.323</v>
      </c>
      <c r="HP177" s="0" t="n">
        <v>53</v>
      </c>
      <c r="HQ177" s="0" t="n">
        <v>0.191</v>
      </c>
      <c r="HR177" s="0" t="s">
        <v>102</v>
      </c>
    </row>
    <row r="178" customFormat="false" ht="15" hidden="false" customHeight="false" outlineLevel="0" collapsed="false">
      <c r="A178" s="0" t="s">
        <v>896</v>
      </c>
      <c r="B178" s="0" t="s">
        <v>897</v>
      </c>
      <c r="C178" s="0" t="s">
        <v>898</v>
      </c>
      <c r="D178" s="0" t="s">
        <v>496</v>
      </c>
      <c r="E178" s="0" t="n">
        <v>15642</v>
      </c>
      <c r="F178" s="0" t="s">
        <v>172</v>
      </c>
      <c r="G178" s="0" t="n">
        <v>195.56</v>
      </c>
      <c r="H178" s="0" t="n">
        <v>39.11</v>
      </c>
      <c r="I178" s="0" t="n">
        <v>134</v>
      </c>
      <c r="J178" s="0" t="n">
        <v>340</v>
      </c>
      <c r="L178" s="0" t="s">
        <v>1913</v>
      </c>
      <c r="O178" s="0" t="n">
        <v>16.6</v>
      </c>
      <c r="U178" s="0" t="n">
        <v>14</v>
      </c>
      <c r="V178" s="0" t="s">
        <v>496</v>
      </c>
      <c r="W178" s="0" t="s">
        <v>901</v>
      </c>
      <c r="X178" s="0" t="s">
        <v>151</v>
      </c>
      <c r="Y178" s="0" t="s">
        <v>1914</v>
      </c>
      <c r="Z178" s="0" t="n">
        <v>15642</v>
      </c>
      <c r="AA178" s="0" t="s">
        <v>1915</v>
      </c>
      <c r="AB178" s="0" t="s">
        <v>904</v>
      </c>
      <c r="AC178" s="0" t="s">
        <v>151</v>
      </c>
      <c r="AD178" s="0" t="s">
        <v>151</v>
      </c>
      <c r="AE178" s="0" t="s">
        <v>151</v>
      </c>
      <c r="AF178" s="0" t="s">
        <v>151</v>
      </c>
      <c r="AG178" s="0" t="s">
        <v>151</v>
      </c>
      <c r="AH178" s="0" t="s">
        <v>905</v>
      </c>
      <c r="AI178" s="0" t="n">
        <v>1</v>
      </c>
      <c r="AJ178" s="0" t="s">
        <v>172</v>
      </c>
      <c r="AK178" s="0" t="n">
        <v>177</v>
      </c>
      <c r="AL178" s="0" t="n">
        <v>27</v>
      </c>
      <c r="AM178" s="0" t="s">
        <v>497</v>
      </c>
      <c r="AN178" s="0" t="n">
        <v>315</v>
      </c>
      <c r="AO178" s="0" t="n">
        <v>485</v>
      </c>
      <c r="AP178" s="0" t="n">
        <v>3366</v>
      </c>
      <c r="AQ178" s="0" t="n">
        <v>23</v>
      </c>
      <c r="AR178" s="0" t="n">
        <v>8</v>
      </c>
      <c r="AS178" s="0" t="n">
        <v>43</v>
      </c>
      <c r="AT178" s="0" t="n">
        <v>3697</v>
      </c>
      <c r="AU178" s="0" t="n">
        <v>165</v>
      </c>
      <c r="AV178" s="0" t="n">
        <v>-3.21543134285545</v>
      </c>
      <c r="AW178" s="0" t="n">
        <v>38</v>
      </c>
      <c r="AX178" s="0" t="n">
        <v>168</v>
      </c>
      <c r="AY178" s="0" t="n">
        <v>1</v>
      </c>
      <c r="AZ178" s="0" t="n">
        <v>16</v>
      </c>
      <c r="BA178" s="0" t="n">
        <v>7.46279588393395</v>
      </c>
      <c r="BB178" s="0" t="n">
        <v>0</v>
      </c>
      <c r="BC178" s="0" t="n">
        <v>0</v>
      </c>
      <c r="BD178" s="0" t="n">
        <v>0</v>
      </c>
      <c r="BE178" s="0" t="n">
        <v>0</v>
      </c>
      <c r="BF178" s="0" t="n">
        <v>0</v>
      </c>
      <c r="BG178" s="0" t="n">
        <v>0</v>
      </c>
      <c r="BH178" s="0" t="n">
        <v>0</v>
      </c>
      <c r="BI178" s="0" t="n">
        <v>0</v>
      </c>
      <c r="BJ178" s="0" t="n">
        <v>0</v>
      </c>
      <c r="BK178" s="0" t="n">
        <v>0</v>
      </c>
      <c r="BL178" s="0" t="n">
        <v>0</v>
      </c>
      <c r="BM178" s="0" t="n">
        <v>227.44</v>
      </c>
      <c r="BN178" s="0" t="n">
        <v>227.44</v>
      </c>
      <c r="BO178" s="0" t="n">
        <v>14</v>
      </c>
      <c r="BP178" s="0" t="s">
        <v>151</v>
      </c>
      <c r="BQ178" s="0" t="n">
        <v>1</v>
      </c>
      <c r="BR178" s="0" t="n">
        <v>227.44</v>
      </c>
      <c r="BS178" s="0" t="n">
        <v>0</v>
      </c>
      <c r="BT178" s="0" t="n">
        <v>0.1038</v>
      </c>
      <c r="BU178" s="0" t="n">
        <v>0</v>
      </c>
      <c r="BV178" s="0" t="n">
        <v>0</v>
      </c>
      <c r="BW178" s="0" t="n">
        <v>0.1293</v>
      </c>
      <c r="BX178" s="0" t="n">
        <v>0</v>
      </c>
      <c r="BY178" s="0" t="n">
        <v>0</v>
      </c>
      <c r="BZ178" s="0" t="n">
        <v>14</v>
      </c>
      <c r="CA178" s="0" t="n">
        <v>15.83</v>
      </c>
      <c r="CB178" s="0" t="n">
        <v>20.76</v>
      </c>
      <c r="CC178" s="0" t="n">
        <v>19.23</v>
      </c>
      <c r="CD178" s="0" t="n">
        <v>7.57</v>
      </c>
      <c r="CE178" s="0" t="n">
        <v>9</v>
      </c>
      <c r="CF178" s="0" t="n">
        <v>2</v>
      </c>
      <c r="CG178" s="0" t="n">
        <v>14</v>
      </c>
      <c r="CH178" s="0" t="n">
        <v>0.643</v>
      </c>
      <c r="CI178" s="0" t="n">
        <v>0.143</v>
      </c>
      <c r="CJ178" s="0" t="n">
        <v>0.394</v>
      </c>
      <c r="CK178" s="0" t="n">
        <v>0</v>
      </c>
      <c r="CL178" s="0" t="n">
        <v>0</v>
      </c>
      <c r="CM178" s="0" t="n">
        <v>0</v>
      </c>
      <c r="CN178" s="0" t="n">
        <v>0</v>
      </c>
      <c r="CO178" s="0" t="n">
        <v>0</v>
      </c>
      <c r="CP178" s="0" t="n">
        <v>5</v>
      </c>
      <c r="CQ178" s="0" t="n">
        <v>5</v>
      </c>
      <c r="CR178" s="0" t="n">
        <v>3</v>
      </c>
      <c r="CS178" s="0" t="n">
        <v>1</v>
      </c>
      <c r="CT178" s="0" t="n">
        <v>1.53315474220765</v>
      </c>
      <c r="CU178" s="0" t="n">
        <v>5</v>
      </c>
      <c r="CV178" s="0" t="n">
        <v>5</v>
      </c>
      <c r="CW178" s="0" t="n">
        <v>3</v>
      </c>
      <c r="CX178" s="0" t="n">
        <v>1</v>
      </c>
      <c r="CY178" s="0" t="n">
        <v>1.53</v>
      </c>
      <c r="CZ178" s="0" t="n">
        <v>-0.53</v>
      </c>
      <c r="DM178" s="0" t="s">
        <v>1916</v>
      </c>
      <c r="DN178" s="0" t="n">
        <v>38</v>
      </c>
      <c r="DO178" s="0" t="n">
        <v>2</v>
      </c>
      <c r="DP178" s="0" t="n">
        <v>3.026</v>
      </c>
      <c r="DQ178" s="0" t="n">
        <v>1.395</v>
      </c>
      <c r="DR178" s="0" t="n">
        <v>19</v>
      </c>
      <c r="DZ178" s="0" t="n">
        <v>812</v>
      </c>
      <c r="EA178" s="0" t="n">
        <v>0.857</v>
      </c>
      <c r="EB178" s="0" t="n">
        <v>14</v>
      </c>
      <c r="EC178" s="0" t="s">
        <v>1917</v>
      </c>
      <c r="ED178" s="0" t="n">
        <v>2016</v>
      </c>
      <c r="EE178" s="0" t="n">
        <v>3</v>
      </c>
      <c r="EF178" s="0" t="n">
        <v>91</v>
      </c>
      <c r="EG178" s="0" t="n">
        <v>2016</v>
      </c>
      <c r="EH178" s="0" t="n">
        <v>2026</v>
      </c>
      <c r="EI178" s="0" t="n">
        <v>11</v>
      </c>
      <c r="EJ178" s="0" t="n">
        <v>76</v>
      </c>
      <c r="EK178" s="0" t="n">
        <v>235</v>
      </c>
      <c r="EL178" s="0" t="s">
        <v>1918</v>
      </c>
      <c r="EM178" s="0" t="n">
        <v>33.7</v>
      </c>
      <c r="EN178" s="15" t="b">
        <f aca="false">FALSE()</f>
        <v>0</v>
      </c>
      <c r="EO178" s="0" t="n">
        <v>292</v>
      </c>
      <c r="EP178" s="0" t="n">
        <v>2.76198630136986</v>
      </c>
      <c r="EQ178" s="0" t="n">
        <v>0.198630136986301</v>
      </c>
      <c r="ER178" s="0" t="n">
        <v>1.1472602739726</v>
      </c>
      <c r="ES178" s="0" t="n">
        <v>0.828767123287671</v>
      </c>
      <c r="ET178" s="0" t="n">
        <v>32</v>
      </c>
      <c r="EU178" s="0" t="n">
        <v>21</v>
      </c>
      <c r="EV178" s="0" t="n">
        <v>4.20205479452055</v>
      </c>
      <c r="EW178" s="0" t="n">
        <v>0.65625</v>
      </c>
      <c r="EX178" s="0" t="n">
        <v>2.93895253186521</v>
      </c>
      <c r="EY178" s="0" t="n">
        <v>2.771</v>
      </c>
      <c r="EZ178" s="0" t="n">
        <v>0.2005</v>
      </c>
      <c r="FA178" s="0" t="n">
        <v>2.593</v>
      </c>
      <c r="FB178" s="0" t="n">
        <v>1.732</v>
      </c>
      <c r="FC178" s="0" t="n">
        <v>22</v>
      </c>
      <c r="FD178" s="0" t="n">
        <v>745</v>
      </c>
      <c r="FE178" s="0" t="n">
        <v>0.0791946308724832</v>
      </c>
      <c r="FF178" s="0" t="n">
        <v>0.0839</v>
      </c>
      <c r="FG178" s="0" t="n">
        <v>0.282</v>
      </c>
      <c r="FH178" s="0" t="n">
        <v>2.373</v>
      </c>
      <c r="FI178" s="0" t="n">
        <v>1074</v>
      </c>
      <c r="FJ178" s="0" t="n">
        <v>0.661080074487896</v>
      </c>
      <c r="FK178" s="0" t="n">
        <v>17</v>
      </c>
      <c r="FL178" s="0" t="n">
        <v>63.18</v>
      </c>
      <c r="FM178" s="0" t="n">
        <v>0.6204</v>
      </c>
      <c r="FN178" s="0" t="n">
        <v>0.3796</v>
      </c>
      <c r="FO178" s="0" t="n">
        <v>0.0399</v>
      </c>
      <c r="FP178" s="0" t="n">
        <v>-0.0591</v>
      </c>
      <c r="FQ178" s="0" t="n">
        <v>0.0023</v>
      </c>
      <c r="FR178" s="0" t="n">
        <v>39</v>
      </c>
      <c r="FS178" s="0" t="n">
        <v>61</v>
      </c>
      <c r="FT178" s="0" t="n">
        <v>3.59</v>
      </c>
      <c r="FU178" s="0" t="n">
        <v>20.9</v>
      </c>
      <c r="FV178" s="0" t="n">
        <v>5838</v>
      </c>
      <c r="FW178" s="0" t="n">
        <v>4005</v>
      </c>
      <c r="FX178" s="0" t="n">
        <v>0.686</v>
      </c>
      <c r="FY178" s="0" t="n">
        <v>5</v>
      </c>
      <c r="FZ178" s="0" t="n">
        <v>3</v>
      </c>
      <c r="GA178" s="0" t="n">
        <v>-0.344439654226007</v>
      </c>
      <c r="GB178" s="0" t="n">
        <v>43.8</v>
      </c>
      <c r="GC178" s="0" t="n">
        <v>35.6</v>
      </c>
      <c r="GD178" s="0" t="n">
        <v>36.9</v>
      </c>
      <c r="GE178" s="0" t="n">
        <v>617</v>
      </c>
      <c r="GF178" s="0" t="n">
        <v>366</v>
      </c>
      <c r="GG178" s="0" t="n">
        <v>106</v>
      </c>
      <c r="GH178" s="0" t="n">
        <v>173</v>
      </c>
      <c r="GI178" s="0" t="n">
        <v>153</v>
      </c>
      <c r="GJ178" s="0" t="n">
        <v>41</v>
      </c>
      <c r="GK178" s="0" t="n">
        <v>0.172</v>
      </c>
      <c r="GL178" s="0" t="n">
        <v>0.473</v>
      </c>
      <c r="GM178" s="0" t="n">
        <v>0.268</v>
      </c>
      <c r="GN178" s="0" t="n">
        <v>16.246</v>
      </c>
      <c r="GO178" s="0" t="n">
        <v>16.246</v>
      </c>
      <c r="GP178" s="0" t="n">
        <v>16.246</v>
      </c>
      <c r="GQ178" s="0" t="n">
        <v>0</v>
      </c>
      <c r="GR178" s="0" t="n">
        <v>2.714</v>
      </c>
      <c r="GS178" s="0" t="n">
        <v>38</v>
      </c>
      <c r="GT178" s="0" t="n">
        <v>5.985</v>
      </c>
      <c r="GU178" s="0" t="n">
        <v>0.28</v>
      </c>
      <c r="GY178" s="0" t="n">
        <v>4.421</v>
      </c>
      <c r="HC178" s="0" t="n">
        <v>0.026</v>
      </c>
      <c r="HD178" s="0" t="n">
        <v>0.196</v>
      </c>
      <c r="HG178" s="0" t="n">
        <v>195.56</v>
      </c>
      <c r="HH178" s="0" t="n">
        <v>39.11</v>
      </c>
      <c r="HI178" s="0" t="n">
        <v>134</v>
      </c>
      <c r="HJ178" s="0" t="n">
        <v>340</v>
      </c>
      <c r="HK178" s="0" t="s">
        <v>909</v>
      </c>
      <c r="HL178" s="0" t="n">
        <v>0</v>
      </c>
      <c r="HM178" s="0" t="n">
        <v>16</v>
      </c>
      <c r="HN178" s="0" t="n">
        <v>27</v>
      </c>
      <c r="HO178" s="0" t="n">
        <v>0.29</v>
      </c>
      <c r="HP178" s="0" t="n">
        <v>18</v>
      </c>
      <c r="HQ178" s="0" t="n">
        <v>0.202</v>
      </c>
      <c r="HR178" s="0" t="s">
        <v>102</v>
      </c>
    </row>
    <row r="179" customFormat="false" ht="15" hidden="false" customHeight="false" outlineLevel="0" collapsed="false">
      <c r="A179" s="0" t="s">
        <v>896</v>
      </c>
      <c r="B179" s="0" t="s">
        <v>897</v>
      </c>
      <c r="C179" s="0" t="s">
        <v>898</v>
      </c>
      <c r="D179" s="0" t="s">
        <v>498</v>
      </c>
      <c r="E179" s="0" t="n">
        <v>28107</v>
      </c>
      <c r="F179" s="0" t="s">
        <v>104</v>
      </c>
      <c r="G179" s="0" t="n">
        <v>198</v>
      </c>
      <c r="H179" s="0" t="n">
        <v>40.58</v>
      </c>
      <c r="I179" s="0" t="n">
        <v>148</v>
      </c>
      <c r="J179" s="0" t="n">
        <v>322</v>
      </c>
      <c r="L179" s="0" t="s">
        <v>1919</v>
      </c>
      <c r="O179" s="0" t="n">
        <v>18.5</v>
      </c>
      <c r="U179" s="0" t="n">
        <v>5</v>
      </c>
      <c r="V179" s="0" t="s">
        <v>498</v>
      </c>
      <c r="W179" s="0" t="s">
        <v>901</v>
      </c>
      <c r="X179" s="0" t="s">
        <v>1034</v>
      </c>
      <c r="Y179" s="0" t="s">
        <v>1920</v>
      </c>
      <c r="Z179" s="0" t="n">
        <v>28107</v>
      </c>
      <c r="AA179" s="0" t="s">
        <v>1921</v>
      </c>
      <c r="AB179" s="0" t="s">
        <v>904</v>
      </c>
      <c r="AC179" s="0" t="s">
        <v>164</v>
      </c>
      <c r="AD179" s="0" t="s">
        <v>164</v>
      </c>
      <c r="AE179" s="0" t="s">
        <v>164</v>
      </c>
      <c r="AF179" s="0" t="s">
        <v>164</v>
      </c>
      <c r="AG179" s="0" t="s">
        <v>164</v>
      </c>
      <c r="AH179" s="0" t="s">
        <v>905</v>
      </c>
      <c r="AI179" s="0" t="n">
        <v>3</v>
      </c>
      <c r="AJ179" s="0" t="s">
        <v>104</v>
      </c>
      <c r="AK179" s="0" t="n">
        <v>178</v>
      </c>
      <c r="AL179" s="0" t="n">
        <v>59</v>
      </c>
      <c r="AM179" s="0" t="s">
        <v>499</v>
      </c>
      <c r="EC179" s="0" t="s">
        <v>1922</v>
      </c>
      <c r="EG179" s="0" t="n">
        <v>2026</v>
      </c>
      <c r="EH179" s="0" t="n">
        <v>2026</v>
      </c>
      <c r="EI179" s="0" t="n">
        <v>0</v>
      </c>
      <c r="EJ179" s="0" t="n">
        <v>70</v>
      </c>
      <c r="EK179" s="0" t="n">
        <v>202</v>
      </c>
      <c r="EL179" s="0" t="s">
        <v>1923</v>
      </c>
      <c r="EM179" s="0" t="n">
        <v>22.9</v>
      </c>
      <c r="EN179" s="15" t="b">
        <f aca="false">TRUE()</f>
        <v>1</v>
      </c>
      <c r="EO179" s="0" t="n">
        <v>336</v>
      </c>
      <c r="EP179" s="0" t="n">
        <v>3.01964285714286</v>
      </c>
      <c r="EQ179" s="0" t="n">
        <v>0.133928571428571</v>
      </c>
      <c r="ER179" s="0" t="n">
        <v>0.958333333333333</v>
      </c>
      <c r="ES179" s="0" t="n">
        <v>0.196428571428571</v>
      </c>
      <c r="ET179" s="0" t="n">
        <v>48</v>
      </c>
      <c r="EU179" s="0" t="n">
        <v>39</v>
      </c>
      <c r="EV179" s="0" t="n">
        <v>3.71130952380952</v>
      </c>
      <c r="EW179" s="0" t="n">
        <v>0.8125</v>
      </c>
      <c r="EX179" s="0" t="n">
        <v>2.90619800347793</v>
      </c>
      <c r="EY179" s="0" t="n">
        <v>3.062</v>
      </c>
      <c r="EZ179" s="0" t="n">
        <v>0.1258</v>
      </c>
      <c r="FA179" s="0" t="n">
        <v>2.623</v>
      </c>
      <c r="FB179" s="0" t="n">
        <v>1.591</v>
      </c>
      <c r="FC179" s="0" t="n">
        <v>14</v>
      </c>
      <c r="FD179" s="0" t="n">
        <v>686</v>
      </c>
      <c r="FE179" s="0" t="n">
        <v>0.0685131195335277</v>
      </c>
      <c r="FF179" s="0" t="n">
        <v>0.0659</v>
      </c>
      <c r="FG179" s="0" t="n">
        <v>0.2877</v>
      </c>
      <c r="FH179" s="0" t="n">
        <v>2.212</v>
      </c>
      <c r="FI179" s="0" t="n">
        <v>1048</v>
      </c>
      <c r="FJ179" s="0" t="n">
        <v>0.602099236641221</v>
      </c>
      <c r="FK179" s="0" t="n">
        <v>17</v>
      </c>
      <c r="FL179" s="0" t="n">
        <v>61.65</v>
      </c>
      <c r="FM179" s="0" t="n">
        <v>0.5721</v>
      </c>
      <c r="FN179" s="0" t="n">
        <v>0.4279</v>
      </c>
      <c r="FO179" s="0" t="n">
        <v>0.0395</v>
      </c>
      <c r="FP179" s="0" t="n">
        <v>0.0273</v>
      </c>
      <c r="FQ179" s="0" t="n">
        <v>0.0399</v>
      </c>
      <c r="FR179" s="0" t="n">
        <v>38</v>
      </c>
      <c r="FS179" s="0" t="n">
        <v>63</v>
      </c>
      <c r="FT179" s="0" t="n">
        <v>3.71</v>
      </c>
      <c r="FU179" s="0" t="n">
        <v>21.3</v>
      </c>
      <c r="FV179" s="0" t="n">
        <v>5605</v>
      </c>
      <c r="FW179" s="0" t="n">
        <v>4845</v>
      </c>
      <c r="FX179" s="0" t="n">
        <v>0.864</v>
      </c>
      <c r="FY179" s="0" t="n">
        <v>5</v>
      </c>
      <c r="FZ179" s="0" t="n">
        <v>5</v>
      </c>
      <c r="GA179" s="0" t="n">
        <v>0.894249870072499</v>
      </c>
      <c r="GB179" s="0" t="n">
        <v>66.2</v>
      </c>
      <c r="GC179" s="0" t="n">
        <v>34</v>
      </c>
      <c r="GD179" s="0" t="n">
        <v>50.1</v>
      </c>
      <c r="GE179" s="0" t="n">
        <v>549</v>
      </c>
      <c r="GF179" s="0" t="n">
        <v>430</v>
      </c>
      <c r="GG179" s="0" t="n">
        <v>147</v>
      </c>
      <c r="GH179" s="0" t="n">
        <v>129</v>
      </c>
      <c r="GI179" s="0" t="n">
        <v>166</v>
      </c>
      <c r="GJ179" s="0" t="n">
        <v>43</v>
      </c>
      <c r="GK179" s="0" t="n">
        <v>0.268</v>
      </c>
      <c r="GL179" s="0" t="n">
        <v>0.3</v>
      </c>
      <c r="GM179" s="0" t="n">
        <v>0.259</v>
      </c>
      <c r="HF179" s="0" t="s">
        <v>206</v>
      </c>
      <c r="HG179" s="0" t="n">
        <v>198</v>
      </c>
      <c r="HH179" s="0" t="n">
        <v>40.58</v>
      </c>
      <c r="HI179" s="0" t="n">
        <v>148</v>
      </c>
      <c r="HJ179" s="0" t="n">
        <v>322</v>
      </c>
      <c r="HK179" s="0" t="s">
        <v>909</v>
      </c>
      <c r="HL179" s="0" t="n">
        <v>0</v>
      </c>
      <c r="HN179" s="0" t="n">
        <v>59</v>
      </c>
    </row>
    <row r="180" customFormat="false" ht="15" hidden="false" customHeight="false" outlineLevel="0" collapsed="false">
      <c r="A180" s="0" t="s">
        <v>896</v>
      </c>
      <c r="B180" s="0" t="s">
        <v>897</v>
      </c>
      <c r="C180" s="0" t="s">
        <v>898</v>
      </c>
      <c r="D180" s="0" t="s">
        <v>500</v>
      </c>
      <c r="E180" s="0" t="n">
        <v>26314</v>
      </c>
      <c r="F180" s="0" t="s">
        <v>99</v>
      </c>
      <c r="G180" s="0" t="n">
        <v>199.43</v>
      </c>
      <c r="H180" s="0" t="n">
        <v>36.47</v>
      </c>
      <c r="I180" s="0" t="n">
        <v>126</v>
      </c>
      <c r="J180" s="0" t="n">
        <v>291</v>
      </c>
      <c r="L180" s="0" t="s">
        <v>1924</v>
      </c>
      <c r="O180" s="0" t="n">
        <v>14.7</v>
      </c>
      <c r="U180" s="0" t="n">
        <v>6</v>
      </c>
      <c r="V180" s="0" t="s">
        <v>500</v>
      </c>
      <c r="W180" s="0" t="s">
        <v>901</v>
      </c>
      <c r="X180" s="0" t="s">
        <v>161</v>
      </c>
      <c r="Y180" s="0" t="s">
        <v>1925</v>
      </c>
      <c r="Z180" s="0" t="n">
        <v>26314</v>
      </c>
      <c r="AA180" s="0" t="s">
        <v>1926</v>
      </c>
      <c r="AB180" s="0" t="s">
        <v>904</v>
      </c>
      <c r="AC180" s="0" t="s">
        <v>161</v>
      </c>
      <c r="AD180" s="0" t="s">
        <v>161</v>
      </c>
      <c r="AE180" s="0" t="s">
        <v>161</v>
      </c>
      <c r="AF180" s="0" t="s">
        <v>161</v>
      </c>
      <c r="AG180" s="0" t="s">
        <v>161</v>
      </c>
      <c r="AH180" s="0" t="s">
        <v>905</v>
      </c>
      <c r="AI180" s="0" t="n">
        <v>1</v>
      </c>
      <c r="AJ180" s="0" t="s">
        <v>99</v>
      </c>
      <c r="AK180" s="0" t="n">
        <v>179</v>
      </c>
      <c r="AL180" s="0" t="n">
        <v>71</v>
      </c>
      <c r="AM180" s="0" t="s">
        <v>501</v>
      </c>
      <c r="AN180" s="0" t="n">
        <v>0</v>
      </c>
      <c r="AO180" s="0" t="n">
        <v>0</v>
      </c>
      <c r="AP180" s="0" t="n">
        <v>0</v>
      </c>
      <c r="AQ180" s="0" t="n">
        <v>0</v>
      </c>
      <c r="AR180" s="0" t="n">
        <v>0</v>
      </c>
      <c r="AS180" s="0" t="n">
        <v>0</v>
      </c>
      <c r="AT180" s="0" t="n">
        <v>0</v>
      </c>
      <c r="AU180" s="0" t="n">
        <v>0</v>
      </c>
      <c r="AV180" s="0" t="n">
        <v>0</v>
      </c>
      <c r="AW180" s="0" t="n">
        <v>17</v>
      </c>
      <c r="AX180" s="0" t="n">
        <v>110</v>
      </c>
      <c r="AY180" s="0" t="n">
        <v>1</v>
      </c>
      <c r="AZ180" s="0" t="n">
        <v>5</v>
      </c>
      <c r="BA180" s="0" t="n">
        <v>0.11699448490981</v>
      </c>
      <c r="BB180" s="0" t="n">
        <v>1</v>
      </c>
      <c r="BC180" s="0" t="n">
        <v>46</v>
      </c>
      <c r="BD180" s="0" t="n">
        <v>65</v>
      </c>
      <c r="BE180" s="0" t="n">
        <v>317</v>
      </c>
      <c r="BF180" s="0" t="n">
        <v>3</v>
      </c>
      <c r="BG180" s="0" t="n">
        <v>337</v>
      </c>
      <c r="BH180" s="0" t="n">
        <v>253</v>
      </c>
      <c r="BI180" s="0" t="n">
        <v>16</v>
      </c>
      <c r="BJ180" s="0" t="n">
        <v>-9.82585728331067</v>
      </c>
      <c r="BK180" s="0" t="n">
        <v>0</v>
      </c>
      <c r="BL180" s="0" t="n">
        <v>1</v>
      </c>
      <c r="BM180" s="0" t="n">
        <v>70.7</v>
      </c>
      <c r="BN180" s="0" t="n">
        <v>116.7</v>
      </c>
      <c r="BO180" s="0" t="n">
        <v>17</v>
      </c>
      <c r="BP180" s="0" t="s">
        <v>161</v>
      </c>
      <c r="BQ180" s="0" t="n">
        <v>1</v>
      </c>
      <c r="BR180" s="0" t="n">
        <v>93.7</v>
      </c>
      <c r="BS180" s="0" t="n">
        <v>0.1407</v>
      </c>
      <c r="BT180" s="0" t="n">
        <v>0.0394</v>
      </c>
      <c r="BU180" s="0" t="n">
        <v>0.1021</v>
      </c>
      <c r="BV180" s="0" t="n">
        <v>0.1407</v>
      </c>
      <c r="BW180" s="0" t="n">
        <v>0.0394</v>
      </c>
      <c r="BX180" s="0" t="n">
        <v>0.1021</v>
      </c>
      <c r="BY180" s="0" t="n">
        <v>0.2825</v>
      </c>
      <c r="BZ180" s="0" t="n">
        <v>17</v>
      </c>
      <c r="CA180" s="0" t="n">
        <v>4.1</v>
      </c>
      <c r="CB180" s="0" t="n">
        <v>9.92</v>
      </c>
      <c r="CC180" s="0" t="n">
        <v>7</v>
      </c>
      <c r="CD180" s="0" t="n">
        <v>3.32</v>
      </c>
      <c r="CE180" s="0" t="n">
        <v>0</v>
      </c>
      <c r="CF180" s="0" t="n">
        <v>2</v>
      </c>
      <c r="CG180" s="0" t="n">
        <v>17</v>
      </c>
      <c r="CH180" s="0" t="n">
        <v>0</v>
      </c>
      <c r="CI180" s="0" t="n">
        <v>0.118</v>
      </c>
      <c r="CJ180" s="0" t="n">
        <v>0.474</v>
      </c>
      <c r="CK180" s="0" t="n">
        <v>11</v>
      </c>
      <c r="CL180" s="0" t="n">
        <v>7</v>
      </c>
      <c r="CM180" s="0" t="n">
        <v>3</v>
      </c>
      <c r="CN180" s="0" t="n">
        <v>3</v>
      </c>
      <c r="CO180" s="0" t="n">
        <v>4.07633900932263</v>
      </c>
      <c r="CP180" s="0" t="n">
        <v>3</v>
      </c>
      <c r="CQ180" s="0" t="n">
        <v>1</v>
      </c>
      <c r="CR180" s="0" t="n">
        <v>0</v>
      </c>
      <c r="CS180" s="0" t="n">
        <v>1</v>
      </c>
      <c r="CT180" s="0" t="n">
        <v>0.355335671596991</v>
      </c>
      <c r="CU180" s="0" t="n">
        <v>14</v>
      </c>
      <c r="CV180" s="0" t="n">
        <v>8</v>
      </c>
      <c r="CW180" s="0" t="n">
        <v>3</v>
      </c>
      <c r="CX180" s="0" t="n">
        <v>4</v>
      </c>
      <c r="CY180" s="0" t="n">
        <v>4.43</v>
      </c>
      <c r="CZ180" s="0" t="n">
        <v>-0.43</v>
      </c>
      <c r="DA180" s="0" t="n">
        <v>3.65089827886456</v>
      </c>
      <c r="DB180" s="0" t="n">
        <v>6.42527272727273</v>
      </c>
      <c r="DC180" s="0" t="n">
        <v>5.19107692307692</v>
      </c>
      <c r="DD180" s="0" t="n">
        <v>10.6374191758538</v>
      </c>
      <c r="DE180" s="0" t="n">
        <v>0.896019148723208</v>
      </c>
      <c r="DF180" s="0" t="n">
        <v>70.7692307692308</v>
      </c>
      <c r="DM180" s="0" t="s">
        <v>1927</v>
      </c>
      <c r="DN180" s="0" t="n">
        <v>17</v>
      </c>
      <c r="DO180" s="0" t="n">
        <v>3</v>
      </c>
      <c r="DS180" s="0" t="n">
        <v>65</v>
      </c>
      <c r="DT180" s="0" t="n">
        <v>5</v>
      </c>
      <c r="DU180" s="0" t="n">
        <v>1</v>
      </c>
      <c r="DV180" s="0" t="n">
        <v>1.391</v>
      </c>
      <c r="DW180" s="0" t="n">
        <v>5.5</v>
      </c>
      <c r="DX180" s="0" t="n">
        <v>4.9</v>
      </c>
      <c r="DY180" s="0" t="n">
        <v>0.0154</v>
      </c>
      <c r="DZ180" s="0" t="n">
        <v>562</v>
      </c>
      <c r="EA180" s="0" t="n">
        <v>0.57</v>
      </c>
      <c r="EB180" s="0" t="n">
        <v>17</v>
      </c>
      <c r="EC180" s="0" t="s">
        <v>1074</v>
      </c>
      <c r="ED180" s="0" t="n">
        <v>2024</v>
      </c>
      <c r="EE180" s="0" t="n">
        <v>6</v>
      </c>
      <c r="EF180" s="0" t="n">
        <v>184</v>
      </c>
      <c r="EG180" s="0" t="n">
        <v>2024</v>
      </c>
      <c r="EH180" s="0" t="n">
        <v>2026</v>
      </c>
      <c r="EI180" s="0" t="n">
        <v>3</v>
      </c>
      <c r="EJ180" s="0" t="n">
        <v>68</v>
      </c>
      <c r="EK180" s="0" t="n">
        <v>195</v>
      </c>
      <c r="EL180" s="0" t="s">
        <v>1928</v>
      </c>
      <c r="EM180" s="0" t="n">
        <v>25.8</v>
      </c>
      <c r="EN180" s="15" t="b">
        <f aca="false">FALSE()</f>
        <v>0</v>
      </c>
      <c r="EO180" s="0" t="n">
        <v>380</v>
      </c>
      <c r="EP180" s="0" t="n">
        <v>2.83552631578947</v>
      </c>
      <c r="EQ180" s="0" t="n">
        <v>0.213157894736842</v>
      </c>
      <c r="ER180" s="0" t="n">
        <v>1.46578947368421</v>
      </c>
      <c r="ES180" s="0" t="n">
        <v>1.22631578947368</v>
      </c>
      <c r="ET180" s="0" t="n">
        <v>29</v>
      </c>
      <c r="EU180" s="0" t="n">
        <v>17</v>
      </c>
      <c r="EV180" s="0" t="n">
        <v>4.85789473684211</v>
      </c>
      <c r="EW180" s="0" t="n">
        <v>0.586206896551724</v>
      </c>
      <c r="EX180" s="0" t="n">
        <v>2.94501561107985</v>
      </c>
      <c r="EY180" s="0" t="n">
        <v>2.839</v>
      </c>
      <c r="EZ180" s="0" t="n">
        <v>0.2101</v>
      </c>
      <c r="FA180" s="0" t="n">
        <v>2.199</v>
      </c>
      <c r="FB180" s="0" t="n">
        <v>2.532</v>
      </c>
      <c r="FC180" s="0" t="n">
        <v>38</v>
      </c>
      <c r="FD180" s="0" t="n">
        <v>530</v>
      </c>
      <c r="FE180" s="0" t="n">
        <v>0.0716981132075472</v>
      </c>
      <c r="FF180" s="0" t="n">
        <v>0.0727</v>
      </c>
      <c r="FG180" s="0" t="n">
        <v>0.2422</v>
      </c>
      <c r="FH180" s="0" t="n">
        <v>2.29</v>
      </c>
      <c r="FI180" s="0" t="n">
        <v>942</v>
      </c>
      <c r="FJ180" s="0" t="n">
        <v>0.549893842887473</v>
      </c>
      <c r="FK180" s="0" t="n">
        <v>17</v>
      </c>
      <c r="FL180" s="0" t="n">
        <v>55.41</v>
      </c>
      <c r="FM180" s="0" t="n">
        <v>0.5279</v>
      </c>
      <c r="FN180" s="0" t="n">
        <v>0.4721</v>
      </c>
      <c r="FO180" s="0" t="n">
        <v>-0.0584</v>
      </c>
      <c r="FP180" s="0" t="n">
        <v>-0.026</v>
      </c>
      <c r="FQ180" s="0" t="n">
        <v>-0.0093</v>
      </c>
      <c r="FR180" s="0" t="n">
        <v>41</v>
      </c>
      <c r="FS180" s="0" t="n">
        <v>48</v>
      </c>
      <c r="FT180" s="0" t="n">
        <v>2.82</v>
      </c>
      <c r="FU180" s="0" t="n">
        <v>20.4</v>
      </c>
      <c r="FV180" s="0" t="n">
        <v>5041</v>
      </c>
      <c r="FW180" s="0" t="n">
        <v>3387</v>
      </c>
      <c r="FX180" s="0" t="n">
        <v>0.672</v>
      </c>
      <c r="FY180" s="0" t="n">
        <v>5</v>
      </c>
      <c r="FZ180" s="0" t="n">
        <v>4</v>
      </c>
      <c r="GA180" s="0" t="n">
        <v>-0.692098435941776</v>
      </c>
      <c r="GB180" s="0" t="n">
        <v>37.5</v>
      </c>
      <c r="GC180" s="0" t="n">
        <v>44.5</v>
      </c>
      <c r="GD180" s="0" t="n">
        <v>38.6</v>
      </c>
      <c r="GE180" s="0" t="n">
        <v>462</v>
      </c>
      <c r="GF180" s="0" t="n">
        <v>432</v>
      </c>
      <c r="GG180" s="0" t="n">
        <v>209</v>
      </c>
      <c r="GH180" s="0" t="n">
        <v>28</v>
      </c>
      <c r="GI180" s="0" t="n">
        <v>134</v>
      </c>
      <c r="GJ180" s="0" t="n">
        <v>32</v>
      </c>
      <c r="GK180" s="0" t="n">
        <v>0.452</v>
      </c>
      <c r="GL180" s="0" t="n">
        <v>0.065</v>
      </c>
      <c r="GM180" s="0" t="n">
        <v>0.239</v>
      </c>
      <c r="GN180" s="0" t="n">
        <v>6.865</v>
      </c>
      <c r="GO180" s="0" t="n">
        <v>5.512</v>
      </c>
      <c r="GP180" s="0" t="n">
        <v>4.159</v>
      </c>
      <c r="GQ180" s="0" t="n">
        <v>3.824</v>
      </c>
      <c r="GR180" s="0" t="n">
        <v>1</v>
      </c>
      <c r="GS180" s="0" t="n">
        <v>82</v>
      </c>
      <c r="GT180" s="0" t="n">
        <v>1.423</v>
      </c>
      <c r="GU180" s="0" t="n">
        <v>0.208</v>
      </c>
      <c r="GV180" s="0" t="n">
        <v>4.877</v>
      </c>
      <c r="GW180" s="0" t="n">
        <v>6.891</v>
      </c>
      <c r="GX180" s="0" t="n">
        <v>0.708</v>
      </c>
      <c r="GZ180" s="0" t="n">
        <v>5.185</v>
      </c>
      <c r="HA180" s="0" t="n">
        <v>5.5</v>
      </c>
      <c r="HB180" s="0" t="n">
        <v>0.941</v>
      </c>
      <c r="HC180" s="0" t="n">
        <v>0.049</v>
      </c>
      <c r="HE180" s="0" t="n">
        <v>-0.151</v>
      </c>
      <c r="HG180" s="0" t="n">
        <v>199.43</v>
      </c>
      <c r="HH180" s="0" t="n">
        <v>36.47</v>
      </c>
      <c r="HI180" s="0" t="n">
        <v>126</v>
      </c>
      <c r="HJ180" s="0" t="n">
        <v>291</v>
      </c>
      <c r="HK180" s="0" t="s">
        <v>909</v>
      </c>
      <c r="HL180" s="0" t="n">
        <v>0</v>
      </c>
      <c r="HM180" s="0" t="n">
        <v>52</v>
      </c>
      <c r="HN180" s="0" t="n">
        <v>71</v>
      </c>
      <c r="HO180" s="0" t="n">
        <v>0.271</v>
      </c>
      <c r="HP180" s="0" t="n">
        <v>69</v>
      </c>
      <c r="HQ180" s="0" t="n">
        <v>-0.474</v>
      </c>
      <c r="HR180" s="0" t="s">
        <v>102</v>
      </c>
    </row>
    <row r="181" customFormat="false" ht="15" hidden="false" customHeight="false" outlineLevel="0" collapsed="false">
      <c r="A181" s="0" t="s">
        <v>896</v>
      </c>
      <c r="B181" s="0" t="s">
        <v>897</v>
      </c>
      <c r="C181" s="0" t="s">
        <v>898</v>
      </c>
      <c r="D181" s="0" t="s">
        <v>502</v>
      </c>
      <c r="E181" s="0" t="n">
        <v>24354</v>
      </c>
      <c r="F181" s="0" t="s">
        <v>99</v>
      </c>
      <c r="G181" s="0" t="n">
        <v>199.45</v>
      </c>
      <c r="H181" s="0" t="n">
        <v>29.58</v>
      </c>
      <c r="I181" s="0" t="n">
        <v>133</v>
      </c>
      <c r="J181" s="0" t="n">
        <v>268</v>
      </c>
      <c r="L181" s="0" t="s">
        <v>1929</v>
      </c>
      <c r="O181" s="0" t="n">
        <v>8.8</v>
      </c>
      <c r="U181" s="0" t="n">
        <v>10</v>
      </c>
      <c r="V181" s="0" t="s">
        <v>502</v>
      </c>
      <c r="W181" s="0" t="s">
        <v>901</v>
      </c>
      <c r="X181" s="0" t="s">
        <v>136</v>
      </c>
      <c r="Y181" s="0" t="s">
        <v>1930</v>
      </c>
      <c r="Z181" s="0" t="n">
        <v>24354</v>
      </c>
      <c r="AA181" s="0" t="s">
        <v>1931</v>
      </c>
      <c r="AB181" s="0" t="s">
        <v>904</v>
      </c>
      <c r="AC181" s="0" t="s">
        <v>136</v>
      </c>
      <c r="AD181" s="0" t="s">
        <v>136</v>
      </c>
      <c r="AE181" s="0" t="s">
        <v>136</v>
      </c>
      <c r="AF181" s="0" t="s">
        <v>136</v>
      </c>
      <c r="AG181" s="0" t="s">
        <v>136</v>
      </c>
      <c r="AH181" s="0" t="s">
        <v>905</v>
      </c>
      <c r="AI181" s="0" t="n">
        <v>2</v>
      </c>
      <c r="AJ181" s="0" t="s">
        <v>99</v>
      </c>
      <c r="AK181" s="0" t="n">
        <v>180</v>
      </c>
      <c r="AL181" s="0" t="n">
        <v>72</v>
      </c>
      <c r="AM181" s="0" t="s">
        <v>503</v>
      </c>
      <c r="AN181" s="0" t="n">
        <v>0</v>
      </c>
      <c r="AO181" s="0" t="n">
        <v>0</v>
      </c>
      <c r="AP181" s="0" t="n">
        <v>0</v>
      </c>
      <c r="AQ181" s="0" t="n">
        <v>0</v>
      </c>
      <c r="AR181" s="0" t="n">
        <v>0</v>
      </c>
      <c r="AS181" s="0" t="n">
        <v>0</v>
      </c>
      <c r="AT181" s="0" t="n">
        <v>0</v>
      </c>
      <c r="AU181" s="0" t="n">
        <v>0</v>
      </c>
      <c r="AV181" s="0" t="n">
        <v>0</v>
      </c>
      <c r="AW181" s="0" t="n">
        <v>1</v>
      </c>
      <c r="AX181" s="0" t="n">
        <v>6</v>
      </c>
      <c r="AY181" s="0" t="n">
        <v>0</v>
      </c>
      <c r="AZ181" s="0" t="n">
        <v>0</v>
      </c>
      <c r="BA181" s="0" t="n">
        <v>0.494140584021807</v>
      </c>
      <c r="BB181" s="0" t="n">
        <v>0</v>
      </c>
      <c r="BC181" s="0" t="n">
        <v>30</v>
      </c>
      <c r="BD181" s="0" t="n">
        <v>46</v>
      </c>
      <c r="BE181" s="0" t="n">
        <v>332</v>
      </c>
      <c r="BF181" s="0" t="n">
        <v>2</v>
      </c>
      <c r="BG181" s="0" t="n">
        <v>517</v>
      </c>
      <c r="BH181" s="0" t="n">
        <v>67</v>
      </c>
      <c r="BI181" s="0" t="n">
        <v>21</v>
      </c>
      <c r="BJ181" s="0" t="n">
        <v>14.1579833371288</v>
      </c>
      <c r="BK181" s="0" t="n">
        <v>0</v>
      </c>
      <c r="BL181" s="0" t="n">
        <v>0</v>
      </c>
      <c r="BM181" s="0" t="n">
        <v>45.8</v>
      </c>
      <c r="BN181" s="0" t="n">
        <v>75.8</v>
      </c>
      <c r="BO181" s="0" t="n">
        <v>13</v>
      </c>
      <c r="BP181" s="0" t="s">
        <v>218</v>
      </c>
      <c r="BQ181" s="0" t="n">
        <v>1</v>
      </c>
      <c r="BR181" s="0" t="n">
        <v>60.8</v>
      </c>
      <c r="BS181" s="0" t="n">
        <v>0.1</v>
      </c>
      <c r="BT181" s="0" t="n">
        <v>0.002</v>
      </c>
      <c r="BU181" s="0" t="n">
        <v>0.1265</v>
      </c>
      <c r="BV181" s="0" t="n">
        <v>0.1289</v>
      </c>
      <c r="BW181" s="0" t="n">
        <v>0.0026</v>
      </c>
      <c r="BX181" s="0" t="n">
        <v>0.1583</v>
      </c>
      <c r="BY181" s="0" t="n">
        <v>0.3042</v>
      </c>
      <c r="BZ181" s="0" t="n">
        <v>13</v>
      </c>
      <c r="CA181" s="0" t="n">
        <v>1.9</v>
      </c>
      <c r="CB181" s="0" t="n">
        <v>7.92</v>
      </c>
      <c r="CC181" s="0" t="n">
        <v>3.9</v>
      </c>
      <c r="CD181" s="0" t="n">
        <v>7.02</v>
      </c>
      <c r="CE181" s="0" t="n">
        <v>1</v>
      </c>
      <c r="CF181" s="0" t="n">
        <v>3</v>
      </c>
      <c r="CG181" s="0" t="n">
        <v>13</v>
      </c>
      <c r="CH181" s="0" t="n">
        <v>0.077</v>
      </c>
      <c r="CI181" s="0" t="n">
        <v>0.231</v>
      </c>
      <c r="CJ181" s="0" t="n">
        <v>1.8</v>
      </c>
      <c r="CK181" s="0" t="n">
        <v>4</v>
      </c>
      <c r="CL181" s="0" t="n">
        <v>1</v>
      </c>
      <c r="CM181" s="0" t="n">
        <v>1</v>
      </c>
      <c r="CN181" s="0" t="n">
        <v>2</v>
      </c>
      <c r="CO181" s="0" t="n">
        <v>1.54763629397303</v>
      </c>
      <c r="CP181" s="0" t="n">
        <v>0</v>
      </c>
      <c r="CQ181" s="0" t="n">
        <v>0</v>
      </c>
      <c r="CR181" s="0" t="n">
        <v>0</v>
      </c>
      <c r="CS181" s="0" t="n">
        <v>0</v>
      </c>
      <c r="CT181" s="0" t="n">
        <v>0.00357091844022283</v>
      </c>
      <c r="CU181" s="0" t="n">
        <v>4</v>
      </c>
      <c r="CV181" s="0" t="n">
        <v>1</v>
      </c>
      <c r="CW181" s="0" t="n">
        <v>1</v>
      </c>
      <c r="CX181" s="0" t="n">
        <v>2</v>
      </c>
      <c r="CY181" s="0" t="n">
        <v>1.55</v>
      </c>
      <c r="CZ181" s="0" t="n">
        <v>0.45</v>
      </c>
      <c r="DA181" s="0" t="n">
        <v>2.1693210690096</v>
      </c>
      <c r="DB181" s="0" t="n">
        <v>5.91116279069767</v>
      </c>
      <c r="DC181" s="0" t="n">
        <v>11.3110869565217</v>
      </c>
      <c r="DD181" s="0" t="n">
        <v>12.9413608189985</v>
      </c>
      <c r="DE181" s="0" t="n">
        <v>0.408917318333248</v>
      </c>
      <c r="DF181" s="0" t="n">
        <v>65.2173913043478</v>
      </c>
      <c r="DM181" s="0" t="s">
        <v>1932</v>
      </c>
      <c r="DN181" s="0" t="n">
        <v>1</v>
      </c>
      <c r="DO181" s="0" t="n">
        <v>0</v>
      </c>
      <c r="DS181" s="0" t="n">
        <v>46</v>
      </c>
      <c r="DT181" s="0" t="n">
        <v>2</v>
      </c>
      <c r="DU181" s="0" t="n">
        <v>2</v>
      </c>
      <c r="DV181" s="0" t="n">
        <v>8.833</v>
      </c>
      <c r="DW181" s="0" t="n">
        <v>2.233</v>
      </c>
      <c r="DX181" s="0" t="n">
        <v>11.2</v>
      </c>
      <c r="DY181" s="0" t="n">
        <v>0.0435</v>
      </c>
      <c r="DZ181" s="0" t="n">
        <v>408</v>
      </c>
      <c r="EA181" s="0" t="n">
        <v>0.446</v>
      </c>
      <c r="EB181" s="0" t="n">
        <v>14</v>
      </c>
      <c r="EC181" s="0" t="s">
        <v>1933</v>
      </c>
      <c r="ED181" s="0" t="n">
        <v>2023</v>
      </c>
      <c r="EE181" s="0" t="n">
        <v>5</v>
      </c>
      <c r="EF181" s="0" t="n">
        <v>159</v>
      </c>
      <c r="EG181" s="0" t="n">
        <v>2023</v>
      </c>
      <c r="EH181" s="0" t="n">
        <v>2026</v>
      </c>
      <c r="EI181" s="0" t="n">
        <v>4</v>
      </c>
      <c r="EJ181" s="0" t="n">
        <v>73</v>
      </c>
      <c r="EK181" s="0" t="n">
        <v>206</v>
      </c>
      <c r="EL181" s="0" t="s">
        <v>1934</v>
      </c>
      <c r="EM181" s="0" t="n">
        <v>25.2</v>
      </c>
      <c r="EN181" s="15" t="b">
        <f aca="false">FALSE()</f>
        <v>0</v>
      </c>
      <c r="EO181" s="0" t="n">
        <v>364</v>
      </c>
      <c r="EP181" s="0" t="n">
        <v>2.7760989010989</v>
      </c>
      <c r="EQ181" s="0" t="n">
        <v>0.222527472527473</v>
      </c>
      <c r="ER181" s="0" t="n">
        <v>1.3489010989011</v>
      </c>
      <c r="ES181" s="0" t="n">
        <v>0.862637362637363</v>
      </c>
      <c r="ET181" s="0" t="n">
        <v>15</v>
      </c>
      <c r="EU181" s="0" t="n">
        <v>7</v>
      </c>
      <c r="EV181" s="0" t="n">
        <v>4.37637362637363</v>
      </c>
      <c r="EW181" s="0" t="n">
        <v>0.466666666666667</v>
      </c>
      <c r="EX181" s="0" t="n">
        <v>2.97533830221885</v>
      </c>
      <c r="EY181" s="0" t="n">
        <v>2.749</v>
      </c>
      <c r="EZ181" s="0" t="n">
        <v>0.2192</v>
      </c>
      <c r="FA181" s="0" t="n">
        <v>2.6</v>
      </c>
      <c r="FB181" s="0" t="n">
        <v>1.559</v>
      </c>
      <c r="FC181" s="0" t="n">
        <v>33</v>
      </c>
      <c r="FD181" s="0" t="n">
        <v>573</v>
      </c>
      <c r="FE181" s="0" t="n">
        <v>0.0610820244328098</v>
      </c>
      <c r="FF181" s="0" t="n">
        <v>0.0577</v>
      </c>
      <c r="FG181" s="0" t="n">
        <v>0.2334</v>
      </c>
      <c r="FH181" s="0" t="n">
        <v>2.491</v>
      </c>
      <c r="FI181" s="0" t="n">
        <v>995</v>
      </c>
      <c r="FJ181" s="0" t="n">
        <v>0.534673366834171</v>
      </c>
      <c r="FK181" s="0" t="n">
        <v>17</v>
      </c>
      <c r="FL181" s="0" t="n">
        <v>58.53</v>
      </c>
      <c r="FM181" s="0" t="n">
        <v>0.5347</v>
      </c>
      <c r="FN181" s="0" t="n">
        <v>0.4653</v>
      </c>
      <c r="FO181" s="0" t="n">
        <v>-0.0248</v>
      </c>
      <c r="FP181" s="0" t="n">
        <v>0.0054</v>
      </c>
      <c r="FQ181" s="0" t="n">
        <v>0.0436</v>
      </c>
      <c r="FR181" s="0" t="n">
        <v>39</v>
      </c>
      <c r="FS181" s="0" t="n">
        <v>47</v>
      </c>
      <c r="FT181" s="0" t="n">
        <v>2.76</v>
      </c>
      <c r="FU181" s="0" t="n">
        <v>22.3</v>
      </c>
      <c r="FV181" s="0" t="n">
        <v>5320</v>
      </c>
      <c r="FW181" s="0" t="n">
        <v>4835</v>
      </c>
      <c r="FX181" s="0" t="n">
        <v>0.909</v>
      </c>
      <c r="FY181" s="0" t="n">
        <v>5</v>
      </c>
      <c r="FZ181" s="0" t="n">
        <v>5</v>
      </c>
      <c r="GA181" s="0" t="n">
        <v>-0.79459899751177</v>
      </c>
      <c r="GB181" s="0" t="n">
        <v>35.6</v>
      </c>
      <c r="GC181" s="0" t="n">
        <v>61.6</v>
      </c>
      <c r="GD181" s="0" t="n">
        <v>48.2</v>
      </c>
      <c r="GE181" s="0" t="n">
        <v>464</v>
      </c>
      <c r="GF181" s="0" t="n">
        <v>478</v>
      </c>
      <c r="GG181" s="0" t="n">
        <v>175</v>
      </c>
      <c r="GH181" s="0" t="n">
        <v>12</v>
      </c>
      <c r="GI181" s="0" t="n">
        <v>148</v>
      </c>
      <c r="GJ181" s="0" t="n">
        <v>23</v>
      </c>
      <c r="GK181" s="0" t="n">
        <v>0.377</v>
      </c>
      <c r="GL181" s="0" t="n">
        <v>0.025</v>
      </c>
      <c r="GM181" s="0" t="n">
        <v>0.155</v>
      </c>
      <c r="GN181" s="0" t="n">
        <v>5.831</v>
      </c>
      <c r="GO181" s="0" t="n">
        <v>4.677</v>
      </c>
      <c r="GP181" s="0" t="n">
        <v>3.523</v>
      </c>
      <c r="GQ181" s="0" t="n">
        <v>3.538</v>
      </c>
      <c r="GR181" s="0" t="n">
        <v>0.077</v>
      </c>
      <c r="GS181" s="0" t="n">
        <v>47</v>
      </c>
      <c r="GT181" s="0" t="n">
        <v>1.613</v>
      </c>
      <c r="GU181" s="0" t="n">
        <v>0.186</v>
      </c>
      <c r="GV181" s="0" t="n">
        <v>7.217</v>
      </c>
      <c r="GW181" s="0" t="n">
        <v>11.067</v>
      </c>
      <c r="GX181" s="0" t="n">
        <v>0.652</v>
      </c>
      <c r="GZ181" s="0" t="n">
        <v>11.239</v>
      </c>
      <c r="HA181" s="0" t="n">
        <v>2.233</v>
      </c>
      <c r="HB181" s="0" t="n">
        <v>0.642</v>
      </c>
      <c r="HC181" s="0" t="n">
        <v>0.043</v>
      </c>
      <c r="HE181" s="0" t="n">
        <v>0.308</v>
      </c>
      <c r="HG181" s="0" t="n">
        <v>199.45</v>
      </c>
      <c r="HH181" s="0" t="n">
        <v>29.58</v>
      </c>
      <c r="HI181" s="0" t="n">
        <v>133</v>
      </c>
      <c r="HJ181" s="0" t="n">
        <v>268</v>
      </c>
      <c r="HK181" s="0" t="s">
        <v>909</v>
      </c>
      <c r="HL181" s="0" t="n">
        <v>0</v>
      </c>
      <c r="HM181" s="0" t="n">
        <v>71</v>
      </c>
      <c r="HN181" s="0" t="n">
        <v>72</v>
      </c>
      <c r="HO181" s="0" t="n">
        <v>-0.526</v>
      </c>
      <c r="HP181" s="0" t="n">
        <v>75</v>
      </c>
      <c r="HQ181" s="0" t="n">
        <v>-0.702</v>
      </c>
      <c r="HR181" s="0" t="s">
        <v>121</v>
      </c>
    </row>
    <row r="182" customFormat="false" ht="15" hidden="false" customHeight="false" outlineLevel="0" collapsed="false">
      <c r="A182" s="0" t="s">
        <v>896</v>
      </c>
      <c r="B182" s="0" t="s">
        <v>897</v>
      </c>
      <c r="C182" s="0" t="s">
        <v>898</v>
      </c>
      <c r="D182" s="0" t="s">
        <v>504</v>
      </c>
      <c r="E182" s="0" t="n">
        <v>23679</v>
      </c>
      <c r="F182" s="0" t="s">
        <v>104</v>
      </c>
      <c r="G182" s="0" t="n">
        <v>200.06</v>
      </c>
      <c r="H182" s="0" t="n">
        <v>34.26</v>
      </c>
      <c r="I182" s="0" t="n">
        <v>141</v>
      </c>
      <c r="J182" s="0" t="n">
        <v>299</v>
      </c>
      <c r="L182" s="0" t="s">
        <v>1935</v>
      </c>
      <c r="O182" s="0" t="n">
        <v>11.1</v>
      </c>
      <c r="U182" s="0" t="n">
        <v>10</v>
      </c>
      <c r="V182" s="0" t="s">
        <v>504</v>
      </c>
      <c r="W182" s="0" t="s">
        <v>901</v>
      </c>
      <c r="X182" s="0" t="s">
        <v>1111</v>
      </c>
      <c r="Y182" s="0" t="s">
        <v>1936</v>
      </c>
      <c r="Z182" s="0" t="n">
        <v>23679</v>
      </c>
      <c r="AA182" s="0" t="s">
        <v>1937</v>
      </c>
      <c r="AB182" s="0" t="s">
        <v>904</v>
      </c>
      <c r="AC182" s="0" t="s">
        <v>198</v>
      </c>
      <c r="AD182" s="0" t="s">
        <v>198</v>
      </c>
      <c r="AE182" s="0" t="s">
        <v>198</v>
      </c>
      <c r="AF182" s="0" t="s">
        <v>198</v>
      </c>
      <c r="AG182" s="0" t="s">
        <v>198</v>
      </c>
      <c r="AH182" s="0" t="s">
        <v>905</v>
      </c>
      <c r="AI182" s="0" t="n">
        <v>3</v>
      </c>
      <c r="AJ182" s="0" t="s">
        <v>281</v>
      </c>
      <c r="AK182" s="0" t="n">
        <v>181</v>
      </c>
      <c r="AL182" s="0" t="n">
        <v>60</v>
      </c>
      <c r="AM182" s="0" t="s">
        <v>505</v>
      </c>
      <c r="AN182" s="0" t="n">
        <v>0</v>
      </c>
      <c r="AO182" s="0" t="n">
        <v>0</v>
      </c>
      <c r="AP182" s="0" t="n">
        <v>0</v>
      </c>
      <c r="AQ182" s="0" t="n">
        <v>0</v>
      </c>
      <c r="AR182" s="0" t="n">
        <v>0</v>
      </c>
      <c r="AS182" s="0" t="n">
        <v>0</v>
      </c>
      <c r="AT182" s="0" t="n">
        <v>0</v>
      </c>
      <c r="AU182" s="0" t="n">
        <v>0</v>
      </c>
      <c r="AV182" s="0" t="n">
        <v>0</v>
      </c>
      <c r="AW182" s="0" t="n">
        <v>86</v>
      </c>
      <c r="AX182" s="0" t="n">
        <v>320</v>
      </c>
      <c r="AY182" s="0" t="n">
        <v>7</v>
      </c>
      <c r="AZ182" s="0" t="n">
        <v>22</v>
      </c>
      <c r="BA182" s="0" t="n">
        <v>-3.65632613620567</v>
      </c>
      <c r="BB182" s="0" t="n">
        <v>0</v>
      </c>
      <c r="BC182" s="0" t="n">
        <v>8</v>
      </c>
      <c r="BD182" s="0" t="n">
        <v>11</v>
      </c>
      <c r="BE182" s="0" t="n">
        <v>34</v>
      </c>
      <c r="BF182" s="0" t="n">
        <v>1</v>
      </c>
      <c r="BG182" s="0" t="n">
        <v>-10</v>
      </c>
      <c r="BH182" s="0" t="n">
        <v>49</v>
      </c>
      <c r="BI182" s="0" t="n">
        <v>1</v>
      </c>
      <c r="BJ182" s="0" t="n">
        <v>-3.16103242756799</v>
      </c>
      <c r="BK182" s="0" t="n">
        <v>0</v>
      </c>
      <c r="BL182" s="0" t="n">
        <v>0</v>
      </c>
      <c r="BM182" s="0" t="n">
        <v>83.4</v>
      </c>
      <c r="BN182" s="0" t="n">
        <v>91.4</v>
      </c>
      <c r="BO182" s="0" t="n">
        <v>17</v>
      </c>
      <c r="BP182" s="0" t="s">
        <v>198</v>
      </c>
      <c r="BQ182" s="0" t="n">
        <v>1</v>
      </c>
      <c r="BR182" s="0" t="n">
        <v>87.4</v>
      </c>
      <c r="BS182" s="0" t="n">
        <v>0.0203</v>
      </c>
      <c r="BT182" s="0" t="n">
        <v>0.1822</v>
      </c>
      <c r="BU182" s="0" t="n">
        <v>-0.0023</v>
      </c>
      <c r="BV182" s="0" t="n">
        <v>0.0233</v>
      </c>
      <c r="BW182" s="0" t="n">
        <v>0.2087</v>
      </c>
      <c r="BX182" s="0" t="n">
        <v>-0.0026</v>
      </c>
      <c r="BY182" s="0" t="n">
        <v>0.0331</v>
      </c>
      <c r="BZ182" s="0" t="n">
        <v>15</v>
      </c>
      <c r="CA182" s="0" t="n">
        <v>0.15</v>
      </c>
      <c r="CB182" s="0" t="n">
        <v>8.8</v>
      </c>
      <c r="CC182" s="0" t="n">
        <v>4.25</v>
      </c>
      <c r="CD182" s="0" t="n">
        <v>8.38</v>
      </c>
      <c r="CE182" s="0" t="n">
        <v>1</v>
      </c>
      <c r="CF182" s="0" t="n">
        <v>7</v>
      </c>
      <c r="CG182" s="0" t="n">
        <v>16</v>
      </c>
      <c r="CH182" s="0" t="n">
        <v>0.062</v>
      </c>
      <c r="CI182" s="0" t="n">
        <v>0.438</v>
      </c>
      <c r="CJ182" s="0" t="n">
        <v>1.973</v>
      </c>
      <c r="CK182" s="0" t="n">
        <v>3</v>
      </c>
      <c r="CL182" s="0" t="n">
        <v>1</v>
      </c>
      <c r="CM182" s="0" t="n">
        <v>1</v>
      </c>
      <c r="CN182" s="0" t="n">
        <v>1</v>
      </c>
      <c r="CO182" s="0" t="n">
        <v>0.920075893378163</v>
      </c>
      <c r="CP182" s="0" t="n">
        <v>21</v>
      </c>
      <c r="CQ182" s="0" t="n">
        <v>14</v>
      </c>
      <c r="CR182" s="0" t="n">
        <v>11</v>
      </c>
      <c r="CS182" s="0" t="n">
        <v>7</v>
      </c>
      <c r="CT182" s="0" t="n">
        <v>5.77805372522191</v>
      </c>
      <c r="CU182" s="0" t="n">
        <v>24</v>
      </c>
      <c r="CV182" s="0" t="n">
        <v>15</v>
      </c>
      <c r="CW182" s="0" t="n">
        <v>12</v>
      </c>
      <c r="CX182" s="0" t="n">
        <v>8</v>
      </c>
      <c r="CY182" s="0" t="n">
        <v>6.7</v>
      </c>
      <c r="CZ182" s="0" t="n">
        <v>1.3</v>
      </c>
      <c r="DM182" s="0" t="s">
        <v>1938</v>
      </c>
      <c r="DN182" s="0" t="n">
        <v>86</v>
      </c>
      <c r="DO182" s="0" t="n">
        <v>5</v>
      </c>
      <c r="DP182" s="0" t="n">
        <v>2.756</v>
      </c>
      <c r="DQ182" s="0" t="n">
        <v>0.965</v>
      </c>
      <c r="DR182" s="0" t="n">
        <v>17.2</v>
      </c>
      <c r="DS182" s="0" t="n">
        <v>11</v>
      </c>
      <c r="DT182" s="0" t="n">
        <v>1</v>
      </c>
      <c r="DU182" s="0" t="n">
        <v>1</v>
      </c>
      <c r="DV182" s="0" t="n">
        <v>-1.875</v>
      </c>
      <c r="DW182" s="0" t="n">
        <v>6.125</v>
      </c>
      <c r="DX182" s="0" t="n">
        <v>-0.9</v>
      </c>
      <c r="DY182" s="0" t="n">
        <v>0.0909</v>
      </c>
      <c r="DZ182" s="0" t="n">
        <v>177</v>
      </c>
      <c r="EA182" s="0" t="n">
        <v>0.158</v>
      </c>
      <c r="EB182" s="0" t="n">
        <v>17</v>
      </c>
      <c r="EC182" s="0" t="s">
        <v>1939</v>
      </c>
      <c r="EG182" s="0" t="n">
        <v>2023</v>
      </c>
      <c r="EH182" s="0" t="n">
        <v>2026</v>
      </c>
      <c r="EI182" s="0" t="n">
        <v>4</v>
      </c>
      <c r="EJ182" s="0" t="n">
        <v>70</v>
      </c>
      <c r="EK182" s="0" t="n">
        <v>205</v>
      </c>
      <c r="EL182" s="0" t="s">
        <v>1855</v>
      </c>
      <c r="EM182" s="0" t="n">
        <v>24.8</v>
      </c>
      <c r="EN182" s="15" t="b">
        <f aca="false">FALSE()</f>
        <v>0</v>
      </c>
      <c r="EO182" s="0" t="n">
        <v>398</v>
      </c>
      <c r="EP182" s="0" t="n">
        <v>2.76407035175879</v>
      </c>
      <c r="EQ182" s="0" t="n">
        <v>0.183417085427136</v>
      </c>
      <c r="ER182" s="0" t="n">
        <v>1.05276381909548</v>
      </c>
      <c r="ES182" s="0" t="n">
        <v>0.42462311557789</v>
      </c>
      <c r="ET182" s="0" t="n">
        <v>48</v>
      </c>
      <c r="EU182" s="0" t="n">
        <v>34</v>
      </c>
      <c r="EV182" s="0" t="n">
        <v>3.76130653266332</v>
      </c>
      <c r="EW182" s="0" t="n">
        <v>0.708333333333333</v>
      </c>
      <c r="EX182" s="0" t="n">
        <v>2.97696363334511</v>
      </c>
      <c r="EY182" s="0" t="n">
        <v>2.736</v>
      </c>
      <c r="EZ182" s="0" t="n">
        <v>0.1938</v>
      </c>
      <c r="FA182" s="0" t="n">
        <v>2.699</v>
      </c>
      <c r="FB182" s="0" t="n">
        <v>1.426</v>
      </c>
      <c r="FC182" s="0" t="n">
        <v>31</v>
      </c>
      <c r="FD182" s="0" t="n">
        <v>638</v>
      </c>
      <c r="FE182" s="0" t="n">
        <v>0.0595611285266458</v>
      </c>
      <c r="FF182" s="0" t="n">
        <v>0.0571</v>
      </c>
      <c r="FG182" s="0" t="n">
        <v>0.172</v>
      </c>
      <c r="FH182" s="0" t="n">
        <v>2.292</v>
      </c>
      <c r="FI182" s="0" t="n">
        <v>1065</v>
      </c>
      <c r="FJ182" s="0" t="n">
        <v>0.564319248826291</v>
      </c>
      <c r="FK182" s="0" t="n">
        <v>17</v>
      </c>
      <c r="FL182" s="0" t="n">
        <v>62.65</v>
      </c>
      <c r="FM182" s="0" t="n">
        <v>0.5148</v>
      </c>
      <c r="FN182" s="0" t="n">
        <v>0.4852</v>
      </c>
      <c r="FO182" s="0" t="n">
        <v>-0.0347</v>
      </c>
      <c r="FP182" s="0" t="n">
        <v>0.0138</v>
      </c>
      <c r="FQ182" s="0" t="n">
        <v>-0.0264</v>
      </c>
      <c r="FR182" s="0" t="n">
        <v>41</v>
      </c>
      <c r="FS182" s="0" t="n">
        <v>53</v>
      </c>
      <c r="FT182" s="0" t="n">
        <v>3.12</v>
      </c>
      <c r="FU182" s="0" t="n">
        <v>22.4</v>
      </c>
      <c r="FV182" s="0" t="n">
        <v>5692</v>
      </c>
      <c r="FW182" s="0" t="n">
        <v>4502</v>
      </c>
      <c r="FX182" s="0" t="n">
        <v>0.791</v>
      </c>
      <c r="FY182" s="0" t="n">
        <v>5</v>
      </c>
      <c r="FZ182" s="0" t="n">
        <v>4</v>
      </c>
      <c r="GA182" s="0" t="n">
        <v>-0.202503543001561</v>
      </c>
      <c r="GB182" s="0" t="n">
        <v>46.3</v>
      </c>
      <c r="GC182" s="0" t="n">
        <v>65.4</v>
      </c>
      <c r="GD182" s="0" t="n">
        <v>57.4</v>
      </c>
      <c r="GE182" s="0" t="n">
        <v>541</v>
      </c>
      <c r="GF182" s="0" t="n">
        <v>472</v>
      </c>
      <c r="GG182" s="0" t="n">
        <v>111</v>
      </c>
      <c r="GH182" s="0" t="n">
        <v>138</v>
      </c>
      <c r="GI182" s="0" t="n">
        <v>136</v>
      </c>
      <c r="GJ182" s="0" t="n">
        <v>38</v>
      </c>
      <c r="GK182" s="0" t="n">
        <v>0.205</v>
      </c>
      <c r="GL182" s="0" t="n">
        <v>0.292</v>
      </c>
      <c r="GM182" s="0" t="n">
        <v>0.279</v>
      </c>
      <c r="GN182" s="0" t="n">
        <v>5.376</v>
      </c>
      <c r="GO182" s="0" t="n">
        <v>5.141</v>
      </c>
      <c r="GP182" s="0" t="n">
        <v>4.906</v>
      </c>
      <c r="GQ182" s="0" t="n">
        <v>0.647</v>
      </c>
      <c r="GR182" s="0" t="n">
        <v>5.059</v>
      </c>
      <c r="GS182" s="0" t="n">
        <v>97</v>
      </c>
      <c r="GT182" s="0" t="n">
        <v>0.942</v>
      </c>
      <c r="GU182" s="0" t="n">
        <v>0.516</v>
      </c>
      <c r="GV182" s="0" t="n">
        <v>3.091</v>
      </c>
      <c r="GW182" s="0" t="n">
        <v>4.25</v>
      </c>
      <c r="GX182" s="0" t="n">
        <v>0.727</v>
      </c>
      <c r="GY182" s="0" t="n">
        <v>3.721</v>
      </c>
      <c r="GZ182" s="0" t="n">
        <v>-0.909</v>
      </c>
      <c r="HA182" s="0" t="n">
        <v>6.125</v>
      </c>
      <c r="HB182" s="0" t="n">
        <v>-3.4</v>
      </c>
      <c r="HC182" s="0" t="n">
        <v>0.082</v>
      </c>
      <c r="HD182" s="0" t="n">
        <v>-0.043</v>
      </c>
      <c r="HE182" s="0" t="n">
        <v>-0.287</v>
      </c>
      <c r="HG182" s="0" t="n">
        <v>200.06</v>
      </c>
      <c r="HH182" s="0" t="n">
        <v>34.26</v>
      </c>
      <c r="HI182" s="0" t="n">
        <v>141</v>
      </c>
      <c r="HJ182" s="0" t="n">
        <v>299</v>
      </c>
      <c r="HK182" s="0" t="s">
        <v>909</v>
      </c>
      <c r="HL182" s="0" t="n">
        <v>0</v>
      </c>
      <c r="HM182" s="0" t="n">
        <v>48</v>
      </c>
      <c r="HN182" s="0" t="n">
        <v>60</v>
      </c>
      <c r="HO182" s="0" t="n">
        <v>0.057</v>
      </c>
      <c r="HP182" s="0" t="n">
        <v>54</v>
      </c>
      <c r="HQ182" s="0" t="n">
        <v>-0.207</v>
      </c>
      <c r="HR182" s="0" t="s">
        <v>102</v>
      </c>
    </row>
    <row r="183" customFormat="false" ht="15" hidden="false" customHeight="false" outlineLevel="0" collapsed="false">
      <c r="A183" s="0" t="s">
        <v>896</v>
      </c>
      <c r="B183" s="0" t="s">
        <v>897</v>
      </c>
      <c r="C183" s="0" t="s">
        <v>898</v>
      </c>
      <c r="D183" s="0" t="s">
        <v>506</v>
      </c>
      <c r="E183" s="0" t="n">
        <v>23153</v>
      </c>
      <c r="F183" s="0" t="s">
        <v>149</v>
      </c>
      <c r="G183" s="0" t="n">
        <v>200.16</v>
      </c>
      <c r="H183" s="0" t="n">
        <v>43.44</v>
      </c>
      <c r="I183" s="0" t="n">
        <v>131</v>
      </c>
      <c r="J183" s="0" t="n">
        <v>306</v>
      </c>
      <c r="L183" s="0" t="s">
        <v>1940</v>
      </c>
      <c r="O183" s="0" t="n">
        <v>14.8</v>
      </c>
      <c r="U183" s="0" t="n">
        <v>6</v>
      </c>
      <c r="V183" s="0" t="s">
        <v>506</v>
      </c>
      <c r="W183" s="0" t="s">
        <v>901</v>
      </c>
      <c r="X183" s="0" t="s">
        <v>161</v>
      </c>
      <c r="Y183" s="0" t="s">
        <v>1941</v>
      </c>
      <c r="Z183" s="0" t="n">
        <v>23153</v>
      </c>
      <c r="AA183" s="0" t="s">
        <v>1942</v>
      </c>
      <c r="AB183" s="0" t="s">
        <v>904</v>
      </c>
      <c r="AC183" s="0" t="s">
        <v>161</v>
      </c>
      <c r="AD183" s="0" t="s">
        <v>161</v>
      </c>
      <c r="AE183" s="0" t="s">
        <v>161</v>
      </c>
      <c r="AF183" s="0" t="s">
        <v>161</v>
      </c>
      <c r="AG183" s="0" t="s">
        <v>161</v>
      </c>
      <c r="AH183" s="0" t="s">
        <v>905</v>
      </c>
      <c r="AI183" s="0" t="n">
        <v>1</v>
      </c>
      <c r="AJ183" s="0" t="s">
        <v>149</v>
      </c>
      <c r="AK183" s="0" t="n">
        <v>182</v>
      </c>
      <c r="AL183" s="0" t="n">
        <v>23</v>
      </c>
      <c r="AM183" s="0" t="s">
        <v>507</v>
      </c>
      <c r="AN183" s="0" t="n">
        <v>0</v>
      </c>
      <c r="AO183" s="0" t="n">
        <v>0</v>
      </c>
      <c r="AP183" s="0" t="n">
        <v>0</v>
      </c>
      <c r="AQ183" s="0" t="n">
        <v>0</v>
      </c>
      <c r="AR183" s="0" t="n">
        <v>0</v>
      </c>
      <c r="AS183" s="0" t="n">
        <v>0</v>
      </c>
      <c r="AT183" s="0" t="n">
        <v>0</v>
      </c>
      <c r="AU183" s="0" t="n">
        <v>0</v>
      </c>
      <c r="AV183" s="0" t="n">
        <v>0</v>
      </c>
      <c r="AW183" s="0" t="n">
        <v>1</v>
      </c>
      <c r="AX183" s="0" t="n">
        <v>-7</v>
      </c>
      <c r="AY183" s="0" t="n">
        <v>0</v>
      </c>
      <c r="AZ183" s="0" t="n">
        <v>0</v>
      </c>
      <c r="BA183" s="0" t="n">
        <v>-1.62947965239927</v>
      </c>
      <c r="BB183" s="0" t="n">
        <v>0</v>
      </c>
      <c r="BC183" s="0" t="n">
        <v>26</v>
      </c>
      <c r="BD183" s="0" t="n">
        <v>33</v>
      </c>
      <c r="BE183" s="0" t="n">
        <v>335</v>
      </c>
      <c r="BF183" s="0" t="n">
        <v>1</v>
      </c>
      <c r="BG183" s="0" t="n">
        <v>155</v>
      </c>
      <c r="BH183" s="0" t="n">
        <v>199</v>
      </c>
      <c r="BI183" s="0" t="n">
        <v>14</v>
      </c>
      <c r="BJ183" s="0" t="n">
        <v>17.5111882914354</v>
      </c>
      <c r="BK183" s="0" t="n">
        <v>1</v>
      </c>
      <c r="BL183" s="0" t="n">
        <v>0</v>
      </c>
      <c r="BM183" s="0" t="n">
        <v>36.8</v>
      </c>
      <c r="BN183" s="0" t="n">
        <v>62.8</v>
      </c>
      <c r="BO183" s="0" t="n">
        <v>9</v>
      </c>
      <c r="BP183" s="0" t="s">
        <v>161</v>
      </c>
      <c r="BQ183" s="0" t="n">
        <v>1</v>
      </c>
      <c r="BR183" s="0" t="n">
        <v>49.8</v>
      </c>
      <c r="BS183" s="0" t="n">
        <v>0.0714</v>
      </c>
      <c r="BT183" s="0" t="n">
        <v>0.0023</v>
      </c>
      <c r="BU183" s="0" t="n">
        <v>0.047</v>
      </c>
      <c r="BV183" s="0" t="n">
        <v>0.15</v>
      </c>
      <c r="BW183" s="0" t="n">
        <v>0.0039</v>
      </c>
      <c r="BX183" s="0" t="n">
        <v>0.0922</v>
      </c>
      <c r="BY183" s="0" t="n">
        <v>0.2895</v>
      </c>
      <c r="BZ183" s="0" t="n">
        <v>9</v>
      </c>
      <c r="CA183" s="0" t="n">
        <v>4.4</v>
      </c>
      <c r="CB183" s="0" t="n">
        <v>9.34</v>
      </c>
      <c r="CC183" s="0" t="n">
        <v>6.1</v>
      </c>
      <c r="CD183" s="0" t="n">
        <v>3.96</v>
      </c>
      <c r="CE183" s="0" t="n">
        <v>1</v>
      </c>
      <c r="CF183" s="0" t="n">
        <v>0</v>
      </c>
      <c r="CG183" s="0" t="n">
        <v>9</v>
      </c>
      <c r="CH183" s="0" t="n">
        <v>0.111</v>
      </c>
      <c r="CI183" s="0" t="n">
        <v>0</v>
      </c>
      <c r="CJ183" s="0" t="n">
        <v>0.65</v>
      </c>
      <c r="CK183" s="0" t="n">
        <v>6</v>
      </c>
      <c r="CL183" s="0" t="n">
        <v>2</v>
      </c>
      <c r="CM183" s="0" t="n">
        <v>0</v>
      </c>
      <c r="CN183" s="0" t="n">
        <v>1</v>
      </c>
      <c r="CO183" s="0" t="n">
        <v>1.53080339630111</v>
      </c>
      <c r="CP183" s="0" t="n">
        <v>1</v>
      </c>
      <c r="CQ183" s="0" t="n">
        <v>1</v>
      </c>
      <c r="CR183" s="0" t="n">
        <v>1</v>
      </c>
      <c r="CS183" s="0" t="n">
        <v>0</v>
      </c>
      <c r="CT183" s="0" t="n">
        <v>0.260162601626016</v>
      </c>
      <c r="CU183" s="0" t="n">
        <v>7</v>
      </c>
      <c r="CV183" s="0" t="n">
        <v>3</v>
      </c>
      <c r="CW183" s="0" t="n">
        <v>1</v>
      </c>
      <c r="CX183" s="0" t="n">
        <v>1</v>
      </c>
      <c r="CY183" s="0" t="n">
        <v>1.79</v>
      </c>
      <c r="CZ183" s="0" t="n">
        <v>-0.79</v>
      </c>
      <c r="DM183" s="0" t="s">
        <v>1943</v>
      </c>
      <c r="DN183" s="0" t="n">
        <v>1</v>
      </c>
      <c r="DO183" s="0" t="n">
        <v>0</v>
      </c>
      <c r="DS183" s="0" t="n">
        <v>33</v>
      </c>
      <c r="DT183" s="0" t="n">
        <v>2</v>
      </c>
      <c r="DU183" s="0" t="n">
        <v>0</v>
      </c>
      <c r="DV183" s="0" t="n">
        <v>5.231</v>
      </c>
      <c r="DW183" s="0" t="n">
        <v>7.654</v>
      </c>
      <c r="DX183" s="0" t="n">
        <v>4.8</v>
      </c>
      <c r="DY183" s="0" t="n">
        <v>0</v>
      </c>
      <c r="DZ183" s="0" t="n">
        <v>245</v>
      </c>
      <c r="EA183" s="0" t="n">
        <v>0.422</v>
      </c>
      <c r="EB183" s="0" t="n">
        <v>10</v>
      </c>
      <c r="EC183" s="0" t="s">
        <v>1944</v>
      </c>
      <c r="ED183" s="0" t="n">
        <v>2022</v>
      </c>
      <c r="EE183" s="0" t="n">
        <v>3</v>
      </c>
      <c r="EF183" s="0" t="n">
        <v>80</v>
      </c>
      <c r="EG183" s="0" t="n">
        <v>2022</v>
      </c>
      <c r="EH183" s="0" t="n">
        <v>2026</v>
      </c>
      <c r="EI183" s="0" t="n">
        <v>5</v>
      </c>
      <c r="EJ183" s="0" t="n">
        <v>76</v>
      </c>
      <c r="EK183" s="0" t="n">
        <v>245</v>
      </c>
      <c r="EL183" s="0" t="s">
        <v>1945</v>
      </c>
      <c r="EM183" s="0" t="n">
        <v>26.4</v>
      </c>
      <c r="EN183" s="15" t="b">
        <f aca="false">FALSE()</f>
        <v>0</v>
      </c>
      <c r="EO183" s="0" t="n">
        <v>380</v>
      </c>
      <c r="EP183" s="0" t="n">
        <v>2.83552631578947</v>
      </c>
      <c r="EQ183" s="0" t="n">
        <v>0.213157894736842</v>
      </c>
      <c r="ER183" s="0" t="n">
        <v>1.46578947368421</v>
      </c>
      <c r="ES183" s="0" t="n">
        <v>1.22631578947368</v>
      </c>
      <c r="ET183" s="0" t="n">
        <v>29</v>
      </c>
      <c r="EU183" s="0" t="n">
        <v>17</v>
      </c>
      <c r="EV183" s="0" t="n">
        <v>4.85789473684211</v>
      </c>
      <c r="EW183" s="0" t="n">
        <v>0.586206896551724</v>
      </c>
      <c r="EX183" s="0" t="n">
        <v>2.94501561107985</v>
      </c>
      <c r="EY183" s="0" t="n">
        <v>2.839</v>
      </c>
      <c r="EZ183" s="0" t="n">
        <v>0.2101</v>
      </c>
      <c r="FA183" s="0" t="n">
        <v>2.199</v>
      </c>
      <c r="FB183" s="0" t="n">
        <v>2.532</v>
      </c>
      <c r="FC183" s="0" t="n">
        <v>38</v>
      </c>
      <c r="FD183" s="0" t="n">
        <v>530</v>
      </c>
      <c r="FE183" s="0" t="n">
        <v>0.0716981132075472</v>
      </c>
      <c r="FF183" s="0" t="n">
        <v>0.0727</v>
      </c>
      <c r="FG183" s="0" t="n">
        <v>0.2422</v>
      </c>
      <c r="FH183" s="0" t="n">
        <v>2.29</v>
      </c>
      <c r="FI183" s="0" t="n">
        <v>942</v>
      </c>
      <c r="FJ183" s="0" t="n">
        <v>0.549893842887473</v>
      </c>
      <c r="FK183" s="0" t="n">
        <v>17</v>
      </c>
      <c r="FL183" s="0" t="n">
        <v>55.41</v>
      </c>
      <c r="FM183" s="0" t="n">
        <v>0.5279</v>
      </c>
      <c r="FN183" s="0" t="n">
        <v>0.4721</v>
      </c>
      <c r="FO183" s="0" t="n">
        <v>-0.0584</v>
      </c>
      <c r="FP183" s="0" t="n">
        <v>-0.026</v>
      </c>
      <c r="FQ183" s="0" t="n">
        <v>-0.0093</v>
      </c>
      <c r="FR183" s="0" t="n">
        <v>41</v>
      </c>
      <c r="FS183" s="0" t="n">
        <v>48</v>
      </c>
      <c r="FT183" s="0" t="n">
        <v>2.82</v>
      </c>
      <c r="FU183" s="0" t="n">
        <v>20.4</v>
      </c>
      <c r="FV183" s="0" t="n">
        <v>5041</v>
      </c>
      <c r="FW183" s="0" t="n">
        <v>3387</v>
      </c>
      <c r="FX183" s="0" t="n">
        <v>0.672</v>
      </c>
      <c r="FY183" s="0" t="n">
        <v>5</v>
      </c>
      <c r="FZ183" s="0" t="n">
        <v>4</v>
      </c>
      <c r="GA183" s="0" t="n">
        <v>-0.692098435941776</v>
      </c>
      <c r="GB183" s="0" t="n">
        <v>37.5</v>
      </c>
      <c r="GC183" s="0" t="n">
        <v>44.5</v>
      </c>
      <c r="GD183" s="0" t="n">
        <v>38.6</v>
      </c>
      <c r="GE183" s="0" t="n">
        <v>462</v>
      </c>
      <c r="GF183" s="0" t="n">
        <v>432</v>
      </c>
      <c r="GG183" s="0" t="n">
        <v>209</v>
      </c>
      <c r="GH183" s="0" t="n">
        <v>28</v>
      </c>
      <c r="GI183" s="0" t="n">
        <v>134</v>
      </c>
      <c r="GJ183" s="0" t="n">
        <v>32</v>
      </c>
      <c r="GK183" s="0" t="n">
        <v>0.452</v>
      </c>
      <c r="GL183" s="0" t="n">
        <v>0.065</v>
      </c>
      <c r="GM183" s="0" t="n">
        <v>0.239</v>
      </c>
      <c r="GN183" s="0" t="n">
        <v>6.978</v>
      </c>
      <c r="GO183" s="0" t="n">
        <v>5.533</v>
      </c>
      <c r="GP183" s="0" t="n">
        <v>4.089</v>
      </c>
      <c r="GQ183" s="0" t="n">
        <v>3.667</v>
      </c>
      <c r="GR183" s="0" t="n">
        <v>0.111</v>
      </c>
      <c r="GS183" s="0" t="n">
        <v>34</v>
      </c>
      <c r="GT183" s="0" t="n">
        <v>1.847</v>
      </c>
      <c r="GU183" s="0" t="n">
        <v>0.256</v>
      </c>
      <c r="GV183" s="0" t="n">
        <v>10.152</v>
      </c>
      <c r="GW183" s="0" t="n">
        <v>12.885</v>
      </c>
      <c r="GX183" s="0" t="n">
        <v>0.788</v>
      </c>
      <c r="GZ183" s="0" t="n">
        <v>4.697</v>
      </c>
      <c r="HA183" s="0" t="n">
        <v>7.654</v>
      </c>
      <c r="HB183" s="0" t="n">
        <v>2.161</v>
      </c>
      <c r="HC183" s="0" t="n">
        <v>0.029</v>
      </c>
      <c r="HE183" s="0" t="n">
        <v>0.531</v>
      </c>
      <c r="HG183" s="0" t="n">
        <v>200.16</v>
      </c>
      <c r="HH183" s="0" t="n">
        <v>43.44</v>
      </c>
      <c r="HI183" s="0" t="n">
        <v>131</v>
      </c>
      <c r="HJ183" s="0" t="n">
        <v>306</v>
      </c>
      <c r="HK183" s="0" t="s">
        <v>909</v>
      </c>
      <c r="HL183" s="0" t="n">
        <v>0</v>
      </c>
      <c r="HM183" s="0" t="n">
        <v>30</v>
      </c>
      <c r="HN183" s="0" t="n">
        <v>23</v>
      </c>
      <c r="HO183" s="0" t="n">
        <v>-0.465</v>
      </c>
      <c r="HP183" s="0" t="n">
        <v>27</v>
      </c>
      <c r="HQ183" s="0" t="n">
        <v>-0.334</v>
      </c>
      <c r="HR183" s="0" t="s">
        <v>121</v>
      </c>
    </row>
    <row r="184" customFormat="false" ht="15" hidden="false" customHeight="false" outlineLevel="0" collapsed="false">
      <c r="A184" s="0" t="s">
        <v>896</v>
      </c>
      <c r="B184" s="0" t="s">
        <v>897</v>
      </c>
      <c r="C184" s="0" t="s">
        <v>898</v>
      </c>
      <c r="D184" s="0" t="s">
        <v>508</v>
      </c>
      <c r="E184" s="0" t="n">
        <v>23092</v>
      </c>
      <c r="F184" s="0" t="s">
        <v>99</v>
      </c>
      <c r="G184" s="0" t="n">
        <v>202.09</v>
      </c>
      <c r="H184" s="0" t="n">
        <v>37.68</v>
      </c>
      <c r="I184" s="0" t="n">
        <v>133</v>
      </c>
      <c r="J184" s="0" t="n">
        <v>328</v>
      </c>
      <c r="L184" s="0" t="s">
        <v>1946</v>
      </c>
      <c r="O184" s="0" t="n">
        <v>10.5</v>
      </c>
      <c r="U184" s="0" t="n">
        <v>10</v>
      </c>
      <c r="V184" s="0" t="s">
        <v>508</v>
      </c>
      <c r="W184" s="0" t="s">
        <v>901</v>
      </c>
      <c r="X184" s="0" t="s">
        <v>209</v>
      </c>
      <c r="Y184" s="0" t="s">
        <v>1947</v>
      </c>
      <c r="Z184" s="0" t="n">
        <v>23092</v>
      </c>
      <c r="AA184" s="0" t="s">
        <v>1948</v>
      </c>
      <c r="AB184" s="0" t="s">
        <v>904</v>
      </c>
      <c r="AC184" s="0" t="s">
        <v>209</v>
      </c>
      <c r="AD184" s="0" t="s">
        <v>209</v>
      </c>
      <c r="AE184" s="0" t="s">
        <v>209</v>
      </c>
      <c r="AF184" s="0" t="s">
        <v>209</v>
      </c>
      <c r="AG184" s="0" t="s">
        <v>209</v>
      </c>
      <c r="AH184" s="0" t="s">
        <v>905</v>
      </c>
      <c r="AI184" s="0" t="n">
        <v>3</v>
      </c>
      <c r="AJ184" s="0" t="s">
        <v>99</v>
      </c>
      <c r="AK184" s="0" t="n">
        <v>183</v>
      </c>
      <c r="AL184" s="0" t="n">
        <v>73</v>
      </c>
      <c r="AM184" s="0" t="s">
        <v>509</v>
      </c>
      <c r="AN184" s="0" t="n">
        <v>0</v>
      </c>
      <c r="AO184" s="0" t="n">
        <v>0</v>
      </c>
      <c r="AP184" s="0" t="n">
        <v>0</v>
      </c>
      <c r="AQ184" s="0" t="n">
        <v>0</v>
      </c>
      <c r="AR184" s="0" t="n">
        <v>0</v>
      </c>
      <c r="AS184" s="0" t="n">
        <v>0</v>
      </c>
      <c r="AT184" s="0" t="n">
        <v>0</v>
      </c>
      <c r="AU184" s="0" t="n">
        <v>0</v>
      </c>
      <c r="AV184" s="0" t="n">
        <v>0</v>
      </c>
      <c r="AW184" s="0" t="n">
        <v>5</v>
      </c>
      <c r="AX184" s="0" t="n">
        <v>12</v>
      </c>
      <c r="AY184" s="0" t="n">
        <v>0</v>
      </c>
      <c r="AZ184" s="0" t="n">
        <v>2</v>
      </c>
      <c r="BA184" s="0" t="n">
        <v>-1.72129826224409</v>
      </c>
      <c r="BB184" s="0" t="n">
        <v>0</v>
      </c>
      <c r="BC184" s="0" t="n">
        <v>65</v>
      </c>
      <c r="BD184" s="0" t="n">
        <v>104</v>
      </c>
      <c r="BE184" s="0" t="n">
        <v>709</v>
      </c>
      <c r="BF184" s="0" t="n">
        <v>6</v>
      </c>
      <c r="BG184" s="0" t="n">
        <v>1321</v>
      </c>
      <c r="BH184" s="0" t="n">
        <v>282</v>
      </c>
      <c r="BI184" s="0" t="n">
        <v>32</v>
      </c>
      <c r="BJ184" s="0" t="n">
        <v>9.78852878393113</v>
      </c>
      <c r="BK184" s="0" t="n">
        <v>1</v>
      </c>
      <c r="BL184" s="0" t="n">
        <v>0</v>
      </c>
      <c r="BM184" s="0" t="n">
        <v>112.1</v>
      </c>
      <c r="BN184" s="0" t="n">
        <v>177.1</v>
      </c>
      <c r="BO184" s="0" t="n">
        <v>17</v>
      </c>
      <c r="BP184" s="0" t="s">
        <v>209</v>
      </c>
      <c r="BQ184" s="0" t="n">
        <v>1</v>
      </c>
      <c r="BR184" s="0" t="n">
        <v>144.6</v>
      </c>
      <c r="BS184" s="0" t="n">
        <v>0.1781</v>
      </c>
      <c r="BT184" s="0" t="n">
        <v>0.011</v>
      </c>
      <c r="BU184" s="0" t="n">
        <v>0.3015</v>
      </c>
      <c r="BV184" s="0" t="n">
        <v>0.1781</v>
      </c>
      <c r="BW184" s="0" t="n">
        <v>0.011</v>
      </c>
      <c r="BX184" s="0" t="n">
        <v>0.3015</v>
      </c>
      <c r="BY184" s="0" t="n">
        <v>0.4782</v>
      </c>
      <c r="BZ184" s="0" t="n">
        <v>17</v>
      </c>
      <c r="CA184" s="0" t="n">
        <v>4.1</v>
      </c>
      <c r="CB184" s="0" t="n">
        <v>18.48</v>
      </c>
      <c r="CC184" s="0" t="n">
        <v>8.5</v>
      </c>
      <c r="CD184" s="0" t="n">
        <v>7.63</v>
      </c>
      <c r="CE184" s="0" t="n">
        <v>3</v>
      </c>
      <c r="CF184" s="0" t="n">
        <v>1</v>
      </c>
      <c r="CG184" s="0" t="n">
        <v>17</v>
      </c>
      <c r="CH184" s="0" t="n">
        <v>0.176</v>
      </c>
      <c r="CI184" s="0" t="n">
        <v>0.059</v>
      </c>
      <c r="CJ184" s="0" t="n">
        <v>0.897</v>
      </c>
      <c r="CK184" s="0" t="n">
        <v>18</v>
      </c>
      <c r="CL184" s="0" t="n">
        <v>8</v>
      </c>
      <c r="CM184" s="0" t="n">
        <v>4</v>
      </c>
      <c r="CN184" s="0" t="n">
        <v>6</v>
      </c>
      <c r="CO184" s="0" t="n">
        <v>5.88621667798957</v>
      </c>
      <c r="CP184" s="0" t="n">
        <v>0</v>
      </c>
      <c r="CQ184" s="0" t="n">
        <v>0</v>
      </c>
      <c r="CR184" s="0" t="n">
        <v>0</v>
      </c>
      <c r="CS184" s="0" t="n">
        <v>0</v>
      </c>
      <c r="CT184" s="0" t="n">
        <v>0.0402888141103899</v>
      </c>
      <c r="CU184" s="0" t="n">
        <v>18</v>
      </c>
      <c r="CV184" s="0" t="n">
        <v>8</v>
      </c>
      <c r="CW184" s="0" t="n">
        <v>4</v>
      </c>
      <c r="CX184" s="0" t="n">
        <v>6</v>
      </c>
      <c r="CY184" s="0" t="n">
        <v>5.93</v>
      </c>
      <c r="CZ184" s="0" t="n">
        <v>0.07</v>
      </c>
      <c r="DA184" s="0" t="n">
        <v>3.00802589082916</v>
      </c>
      <c r="DB184" s="0" t="n">
        <v>6.69053191489362</v>
      </c>
      <c r="DC184" s="0" t="n">
        <v>12.6813461538462</v>
      </c>
      <c r="DD184" s="0" t="n">
        <v>30.1220311575716</v>
      </c>
      <c r="DE184" s="0" t="n">
        <v>0.297548203151172</v>
      </c>
      <c r="DF184" s="0" t="n">
        <v>62.5</v>
      </c>
      <c r="DM184" s="0" t="s">
        <v>1949</v>
      </c>
      <c r="DN184" s="0" t="n">
        <v>5</v>
      </c>
      <c r="DO184" s="0" t="n">
        <v>1</v>
      </c>
      <c r="DS184" s="0" t="n">
        <v>104</v>
      </c>
      <c r="DT184" s="0" t="n">
        <v>3</v>
      </c>
      <c r="DU184" s="0" t="n">
        <v>4</v>
      </c>
      <c r="DV184" s="0" t="n">
        <v>6.569</v>
      </c>
      <c r="DW184" s="0" t="n">
        <v>4.338</v>
      </c>
      <c r="DX184" s="0" t="n">
        <v>12.7</v>
      </c>
      <c r="DY184" s="0" t="n">
        <v>0.0385</v>
      </c>
      <c r="DZ184" s="0" t="n">
        <v>670</v>
      </c>
      <c r="EA184" s="0" t="n">
        <v>0.596</v>
      </c>
      <c r="EB184" s="0" t="n">
        <v>17</v>
      </c>
      <c r="EC184" s="0" t="s">
        <v>1950</v>
      </c>
      <c r="ED184" s="0" t="n">
        <v>2024</v>
      </c>
      <c r="EE184" s="0" t="n">
        <v>4</v>
      </c>
      <c r="EF184" s="0" t="n">
        <v>102</v>
      </c>
      <c r="EG184" s="0" t="n">
        <v>2024</v>
      </c>
      <c r="EH184" s="0" t="n">
        <v>2026</v>
      </c>
      <c r="EI184" s="0" t="n">
        <v>3</v>
      </c>
      <c r="EJ184" s="0" t="n">
        <v>75</v>
      </c>
      <c r="EK184" s="0" t="n">
        <v>187</v>
      </c>
      <c r="EL184" s="0" t="s">
        <v>1300</v>
      </c>
      <c r="EM184" s="0" t="n">
        <v>23.5</v>
      </c>
      <c r="EN184" s="15" t="b">
        <f aca="false">FALSE()</f>
        <v>0</v>
      </c>
      <c r="EO184" s="0" t="n">
        <v>354</v>
      </c>
      <c r="EP184" s="0" t="n">
        <v>2.95932203389831</v>
      </c>
      <c r="EQ184" s="0" t="n">
        <v>0.172316384180791</v>
      </c>
      <c r="ER184" s="0" t="n">
        <v>1.24293785310735</v>
      </c>
      <c r="ES184" s="0" t="n">
        <v>0.807909604519774</v>
      </c>
      <c r="ET184" s="0" t="n">
        <v>29</v>
      </c>
      <c r="EU184" s="0" t="n">
        <v>16</v>
      </c>
      <c r="EV184" s="0" t="n">
        <v>4.42372881355932</v>
      </c>
      <c r="EW184" s="0" t="n">
        <v>0.551724137931035</v>
      </c>
      <c r="EX184" s="0" t="n">
        <v>2.95623424539257</v>
      </c>
      <c r="EY184" s="0" t="n">
        <v>2.952</v>
      </c>
      <c r="EZ184" s="0" t="n">
        <v>0.1682</v>
      </c>
      <c r="FA184" s="0" t="n">
        <v>2.592</v>
      </c>
      <c r="FB184" s="0" t="n">
        <v>1.833</v>
      </c>
      <c r="FC184" s="0" t="n">
        <v>20</v>
      </c>
      <c r="FD184" s="0" t="n">
        <v>671</v>
      </c>
      <c r="FE184" s="0" t="n">
        <v>0.0342771982116244</v>
      </c>
      <c r="FF184" s="0" t="n">
        <v>0.037</v>
      </c>
      <c r="FG184" s="0" t="n">
        <v>0.2088</v>
      </c>
      <c r="FH184" s="0" t="n">
        <v>2.401</v>
      </c>
      <c r="FI184" s="0" t="n">
        <v>1079</v>
      </c>
      <c r="FJ184" s="0" t="n">
        <v>0.593141797961075</v>
      </c>
      <c r="FK184" s="0" t="n">
        <v>17</v>
      </c>
      <c r="FL184" s="0" t="n">
        <v>63.47</v>
      </c>
      <c r="FM184" s="0" t="n">
        <v>0.59</v>
      </c>
      <c r="FN184" s="0" t="n">
        <v>0.41</v>
      </c>
      <c r="FO184" s="0" t="n">
        <v>0.0157</v>
      </c>
      <c r="FP184" s="0" t="n">
        <v>0.0004</v>
      </c>
      <c r="FQ184" s="0" t="n">
        <v>0.0835</v>
      </c>
      <c r="FR184" s="0" t="n">
        <v>38</v>
      </c>
      <c r="FS184" s="0" t="n">
        <v>59</v>
      </c>
      <c r="FT184" s="0" t="n">
        <v>3.47</v>
      </c>
      <c r="FU184" s="0" t="n">
        <v>23.6</v>
      </c>
      <c r="FV184" s="0" t="n">
        <v>5797</v>
      </c>
      <c r="FW184" s="0" t="n">
        <v>5793</v>
      </c>
      <c r="FX184" s="0" t="n">
        <v>0.999</v>
      </c>
      <c r="FY184" s="0" t="n">
        <v>5</v>
      </c>
      <c r="FZ184" s="0" t="n">
        <v>5</v>
      </c>
      <c r="GA184" s="0" t="n">
        <v>0.00253477555898343</v>
      </c>
      <c r="GB184" s="0" t="n">
        <v>50</v>
      </c>
      <c r="GC184" s="0" t="n">
        <v>70.8</v>
      </c>
      <c r="GD184" s="0" t="n">
        <v>63.2</v>
      </c>
      <c r="GE184" s="0" t="n">
        <v>584</v>
      </c>
      <c r="GF184" s="0" t="n">
        <v>456</v>
      </c>
      <c r="GG184" s="0" t="n">
        <v>4</v>
      </c>
      <c r="GH184" s="0" t="n">
        <v>0</v>
      </c>
      <c r="GI184" s="0" t="n">
        <v>157</v>
      </c>
      <c r="GJ184" s="0" t="n">
        <v>1</v>
      </c>
      <c r="GK184" s="0" t="n">
        <v>0.007</v>
      </c>
      <c r="GL184" s="0" t="n">
        <v>0</v>
      </c>
      <c r="GM184" s="0" t="n">
        <v>0.006</v>
      </c>
      <c r="GN184" s="0" t="n">
        <v>10.418</v>
      </c>
      <c r="GO184" s="0" t="n">
        <v>8.506</v>
      </c>
      <c r="GP184" s="0" t="n">
        <v>6.594</v>
      </c>
      <c r="GQ184" s="0" t="n">
        <v>6.118</v>
      </c>
      <c r="GR184" s="0" t="n">
        <v>0.294</v>
      </c>
      <c r="GS184" s="0" t="n">
        <v>109</v>
      </c>
      <c r="GT184" s="0" t="n">
        <v>1.625</v>
      </c>
      <c r="GU184" s="0" t="n">
        <v>0.264</v>
      </c>
      <c r="GV184" s="0" t="n">
        <v>6.817</v>
      </c>
      <c r="GW184" s="0" t="n">
        <v>10.908</v>
      </c>
      <c r="GX184" s="0" t="n">
        <v>0.625</v>
      </c>
      <c r="GZ184" s="0" t="n">
        <v>12.702</v>
      </c>
      <c r="HA184" s="0" t="n">
        <v>4.338</v>
      </c>
      <c r="HB184" s="0" t="n">
        <v>0.537</v>
      </c>
      <c r="HC184" s="0" t="n">
        <v>0.055</v>
      </c>
      <c r="HE184" s="0" t="n">
        <v>0.094</v>
      </c>
      <c r="HG184" s="0" t="n">
        <v>202.09</v>
      </c>
      <c r="HH184" s="0" t="n">
        <v>37.68</v>
      </c>
      <c r="HI184" s="0" t="n">
        <v>133</v>
      </c>
      <c r="HJ184" s="0" t="n">
        <v>328</v>
      </c>
      <c r="HK184" s="0" t="s">
        <v>909</v>
      </c>
      <c r="HL184" s="0" t="n">
        <v>0</v>
      </c>
      <c r="HM184" s="0" t="n">
        <v>31</v>
      </c>
      <c r="HN184" s="0" t="n">
        <v>73</v>
      </c>
      <c r="HO184" s="0" t="n">
        <v>1.262</v>
      </c>
      <c r="HP184" s="0" t="n">
        <v>43</v>
      </c>
      <c r="HQ184" s="0" t="n">
        <v>0.736</v>
      </c>
      <c r="HR184" s="0" t="s">
        <v>321</v>
      </c>
    </row>
    <row r="185" customFormat="false" ht="15" hidden="false" customHeight="false" outlineLevel="0" collapsed="false">
      <c r="A185" s="0" t="s">
        <v>896</v>
      </c>
      <c r="B185" s="0" t="s">
        <v>897</v>
      </c>
      <c r="C185" s="0" t="s">
        <v>898</v>
      </c>
      <c r="D185" s="0" t="s">
        <v>510</v>
      </c>
      <c r="E185" s="0" t="n">
        <v>27211</v>
      </c>
      <c r="F185" s="0" t="s">
        <v>99</v>
      </c>
      <c r="G185" s="0" t="n">
        <v>202.14</v>
      </c>
      <c r="H185" s="0" t="n">
        <v>30.84</v>
      </c>
      <c r="I185" s="0" t="n">
        <v>137</v>
      </c>
      <c r="J185" s="0" t="n">
        <v>280</v>
      </c>
      <c r="L185" s="0" t="s">
        <v>1951</v>
      </c>
      <c r="O185" s="0" t="n">
        <v>9.9</v>
      </c>
      <c r="T185" s="0" t="n">
        <v>8</v>
      </c>
      <c r="U185" s="0" t="n">
        <v>10</v>
      </c>
      <c r="V185" s="0" t="s">
        <v>510</v>
      </c>
      <c r="W185" s="0" t="s">
        <v>901</v>
      </c>
      <c r="X185" s="0" t="s">
        <v>209</v>
      </c>
      <c r="Y185" s="0" t="s">
        <v>1952</v>
      </c>
      <c r="Z185" s="0" t="n">
        <v>27211</v>
      </c>
      <c r="AA185" s="0" t="s">
        <v>1953</v>
      </c>
      <c r="AB185" s="0" t="s">
        <v>904</v>
      </c>
      <c r="AC185" s="0" t="s">
        <v>209</v>
      </c>
      <c r="AD185" s="0" t="s">
        <v>209</v>
      </c>
      <c r="AE185" s="0" t="s">
        <v>209</v>
      </c>
      <c r="AF185" s="0" t="s">
        <v>209</v>
      </c>
      <c r="AG185" s="0" t="s">
        <v>209</v>
      </c>
      <c r="AH185" s="0" t="s">
        <v>905</v>
      </c>
      <c r="AI185" s="0" t="n">
        <v>5</v>
      </c>
      <c r="AJ185" s="0" t="s">
        <v>99</v>
      </c>
      <c r="AK185" s="0" t="n">
        <v>184</v>
      </c>
      <c r="AL185" s="0" t="n">
        <v>74</v>
      </c>
      <c r="AM185" s="0" t="s">
        <v>511</v>
      </c>
      <c r="AN185" s="0" t="n">
        <v>0</v>
      </c>
      <c r="AO185" s="0" t="n">
        <v>0</v>
      </c>
      <c r="AP185" s="0" t="n">
        <v>0</v>
      </c>
      <c r="AQ185" s="0" t="n">
        <v>0</v>
      </c>
      <c r="AR185" s="0" t="n">
        <v>0</v>
      </c>
      <c r="AS185" s="0" t="n">
        <v>0</v>
      </c>
      <c r="AT185" s="0" t="n">
        <v>0</v>
      </c>
      <c r="AU185" s="0" t="n">
        <v>0</v>
      </c>
      <c r="AV185" s="0" t="n">
        <v>0</v>
      </c>
      <c r="AW185" s="0" t="n">
        <v>0</v>
      </c>
      <c r="AX185" s="0" t="n">
        <v>0</v>
      </c>
      <c r="AY185" s="0" t="n">
        <v>0</v>
      </c>
      <c r="AZ185" s="0" t="n">
        <v>0</v>
      </c>
      <c r="BA185" s="0" t="n">
        <v>0</v>
      </c>
      <c r="BB185" s="0" t="n">
        <v>0</v>
      </c>
      <c r="BC185" s="0" t="n">
        <v>31</v>
      </c>
      <c r="BD185" s="0" t="n">
        <v>49</v>
      </c>
      <c r="BE185" s="0" t="n">
        <v>378</v>
      </c>
      <c r="BF185" s="0" t="n">
        <v>1</v>
      </c>
      <c r="BG185" s="0" t="n">
        <v>410</v>
      </c>
      <c r="BH185" s="0" t="n">
        <v>147</v>
      </c>
      <c r="BI185" s="0" t="n">
        <v>22</v>
      </c>
      <c r="BJ185" s="0" t="n">
        <v>14.2312536819045</v>
      </c>
      <c r="BK185" s="0" t="n">
        <v>0</v>
      </c>
      <c r="BL185" s="0" t="n">
        <v>0</v>
      </c>
      <c r="BM185" s="0" t="n">
        <v>43.8</v>
      </c>
      <c r="BN185" s="0" t="n">
        <v>74.8</v>
      </c>
      <c r="BO185" s="0" t="n">
        <v>13</v>
      </c>
      <c r="BP185" s="0" t="s">
        <v>209</v>
      </c>
      <c r="BQ185" s="0" t="n">
        <v>1</v>
      </c>
      <c r="BR185" s="0" t="n">
        <v>59.3</v>
      </c>
      <c r="BS185" s="0" t="n">
        <v>0.0839</v>
      </c>
      <c r="BT185" s="0" t="n">
        <v>0</v>
      </c>
      <c r="BU185" s="0" t="n">
        <v>0.0936</v>
      </c>
      <c r="BV185" s="0" t="n">
        <v>0.1077</v>
      </c>
      <c r="BW185" s="0" t="n">
        <v>0</v>
      </c>
      <c r="BX185" s="0" t="n">
        <v>0.1207</v>
      </c>
      <c r="BY185" s="0" t="n">
        <v>0.246</v>
      </c>
      <c r="BZ185" s="0" t="n">
        <v>13</v>
      </c>
      <c r="CA185" s="0" t="n">
        <v>3.8</v>
      </c>
      <c r="CB185" s="0" t="n">
        <v>9.76</v>
      </c>
      <c r="CC185" s="0" t="n">
        <v>5.3</v>
      </c>
      <c r="CD185" s="0" t="n">
        <v>4.14</v>
      </c>
      <c r="CE185" s="0" t="n">
        <v>0</v>
      </c>
      <c r="CF185" s="0" t="n">
        <v>3</v>
      </c>
      <c r="CG185" s="0" t="n">
        <v>13</v>
      </c>
      <c r="CH185" s="0" t="n">
        <v>0</v>
      </c>
      <c r="CI185" s="0" t="n">
        <v>0.231</v>
      </c>
      <c r="CJ185" s="0" t="n">
        <v>0.78</v>
      </c>
      <c r="CK185" s="0" t="n">
        <v>8</v>
      </c>
      <c r="CL185" s="0" t="n">
        <v>4</v>
      </c>
      <c r="CM185" s="0" t="n">
        <v>1</v>
      </c>
      <c r="CN185" s="0" t="n">
        <v>1</v>
      </c>
      <c r="CO185" s="0" t="n">
        <v>2.51734001000135</v>
      </c>
      <c r="CP185" s="0" t="n">
        <v>0</v>
      </c>
      <c r="CQ185" s="0" t="n">
        <v>0</v>
      </c>
      <c r="CR185" s="0" t="n">
        <v>0</v>
      </c>
      <c r="CS185" s="0" t="n">
        <v>0</v>
      </c>
      <c r="CT185" s="0" t="n">
        <v>0</v>
      </c>
      <c r="CU185" s="0" t="n">
        <v>8</v>
      </c>
      <c r="CV185" s="0" t="n">
        <v>4</v>
      </c>
      <c r="CW185" s="0" t="n">
        <v>1</v>
      </c>
      <c r="CX185" s="0" t="n">
        <v>1</v>
      </c>
      <c r="CY185" s="0" t="n">
        <v>2.52</v>
      </c>
      <c r="CZ185" s="0" t="n">
        <v>-1.52</v>
      </c>
      <c r="DA185" s="0" t="n">
        <v>2.40509746682027</v>
      </c>
      <c r="DB185" s="0" t="n">
        <v>6.32958333333334</v>
      </c>
      <c r="DC185" s="0" t="n">
        <v>8.71204081632653</v>
      </c>
      <c r="DD185" s="0" t="n">
        <v>9.74993091067721</v>
      </c>
      <c r="DE185" s="0" t="n">
        <v>0.83380869965873</v>
      </c>
      <c r="DF185" s="0" t="n">
        <v>63.265306122449</v>
      </c>
      <c r="DM185" s="0" t="s">
        <v>1954</v>
      </c>
      <c r="DS185" s="0" t="n">
        <v>49</v>
      </c>
      <c r="DT185" s="0" t="n">
        <v>2</v>
      </c>
      <c r="DU185" s="0" t="n">
        <v>3</v>
      </c>
      <c r="DV185" s="0" t="n">
        <v>7.452</v>
      </c>
      <c r="DW185" s="0" t="n">
        <v>4.742</v>
      </c>
      <c r="DX185" s="0" t="n">
        <v>8.3</v>
      </c>
      <c r="DY185" s="0" t="n">
        <v>0.0612</v>
      </c>
      <c r="DZ185" s="0" t="n">
        <v>475</v>
      </c>
      <c r="EA185" s="0" t="n">
        <v>0.477</v>
      </c>
      <c r="EB185" s="0" t="n">
        <v>15</v>
      </c>
      <c r="EC185" s="0" t="s">
        <v>1955</v>
      </c>
      <c r="ED185" s="0" t="n">
        <v>2025</v>
      </c>
      <c r="EE185" s="0" t="n">
        <v>3</v>
      </c>
      <c r="EF185" s="0" t="n">
        <v>74</v>
      </c>
      <c r="EG185" s="0" t="n">
        <v>2025</v>
      </c>
      <c r="EH185" s="0" t="n">
        <v>2026</v>
      </c>
      <c r="EI185" s="0" t="n">
        <v>2</v>
      </c>
      <c r="EJ185" s="0" t="n">
        <v>74</v>
      </c>
      <c r="EK185" s="0" t="n">
        <v>200</v>
      </c>
      <c r="EL185" s="0" t="s">
        <v>1956</v>
      </c>
      <c r="EM185" s="0" t="n">
        <v>23.7</v>
      </c>
      <c r="EN185" s="15" t="b">
        <f aca="false">FALSE()</f>
        <v>0</v>
      </c>
      <c r="EO185" s="0" t="n">
        <v>354</v>
      </c>
      <c r="EP185" s="0" t="n">
        <v>2.95932203389831</v>
      </c>
      <c r="EQ185" s="0" t="n">
        <v>0.172316384180791</v>
      </c>
      <c r="ER185" s="0" t="n">
        <v>1.24293785310735</v>
      </c>
      <c r="ES185" s="0" t="n">
        <v>0.807909604519774</v>
      </c>
      <c r="ET185" s="0" t="n">
        <v>29</v>
      </c>
      <c r="EU185" s="0" t="n">
        <v>16</v>
      </c>
      <c r="EV185" s="0" t="n">
        <v>4.42372881355932</v>
      </c>
      <c r="EW185" s="0" t="n">
        <v>0.551724137931035</v>
      </c>
      <c r="EX185" s="0" t="n">
        <v>2.95623424539257</v>
      </c>
      <c r="EY185" s="0" t="n">
        <v>2.952</v>
      </c>
      <c r="EZ185" s="0" t="n">
        <v>0.1682</v>
      </c>
      <c r="FA185" s="0" t="n">
        <v>2.592</v>
      </c>
      <c r="FB185" s="0" t="n">
        <v>1.833</v>
      </c>
      <c r="FC185" s="0" t="n">
        <v>20</v>
      </c>
      <c r="FD185" s="0" t="n">
        <v>671</v>
      </c>
      <c r="FE185" s="0" t="n">
        <v>0.0342771982116244</v>
      </c>
      <c r="FF185" s="0" t="n">
        <v>0.037</v>
      </c>
      <c r="FG185" s="0" t="n">
        <v>0.2088</v>
      </c>
      <c r="FH185" s="0" t="n">
        <v>2.401</v>
      </c>
      <c r="FI185" s="0" t="n">
        <v>1079</v>
      </c>
      <c r="FJ185" s="0" t="n">
        <v>0.593141797961075</v>
      </c>
      <c r="FK185" s="0" t="n">
        <v>17</v>
      </c>
      <c r="FL185" s="0" t="n">
        <v>63.47</v>
      </c>
      <c r="FM185" s="0" t="n">
        <v>0.59</v>
      </c>
      <c r="FN185" s="0" t="n">
        <v>0.41</v>
      </c>
      <c r="FO185" s="0" t="n">
        <v>0.0157</v>
      </c>
      <c r="FP185" s="0" t="n">
        <v>0.0004</v>
      </c>
      <c r="FQ185" s="0" t="n">
        <v>0.0835</v>
      </c>
      <c r="FR185" s="0" t="n">
        <v>38</v>
      </c>
      <c r="FS185" s="0" t="n">
        <v>59</v>
      </c>
      <c r="FT185" s="0" t="n">
        <v>3.47</v>
      </c>
      <c r="FU185" s="0" t="n">
        <v>23.6</v>
      </c>
      <c r="FV185" s="0" t="n">
        <v>5797</v>
      </c>
      <c r="FW185" s="0" t="n">
        <v>5793</v>
      </c>
      <c r="FX185" s="0" t="n">
        <v>0.999</v>
      </c>
      <c r="FY185" s="0" t="n">
        <v>5</v>
      </c>
      <c r="FZ185" s="0" t="n">
        <v>5</v>
      </c>
      <c r="GA185" s="0" t="n">
        <v>0.00253477555898343</v>
      </c>
      <c r="GB185" s="0" t="n">
        <v>50</v>
      </c>
      <c r="GC185" s="0" t="n">
        <v>70.8</v>
      </c>
      <c r="GD185" s="0" t="n">
        <v>63.2</v>
      </c>
      <c r="GE185" s="0" t="n">
        <v>584</v>
      </c>
      <c r="GF185" s="0" t="n">
        <v>456</v>
      </c>
      <c r="GG185" s="0" t="n">
        <v>4</v>
      </c>
      <c r="GH185" s="0" t="n">
        <v>0</v>
      </c>
      <c r="GI185" s="0" t="n">
        <v>157</v>
      </c>
      <c r="GJ185" s="0" t="n">
        <v>1</v>
      </c>
      <c r="GK185" s="0" t="n">
        <v>0.007</v>
      </c>
      <c r="GL185" s="0" t="n">
        <v>0</v>
      </c>
      <c r="GM185" s="0" t="n">
        <v>0.006</v>
      </c>
      <c r="GN185" s="0" t="n">
        <v>5.754</v>
      </c>
      <c r="GO185" s="0" t="n">
        <v>4.562</v>
      </c>
      <c r="GP185" s="0" t="n">
        <v>3.369</v>
      </c>
      <c r="GQ185" s="0" t="n">
        <v>3.769</v>
      </c>
      <c r="GR185" s="0" t="n">
        <v>0</v>
      </c>
      <c r="GS185" s="0" t="n">
        <v>49</v>
      </c>
      <c r="GT185" s="0" t="n">
        <v>1.527</v>
      </c>
      <c r="GU185" s="0" t="n">
        <v>0.157</v>
      </c>
      <c r="GV185" s="0" t="n">
        <v>7.714</v>
      </c>
      <c r="GW185" s="0" t="n">
        <v>12.194</v>
      </c>
      <c r="GX185" s="0" t="n">
        <v>0.633</v>
      </c>
      <c r="GZ185" s="0" t="n">
        <v>8.367</v>
      </c>
      <c r="HA185" s="0" t="n">
        <v>4.742</v>
      </c>
      <c r="HB185" s="0" t="n">
        <v>0.922</v>
      </c>
      <c r="HC185" s="0" t="n">
        <v>0.02</v>
      </c>
      <c r="HE185" s="0" t="n">
        <v>0.29</v>
      </c>
      <c r="HG185" s="0" t="n">
        <v>202.14</v>
      </c>
      <c r="HH185" s="0" t="n">
        <v>30.84</v>
      </c>
      <c r="HI185" s="0" t="n">
        <v>137</v>
      </c>
      <c r="HJ185" s="0" t="n">
        <v>280</v>
      </c>
      <c r="HK185" s="0" t="s">
        <v>909</v>
      </c>
      <c r="HL185" s="0" t="n">
        <v>0</v>
      </c>
      <c r="HM185" s="0" t="n">
        <v>72</v>
      </c>
      <c r="HN185" s="0" t="n">
        <v>74</v>
      </c>
      <c r="HO185" s="0" t="n">
        <v>-0.499</v>
      </c>
      <c r="HP185" s="0" t="n">
        <v>76</v>
      </c>
      <c r="HQ185" s="0" t="n">
        <v>-0.675</v>
      </c>
      <c r="HR185" s="0" t="s">
        <v>121</v>
      </c>
    </row>
    <row r="186" customFormat="false" ht="15" hidden="false" customHeight="false" outlineLevel="0" collapsed="false">
      <c r="A186" s="0" t="s">
        <v>896</v>
      </c>
      <c r="B186" s="0" t="s">
        <v>897</v>
      </c>
      <c r="C186" s="0" t="s">
        <v>898</v>
      </c>
      <c r="D186" s="0" t="s">
        <v>512</v>
      </c>
      <c r="E186" s="0" t="n">
        <v>27122</v>
      </c>
      <c r="F186" s="0" t="s">
        <v>99</v>
      </c>
      <c r="G186" s="0" t="n">
        <v>203.1</v>
      </c>
      <c r="H186" s="0" t="n">
        <v>29.97</v>
      </c>
      <c r="I186" s="0" t="n">
        <v>140</v>
      </c>
      <c r="J186" s="0" t="n">
        <v>302</v>
      </c>
      <c r="L186" s="0" t="s">
        <v>1957</v>
      </c>
      <c r="O186" s="0" t="n">
        <v>8.1</v>
      </c>
      <c r="U186" s="0" t="n">
        <v>8</v>
      </c>
      <c r="V186" s="0" t="s">
        <v>512</v>
      </c>
      <c r="W186" s="0" t="s">
        <v>901</v>
      </c>
      <c r="X186" s="0" t="s">
        <v>139</v>
      </c>
      <c r="Y186" s="0" t="s">
        <v>1958</v>
      </c>
      <c r="Z186" s="0" t="n">
        <v>27122</v>
      </c>
      <c r="AA186" s="0" t="s">
        <v>1959</v>
      </c>
      <c r="AB186" s="0" t="s">
        <v>904</v>
      </c>
      <c r="AC186" s="0" t="s">
        <v>139</v>
      </c>
      <c r="AD186" s="0" t="s">
        <v>139</v>
      </c>
      <c r="AE186" s="0" t="s">
        <v>139</v>
      </c>
      <c r="AF186" s="0" t="s">
        <v>139</v>
      </c>
      <c r="AG186" s="0" t="s">
        <v>139</v>
      </c>
      <c r="AH186" s="0" t="s">
        <v>905</v>
      </c>
      <c r="AI186" s="0" t="n">
        <v>1</v>
      </c>
      <c r="AJ186" s="0" t="s">
        <v>270</v>
      </c>
      <c r="AK186" s="0" t="n">
        <v>185</v>
      </c>
      <c r="AL186" s="0" t="n">
        <v>75</v>
      </c>
      <c r="AM186" s="0" t="s">
        <v>513</v>
      </c>
      <c r="AN186" s="0" t="n">
        <v>0</v>
      </c>
      <c r="AO186" s="0" t="n">
        <v>0</v>
      </c>
      <c r="AP186" s="0" t="n">
        <v>0</v>
      </c>
      <c r="AQ186" s="0" t="n">
        <v>0</v>
      </c>
      <c r="AR186" s="0" t="n">
        <v>0</v>
      </c>
      <c r="AS186" s="0" t="n">
        <v>0</v>
      </c>
      <c r="AT186" s="0" t="n">
        <v>0</v>
      </c>
      <c r="AU186" s="0" t="n">
        <v>0</v>
      </c>
      <c r="AV186" s="0" t="n">
        <v>0</v>
      </c>
      <c r="AW186" s="0" t="n">
        <v>6</v>
      </c>
      <c r="AX186" s="0" t="n">
        <v>12</v>
      </c>
      <c r="AY186" s="0" t="n">
        <v>0</v>
      </c>
      <c r="AZ186" s="0" t="n">
        <v>0</v>
      </c>
      <c r="BA186" s="0" t="n">
        <v>-3.05011341313366</v>
      </c>
      <c r="BB186" s="0" t="n">
        <v>0</v>
      </c>
      <c r="BC186" s="0" t="n">
        <v>26</v>
      </c>
      <c r="BD186" s="0" t="n">
        <v>35</v>
      </c>
      <c r="BE186" s="0" t="n">
        <v>292</v>
      </c>
      <c r="BF186" s="0" t="n">
        <v>2</v>
      </c>
      <c r="BG186" s="0" t="n">
        <v>327</v>
      </c>
      <c r="BH186" s="0" t="n">
        <v>99</v>
      </c>
      <c r="BI186" s="0" t="n">
        <v>13</v>
      </c>
      <c r="BJ186" s="0" t="n">
        <v>14.1749713203277</v>
      </c>
      <c r="BK186" s="0" t="n">
        <v>0</v>
      </c>
      <c r="BL186" s="0" t="n">
        <v>0</v>
      </c>
      <c r="BM186" s="0" t="n">
        <v>42.4</v>
      </c>
      <c r="BN186" s="0" t="n">
        <v>68.4</v>
      </c>
      <c r="BO186" s="0" t="n">
        <v>17</v>
      </c>
      <c r="BP186" s="0" t="s">
        <v>139</v>
      </c>
      <c r="BQ186" s="0" t="n">
        <v>1</v>
      </c>
      <c r="BR186" s="0" t="n">
        <v>55.4</v>
      </c>
      <c r="BS186" s="0" t="n">
        <v>0.0633</v>
      </c>
      <c r="BT186" s="0" t="n">
        <v>0.0126</v>
      </c>
      <c r="BU186" s="0" t="n">
        <v>0.0712</v>
      </c>
      <c r="BV186" s="0" t="n">
        <v>0.0633</v>
      </c>
      <c r="BW186" s="0" t="n">
        <v>0.0126</v>
      </c>
      <c r="BX186" s="0" t="n">
        <v>0.0712</v>
      </c>
      <c r="BY186" s="0" t="n">
        <v>0.1448</v>
      </c>
      <c r="BZ186" s="0" t="n">
        <v>17</v>
      </c>
      <c r="CA186" s="0" t="n">
        <v>0</v>
      </c>
      <c r="CB186" s="0" t="n">
        <v>10.7</v>
      </c>
      <c r="CC186" s="0" t="n">
        <v>1.9</v>
      </c>
      <c r="CD186" s="0" t="n">
        <v>4.91</v>
      </c>
      <c r="CE186" s="0" t="n">
        <v>0</v>
      </c>
      <c r="CF186" s="0" t="n">
        <v>9</v>
      </c>
      <c r="CG186" s="0" t="n">
        <v>17</v>
      </c>
      <c r="CH186" s="0" t="n">
        <v>0</v>
      </c>
      <c r="CI186" s="0" t="n">
        <v>0.529</v>
      </c>
      <c r="CJ186" s="0" t="n">
        <v>2.583</v>
      </c>
      <c r="CK186" s="0" t="n">
        <v>5</v>
      </c>
      <c r="CL186" s="0" t="n">
        <v>3</v>
      </c>
      <c r="CM186" s="0" t="n">
        <v>2</v>
      </c>
      <c r="CN186" s="0" t="n">
        <v>2</v>
      </c>
      <c r="CO186" s="0" t="n">
        <v>1.90041800290984</v>
      </c>
      <c r="CP186" s="0" t="n">
        <v>2</v>
      </c>
      <c r="CQ186" s="0" t="n">
        <v>0</v>
      </c>
      <c r="CR186" s="0" t="n">
        <v>0</v>
      </c>
      <c r="CS186" s="0" t="n">
        <v>0</v>
      </c>
      <c r="CT186" s="0" t="n">
        <v>0.121060018065464</v>
      </c>
      <c r="CU186" s="0" t="n">
        <v>7</v>
      </c>
      <c r="CV186" s="0" t="n">
        <v>3</v>
      </c>
      <c r="CW186" s="0" t="n">
        <v>2</v>
      </c>
      <c r="CX186" s="0" t="n">
        <v>2</v>
      </c>
      <c r="CY186" s="0" t="n">
        <v>2.02</v>
      </c>
      <c r="CZ186" s="0" t="n">
        <v>-0.02</v>
      </c>
      <c r="DM186" s="0" t="s">
        <v>1960</v>
      </c>
      <c r="DN186" s="0" t="n">
        <v>6</v>
      </c>
      <c r="DO186" s="0" t="n">
        <v>0</v>
      </c>
      <c r="DS186" s="0" t="n">
        <v>35</v>
      </c>
      <c r="DT186" s="0" t="n">
        <v>0</v>
      </c>
      <c r="DU186" s="0" t="n">
        <v>1</v>
      </c>
      <c r="DV186" s="0" t="n">
        <v>7.423</v>
      </c>
      <c r="DW186" s="0" t="n">
        <v>3.808</v>
      </c>
      <c r="DX186" s="0" t="n">
        <v>9</v>
      </c>
      <c r="DY186" s="0" t="n">
        <v>0.0286</v>
      </c>
      <c r="DZ186" s="0" t="n">
        <v>304</v>
      </c>
      <c r="EA186" s="0" t="n">
        <v>0.26</v>
      </c>
      <c r="EB186" s="0" t="n">
        <v>17</v>
      </c>
      <c r="EC186" s="0" t="s">
        <v>1961</v>
      </c>
      <c r="ED186" s="0" t="n">
        <v>2025</v>
      </c>
      <c r="EE186" s="0" t="n">
        <v>3</v>
      </c>
      <c r="EF186" s="0" t="n">
        <v>79</v>
      </c>
      <c r="EG186" s="0" t="n">
        <v>2025</v>
      </c>
      <c r="EH186" s="0" t="n">
        <v>2026</v>
      </c>
      <c r="EI186" s="0" t="n">
        <v>2</v>
      </c>
      <c r="EJ186" s="0" t="n">
        <v>71</v>
      </c>
      <c r="EK186" s="0" t="n">
        <v>200</v>
      </c>
      <c r="EL186" s="0" t="s">
        <v>1146</v>
      </c>
      <c r="EM186" s="0" t="n">
        <v>24</v>
      </c>
      <c r="EN186" s="15" t="b">
        <f aca="false">FALSE()</f>
        <v>0</v>
      </c>
      <c r="EO186" s="0" t="n">
        <v>399</v>
      </c>
      <c r="EP186" s="0" t="n">
        <v>2.7453634085213</v>
      </c>
      <c r="EQ186" s="0" t="n">
        <v>0.203007518796993</v>
      </c>
      <c r="ER186" s="0" t="n">
        <v>1.1077694235589</v>
      </c>
      <c r="ES186" s="0" t="n">
        <v>0.496240601503759</v>
      </c>
      <c r="ET186" s="0" t="n">
        <v>35</v>
      </c>
      <c r="EU186" s="0" t="n">
        <v>17</v>
      </c>
      <c r="EV186" s="0" t="n">
        <v>3.83709273182957</v>
      </c>
      <c r="EW186" s="0" t="n">
        <v>0.485714285714286</v>
      </c>
      <c r="EX186" s="0" t="n">
        <v>2.88168562194261</v>
      </c>
      <c r="EY186" s="0" t="n">
        <v>2.812</v>
      </c>
      <c r="EZ186" s="0" t="n">
        <v>0.1937</v>
      </c>
      <c r="FA186" s="0" t="n">
        <v>2.099</v>
      </c>
      <c r="FB186" s="0" t="n">
        <v>1.8</v>
      </c>
      <c r="FC186" s="0" t="n">
        <v>23</v>
      </c>
      <c r="FD186" s="0" t="n">
        <v>643</v>
      </c>
      <c r="FE186" s="0" t="n">
        <v>0.0482115085536547</v>
      </c>
      <c r="FF186" s="0" t="n">
        <v>0.0526</v>
      </c>
      <c r="FG186" s="0" t="n">
        <v>0.2216</v>
      </c>
      <c r="FH186" s="0" t="n">
        <v>2.345</v>
      </c>
      <c r="FI186" s="0" t="n">
        <v>1078</v>
      </c>
      <c r="FJ186" s="0" t="n">
        <v>0.570500927643785</v>
      </c>
      <c r="FK186" s="0" t="n">
        <v>17</v>
      </c>
      <c r="FL186" s="0" t="n">
        <v>63.41</v>
      </c>
      <c r="FM186" s="0" t="n">
        <v>0.5638</v>
      </c>
      <c r="FN186" s="0" t="n">
        <v>0.4362</v>
      </c>
      <c r="FO186" s="0" t="n">
        <v>-0.0098</v>
      </c>
      <c r="FP186" s="0" t="n">
        <v>-0.0779</v>
      </c>
      <c r="FQ186" s="0" t="n">
        <v>0.036</v>
      </c>
      <c r="FR186" s="0" t="n">
        <v>38</v>
      </c>
      <c r="FS186" s="0" t="n">
        <v>58</v>
      </c>
      <c r="FT186" s="0" t="n">
        <v>3.41</v>
      </c>
      <c r="FU186" s="0" t="n">
        <v>23.8</v>
      </c>
      <c r="FV186" s="0" t="n">
        <v>6010</v>
      </c>
      <c r="FW186" s="0" t="n">
        <v>4286</v>
      </c>
      <c r="FX186" s="0" t="n">
        <v>0.713</v>
      </c>
      <c r="FY186" s="0" t="n">
        <v>5</v>
      </c>
      <c r="FZ186" s="0" t="n">
        <v>2</v>
      </c>
      <c r="GA186" s="0" t="n">
        <v>-0.878307115745538</v>
      </c>
      <c r="GB186" s="0" t="n">
        <v>34.1</v>
      </c>
      <c r="GC186" s="0" t="n">
        <v>59.3</v>
      </c>
      <c r="GD186" s="0" t="n">
        <v>45.8</v>
      </c>
      <c r="GE186" s="0" t="n">
        <v>553</v>
      </c>
      <c r="GF186" s="0" t="n">
        <v>475</v>
      </c>
      <c r="GG186" s="0" t="n">
        <v>82</v>
      </c>
      <c r="GH186" s="0" t="n">
        <v>21</v>
      </c>
      <c r="GI186" s="0" t="n">
        <v>150</v>
      </c>
      <c r="GJ186" s="0" t="n">
        <v>18</v>
      </c>
      <c r="GK186" s="0" t="n">
        <v>0.148</v>
      </c>
      <c r="GL186" s="0" t="n">
        <v>0.044</v>
      </c>
      <c r="GM186" s="0" t="n">
        <v>0.12</v>
      </c>
      <c r="GN186" s="0" t="n">
        <v>4.024</v>
      </c>
      <c r="GO186" s="0" t="n">
        <v>3.259</v>
      </c>
      <c r="GP186" s="0" t="n">
        <v>2.494</v>
      </c>
      <c r="GQ186" s="0" t="n">
        <v>2.059</v>
      </c>
      <c r="GR186" s="0" t="n">
        <v>0.353</v>
      </c>
      <c r="GS186" s="0" t="n">
        <v>41</v>
      </c>
      <c r="GT186" s="0" t="n">
        <v>1.668</v>
      </c>
      <c r="GU186" s="0" t="n">
        <v>0.225</v>
      </c>
      <c r="GV186" s="0" t="n">
        <v>8.343</v>
      </c>
      <c r="GW186" s="0" t="n">
        <v>11.231</v>
      </c>
      <c r="GX186" s="0" t="n">
        <v>0.743</v>
      </c>
      <c r="GZ186" s="0" t="n">
        <v>9.343</v>
      </c>
      <c r="HA186" s="0" t="n">
        <v>3.808</v>
      </c>
      <c r="HB186" s="0" t="n">
        <v>0.893</v>
      </c>
      <c r="HC186" s="0" t="n">
        <v>0.049</v>
      </c>
      <c r="HE186" s="0" t="n">
        <v>0.405</v>
      </c>
      <c r="HG186" s="0" t="n">
        <v>203.1</v>
      </c>
      <c r="HH186" s="0" t="n">
        <v>29.97</v>
      </c>
      <c r="HI186" s="0" t="n">
        <v>140</v>
      </c>
      <c r="HJ186" s="0" t="n">
        <v>302</v>
      </c>
      <c r="HK186" s="0" t="s">
        <v>909</v>
      </c>
      <c r="HL186" s="0" t="n">
        <v>0</v>
      </c>
      <c r="HM186" s="0" t="n">
        <v>75</v>
      </c>
      <c r="HN186" s="0" t="n">
        <v>75</v>
      </c>
      <c r="HO186" s="0" t="n">
        <v>-0.595</v>
      </c>
      <c r="HP186" s="0" t="n">
        <v>84</v>
      </c>
      <c r="HQ186" s="0" t="n">
        <v>-0.99</v>
      </c>
      <c r="HR186" s="0" t="s">
        <v>121</v>
      </c>
    </row>
    <row r="187" customFormat="false" ht="15" hidden="false" customHeight="false" outlineLevel="0" collapsed="false">
      <c r="A187" s="0" t="s">
        <v>896</v>
      </c>
      <c r="B187" s="0" t="s">
        <v>897</v>
      </c>
      <c r="C187" s="0" t="s">
        <v>898</v>
      </c>
      <c r="D187" s="0" t="s">
        <v>514</v>
      </c>
      <c r="E187" s="0" t="n">
        <v>17258</v>
      </c>
      <c r="F187" s="0" t="s">
        <v>99</v>
      </c>
      <c r="G187" s="0" t="n">
        <v>204.36</v>
      </c>
      <c r="H187" s="0" t="n">
        <v>35.76</v>
      </c>
      <c r="I187" s="0" t="n">
        <v>126</v>
      </c>
      <c r="J187" s="0" t="n">
        <v>316</v>
      </c>
      <c r="L187" s="0" t="s">
        <v>1962</v>
      </c>
      <c r="O187" s="0" t="n">
        <v>16.8</v>
      </c>
      <c r="U187" s="0" t="n">
        <v>9</v>
      </c>
      <c r="V187" s="0" t="s">
        <v>514</v>
      </c>
      <c r="W187" s="0" t="s">
        <v>901</v>
      </c>
      <c r="X187" s="0" t="s">
        <v>265</v>
      </c>
      <c r="Y187" s="0" t="s">
        <v>1963</v>
      </c>
      <c r="Z187" s="0" t="n">
        <v>17258</v>
      </c>
      <c r="AA187" s="0" t="s">
        <v>1964</v>
      </c>
      <c r="AB187" s="0" t="s">
        <v>904</v>
      </c>
      <c r="AC187" s="0" t="s">
        <v>265</v>
      </c>
      <c r="AD187" s="0" t="s">
        <v>265</v>
      </c>
      <c r="AE187" s="0" t="s">
        <v>265</v>
      </c>
      <c r="AF187" s="0" t="s">
        <v>265</v>
      </c>
      <c r="AG187" s="0" t="s">
        <v>265</v>
      </c>
      <c r="AH187" s="0" t="s">
        <v>905</v>
      </c>
      <c r="AI187" s="0" t="n">
        <v>3</v>
      </c>
      <c r="AJ187" s="0" t="s">
        <v>99</v>
      </c>
      <c r="AK187" s="0" t="n">
        <v>186</v>
      </c>
      <c r="AL187" s="0" t="n">
        <v>76</v>
      </c>
      <c r="AM187" s="0" t="s">
        <v>515</v>
      </c>
      <c r="AN187" s="0" t="n">
        <v>0</v>
      </c>
      <c r="AO187" s="0" t="n">
        <v>0</v>
      </c>
      <c r="AP187" s="0" t="n">
        <v>0</v>
      </c>
      <c r="AQ187" s="0" t="n">
        <v>0</v>
      </c>
      <c r="AR187" s="0" t="n">
        <v>0</v>
      </c>
      <c r="AS187" s="0" t="n">
        <v>0</v>
      </c>
      <c r="AT187" s="0" t="n">
        <v>0</v>
      </c>
      <c r="AU187" s="0" t="n">
        <v>0</v>
      </c>
      <c r="AV187" s="0" t="n">
        <v>0</v>
      </c>
      <c r="AW187" s="0" t="n">
        <v>0</v>
      </c>
      <c r="AX187" s="0" t="n">
        <v>0</v>
      </c>
      <c r="AY187" s="0" t="n">
        <v>0</v>
      </c>
      <c r="AZ187" s="0" t="n">
        <v>0</v>
      </c>
      <c r="BA187" s="0" t="n">
        <v>0</v>
      </c>
      <c r="BB187" s="0" t="n">
        <v>0</v>
      </c>
      <c r="BC187" s="0" t="n">
        <v>17</v>
      </c>
      <c r="BD187" s="0" t="n">
        <v>36</v>
      </c>
      <c r="BE187" s="0" t="n">
        <v>303</v>
      </c>
      <c r="BF187" s="0" t="n">
        <v>0</v>
      </c>
      <c r="BG187" s="0" t="n">
        <v>453</v>
      </c>
      <c r="BH187" s="0" t="n">
        <v>84</v>
      </c>
      <c r="BI187" s="0" t="n">
        <v>13</v>
      </c>
      <c r="BJ187" s="0" t="n">
        <v>12.2212250318653</v>
      </c>
      <c r="BK187" s="0" t="n">
        <v>0</v>
      </c>
      <c r="BL187" s="0" t="n">
        <v>0</v>
      </c>
      <c r="BM187" s="0" t="n">
        <v>30.3</v>
      </c>
      <c r="BN187" s="0" t="n">
        <v>47.3</v>
      </c>
      <c r="BO187" s="0" t="n">
        <v>7</v>
      </c>
      <c r="BP187" s="0" t="s">
        <v>265</v>
      </c>
      <c r="BQ187" s="0" t="n">
        <v>1</v>
      </c>
      <c r="BR187" s="0" t="n">
        <v>38.8</v>
      </c>
      <c r="BS187" s="0" t="n">
        <v>0.0679</v>
      </c>
      <c r="BT187" s="0" t="n">
        <v>0</v>
      </c>
      <c r="BU187" s="0" t="n">
        <v>0.1155</v>
      </c>
      <c r="BV187" s="0" t="n">
        <v>0.1636</v>
      </c>
      <c r="BW187" s="0" t="n">
        <v>0</v>
      </c>
      <c r="BX187" s="0" t="n">
        <v>0.2475</v>
      </c>
      <c r="BY187" s="0" t="n">
        <v>0.4186</v>
      </c>
      <c r="BZ187" s="0" t="n">
        <v>7</v>
      </c>
      <c r="CA187" s="0" t="n">
        <v>3.25</v>
      </c>
      <c r="CB187" s="0" t="n">
        <v>9.64</v>
      </c>
      <c r="CC187" s="0" t="n">
        <v>5</v>
      </c>
      <c r="CD187" s="0" t="n">
        <v>5.48</v>
      </c>
      <c r="CE187" s="0" t="n">
        <v>0</v>
      </c>
      <c r="CF187" s="0" t="n">
        <v>0</v>
      </c>
      <c r="CG187" s="0" t="n">
        <v>7</v>
      </c>
      <c r="CH187" s="0" t="n">
        <v>0</v>
      </c>
      <c r="CI187" s="0" t="n">
        <v>0</v>
      </c>
      <c r="CJ187" s="0" t="n">
        <v>1.097</v>
      </c>
      <c r="CK187" s="0" t="n">
        <v>2</v>
      </c>
      <c r="CL187" s="0" t="n">
        <v>1</v>
      </c>
      <c r="CM187" s="0" t="n">
        <v>0</v>
      </c>
      <c r="CN187" s="0" t="n">
        <v>0</v>
      </c>
      <c r="CO187" s="0" t="n">
        <v>0.867191273642333</v>
      </c>
      <c r="CP187" s="0" t="n">
        <v>0</v>
      </c>
      <c r="CQ187" s="0" t="n">
        <v>0</v>
      </c>
      <c r="CR187" s="0" t="n">
        <v>0</v>
      </c>
      <c r="CS187" s="0" t="n">
        <v>0</v>
      </c>
      <c r="CT187" s="0" t="n">
        <v>0</v>
      </c>
      <c r="CU187" s="0" t="n">
        <v>2</v>
      </c>
      <c r="CV187" s="0" t="n">
        <v>1</v>
      </c>
      <c r="CW187" s="0" t="n">
        <v>0</v>
      </c>
      <c r="CX187" s="0" t="n">
        <v>0</v>
      </c>
      <c r="CY187" s="0" t="n">
        <v>0.87</v>
      </c>
      <c r="CZ187" s="0" t="n">
        <v>-0.87</v>
      </c>
      <c r="DM187" s="0" t="s">
        <v>1965</v>
      </c>
      <c r="DS187" s="0" t="n">
        <v>36</v>
      </c>
      <c r="DT187" s="0" t="n">
        <v>0</v>
      </c>
      <c r="DU187" s="0" t="n">
        <v>4</v>
      </c>
      <c r="DV187" s="0" t="n">
        <v>12.882</v>
      </c>
      <c r="DW187" s="0" t="n">
        <v>4.941</v>
      </c>
      <c r="DX187" s="0" t="n">
        <v>12.8</v>
      </c>
      <c r="DY187" s="0" t="n">
        <v>0.1111</v>
      </c>
      <c r="DZ187" s="0" t="n">
        <v>250</v>
      </c>
      <c r="EA187" s="0" t="n">
        <v>0.571</v>
      </c>
      <c r="EB187" s="0" t="n">
        <v>7</v>
      </c>
      <c r="EC187" s="0" t="s">
        <v>1966</v>
      </c>
      <c r="ED187" s="0" t="n">
        <v>2018</v>
      </c>
      <c r="EE187" s="0" t="n">
        <v>1</v>
      </c>
      <c r="EF187" s="0" t="n">
        <v>26</v>
      </c>
      <c r="EG187" s="0" t="n">
        <v>2018</v>
      </c>
      <c r="EH187" s="0" t="n">
        <v>2026</v>
      </c>
      <c r="EI187" s="0" t="n">
        <v>8</v>
      </c>
      <c r="EJ187" s="0" t="n">
        <v>73</v>
      </c>
      <c r="EK187" s="0" t="n">
        <v>190</v>
      </c>
      <c r="EL187" s="0" t="s">
        <v>1045</v>
      </c>
      <c r="EM187" s="0" t="n">
        <v>31.7</v>
      </c>
      <c r="EN187" s="15" t="b">
        <f aca="false">FALSE()</f>
        <v>0</v>
      </c>
      <c r="EO187" s="0" t="n">
        <v>328</v>
      </c>
      <c r="EP187" s="0" t="n">
        <v>3.01463414634146</v>
      </c>
      <c r="EQ187" s="0" t="n">
        <v>0.161585365853659</v>
      </c>
      <c r="ER187" s="0" t="n">
        <v>1.14634146341463</v>
      </c>
      <c r="ES187" s="0" t="n">
        <v>0.692073170731707</v>
      </c>
      <c r="ET187" s="0" t="n">
        <v>30</v>
      </c>
      <c r="EU187" s="0" t="n">
        <v>20</v>
      </c>
      <c r="EV187" s="0" t="n">
        <v>4.30487804878049</v>
      </c>
      <c r="EW187" s="0" t="n">
        <v>0.666666666666667</v>
      </c>
      <c r="EX187" s="0" t="n">
        <v>2.87769409187475</v>
      </c>
      <c r="EY187" s="0" t="n">
        <v>3.085</v>
      </c>
      <c r="EZ187" s="0" t="n">
        <v>0.1549</v>
      </c>
      <c r="FA187" s="0" t="n">
        <v>2.54</v>
      </c>
      <c r="FB187" s="0" t="n">
        <v>1.664</v>
      </c>
      <c r="FC187" s="0" t="n">
        <v>24</v>
      </c>
      <c r="FD187" s="0" t="n">
        <v>646</v>
      </c>
      <c r="FE187" s="0" t="n">
        <v>0.086687306501548</v>
      </c>
      <c r="FF187" s="0" t="n">
        <v>0.0872</v>
      </c>
      <c r="FG187" s="0" t="n">
        <v>0.3175</v>
      </c>
      <c r="FH187" s="0" t="n">
        <v>2.389</v>
      </c>
      <c r="FI187" s="0" t="n">
        <v>995</v>
      </c>
      <c r="FJ187" s="0" t="n">
        <v>0.626130653266332</v>
      </c>
      <c r="FK187" s="0" t="n">
        <v>17</v>
      </c>
      <c r="FL187" s="0" t="n">
        <v>58.53</v>
      </c>
      <c r="FM187" s="0" t="n">
        <v>0.5401</v>
      </c>
      <c r="FN187" s="0" t="n">
        <v>0.4599</v>
      </c>
      <c r="FO187" s="0" t="n">
        <v>-0.0385</v>
      </c>
      <c r="FP187" s="0" t="n">
        <v>-0.0573</v>
      </c>
      <c r="FQ187" s="0" t="n">
        <v>-0.2208</v>
      </c>
      <c r="FR187" s="0" t="n">
        <v>40</v>
      </c>
      <c r="FS187" s="0" t="n">
        <v>35</v>
      </c>
      <c r="FT187" s="0" t="n">
        <v>2.06</v>
      </c>
      <c r="FU187" s="0" t="n">
        <v>16.7</v>
      </c>
      <c r="FV187" s="0" t="n">
        <v>5402</v>
      </c>
      <c r="FW187" s="0" t="n">
        <v>2848</v>
      </c>
      <c r="FX187" s="0" t="n">
        <v>0.527</v>
      </c>
      <c r="FY187" s="0" t="n">
        <v>5</v>
      </c>
      <c r="FZ187" s="0" t="n">
        <v>3</v>
      </c>
      <c r="GA187" s="0" t="n">
        <v>0.463456652097505</v>
      </c>
      <c r="GB187" s="0" t="n">
        <v>58.4</v>
      </c>
      <c r="GC187" s="0" t="n">
        <v>27.6</v>
      </c>
      <c r="GD187" s="0" t="n">
        <v>41.1</v>
      </c>
      <c r="GE187" s="0" t="n">
        <v>530</v>
      </c>
      <c r="GF187" s="0" t="n">
        <v>378</v>
      </c>
      <c r="GG187" s="0" t="n">
        <v>152</v>
      </c>
      <c r="GH187" s="0" t="n">
        <v>0</v>
      </c>
      <c r="GI187" s="0" t="n">
        <v>93</v>
      </c>
      <c r="GJ187" s="0" t="n">
        <v>8</v>
      </c>
      <c r="GK187" s="0" t="n">
        <v>0.287</v>
      </c>
      <c r="GL187" s="0" t="n">
        <v>0</v>
      </c>
      <c r="GM187" s="0" t="n">
        <v>0.086</v>
      </c>
      <c r="GN187" s="0" t="n">
        <v>6.757</v>
      </c>
      <c r="GO187" s="0" t="n">
        <v>5.543</v>
      </c>
      <c r="GP187" s="0" t="n">
        <v>4.329</v>
      </c>
      <c r="GQ187" s="0" t="n">
        <v>5.143</v>
      </c>
      <c r="GR187" s="0" t="n">
        <v>0</v>
      </c>
      <c r="GS187" s="0" t="n">
        <v>36</v>
      </c>
      <c r="GT187" s="0" t="n">
        <v>1.314</v>
      </c>
      <c r="GU187" s="0" t="n">
        <v>0.189</v>
      </c>
      <c r="GV187" s="0" t="n">
        <v>8.417</v>
      </c>
      <c r="GW187" s="0" t="n">
        <v>17.824</v>
      </c>
      <c r="GX187" s="0" t="n">
        <v>0.472</v>
      </c>
      <c r="GZ187" s="0" t="n">
        <v>12.583</v>
      </c>
      <c r="HA187" s="0" t="n">
        <v>4.941</v>
      </c>
      <c r="HB187" s="0" t="n">
        <v>0.669</v>
      </c>
      <c r="HC187" s="0" t="n">
        <v>0</v>
      </c>
      <c r="HE187" s="0" t="n">
        <v>0.339</v>
      </c>
      <c r="HG187" s="0" t="n">
        <v>204.36</v>
      </c>
      <c r="HH187" s="0" t="n">
        <v>35.76</v>
      </c>
      <c r="HI187" s="0" t="n">
        <v>126</v>
      </c>
      <c r="HJ187" s="0" t="n">
        <v>316</v>
      </c>
      <c r="HK187" s="0" t="s">
        <v>909</v>
      </c>
      <c r="HL187" s="0" t="n">
        <v>0</v>
      </c>
      <c r="HM187" s="0" t="n">
        <v>84</v>
      </c>
      <c r="HN187" s="0" t="n">
        <v>76</v>
      </c>
      <c r="HO187" s="0" t="n">
        <v>-0.954</v>
      </c>
      <c r="HP187" s="0" t="n">
        <v>70</v>
      </c>
      <c r="HQ187" s="0" t="n">
        <v>-0.341</v>
      </c>
      <c r="HR187" s="0" t="s">
        <v>121</v>
      </c>
    </row>
    <row r="188" customFormat="false" ht="15" hidden="false" customHeight="false" outlineLevel="0" collapsed="false">
      <c r="A188" s="0" t="s">
        <v>896</v>
      </c>
      <c r="B188" s="0" t="s">
        <v>897</v>
      </c>
      <c r="C188" s="0" t="s">
        <v>898</v>
      </c>
      <c r="D188" s="0" t="s">
        <v>516</v>
      </c>
      <c r="E188" s="0" t="n">
        <v>28108</v>
      </c>
      <c r="F188" s="0" t="s">
        <v>104</v>
      </c>
      <c r="G188" s="0" t="n">
        <v>206.02</v>
      </c>
      <c r="H188" s="0" t="n">
        <v>34.45</v>
      </c>
      <c r="I188" s="0" t="n">
        <v>143</v>
      </c>
      <c r="J188" s="0" t="n">
        <v>313</v>
      </c>
      <c r="L188" s="0" t="s">
        <v>1967</v>
      </c>
      <c r="O188" s="0" t="n">
        <v>17.5</v>
      </c>
      <c r="U188" s="0" t="n">
        <v>13</v>
      </c>
      <c r="V188" s="0" t="s">
        <v>1968</v>
      </c>
      <c r="W188" s="0" t="s">
        <v>901</v>
      </c>
      <c r="X188" s="0" t="s">
        <v>985</v>
      </c>
      <c r="Y188" s="0" t="s">
        <v>1969</v>
      </c>
      <c r="Z188" s="0" t="n">
        <v>28108</v>
      </c>
      <c r="AA188" s="0" t="s">
        <v>1970</v>
      </c>
      <c r="AB188" s="0" t="s">
        <v>1971</v>
      </c>
      <c r="AC188" s="0" t="s">
        <v>142</v>
      </c>
      <c r="AE188" s="0" t="s">
        <v>142</v>
      </c>
      <c r="AF188" s="0" t="s">
        <v>142</v>
      </c>
      <c r="AG188" s="0" t="s">
        <v>142</v>
      </c>
      <c r="AH188" s="0" t="s">
        <v>905</v>
      </c>
      <c r="AK188" s="0" t="n">
        <v>187</v>
      </c>
      <c r="AL188" s="0" t="n">
        <v>61</v>
      </c>
      <c r="AM188" s="0" t="s">
        <v>517</v>
      </c>
      <c r="EC188" s="0" t="s">
        <v>1972</v>
      </c>
      <c r="EG188" s="0" t="n">
        <v>2026</v>
      </c>
      <c r="EH188" s="0" t="n">
        <v>2026</v>
      </c>
      <c r="EI188" s="0" t="n">
        <v>0</v>
      </c>
      <c r="EJ188" s="0" t="n">
        <v>73</v>
      </c>
      <c r="EK188" s="0" t="n">
        <v>223</v>
      </c>
      <c r="EL188" s="0" t="s">
        <v>1973</v>
      </c>
      <c r="EM188" s="0" t="n">
        <v>23.1</v>
      </c>
      <c r="EN188" s="15" t="b">
        <f aca="false">TRUE()</f>
        <v>1</v>
      </c>
      <c r="EO188" s="0" t="n">
        <v>307</v>
      </c>
      <c r="EP188" s="0" t="n">
        <v>2.4599348534202</v>
      </c>
      <c r="EQ188" s="0" t="n">
        <v>0.257328990228013</v>
      </c>
      <c r="ER188" s="0" t="n">
        <v>1.04234527687296</v>
      </c>
      <c r="ES188" s="0" t="n">
        <v>0.605863192182411</v>
      </c>
      <c r="ET188" s="0" t="n">
        <v>30</v>
      </c>
      <c r="EU188" s="0" t="n">
        <v>11</v>
      </c>
      <c r="EV188" s="0" t="n">
        <v>3.64820846905537</v>
      </c>
      <c r="EW188" s="0" t="n">
        <v>0.366666666666667</v>
      </c>
      <c r="EX188" s="0" t="n">
        <v>2.91882875417365</v>
      </c>
      <c r="EY188" s="0" t="n">
        <v>2.49</v>
      </c>
      <c r="EZ188" s="0" t="n">
        <v>0.2502</v>
      </c>
      <c r="FA188" s="0" t="n">
        <v>1.629</v>
      </c>
      <c r="FB188" s="0" t="n">
        <v>1.94</v>
      </c>
      <c r="FC188" s="0" t="n">
        <v>30</v>
      </c>
      <c r="FD188" s="0" t="n">
        <v>598</v>
      </c>
      <c r="FE188" s="0" t="n">
        <v>0.107023411371238</v>
      </c>
      <c r="FF188" s="0" t="n">
        <v>0.1019</v>
      </c>
      <c r="FG188" s="0" t="n">
        <v>0.2641</v>
      </c>
      <c r="FH188" s="0" t="n">
        <v>2.487</v>
      </c>
      <c r="FI188" s="0" t="n">
        <v>942</v>
      </c>
      <c r="FJ188" s="0" t="n">
        <v>0.613588110403397</v>
      </c>
      <c r="FK188" s="0" t="n">
        <v>17</v>
      </c>
      <c r="FL188" s="0" t="n">
        <v>55.41</v>
      </c>
      <c r="FM188" s="0" t="n">
        <v>0.5679</v>
      </c>
      <c r="FN188" s="0" t="n">
        <v>0.4321</v>
      </c>
      <c r="FO188" s="0" t="n">
        <v>-0.0175</v>
      </c>
      <c r="FP188" s="0" t="n">
        <v>-0.2605</v>
      </c>
      <c r="FQ188" s="0" t="n">
        <v>-0.187</v>
      </c>
      <c r="FR188" s="0" t="n">
        <v>38</v>
      </c>
      <c r="FS188" s="0" t="n">
        <v>38</v>
      </c>
      <c r="FT188" s="0" t="n">
        <v>2.24</v>
      </c>
      <c r="FU188" s="0" t="n">
        <v>14.2</v>
      </c>
      <c r="FV188" s="0" t="n">
        <v>4992</v>
      </c>
      <c r="FW188" s="0" t="n">
        <v>1916</v>
      </c>
      <c r="FX188" s="0" t="n">
        <v>0.384</v>
      </c>
      <c r="FY188" s="0" t="n">
        <v>5</v>
      </c>
      <c r="FZ188" s="0" t="n">
        <v>2</v>
      </c>
      <c r="GA188" s="0" t="n">
        <v>-2.33610006354308</v>
      </c>
      <c r="GB188" s="0" t="n">
        <v>7.8</v>
      </c>
      <c r="GC188" s="0" t="n">
        <v>37.5</v>
      </c>
      <c r="GD188" s="0" t="n">
        <v>15.2</v>
      </c>
      <c r="GE188" s="0" t="n">
        <v>494</v>
      </c>
      <c r="GF188" s="0" t="n">
        <v>369</v>
      </c>
      <c r="GG188" s="0" t="n">
        <v>55</v>
      </c>
      <c r="GH188" s="0" t="n">
        <v>58</v>
      </c>
      <c r="GI188" s="0" t="n">
        <v>106</v>
      </c>
      <c r="GJ188" s="0" t="n">
        <v>13</v>
      </c>
      <c r="GK188" s="0" t="n">
        <v>0.111</v>
      </c>
      <c r="GL188" s="0" t="n">
        <v>0.157</v>
      </c>
      <c r="GM188" s="0" t="n">
        <v>0.123</v>
      </c>
      <c r="HF188" s="0" t="s">
        <v>206</v>
      </c>
      <c r="HG188" s="0" t="n">
        <v>206.02</v>
      </c>
      <c r="HH188" s="0" t="n">
        <v>34.45</v>
      </c>
      <c r="HI188" s="0" t="n">
        <v>143</v>
      </c>
      <c r="HJ188" s="0" t="n">
        <v>313</v>
      </c>
      <c r="HK188" s="0" t="s">
        <v>909</v>
      </c>
      <c r="HL188" s="0" t="n">
        <v>0</v>
      </c>
      <c r="HN188" s="0" t="n">
        <v>61</v>
      </c>
    </row>
    <row r="189" customFormat="false" ht="15" hidden="false" customHeight="false" outlineLevel="0" collapsed="false">
      <c r="A189" s="0" t="s">
        <v>896</v>
      </c>
      <c r="B189" s="0" t="s">
        <v>897</v>
      </c>
      <c r="C189" s="0" t="s">
        <v>898</v>
      </c>
      <c r="D189" s="0" t="s">
        <v>518</v>
      </c>
      <c r="E189" s="0" t="n">
        <v>26335</v>
      </c>
      <c r="F189" s="0" t="s">
        <v>149</v>
      </c>
      <c r="G189" s="0" t="n">
        <v>208.35</v>
      </c>
      <c r="H189" s="0" t="n">
        <v>25.25</v>
      </c>
      <c r="I189" s="0" t="n">
        <v>138</v>
      </c>
      <c r="J189" s="0" t="n">
        <v>261</v>
      </c>
      <c r="L189" s="0" t="s">
        <v>1974</v>
      </c>
      <c r="O189" s="0" t="n">
        <v>24.1</v>
      </c>
      <c r="U189" s="0" t="n">
        <v>11</v>
      </c>
      <c r="V189" s="0" t="s">
        <v>518</v>
      </c>
      <c r="W189" s="0" t="s">
        <v>901</v>
      </c>
      <c r="X189" s="0" t="s">
        <v>115</v>
      </c>
      <c r="Y189" s="0" t="s">
        <v>1975</v>
      </c>
      <c r="Z189" s="0" t="n">
        <v>26335</v>
      </c>
      <c r="AA189" s="0" t="s">
        <v>1976</v>
      </c>
      <c r="AB189" s="0" t="s">
        <v>904</v>
      </c>
      <c r="AC189" s="0" t="s">
        <v>115</v>
      </c>
      <c r="AD189" s="0" t="s">
        <v>115</v>
      </c>
      <c r="AE189" s="0" t="s">
        <v>115</v>
      </c>
      <c r="AF189" s="0" t="s">
        <v>115</v>
      </c>
      <c r="AG189" s="0" t="s">
        <v>115</v>
      </c>
      <c r="AH189" s="0" t="s">
        <v>905</v>
      </c>
      <c r="AI189" s="0" t="n">
        <v>1</v>
      </c>
      <c r="AJ189" s="0" t="s">
        <v>149</v>
      </c>
      <c r="AK189" s="0" t="n">
        <v>188</v>
      </c>
      <c r="AL189" s="0" t="n">
        <v>24</v>
      </c>
      <c r="AM189" s="0" t="s">
        <v>519</v>
      </c>
      <c r="AN189" s="0" t="n">
        <v>0</v>
      </c>
      <c r="AO189" s="0" t="n">
        <v>0</v>
      </c>
      <c r="AP189" s="0" t="n">
        <v>0</v>
      </c>
      <c r="AQ189" s="0" t="n">
        <v>0</v>
      </c>
      <c r="AR189" s="0" t="n">
        <v>0</v>
      </c>
      <c r="AS189" s="0" t="n">
        <v>0</v>
      </c>
      <c r="AT189" s="0" t="n">
        <v>0</v>
      </c>
      <c r="AU189" s="0" t="n">
        <v>0</v>
      </c>
      <c r="AV189" s="0" t="n">
        <v>0</v>
      </c>
      <c r="AW189" s="0" t="n">
        <v>10</v>
      </c>
      <c r="AX189" s="0" t="n">
        <v>14</v>
      </c>
      <c r="AY189" s="0" t="n">
        <v>1</v>
      </c>
      <c r="AZ189" s="0" t="n">
        <v>9</v>
      </c>
      <c r="BA189" s="0" t="n">
        <v>7.23280352726579</v>
      </c>
      <c r="BB189" s="0" t="n">
        <v>0</v>
      </c>
      <c r="BC189" s="0" t="n">
        <v>52</v>
      </c>
      <c r="BD189" s="0" t="n">
        <v>68</v>
      </c>
      <c r="BE189" s="0" t="n">
        <v>519</v>
      </c>
      <c r="BF189" s="0" t="n">
        <v>6</v>
      </c>
      <c r="BG189" s="0" t="n">
        <v>297</v>
      </c>
      <c r="BH189" s="0" t="n">
        <v>271</v>
      </c>
      <c r="BI189" s="0" t="n">
        <v>26</v>
      </c>
      <c r="BJ189" s="0" t="n">
        <v>27.9430311452095</v>
      </c>
      <c r="BK189" s="0" t="n">
        <v>0</v>
      </c>
      <c r="BL189" s="0" t="n">
        <v>0</v>
      </c>
      <c r="BM189" s="0" t="n">
        <v>95.3</v>
      </c>
      <c r="BN189" s="0" t="n">
        <v>147.3</v>
      </c>
      <c r="BO189" s="0" t="n">
        <v>17</v>
      </c>
      <c r="BP189" s="0" t="s">
        <v>115</v>
      </c>
      <c r="BQ189" s="0" t="n">
        <v>1</v>
      </c>
      <c r="BR189" s="0" t="n">
        <v>121.3</v>
      </c>
      <c r="BS189" s="0" t="n">
        <v>0.1495</v>
      </c>
      <c r="BT189" s="0" t="n">
        <v>0.0197</v>
      </c>
      <c r="BU189" s="0" t="n">
        <v>0.081</v>
      </c>
      <c r="BV189" s="0" t="n">
        <v>0.1495</v>
      </c>
      <c r="BW189" s="0" t="n">
        <v>0.0197</v>
      </c>
      <c r="BX189" s="0" t="n">
        <v>0.081</v>
      </c>
      <c r="BY189" s="0" t="n">
        <v>0.281</v>
      </c>
      <c r="BZ189" s="0" t="n">
        <v>17</v>
      </c>
      <c r="CA189" s="0" t="n">
        <v>3.4</v>
      </c>
      <c r="CB189" s="0" t="n">
        <v>14.32</v>
      </c>
      <c r="CC189" s="0" t="n">
        <v>7.7</v>
      </c>
      <c r="CD189" s="0" t="n">
        <v>6.49</v>
      </c>
      <c r="CE189" s="0" t="n">
        <v>2</v>
      </c>
      <c r="CF189" s="0" t="n">
        <v>3</v>
      </c>
      <c r="CG189" s="0" t="n">
        <v>17</v>
      </c>
      <c r="CH189" s="0" t="n">
        <v>0.118</v>
      </c>
      <c r="CI189" s="0" t="n">
        <v>0.176</v>
      </c>
      <c r="CJ189" s="0" t="n">
        <v>0.843</v>
      </c>
      <c r="CK189" s="0" t="n">
        <v>13</v>
      </c>
      <c r="CL189" s="0" t="n">
        <v>6</v>
      </c>
      <c r="CM189" s="0" t="n">
        <v>3</v>
      </c>
      <c r="CN189" s="0" t="n">
        <v>6</v>
      </c>
      <c r="CO189" s="0" t="n">
        <v>4.32441184218035</v>
      </c>
      <c r="CP189" s="0" t="n">
        <v>3</v>
      </c>
      <c r="CQ189" s="0" t="n">
        <v>2</v>
      </c>
      <c r="CR189" s="0" t="n">
        <v>1</v>
      </c>
      <c r="CS189" s="0" t="n">
        <v>1</v>
      </c>
      <c r="CT189" s="0" t="n">
        <v>0.758468443709147</v>
      </c>
      <c r="CU189" s="0" t="n">
        <v>16</v>
      </c>
      <c r="CV189" s="0" t="n">
        <v>8</v>
      </c>
      <c r="CW189" s="0" t="n">
        <v>4</v>
      </c>
      <c r="CX189" s="0" t="n">
        <v>7</v>
      </c>
      <c r="CY189" s="0" t="n">
        <v>5.08</v>
      </c>
      <c r="CZ189" s="0" t="n">
        <v>1.92</v>
      </c>
      <c r="DA189" s="0" t="n">
        <v>4.10358006488218</v>
      </c>
      <c r="DB189" s="0" t="n">
        <v>4.62185185185185</v>
      </c>
      <c r="DC189" s="0" t="n">
        <v>4.76323529411765</v>
      </c>
      <c r="DD189" s="0" t="n">
        <v>8.58060978226603</v>
      </c>
      <c r="DE189" s="0" t="n">
        <v>0.781411886688211</v>
      </c>
      <c r="DF189" s="0" t="n">
        <v>76.4705882352941</v>
      </c>
      <c r="DM189" s="0" t="s">
        <v>1977</v>
      </c>
      <c r="DN189" s="0" t="n">
        <v>10</v>
      </c>
      <c r="DO189" s="0" t="n">
        <v>0</v>
      </c>
      <c r="DS189" s="0" t="n">
        <v>68</v>
      </c>
      <c r="DT189" s="0" t="n">
        <v>3</v>
      </c>
      <c r="DU189" s="0" t="n">
        <v>2</v>
      </c>
      <c r="DV189" s="0" t="n">
        <v>4.769</v>
      </c>
      <c r="DW189" s="0" t="n">
        <v>5.212</v>
      </c>
      <c r="DX189" s="0" t="n">
        <v>4.5</v>
      </c>
      <c r="DY189" s="0" t="n">
        <v>0.0294</v>
      </c>
      <c r="DZ189" s="0" t="n">
        <v>827</v>
      </c>
      <c r="EA189" s="0" t="n">
        <v>0.773</v>
      </c>
      <c r="EB189" s="0" t="n">
        <v>17</v>
      </c>
      <c r="EC189" s="0" t="s">
        <v>1978</v>
      </c>
      <c r="ED189" s="0" t="n">
        <v>2024</v>
      </c>
      <c r="EE189" s="0" t="n">
        <v>4</v>
      </c>
      <c r="EF189" s="0" t="n">
        <v>121</v>
      </c>
      <c r="EG189" s="0" t="n">
        <v>2024</v>
      </c>
      <c r="EH189" s="0" t="n">
        <v>2026</v>
      </c>
      <c r="EI189" s="0" t="n">
        <v>3</v>
      </c>
      <c r="EJ189" s="0" t="n">
        <v>78</v>
      </c>
      <c r="EK189" s="0" t="n">
        <v>251</v>
      </c>
      <c r="EL189" s="0" t="s">
        <v>1979</v>
      </c>
      <c r="EM189" s="0" t="n">
        <v>24.3</v>
      </c>
      <c r="EN189" s="15" t="b">
        <f aca="false">FALSE()</f>
        <v>0</v>
      </c>
      <c r="EO189" s="0" t="n">
        <v>435</v>
      </c>
      <c r="EP189" s="0" t="n">
        <v>2.8048275862069</v>
      </c>
      <c r="EQ189" s="0" t="n">
        <v>0.204597701149425</v>
      </c>
      <c r="ER189" s="0" t="n">
        <v>1.20689655172414</v>
      </c>
      <c r="ES189" s="0" t="n">
        <v>0.809195402298851</v>
      </c>
      <c r="ET189" s="0" t="n">
        <v>31</v>
      </c>
      <c r="EU189" s="0" t="n">
        <v>19</v>
      </c>
      <c r="EV189" s="0" t="n">
        <v>4.26666666666667</v>
      </c>
      <c r="EW189" s="0" t="n">
        <v>0.612903225806452</v>
      </c>
      <c r="EX189" s="0" t="n">
        <v>2.99550865366612</v>
      </c>
      <c r="EY189" s="0" t="n">
        <v>2.758</v>
      </c>
      <c r="EZ189" s="0" t="n">
        <v>0.2121</v>
      </c>
      <c r="FA189" s="0" t="n">
        <v>2.477</v>
      </c>
      <c r="FB189" s="0" t="n">
        <v>1.657</v>
      </c>
      <c r="FC189" s="0" t="n">
        <v>42</v>
      </c>
      <c r="FD189" s="0" t="n">
        <v>518</v>
      </c>
      <c r="FE189" s="0" t="n">
        <v>0.0521235521235521</v>
      </c>
      <c r="FF189" s="0" t="n">
        <v>0.0535</v>
      </c>
      <c r="FG189" s="0" t="n">
        <v>0.2266</v>
      </c>
      <c r="FH189" s="0" t="n">
        <v>2.4</v>
      </c>
      <c r="FI189" s="0" t="n">
        <v>997</v>
      </c>
      <c r="FJ189" s="0" t="n">
        <v>0.507522567703109</v>
      </c>
      <c r="FK189" s="0" t="n">
        <v>17</v>
      </c>
      <c r="FL189" s="0" t="n">
        <v>58.65</v>
      </c>
      <c r="FM189" s="0" t="n">
        <v>0.5204</v>
      </c>
      <c r="FN189" s="0" t="n">
        <v>0.4796</v>
      </c>
      <c r="FO189" s="0" t="n">
        <v>-0.0677</v>
      </c>
      <c r="FP189" s="0" t="n">
        <v>-0.0491</v>
      </c>
      <c r="FQ189" s="0" t="n">
        <v>0.1122</v>
      </c>
      <c r="FR189" s="0" t="n">
        <v>39</v>
      </c>
      <c r="FS189" s="0" t="n">
        <v>60</v>
      </c>
      <c r="FT189" s="0" t="n">
        <v>3.53</v>
      </c>
      <c r="FU189" s="0" t="n">
        <v>28.4</v>
      </c>
      <c r="FV189" s="0" t="n">
        <v>5338</v>
      </c>
      <c r="FW189" s="0" t="n">
        <v>5026</v>
      </c>
      <c r="FX189" s="0" t="n">
        <v>0.942</v>
      </c>
      <c r="FY189" s="0" t="n">
        <v>5</v>
      </c>
      <c r="FZ189" s="0" t="n">
        <v>5</v>
      </c>
      <c r="GA189" s="0" t="n">
        <v>-0.594571744764181</v>
      </c>
      <c r="GB189" s="0" t="n">
        <v>39.3</v>
      </c>
      <c r="GC189" s="0" t="n">
        <v>60.5</v>
      </c>
      <c r="GD189" s="0" t="n">
        <v>49.9</v>
      </c>
      <c r="GE189" s="0" t="n">
        <v>455</v>
      </c>
      <c r="GF189" s="0" t="n">
        <v>507</v>
      </c>
      <c r="GG189" s="0" t="n">
        <v>39</v>
      </c>
      <c r="GH189" s="0" t="n">
        <v>221</v>
      </c>
      <c r="GI189" s="0" t="n">
        <v>158</v>
      </c>
      <c r="GJ189" s="0" t="n">
        <v>37</v>
      </c>
      <c r="GK189" s="0" t="n">
        <v>0.086</v>
      </c>
      <c r="GL189" s="0" t="n">
        <v>0.436</v>
      </c>
      <c r="GM189" s="0" t="n">
        <v>0.234</v>
      </c>
      <c r="GN189" s="0" t="n">
        <v>8.665</v>
      </c>
      <c r="GO189" s="0" t="n">
        <v>7.135</v>
      </c>
      <c r="GP189" s="0" t="n">
        <v>5.606</v>
      </c>
      <c r="GQ189" s="0" t="n">
        <v>4</v>
      </c>
      <c r="GR189" s="0" t="n">
        <v>0.588</v>
      </c>
      <c r="GS189" s="0" t="n">
        <v>78</v>
      </c>
      <c r="GT189" s="0" t="n">
        <v>1.888</v>
      </c>
      <c r="GU189" s="0" t="n">
        <v>0.178</v>
      </c>
      <c r="GV189" s="0" t="n">
        <v>7.632</v>
      </c>
      <c r="GW189" s="0" t="n">
        <v>9.981</v>
      </c>
      <c r="GX189" s="0" t="n">
        <v>0.765</v>
      </c>
      <c r="GZ189" s="0" t="n">
        <v>4.368</v>
      </c>
      <c r="HA189" s="0" t="n">
        <v>5.212</v>
      </c>
      <c r="HB189" s="0" t="n">
        <v>1.747</v>
      </c>
      <c r="HC189" s="0" t="n">
        <v>0.09</v>
      </c>
      <c r="HE189" s="0" t="n">
        <v>0.411</v>
      </c>
      <c r="HG189" s="0" t="n">
        <v>208.35</v>
      </c>
      <c r="HH189" s="0" t="n">
        <v>25.25</v>
      </c>
      <c r="HI189" s="0" t="n">
        <v>138</v>
      </c>
      <c r="HJ189" s="0" t="n">
        <v>261</v>
      </c>
      <c r="HK189" s="0" t="s">
        <v>909</v>
      </c>
      <c r="HL189" s="0" t="n">
        <v>0</v>
      </c>
      <c r="HM189" s="0" t="n">
        <v>14</v>
      </c>
      <c r="HN189" s="0" t="n">
        <v>24</v>
      </c>
      <c r="HO189" s="0" t="n">
        <v>0.272</v>
      </c>
      <c r="HP189" s="0" t="n">
        <v>20</v>
      </c>
      <c r="HQ189" s="0" t="n">
        <v>0.008</v>
      </c>
      <c r="HR189" s="0" t="s">
        <v>102</v>
      </c>
    </row>
    <row r="190" customFormat="false" ht="15" hidden="false" customHeight="false" outlineLevel="0" collapsed="false">
      <c r="A190" s="0" t="s">
        <v>896</v>
      </c>
      <c r="B190" s="0" t="s">
        <v>897</v>
      </c>
      <c r="C190" s="0" t="s">
        <v>898</v>
      </c>
      <c r="D190" s="0" t="s">
        <v>520</v>
      </c>
      <c r="E190" s="0" t="n">
        <v>27446</v>
      </c>
      <c r="F190" s="0" t="s">
        <v>99</v>
      </c>
      <c r="G190" s="0" t="n">
        <v>208.59</v>
      </c>
      <c r="H190" s="0" t="n">
        <v>26.21</v>
      </c>
      <c r="I190" s="0" t="n">
        <v>163</v>
      </c>
      <c r="J190" s="0" t="n">
        <v>278</v>
      </c>
      <c r="L190" s="0" t="s">
        <v>1980</v>
      </c>
      <c r="O190" s="0" t="n">
        <v>16.4</v>
      </c>
      <c r="U190" s="0" t="n">
        <v>6</v>
      </c>
      <c r="V190" s="0" t="s">
        <v>520</v>
      </c>
      <c r="W190" s="0" t="s">
        <v>901</v>
      </c>
      <c r="X190" s="0" t="s">
        <v>106</v>
      </c>
      <c r="Y190" s="0" t="s">
        <v>1981</v>
      </c>
      <c r="Z190" s="0" t="n">
        <v>27446</v>
      </c>
      <c r="AA190" s="0" t="s">
        <v>1982</v>
      </c>
      <c r="AB190" s="0" t="s">
        <v>904</v>
      </c>
      <c r="AC190" s="0" t="s">
        <v>106</v>
      </c>
      <c r="AD190" s="0" t="s">
        <v>106</v>
      </c>
      <c r="AE190" s="0" t="s">
        <v>106</v>
      </c>
      <c r="AF190" s="0" t="s">
        <v>106</v>
      </c>
      <c r="AG190" s="0" t="s">
        <v>106</v>
      </c>
      <c r="AH190" s="0" t="s">
        <v>905</v>
      </c>
      <c r="AI190" s="0" t="n">
        <v>3</v>
      </c>
      <c r="AJ190" s="0" t="s">
        <v>99</v>
      </c>
      <c r="AK190" s="0" t="n">
        <v>189</v>
      </c>
      <c r="AL190" s="0" t="n">
        <v>77</v>
      </c>
      <c r="AM190" s="0" t="s">
        <v>521</v>
      </c>
      <c r="AN190" s="0" t="n">
        <v>0</v>
      </c>
      <c r="AO190" s="0" t="n">
        <v>0</v>
      </c>
      <c r="AP190" s="0" t="n">
        <v>0</v>
      </c>
      <c r="AQ190" s="0" t="n">
        <v>0</v>
      </c>
      <c r="AR190" s="0" t="n">
        <v>0</v>
      </c>
      <c r="AS190" s="0" t="n">
        <v>0</v>
      </c>
      <c r="AT190" s="0" t="n">
        <v>0</v>
      </c>
      <c r="AU190" s="0" t="n">
        <v>0</v>
      </c>
      <c r="AV190" s="0" t="n">
        <v>0</v>
      </c>
      <c r="AW190" s="0" t="n">
        <v>0</v>
      </c>
      <c r="AX190" s="0" t="n">
        <v>0</v>
      </c>
      <c r="AY190" s="0" t="n">
        <v>0</v>
      </c>
      <c r="AZ190" s="0" t="n">
        <v>0</v>
      </c>
      <c r="BA190" s="0" t="n">
        <v>0</v>
      </c>
      <c r="BB190" s="0" t="n">
        <v>0</v>
      </c>
      <c r="BC190" s="0" t="n">
        <v>16</v>
      </c>
      <c r="BD190" s="0" t="n">
        <v>27</v>
      </c>
      <c r="BE190" s="0" t="n">
        <v>239</v>
      </c>
      <c r="BF190" s="0" t="n">
        <v>6</v>
      </c>
      <c r="BG190" s="0" t="n">
        <v>352</v>
      </c>
      <c r="BH190" s="0" t="n">
        <v>55</v>
      </c>
      <c r="BI190" s="0" t="n">
        <v>14</v>
      </c>
      <c r="BJ190" s="0" t="n">
        <v>17.8311329407702</v>
      </c>
      <c r="BK190" s="0" t="n">
        <v>0</v>
      </c>
      <c r="BL190" s="0" t="n">
        <v>0</v>
      </c>
      <c r="BM190" s="0" t="n">
        <v>59.9</v>
      </c>
      <c r="BN190" s="0" t="n">
        <v>75.9</v>
      </c>
      <c r="BO190" s="0" t="n">
        <v>14</v>
      </c>
      <c r="BP190" s="0" t="s">
        <v>106</v>
      </c>
      <c r="BQ190" s="0" t="n">
        <v>1</v>
      </c>
      <c r="BR190" s="0" t="n">
        <v>67.9</v>
      </c>
      <c r="BS190" s="0" t="n">
        <v>0.0491</v>
      </c>
      <c r="BT190" s="0" t="n">
        <v>0</v>
      </c>
      <c r="BU190" s="0" t="n">
        <v>0.0958</v>
      </c>
      <c r="BV190" s="0" t="n">
        <v>0.0584</v>
      </c>
      <c r="BW190" s="0" t="n">
        <v>0</v>
      </c>
      <c r="BX190" s="0" t="n">
        <v>0.1171</v>
      </c>
      <c r="BY190" s="0" t="n">
        <v>0.1696</v>
      </c>
      <c r="BZ190" s="0" t="n">
        <v>14</v>
      </c>
      <c r="CA190" s="0" t="n">
        <v>0</v>
      </c>
      <c r="CB190" s="0" t="n">
        <v>11.62</v>
      </c>
      <c r="CC190" s="0" t="n">
        <v>3.35</v>
      </c>
      <c r="CD190" s="0" t="n">
        <v>5.61</v>
      </c>
      <c r="CE190" s="0" t="n">
        <v>0</v>
      </c>
      <c r="CF190" s="0" t="n">
        <v>5</v>
      </c>
      <c r="CG190" s="0" t="n">
        <v>14</v>
      </c>
      <c r="CH190" s="0" t="n">
        <v>0</v>
      </c>
      <c r="CI190" s="0" t="n">
        <v>0.357</v>
      </c>
      <c r="CJ190" s="0" t="n">
        <v>1.674</v>
      </c>
      <c r="CK190" s="0" t="n">
        <v>11</v>
      </c>
      <c r="CL190" s="0" t="n">
        <v>3</v>
      </c>
      <c r="CM190" s="0" t="n">
        <v>2</v>
      </c>
      <c r="CN190" s="0" t="n">
        <v>6</v>
      </c>
      <c r="CO190" s="0" t="n">
        <v>2.711735316336</v>
      </c>
      <c r="CP190" s="0" t="n">
        <v>0</v>
      </c>
      <c r="CQ190" s="0" t="n">
        <v>0</v>
      </c>
      <c r="CR190" s="0" t="n">
        <v>0</v>
      </c>
      <c r="CS190" s="0" t="n">
        <v>0</v>
      </c>
      <c r="CT190" s="0" t="n">
        <v>0</v>
      </c>
      <c r="CU190" s="0" t="n">
        <v>11</v>
      </c>
      <c r="CV190" s="0" t="n">
        <v>3</v>
      </c>
      <c r="CW190" s="0" t="n">
        <v>2</v>
      </c>
      <c r="CX190" s="0" t="n">
        <v>6</v>
      </c>
      <c r="CY190" s="0" t="n">
        <v>2.71</v>
      </c>
      <c r="CZ190" s="0" t="n">
        <v>3.29</v>
      </c>
      <c r="DM190" s="0" t="s">
        <v>1983</v>
      </c>
      <c r="DS190" s="0" t="n">
        <v>27</v>
      </c>
      <c r="DT190" s="0" t="n">
        <v>0</v>
      </c>
      <c r="DU190" s="0" t="n">
        <v>0</v>
      </c>
      <c r="DV190" s="0" t="n">
        <v>11.5</v>
      </c>
      <c r="DW190" s="0" t="n">
        <v>3.438</v>
      </c>
      <c r="DX190" s="0" t="n">
        <v>13.1</v>
      </c>
      <c r="DY190" s="0" t="n">
        <v>0</v>
      </c>
      <c r="DZ190" s="0" t="n">
        <v>436</v>
      </c>
      <c r="EA190" s="0" t="n">
        <v>0.396</v>
      </c>
      <c r="EB190" s="0" t="n">
        <v>17</v>
      </c>
      <c r="EC190" s="0" t="s">
        <v>1984</v>
      </c>
      <c r="ED190" s="0" t="n">
        <v>2025</v>
      </c>
      <c r="EE190" s="0" t="n">
        <v>3</v>
      </c>
      <c r="EF190" s="0" t="n">
        <v>70</v>
      </c>
      <c r="EG190" s="0" t="n">
        <v>2025</v>
      </c>
      <c r="EH190" s="0" t="n">
        <v>2026</v>
      </c>
      <c r="EI190" s="0" t="n">
        <v>2</v>
      </c>
      <c r="EJ190" s="0" t="n">
        <v>76</v>
      </c>
      <c r="EK190" s="0" t="n">
        <v>214</v>
      </c>
      <c r="EL190" s="0" t="s">
        <v>1985</v>
      </c>
      <c r="EM190" s="0" t="n">
        <v>24.5</v>
      </c>
      <c r="EN190" s="15" t="b">
        <f aca="false">FALSE()</f>
        <v>0</v>
      </c>
      <c r="EO190" s="0" t="n">
        <v>407</v>
      </c>
      <c r="EP190" s="0" t="n">
        <v>2.84496314496315</v>
      </c>
      <c r="EQ190" s="0" t="n">
        <v>0.174447174447174</v>
      </c>
      <c r="ER190" s="0" t="n">
        <v>1.23095823095823</v>
      </c>
      <c r="ES190" s="0" t="n">
        <v>1.3022113022113</v>
      </c>
      <c r="ET190" s="0" t="n">
        <v>31</v>
      </c>
      <c r="EU190" s="0" t="n">
        <v>20</v>
      </c>
      <c r="EV190" s="0" t="n">
        <v>4.81081081081081</v>
      </c>
      <c r="EW190" s="0" t="n">
        <v>0.645161290322581</v>
      </c>
      <c r="EX190" s="0" t="n">
        <v>2.99714515277148</v>
      </c>
      <c r="EY190" s="0" t="n">
        <v>2.796</v>
      </c>
      <c r="EZ190" s="0" t="n">
        <v>0.1795</v>
      </c>
      <c r="FA190" s="0" t="n">
        <v>2.844</v>
      </c>
      <c r="FB190" s="0" t="n">
        <v>1.774</v>
      </c>
      <c r="FC190" s="0" t="n">
        <v>23</v>
      </c>
      <c r="FD190" s="0" t="n">
        <v>624</v>
      </c>
      <c r="FE190" s="0" t="n">
        <v>0.0625</v>
      </c>
      <c r="FF190" s="0" t="n">
        <v>0.0608</v>
      </c>
      <c r="FG190" s="0" t="n">
        <v>0.2646</v>
      </c>
      <c r="FH190" s="0" t="n">
        <v>2.297</v>
      </c>
      <c r="FI190" s="0" t="n">
        <v>1051</v>
      </c>
      <c r="FJ190" s="0" t="n">
        <v>0.588962892483349</v>
      </c>
      <c r="FK190" s="0" t="n">
        <v>17</v>
      </c>
      <c r="FL190" s="0" t="n">
        <v>61.82</v>
      </c>
      <c r="FM190" s="0" t="n">
        <v>0.5469</v>
      </c>
      <c r="FN190" s="0" t="n">
        <v>0.4531</v>
      </c>
      <c r="FO190" s="0" t="n">
        <v>-0.0456</v>
      </c>
      <c r="FP190" s="0" t="n">
        <v>-0.0408</v>
      </c>
      <c r="FQ190" s="0" t="n">
        <v>0.1681</v>
      </c>
      <c r="FR190" s="0" t="n">
        <v>38</v>
      </c>
      <c r="FS190" s="0" t="n">
        <v>65</v>
      </c>
      <c r="FT190" s="0" t="n">
        <v>3.82</v>
      </c>
      <c r="FU190" s="0" t="n">
        <v>28.3</v>
      </c>
      <c r="FV190" s="0" t="n">
        <v>5583</v>
      </c>
      <c r="FW190" s="0" t="n">
        <v>2910</v>
      </c>
      <c r="FX190" s="0" t="n">
        <v>0.521</v>
      </c>
      <c r="FY190" s="0" t="n">
        <v>5</v>
      </c>
      <c r="FZ190" s="0" t="n">
        <v>3</v>
      </c>
      <c r="GA190" s="0" t="n">
        <v>-0.00159357402837607</v>
      </c>
      <c r="GB190" s="0" t="n">
        <v>50</v>
      </c>
      <c r="GC190" s="0" t="n">
        <v>44.8</v>
      </c>
      <c r="GD190" s="0" t="n">
        <v>46.7</v>
      </c>
      <c r="GE190" s="0" t="n">
        <v>550</v>
      </c>
      <c r="GF190" s="0" t="n">
        <v>442</v>
      </c>
      <c r="GG190" s="0" t="n">
        <v>79</v>
      </c>
      <c r="GH190" s="0" t="n">
        <v>167</v>
      </c>
      <c r="GI190" s="0" t="n">
        <v>179</v>
      </c>
      <c r="GJ190" s="0" t="n">
        <v>45</v>
      </c>
      <c r="GK190" s="0" t="n">
        <v>0.144</v>
      </c>
      <c r="GL190" s="0" t="n">
        <v>0.378</v>
      </c>
      <c r="GM190" s="0" t="n">
        <v>0.251</v>
      </c>
      <c r="GN190" s="0" t="n">
        <v>5.421</v>
      </c>
      <c r="GO190" s="0" t="n">
        <v>4.85</v>
      </c>
      <c r="GP190" s="0" t="n">
        <v>4.279</v>
      </c>
      <c r="GQ190" s="0" t="n">
        <v>1.929</v>
      </c>
      <c r="GR190" s="0" t="n">
        <v>0</v>
      </c>
      <c r="GS190" s="0" t="n">
        <v>27</v>
      </c>
      <c r="GT190" s="0" t="n">
        <v>2.811</v>
      </c>
      <c r="GU190" s="0" t="n">
        <v>0.174</v>
      </c>
      <c r="GV190" s="0" t="n">
        <v>8.852</v>
      </c>
      <c r="GW190" s="0" t="n">
        <v>14.938</v>
      </c>
      <c r="GX190" s="0" t="n">
        <v>0.593</v>
      </c>
      <c r="GZ190" s="0" t="n">
        <v>13.037</v>
      </c>
      <c r="HA190" s="0" t="n">
        <v>3.438</v>
      </c>
      <c r="HB190" s="0" t="n">
        <v>0.679</v>
      </c>
      <c r="HC190" s="0" t="n">
        <v>0.222</v>
      </c>
      <c r="HE190" s="0" t="n">
        <v>0.66</v>
      </c>
      <c r="HG190" s="0" t="n">
        <v>208.59</v>
      </c>
      <c r="HH190" s="0" t="n">
        <v>26.21</v>
      </c>
      <c r="HI190" s="0" t="n">
        <v>163</v>
      </c>
      <c r="HJ190" s="0" t="n">
        <v>278</v>
      </c>
      <c r="HK190" s="0" t="s">
        <v>909</v>
      </c>
      <c r="HL190" s="0" t="n">
        <v>0</v>
      </c>
      <c r="HM190" s="0" t="n">
        <v>70</v>
      </c>
      <c r="HN190" s="0" t="n">
        <v>77</v>
      </c>
      <c r="HO190" s="0" t="n">
        <v>-0.305</v>
      </c>
      <c r="HP190" s="0" t="n">
        <v>79</v>
      </c>
      <c r="HQ190" s="0" t="n">
        <v>-0.7</v>
      </c>
      <c r="HR190" s="0" t="s">
        <v>102</v>
      </c>
    </row>
    <row r="191" customFormat="false" ht="15" hidden="false" customHeight="false" outlineLevel="0" collapsed="false">
      <c r="A191" s="0" t="s">
        <v>896</v>
      </c>
      <c r="B191" s="0" t="s">
        <v>897</v>
      </c>
      <c r="C191" s="0" t="s">
        <v>898</v>
      </c>
      <c r="D191" s="0" t="s">
        <v>522</v>
      </c>
      <c r="E191" s="0" t="n">
        <v>25885</v>
      </c>
      <c r="F191" s="0" t="s">
        <v>104</v>
      </c>
      <c r="G191" s="0" t="n">
        <v>208.66</v>
      </c>
      <c r="H191" s="0" t="n">
        <v>35.97</v>
      </c>
      <c r="I191" s="0" t="n">
        <v>143</v>
      </c>
      <c r="J191" s="0" t="n">
        <v>290</v>
      </c>
      <c r="L191" s="0" t="s">
        <v>1986</v>
      </c>
      <c r="O191" s="0" t="n">
        <v>10.1</v>
      </c>
      <c r="U191" s="0" t="n">
        <v>11</v>
      </c>
      <c r="V191" s="0" t="s">
        <v>522</v>
      </c>
      <c r="W191" s="0" t="s">
        <v>901</v>
      </c>
      <c r="X191" s="0" t="s">
        <v>115</v>
      </c>
      <c r="Y191" s="0" t="s">
        <v>1987</v>
      </c>
      <c r="Z191" s="0" t="n">
        <v>25885</v>
      </c>
      <c r="AA191" s="0" t="s">
        <v>1988</v>
      </c>
      <c r="AB191" s="0" t="s">
        <v>904</v>
      </c>
      <c r="AC191" s="0" t="s">
        <v>115</v>
      </c>
      <c r="AD191" s="0" t="s">
        <v>115</v>
      </c>
      <c r="AE191" s="0" t="s">
        <v>115</v>
      </c>
      <c r="AF191" s="0" t="s">
        <v>115</v>
      </c>
      <c r="AG191" s="0" t="s">
        <v>115</v>
      </c>
      <c r="AH191" s="0" t="s">
        <v>905</v>
      </c>
      <c r="AI191" s="0" t="n">
        <v>4</v>
      </c>
      <c r="AJ191" s="0" t="s">
        <v>104</v>
      </c>
      <c r="AK191" s="0" t="n">
        <v>190</v>
      </c>
      <c r="AL191" s="0" t="n">
        <v>62</v>
      </c>
      <c r="AM191" s="0" t="s">
        <v>523</v>
      </c>
      <c r="AN191" s="0" t="n">
        <v>0</v>
      </c>
      <c r="AO191" s="0" t="n">
        <v>0</v>
      </c>
      <c r="AP191" s="0" t="n">
        <v>0</v>
      </c>
      <c r="AQ191" s="0" t="n">
        <v>0</v>
      </c>
      <c r="AR191" s="0" t="n">
        <v>0</v>
      </c>
      <c r="AS191" s="0" t="n">
        <v>0</v>
      </c>
      <c r="AT191" s="0" t="n">
        <v>0</v>
      </c>
      <c r="AU191" s="0" t="n">
        <v>0</v>
      </c>
      <c r="AV191" s="0" t="n">
        <v>0</v>
      </c>
      <c r="AW191" s="0" t="n">
        <v>125</v>
      </c>
      <c r="AX191" s="0" t="n">
        <v>496</v>
      </c>
      <c r="AY191" s="0" t="n">
        <v>3</v>
      </c>
      <c r="AZ191" s="0" t="n">
        <v>32</v>
      </c>
      <c r="BA191" s="0" t="n">
        <v>-7.70989854985885</v>
      </c>
      <c r="BB191" s="0" t="n">
        <v>0</v>
      </c>
      <c r="BC191" s="0" t="n">
        <v>15</v>
      </c>
      <c r="BD191" s="0" t="n">
        <v>17</v>
      </c>
      <c r="BE191" s="0" t="n">
        <v>99</v>
      </c>
      <c r="BF191" s="0" t="n">
        <v>0</v>
      </c>
      <c r="BG191" s="0" t="n">
        <v>-32</v>
      </c>
      <c r="BH191" s="0" t="n">
        <v>133</v>
      </c>
      <c r="BI191" s="0" t="n">
        <v>5</v>
      </c>
      <c r="BJ191" s="0" t="n">
        <v>1.01836101008963</v>
      </c>
      <c r="BK191" s="0" t="n">
        <v>0</v>
      </c>
      <c r="BL191" s="0" t="n">
        <v>0</v>
      </c>
      <c r="BM191" s="0" t="n">
        <v>79.5</v>
      </c>
      <c r="BN191" s="0" t="n">
        <v>94.5</v>
      </c>
      <c r="BO191" s="0" t="n">
        <v>17</v>
      </c>
      <c r="BP191" s="0" t="s">
        <v>218</v>
      </c>
      <c r="BQ191" s="0" t="n">
        <v>1</v>
      </c>
      <c r="BR191" s="0" t="n">
        <v>87</v>
      </c>
      <c r="BS191" s="0" t="n">
        <v>0.037</v>
      </c>
      <c r="BT191" s="0" t="n">
        <v>0.2541</v>
      </c>
      <c r="BU191" s="0" t="n">
        <v>-0.0078</v>
      </c>
      <c r="BV191" s="0" t="n">
        <v>0.037</v>
      </c>
      <c r="BW191" s="0" t="n">
        <v>0.2541</v>
      </c>
      <c r="BX191" s="0" t="n">
        <v>-0.0078</v>
      </c>
      <c r="BY191" s="0" t="n">
        <v>0.05</v>
      </c>
      <c r="BZ191" s="0" t="n">
        <v>17</v>
      </c>
      <c r="CA191" s="0" t="n">
        <v>1.4</v>
      </c>
      <c r="CB191" s="0" t="n">
        <v>11.46</v>
      </c>
      <c r="CC191" s="0" t="n">
        <v>2.5</v>
      </c>
      <c r="CD191" s="0" t="n">
        <v>6.94</v>
      </c>
      <c r="CE191" s="0" t="n">
        <v>1</v>
      </c>
      <c r="CF191" s="0" t="n">
        <v>8</v>
      </c>
      <c r="CG191" s="0" t="n">
        <v>17</v>
      </c>
      <c r="CH191" s="0" t="n">
        <v>0.059</v>
      </c>
      <c r="CI191" s="0" t="n">
        <v>0.471</v>
      </c>
      <c r="CJ191" s="0" t="n">
        <v>2.776</v>
      </c>
      <c r="CK191" s="0" t="n">
        <v>2</v>
      </c>
      <c r="CL191" s="0" t="n">
        <v>1</v>
      </c>
      <c r="CM191" s="0" t="n">
        <v>0</v>
      </c>
      <c r="CN191" s="0" t="n">
        <v>0</v>
      </c>
      <c r="CO191" s="0" t="n">
        <v>0.633163772452277</v>
      </c>
      <c r="CP191" s="0" t="n">
        <v>24</v>
      </c>
      <c r="CQ191" s="0" t="n">
        <v>8</v>
      </c>
      <c r="CR191" s="0" t="n">
        <v>4</v>
      </c>
      <c r="CS191" s="0" t="n">
        <v>3</v>
      </c>
      <c r="CT191" s="0" t="n">
        <v>3.54503030287182</v>
      </c>
      <c r="CU191" s="0" t="n">
        <v>26</v>
      </c>
      <c r="CV191" s="0" t="n">
        <v>9</v>
      </c>
      <c r="CW191" s="0" t="n">
        <v>4</v>
      </c>
      <c r="CX191" s="0" t="n">
        <v>3</v>
      </c>
      <c r="CY191" s="0" t="n">
        <v>4.18</v>
      </c>
      <c r="CZ191" s="0" t="n">
        <v>-1.18</v>
      </c>
      <c r="DG191" s="0" t="n">
        <v>3.85014112903226</v>
      </c>
      <c r="DH191" s="0" t="n">
        <v>28</v>
      </c>
      <c r="DI191" s="0" t="n">
        <v>2.55570689655173</v>
      </c>
      <c r="DJ191" s="0" t="n">
        <v>-26.7278757715336</v>
      </c>
      <c r="DK191" s="0" t="n">
        <v>-0.213823006172269</v>
      </c>
      <c r="DL191" s="0" t="n">
        <v>0.384</v>
      </c>
      <c r="DM191" s="0" t="s">
        <v>1989</v>
      </c>
      <c r="DN191" s="0" t="n">
        <v>125</v>
      </c>
      <c r="DO191" s="0" t="n">
        <v>7</v>
      </c>
      <c r="DP191" s="0" t="n">
        <v>1.736</v>
      </c>
      <c r="DQ191" s="0" t="n">
        <v>2.232</v>
      </c>
      <c r="DR191" s="0" t="n">
        <v>17.86</v>
      </c>
      <c r="DS191" s="0" t="n">
        <v>17</v>
      </c>
      <c r="DT191" s="0" t="n">
        <v>2</v>
      </c>
      <c r="DU191" s="0" t="n">
        <v>1</v>
      </c>
      <c r="DV191" s="0" t="n">
        <v>-2.267</v>
      </c>
      <c r="DW191" s="0" t="n">
        <v>8.867</v>
      </c>
      <c r="DX191" s="0" t="n">
        <v>-1.9</v>
      </c>
      <c r="DY191" s="0" t="n">
        <v>0.0588</v>
      </c>
      <c r="DZ191" s="0" t="n">
        <v>326</v>
      </c>
      <c r="EA191" s="0" t="n">
        <v>0.311</v>
      </c>
      <c r="EB191" s="0" t="n">
        <v>17</v>
      </c>
      <c r="EC191" s="0" t="s">
        <v>1990</v>
      </c>
      <c r="EG191" s="0" t="n">
        <v>2023</v>
      </c>
      <c r="EH191" s="0" t="n">
        <v>2026</v>
      </c>
      <c r="EI191" s="0" t="n">
        <v>4</v>
      </c>
      <c r="EJ191" s="0" t="n">
        <v>70</v>
      </c>
      <c r="EK191" s="0" t="n">
        <v>226</v>
      </c>
      <c r="EL191" s="0" t="s">
        <v>1991</v>
      </c>
      <c r="EM191" s="0" t="n">
        <v>27.3</v>
      </c>
      <c r="EN191" s="15" t="b">
        <f aca="false">FALSE()</f>
        <v>0</v>
      </c>
      <c r="EO191" s="0" t="n">
        <v>435</v>
      </c>
      <c r="EP191" s="0" t="n">
        <v>2.8048275862069</v>
      </c>
      <c r="EQ191" s="0" t="n">
        <v>0.204597701149425</v>
      </c>
      <c r="ER191" s="0" t="n">
        <v>1.20689655172414</v>
      </c>
      <c r="ES191" s="0" t="n">
        <v>0.809195402298851</v>
      </c>
      <c r="ET191" s="0" t="n">
        <v>31</v>
      </c>
      <c r="EU191" s="0" t="n">
        <v>19</v>
      </c>
      <c r="EV191" s="0" t="n">
        <v>4.26666666666667</v>
      </c>
      <c r="EW191" s="0" t="n">
        <v>0.612903225806452</v>
      </c>
      <c r="EX191" s="0" t="n">
        <v>2.99550865366612</v>
      </c>
      <c r="EY191" s="0" t="n">
        <v>2.758</v>
      </c>
      <c r="EZ191" s="0" t="n">
        <v>0.2121</v>
      </c>
      <c r="FA191" s="0" t="n">
        <v>2.477</v>
      </c>
      <c r="FB191" s="0" t="n">
        <v>1.657</v>
      </c>
      <c r="FC191" s="0" t="n">
        <v>42</v>
      </c>
      <c r="FD191" s="0" t="n">
        <v>518</v>
      </c>
      <c r="FE191" s="0" t="n">
        <v>0.0521235521235521</v>
      </c>
      <c r="FF191" s="0" t="n">
        <v>0.0535</v>
      </c>
      <c r="FG191" s="0" t="n">
        <v>0.2266</v>
      </c>
      <c r="FH191" s="0" t="n">
        <v>2.4</v>
      </c>
      <c r="FI191" s="0" t="n">
        <v>997</v>
      </c>
      <c r="FJ191" s="0" t="n">
        <v>0.507522567703109</v>
      </c>
      <c r="FK191" s="0" t="n">
        <v>17</v>
      </c>
      <c r="FL191" s="0" t="n">
        <v>58.65</v>
      </c>
      <c r="FM191" s="0" t="n">
        <v>0.5204</v>
      </c>
      <c r="FN191" s="0" t="n">
        <v>0.4796</v>
      </c>
      <c r="FO191" s="0" t="n">
        <v>-0.0677</v>
      </c>
      <c r="FP191" s="0" t="n">
        <v>-0.0491</v>
      </c>
      <c r="FQ191" s="0" t="n">
        <v>0.1122</v>
      </c>
      <c r="FR191" s="0" t="n">
        <v>39</v>
      </c>
      <c r="FS191" s="0" t="n">
        <v>60</v>
      </c>
      <c r="FT191" s="0" t="n">
        <v>3.53</v>
      </c>
      <c r="FU191" s="0" t="n">
        <v>28.4</v>
      </c>
      <c r="FV191" s="0" t="n">
        <v>5338</v>
      </c>
      <c r="FW191" s="0" t="n">
        <v>5026</v>
      </c>
      <c r="FX191" s="0" t="n">
        <v>0.942</v>
      </c>
      <c r="FY191" s="0" t="n">
        <v>5</v>
      </c>
      <c r="FZ191" s="0" t="n">
        <v>5</v>
      </c>
      <c r="GA191" s="0" t="n">
        <v>-0.594571744764181</v>
      </c>
      <c r="GB191" s="0" t="n">
        <v>39.3</v>
      </c>
      <c r="GC191" s="0" t="n">
        <v>60.5</v>
      </c>
      <c r="GD191" s="0" t="n">
        <v>49.9</v>
      </c>
      <c r="GE191" s="0" t="n">
        <v>455</v>
      </c>
      <c r="GF191" s="0" t="n">
        <v>507</v>
      </c>
      <c r="GG191" s="0" t="n">
        <v>39</v>
      </c>
      <c r="GH191" s="0" t="n">
        <v>221</v>
      </c>
      <c r="GI191" s="0" t="n">
        <v>158</v>
      </c>
      <c r="GJ191" s="0" t="n">
        <v>37</v>
      </c>
      <c r="GK191" s="0" t="n">
        <v>0.086</v>
      </c>
      <c r="GL191" s="0" t="n">
        <v>0.436</v>
      </c>
      <c r="GM191" s="0" t="n">
        <v>0.234</v>
      </c>
      <c r="GN191" s="0" t="n">
        <v>5.559</v>
      </c>
      <c r="GO191" s="0" t="n">
        <v>5.118</v>
      </c>
      <c r="GP191" s="0" t="n">
        <v>4.676</v>
      </c>
      <c r="GQ191" s="0" t="n">
        <v>1</v>
      </c>
      <c r="GR191" s="0" t="n">
        <v>7.353</v>
      </c>
      <c r="GS191" s="0" t="n">
        <v>142</v>
      </c>
      <c r="GT191" s="0" t="n">
        <v>0.665</v>
      </c>
      <c r="GU191" s="0" t="n">
        <v>0.29</v>
      </c>
      <c r="GV191" s="0" t="n">
        <v>5.824</v>
      </c>
      <c r="GW191" s="0" t="n">
        <v>6.6</v>
      </c>
      <c r="GX191" s="0" t="n">
        <v>0.882</v>
      </c>
      <c r="GY191" s="0" t="n">
        <v>3.968</v>
      </c>
      <c r="GZ191" s="0" t="n">
        <v>-1.882</v>
      </c>
      <c r="HA191" s="0" t="n">
        <v>8.867</v>
      </c>
      <c r="HB191" s="0" t="n">
        <v>-3.094</v>
      </c>
      <c r="HC191" s="0" t="n">
        <v>0.021</v>
      </c>
      <c r="HD191" s="0" t="n">
        <v>-0.062</v>
      </c>
      <c r="HE191" s="0" t="n">
        <v>0.06</v>
      </c>
      <c r="HG191" s="0" t="n">
        <v>208.66</v>
      </c>
      <c r="HH191" s="0" t="n">
        <v>35.97</v>
      </c>
      <c r="HI191" s="0" t="n">
        <v>143</v>
      </c>
      <c r="HJ191" s="0" t="n">
        <v>290</v>
      </c>
      <c r="HK191" s="0" t="s">
        <v>909</v>
      </c>
      <c r="HL191" s="0" t="n">
        <v>0</v>
      </c>
      <c r="HM191" s="0" t="n">
        <v>46</v>
      </c>
      <c r="HN191" s="0" t="n">
        <v>62</v>
      </c>
      <c r="HO191" s="0" t="n">
        <v>0.215</v>
      </c>
      <c r="HP191" s="0" t="n">
        <v>53</v>
      </c>
      <c r="HQ191" s="0" t="n">
        <v>-0.092</v>
      </c>
      <c r="HR191" s="0" t="s">
        <v>102</v>
      </c>
    </row>
    <row r="192" customFormat="false" ht="15" hidden="false" customHeight="false" outlineLevel="0" collapsed="false">
      <c r="A192" s="0" t="s">
        <v>896</v>
      </c>
      <c r="B192" s="0" t="s">
        <v>897</v>
      </c>
      <c r="C192" s="0" t="s">
        <v>898</v>
      </c>
      <c r="D192" s="0" t="s">
        <v>524</v>
      </c>
      <c r="E192" s="0" t="n">
        <v>19810</v>
      </c>
      <c r="F192" s="0" t="s">
        <v>99</v>
      </c>
      <c r="G192" s="0" t="n">
        <v>208.67</v>
      </c>
      <c r="H192" s="0" t="n">
        <v>25.21</v>
      </c>
      <c r="I192" s="0" t="n">
        <v>136</v>
      </c>
      <c r="J192" s="0" t="n">
        <v>296</v>
      </c>
      <c r="L192" s="0" t="s">
        <v>1992</v>
      </c>
      <c r="O192" s="0" t="n">
        <v>11.2</v>
      </c>
      <c r="U192" s="0" t="n">
        <v>8</v>
      </c>
      <c r="V192" s="0" t="s">
        <v>524</v>
      </c>
      <c r="W192" s="0" t="s">
        <v>901</v>
      </c>
      <c r="X192" s="0" t="s">
        <v>178</v>
      </c>
      <c r="Y192" s="0" t="s">
        <v>1993</v>
      </c>
      <c r="Z192" s="0" t="n">
        <v>19810</v>
      </c>
      <c r="AA192" s="0" t="s">
        <v>1994</v>
      </c>
      <c r="AB192" s="0" t="s">
        <v>904</v>
      </c>
      <c r="AC192" s="0" t="s">
        <v>178</v>
      </c>
      <c r="AD192" s="0" t="s">
        <v>178</v>
      </c>
      <c r="AE192" s="0" t="s">
        <v>178</v>
      </c>
      <c r="AF192" s="0" t="s">
        <v>178</v>
      </c>
      <c r="AG192" s="0" t="s">
        <v>178</v>
      </c>
      <c r="AH192" s="0" t="s">
        <v>905</v>
      </c>
      <c r="AI192" s="0" t="n">
        <v>4</v>
      </c>
      <c r="AJ192" s="0" t="s">
        <v>99</v>
      </c>
      <c r="AK192" s="0" t="n">
        <v>191</v>
      </c>
      <c r="AL192" s="0" t="n">
        <v>78</v>
      </c>
      <c r="AM192" s="0" t="s">
        <v>525</v>
      </c>
      <c r="AN192" s="0" t="n">
        <v>0</v>
      </c>
      <c r="AO192" s="0" t="n">
        <v>0</v>
      </c>
      <c r="AP192" s="0" t="n">
        <v>0</v>
      </c>
      <c r="AQ192" s="0" t="n">
        <v>0</v>
      </c>
      <c r="AR192" s="0" t="n">
        <v>0</v>
      </c>
      <c r="AS192" s="0" t="n">
        <v>0</v>
      </c>
      <c r="AT192" s="0" t="n">
        <v>0</v>
      </c>
      <c r="AU192" s="0" t="n">
        <v>0</v>
      </c>
      <c r="AV192" s="0" t="n">
        <v>0</v>
      </c>
      <c r="AW192" s="0" t="n">
        <v>0</v>
      </c>
      <c r="AX192" s="0" t="n">
        <v>0</v>
      </c>
      <c r="AY192" s="0" t="n">
        <v>0</v>
      </c>
      <c r="AZ192" s="0" t="n">
        <v>0</v>
      </c>
      <c r="BA192" s="0" t="n">
        <v>0</v>
      </c>
      <c r="BB192" s="0" t="n">
        <v>0</v>
      </c>
      <c r="BC192" s="0" t="n">
        <v>32</v>
      </c>
      <c r="BD192" s="0" t="n">
        <v>72</v>
      </c>
      <c r="BE192" s="0" t="n">
        <v>443</v>
      </c>
      <c r="BF192" s="0" t="n">
        <v>1</v>
      </c>
      <c r="BG192" s="0" t="n">
        <v>1019</v>
      </c>
      <c r="BH192" s="0" t="n">
        <v>73</v>
      </c>
      <c r="BI192" s="0" t="n">
        <v>25</v>
      </c>
      <c r="BJ192" s="0" t="n">
        <v>3.66791751146961</v>
      </c>
      <c r="BK192" s="0" t="n">
        <v>0</v>
      </c>
      <c r="BL192" s="0" t="n">
        <v>0</v>
      </c>
      <c r="BM192" s="0" t="n">
        <v>50.3</v>
      </c>
      <c r="BN192" s="0" t="n">
        <v>82.3</v>
      </c>
      <c r="BO192" s="0" t="n">
        <v>15</v>
      </c>
      <c r="BP192" s="0" t="s">
        <v>112</v>
      </c>
      <c r="BQ192" s="0" t="n">
        <v>1</v>
      </c>
      <c r="BR192" s="0" t="n">
        <v>66.3</v>
      </c>
      <c r="BS192" s="0" t="n">
        <v>0.1387</v>
      </c>
      <c r="BT192" s="0" t="n">
        <v>0</v>
      </c>
      <c r="BU192" s="0" t="n">
        <v>0.2435</v>
      </c>
      <c r="BV192" s="0" t="n">
        <v>0.1614</v>
      </c>
      <c r="BW192" s="0" t="n">
        <v>0</v>
      </c>
      <c r="BX192" s="0" t="n">
        <v>0.2777</v>
      </c>
      <c r="BY192" s="0" t="n">
        <v>0.4365</v>
      </c>
      <c r="BZ192" s="0" t="n">
        <v>15</v>
      </c>
      <c r="CA192" s="0" t="n">
        <v>2.6</v>
      </c>
      <c r="CB192" s="0" t="n">
        <v>8.21</v>
      </c>
      <c r="CC192" s="0" t="n">
        <v>4.5</v>
      </c>
      <c r="CD192" s="0" t="n">
        <v>3.83</v>
      </c>
      <c r="CE192" s="0" t="n">
        <v>0</v>
      </c>
      <c r="CF192" s="0" t="n">
        <v>2</v>
      </c>
      <c r="CG192" s="0" t="n">
        <v>15</v>
      </c>
      <c r="CH192" s="0" t="n">
        <v>0</v>
      </c>
      <c r="CI192" s="0" t="n">
        <v>0.133</v>
      </c>
      <c r="CJ192" s="0" t="n">
        <v>0.85</v>
      </c>
      <c r="CK192" s="0" t="n">
        <v>8</v>
      </c>
      <c r="CL192" s="0" t="n">
        <v>3</v>
      </c>
      <c r="CM192" s="0" t="n">
        <v>1</v>
      </c>
      <c r="CN192" s="0" t="n">
        <v>1</v>
      </c>
      <c r="CO192" s="0" t="n">
        <v>2.67951865662982</v>
      </c>
      <c r="CP192" s="0" t="n">
        <v>0</v>
      </c>
      <c r="CQ192" s="0" t="n">
        <v>0</v>
      </c>
      <c r="CR192" s="0" t="n">
        <v>0</v>
      </c>
      <c r="CS192" s="0" t="n">
        <v>0</v>
      </c>
      <c r="CT192" s="0" t="n">
        <v>0</v>
      </c>
      <c r="CU192" s="0" t="n">
        <v>8</v>
      </c>
      <c r="CV192" s="0" t="n">
        <v>3</v>
      </c>
      <c r="CW192" s="0" t="n">
        <v>1</v>
      </c>
      <c r="CX192" s="0" t="n">
        <v>1</v>
      </c>
      <c r="CY192" s="0" t="n">
        <v>2.68</v>
      </c>
      <c r="CZ192" s="0" t="n">
        <v>-1.68</v>
      </c>
      <c r="DA192" s="0" t="n">
        <v>3.01819061588223</v>
      </c>
      <c r="DB192" s="0" t="n">
        <v>6.56930555555556</v>
      </c>
      <c r="DC192" s="0" t="n">
        <v>14.1677777777778</v>
      </c>
      <c r="DD192" s="0" t="n">
        <v>24.9518125336334</v>
      </c>
      <c r="DE192" s="0" t="n">
        <v>-0.225242910169132</v>
      </c>
      <c r="DF192" s="0" t="n">
        <v>44.4444444444444</v>
      </c>
      <c r="DM192" s="0" t="s">
        <v>1995</v>
      </c>
      <c r="DS192" s="0" t="n">
        <v>72</v>
      </c>
      <c r="DT192" s="0" t="n">
        <v>1</v>
      </c>
      <c r="DU192" s="0" t="n">
        <v>5</v>
      </c>
      <c r="DV192" s="0" t="n">
        <v>11.562</v>
      </c>
      <c r="DW192" s="0" t="n">
        <v>2.281</v>
      </c>
      <c r="DX192" s="0" t="n">
        <v>13.9</v>
      </c>
      <c r="DY192" s="0" t="n">
        <v>0.0694</v>
      </c>
      <c r="DZ192" s="0" t="n">
        <v>778</v>
      </c>
      <c r="EA192" s="0" t="n">
        <v>0.819</v>
      </c>
      <c r="EB192" s="0" t="n">
        <v>15</v>
      </c>
      <c r="EC192" s="0" t="s">
        <v>1996</v>
      </c>
      <c r="ED192" s="0" t="n">
        <v>2020</v>
      </c>
      <c r="EE192" s="0" t="n">
        <v>5</v>
      </c>
      <c r="EF192" s="0" t="n">
        <v>173</v>
      </c>
      <c r="EG192" s="0" t="n">
        <v>2020</v>
      </c>
      <c r="EH192" s="0" t="n">
        <v>2026</v>
      </c>
      <c r="EI192" s="0" t="n">
        <v>7</v>
      </c>
      <c r="EJ192" s="0" t="n">
        <v>71</v>
      </c>
      <c r="EK192" s="0" t="n">
        <v>180</v>
      </c>
      <c r="EL192" s="0" t="s">
        <v>1722</v>
      </c>
      <c r="EM192" s="0" t="n">
        <v>28.8</v>
      </c>
      <c r="EN192" s="15" t="b">
        <f aca="false">FALSE()</f>
        <v>0</v>
      </c>
      <c r="EO192" s="0" t="n">
        <v>396</v>
      </c>
      <c r="EP192" s="0" t="n">
        <v>2.99646464646465</v>
      </c>
      <c r="EQ192" s="0" t="n">
        <v>0.146464646464647</v>
      </c>
      <c r="ER192" s="0" t="n">
        <v>1.08080808080808</v>
      </c>
      <c r="ES192" s="0" t="n">
        <v>0.441919191919192</v>
      </c>
      <c r="ET192" s="0" t="n">
        <v>24</v>
      </c>
      <c r="EU192" s="0" t="n">
        <v>15</v>
      </c>
      <c r="EV192" s="0" t="n">
        <v>4.00757575757576</v>
      </c>
      <c r="EW192" s="0" t="n">
        <v>0.625</v>
      </c>
      <c r="EX192" s="0" t="n">
        <v>2.97085160992848</v>
      </c>
      <c r="EY192" s="0" t="n">
        <v>2.974</v>
      </c>
      <c r="EZ192" s="0" t="n">
        <v>0.1475</v>
      </c>
      <c r="FA192" s="0" t="n">
        <v>2.714</v>
      </c>
      <c r="FB192" s="0" t="n">
        <v>1.581</v>
      </c>
      <c r="FC192" s="0" t="n">
        <v>16</v>
      </c>
      <c r="FD192" s="0" t="n">
        <v>624</v>
      </c>
      <c r="FE192" s="0" t="n">
        <v>0.0769230769230769</v>
      </c>
      <c r="FF192" s="0" t="n">
        <v>0.076</v>
      </c>
      <c r="FG192" s="0" t="n">
        <v>0.2947</v>
      </c>
      <c r="FH192" s="0" t="n">
        <v>2.388</v>
      </c>
      <c r="FI192" s="0" t="n">
        <v>1079</v>
      </c>
      <c r="FJ192" s="0" t="n">
        <v>0.533827618164968</v>
      </c>
      <c r="FK192" s="0" t="n">
        <v>17</v>
      </c>
      <c r="FL192" s="0" t="n">
        <v>63.47</v>
      </c>
      <c r="FM192" s="0" t="n">
        <v>0.494</v>
      </c>
      <c r="FN192" s="0" t="n">
        <v>0.506</v>
      </c>
      <c r="FO192" s="0" t="n">
        <v>-0.0466</v>
      </c>
      <c r="FP192" s="0" t="n">
        <v>0.0356</v>
      </c>
      <c r="FQ192" s="0" t="n">
        <v>-0.008</v>
      </c>
      <c r="FR192" s="0" t="n">
        <v>36</v>
      </c>
      <c r="FS192" s="0" t="n">
        <v>61</v>
      </c>
      <c r="FT192" s="0" t="n">
        <v>3.59</v>
      </c>
      <c r="FU192" s="0" t="n">
        <v>22.4</v>
      </c>
      <c r="FV192" s="0" t="n">
        <v>5756</v>
      </c>
      <c r="FW192" s="0" t="n">
        <v>4159</v>
      </c>
      <c r="FX192" s="0" t="n">
        <v>0.723</v>
      </c>
      <c r="FY192" s="0" t="n">
        <v>5</v>
      </c>
      <c r="FZ192" s="0" t="n">
        <v>4</v>
      </c>
      <c r="GA192" s="0" t="n">
        <v>0.375872277758655</v>
      </c>
      <c r="GB192" s="0" t="n">
        <v>56.8</v>
      </c>
      <c r="GC192" s="0" t="n">
        <v>36.8</v>
      </c>
      <c r="GD192" s="0" t="n">
        <v>45.9</v>
      </c>
      <c r="GE192" s="0" t="n">
        <v>503</v>
      </c>
      <c r="GF192" s="0" t="n">
        <v>511</v>
      </c>
      <c r="GG192" s="0" t="n">
        <v>177</v>
      </c>
      <c r="GH192" s="0" t="n">
        <v>3</v>
      </c>
      <c r="GI192" s="0" t="n">
        <v>162</v>
      </c>
      <c r="GJ192" s="0" t="n">
        <v>21</v>
      </c>
      <c r="GK192" s="0" t="n">
        <v>0.352</v>
      </c>
      <c r="GL192" s="0" t="n">
        <v>0.006</v>
      </c>
      <c r="GM192" s="0" t="n">
        <v>0.13</v>
      </c>
      <c r="GN192" s="0" t="n">
        <v>5.487</v>
      </c>
      <c r="GO192" s="0" t="n">
        <v>4.42</v>
      </c>
      <c r="GP192" s="0" t="n">
        <v>3.353</v>
      </c>
      <c r="GQ192" s="0" t="n">
        <v>4.8</v>
      </c>
      <c r="GR192" s="0" t="n">
        <v>0</v>
      </c>
      <c r="GS192" s="0" t="n">
        <v>72</v>
      </c>
      <c r="GT192" s="0" t="n">
        <v>1.143</v>
      </c>
      <c r="GU192" s="0" t="n">
        <v>0.106</v>
      </c>
      <c r="GV192" s="0" t="n">
        <v>6.153</v>
      </c>
      <c r="GW192" s="0" t="n">
        <v>13.844</v>
      </c>
      <c r="GX192" s="0" t="n">
        <v>0.444</v>
      </c>
      <c r="GZ192" s="0" t="n">
        <v>14.153</v>
      </c>
      <c r="HA192" s="0" t="n">
        <v>2.281</v>
      </c>
      <c r="HB192" s="0" t="n">
        <v>0.435</v>
      </c>
      <c r="HC192" s="0" t="n">
        <v>0.014</v>
      </c>
      <c r="HE192" s="0" t="n">
        <v>0.051</v>
      </c>
      <c r="HG192" s="0" t="n">
        <v>208.67</v>
      </c>
      <c r="HH192" s="0" t="n">
        <v>25.21</v>
      </c>
      <c r="HI192" s="0" t="n">
        <v>136</v>
      </c>
      <c r="HJ192" s="0" t="n">
        <v>296</v>
      </c>
      <c r="HK192" s="0" t="s">
        <v>909</v>
      </c>
      <c r="HL192" s="0" t="n">
        <v>0</v>
      </c>
      <c r="HM192" s="0" t="n">
        <v>68</v>
      </c>
      <c r="HN192" s="0" t="n">
        <v>78</v>
      </c>
      <c r="HO192" s="0" t="n">
        <v>-0.182</v>
      </c>
      <c r="HP192" s="0" t="n">
        <v>78</v>
      </c>
      <c r="HQ192" s="0" t="n">
        <v>-0.621</v>
      </c>
      <c r="HR192" s="0" t="s">
        <v>102</v>
      </c>
    </row>
    <row r="193" customFormat="false" ht="15" hidden="false" customHeight="false" outlineLevel="0" collapsed="false">
      <c r="A193" s="0" t="s">
        <v>896</v>
      </c>
      <c r="B193" s="0" t="s">
        <v>897</v>
      </c>
      <c r="C193" s="0" t="s">
        <v>898</v>
      </c>
      <c r="D193" s="0" t="s">
        <v>526</v>
      </c>
      <c r="E193" s="0" t="n">
        <v>25361</v>
      </c>
      <c r="F193" s="0" t="s">
        <v>99</v>
      </c>
      <c r="G193" s="0" t="n">
        <v>214.57</v>
      </c>
      <c r="H193" s="0" t="n">
        <v>27.67</v>
      </c>
      <c r="I193" s="0" t="n">
        <v>150</v>
      </c>
      <c r="J193" s="0" t="n">
        <v>281</v>
      </c>
      <c r="L193" s="0" t="s">
        <v>1997</v>
      </c>
      <c r="O193" s="0" t="n">
        <v>20.4</v>
      </c>
      <c r="U193" s="0" t="n">
        <v>8</v>
      </c>
      <c r="V193" s="0" t="s">
        <v>526</v>
      </c>
      <c r="W193" s="0" t="s">
        <v>901</v>
      </c>
      <c r="X193" s="0" t="s">
        <v>139</v>
      </c>
      <c r="Y193" s="0" t="s">
        <v>1998</v>
      </c>
      <c r="Z193" s="0" t="n">
        <v>25361</v>
      </c>
      <c r="AA193" s="0" t="s">
        <v>1999</v>
      </c>
      <c r="AB193" s="0" t="s">
        <v>904</v>
      </c>
      <c r="AC193" s="0" t="s">
        <v>139</v>
      </c>
      <c r="AD193" s="0" t="s">
        <v>139</v>
      </c>
      <c r="AE193" s="0" t="s">
        <v>139</v>
      </c>
      <c r="AF193" s="0" t="s">
        <v>139</v>
      </c>
      <c r="AG193" s="0" t="s">
        <v>139</v>
      </c>
      <c r="AH193" s="0" t="s">
        <v>905</v>
      </c>
      <c r="AI193" s="0" t="n">
        <v>2</v>
      </c>
      <c r="AJ193" s="0" t="s">
        <v>270</v>
      </c>
      <c r="AK193" s="0" t="n">
        <v>192</v>
      </c>
      <c r="AL193" s="0" t="n">
        <v>79</v>
      </c>
      <c r="AM193" s="0" t="s">
        <v>527</v>
      </c>
      <c r="EC193" s="0" t="s">
        <v>2000</v>
      </c>
      <c r="ED193" s="0" t="n">
        <v>2023</v>
      </c>
      <c r="EE193" s="0" t="n">
        <v>3</v>
      </c>
      <c r="EF193" s="0" t="n">
        <v>69</v>
      </c>
      <c r="EG193" s="0" t="n">
        <v>2023</v>
      </c>
      <c r="EH193" s="0" t="n">
        <v>2026</v>
      </c>
      <c r="EI193" s="0" t="n">
        <v>4</v>
      </c>
      <c r="EJ193" s="0" t="n">
        <v>70</v>
      </c>
      <c r="EK193" s="0" t="n">
        <v>165</v>
      </c>
      <c r="EL193" s="0" t="s">
        <v>2001</v>
      </c>
      <c r="EM193" s="0" t="n">
        <v>26.8</v>
      </c>
      <c r="EN193" s="15" t="b">
        <f aca="false">FALSE()</f>
        <v>0</v>
      </c>
      <c r="EO193" s="0" t="n">
        <v>399</v>
      </c>
      <c r="EP193" s="0" t="n">
        <v>2.7453634085213</v>
      </c>
      <c r="EQ193" s="0" t="n">
        <v>0.203007518796993</v>
      </c>
      <c r="ER193" s="0" t="n">
        <v>1.1077694235589</v>
      </c>
      <c r="ES193" s="0" t="n">
        <v>0.496240601503759</v>
      </c>
      <c r="ET193" s="0" t="n">
        <v>35</v>
      </c>
      <c r="EU193" s="0" t="n">
        <v>17</v>
      </c>
      <c r="EV193" s="0" t="n">
        <v>3.83709273182957</v>
      </c>
      <c r="EW193" s="0" t="n">
        <v>0.485714285714286</v>
      </c>
      <c r="EX193" s="0" t="n">
        <v>2.88168562194261</v>
      </c>
      <c r="EY193" s="0" t="n">
        <v>2.812</v>
      </c>
      <c r="EZ193" s="0" t="n">
        <v>0.1937</v>
      </c>
      <c r="FA193" s="0" t="n">
        <v>2.099</v>
      </c>
      <c r="FB193" s="0" t="n">
        <v>1.8</v>
      </c>
      <c r="FC193" s="0" t="n">
        <v>23</v>
      </c>
      <c r="FD193" s="0" t="n">
        <v>643</v>
      </c>
      <c r="FE193" s="0" t="n">
        <v>0.0482115085536547</v>
      </c>
      <c r="FF193" s="0" t="n">
        <v>0.0526</v>
      </c>
      <c r="FG193" s="0" t="n">
        <v>0.2216</v>
      </c>
      <c r="FH193" s="0" t="n">
        <v>2.345</v>
      </c>
      <c r="FI193" s="0" t="n">
        <v>1078</v>
      </c>
      <c r="FJ193" s="0" t="n">
        <v>0.570500927643785</v>
      </c>
      <c r="FK193" s="0" t="n">
        <v>17</v>
      </c>
      <c r="FL193" s="0" t="n">
        <v>63.41</v>
      </c>
      <c r="FM193" s="0" t="n">
        <v>0.5638</v>
      </c>
      <c r="FN193" s="0" t="n">
        <v>0.4362</v>
      </c>
      <c r="FO193" s="0" t="n">
        <v>-0.0098</v>
      </c>
      <c r="FP193" s="0" t="n">
        <v>-0.0779</v>
      </c>
      <c r="FQ193" s="0" t="n">
        <v>0.036</v>
      </c>
      <c r="FR193" s="0" t="n">
        <v>38</v>
      </c>
      <c r="FS193" s="0" t="n">
        <v>58</v>
      </c>
      <c r="FT193" s="0" t="n">
        <v>3.41</v>
      </c>
      <c r="FU193" s="0" t="n">
        <v>23.8</v>
      </c>
      <c r="FV193" s="0" t="n">
        <v>6010</v>
      </c>
      <c r="FW193" s="0" t="n">
        <v>4286</v>
      </c>
      <c r="FX193" s="0" t="n">
        <v>0.713</v>
      </c>
      <c r="FY193" s="0" t="n">
        <v>5</v>
      </c>
      <c r="FZ193" s="0" t="n">
        <v>2</v>
      </c>
      <c r="GA193" s="0" t="n">
        <v>-0.878307115745538</v>
      </c>
      <c r="GB193" s="0" t="n">
        <v>34.1</v>
      </c>
      <c r="GC193" s="0" t="n">
        <v>59.3</v>
      </c>
      <c r="GD193" s="0" t="n">
        <v>45.8</v>
      </c>
      <c r="GE193" s="0" t="n">
        <v>553</v>
      </c>
      <c r="GF193" s="0" t="n">
        <v>475</v>
      </c>
      <c r="GG193" s="0" t="n">
        <v>82</v>
      </c>
      <c r="GH193" s="0" t="n">
        <v>21</v>
      </c>
      <c r="GI193" s="0" t="n">
        <v>150</v>
      </c>
      <c r="GJ193" s="0" t="n">
        <v>18</v>
      </c>
      <c r="GK193" s="0" t="n">
        <v>0.148</v>
      </c>
      <c r="GL193" s="0" t="n">
        <v>0.044</v>
      </c>
      <c r="GM193" s="0" t="n">
        <v>0.12</v>
      </c>
      <c r="GS193" s="0" t="n">
        <v>0</v>
      </c>
      <c r="HF193" s="0" t="s">
        <v>354</v>
      </c>
      <c r="HG193" s="0" t="n">
        <v>214.57</v>
      </c>
      <c r="HH193" s="0" t="n">
        <v>27.67</v>
      </c>
      <c r="HI193" s="0" t="n">
        <v>150</v>
      </c>
      <c r="HJ193" s="0" t="n">
        <v>281</v>
      </c>
      <c r="HK193" s="0" t="s">
        <v>909</v>
      </c>
      <c r="HL193" s="0" t="n">
        <v>0</v>
      </c>
      <c r="HN193" s="0" t="n">
        <v>79</v>
      </c>
    </row>
    <row r="194" customFormat="false" ht="15" hidden="false" customHeight="false" outlineLevel="0" collapsed="false">
      <c r="A194" s="0" t="s">
        <v>896</v>
      </c>
      <c r="B194" s="0" t="s">
        <v>897</v>
      </c>
      <c r="C194" s="0" t="s">
        <v>898</v>
      </c>
      <c r="D194" s="0" t="s">
        <v>528</v>
      </c>
      <c r="E194" s="0" t="n">
        <v>24343</v>
      </c>
      <c r="F194" s="0" t="s">
        <v>104</v>
      </c>
      <c r="G194" s="0" t="n">
        <v>216.81</v>
      </c>
      <c r="H194" s="0" t="n">
        <v>42.14</v>
      </c>
      <c r="I194" s="0" t="n">
        <v>135</v>
      </c>
      <c r="J194" s="0" t="n">
        <v>323</v>
      </c>
      <c r="L194" s="0" t="s">
        <v>2002</v>
      </c>
      <c r="O194" s="0" t="n">
        <v>17</v>
      </c>
      <c r="U194" s="0" t="n">
        <v>9</v>
      </c>
      <c r="V194" s="0" t="s">
        <v>528</v>
      </c>
      <c r="W194" s="0" t="s">
        <v>901</v>
      </c>
      <c r="X194" s="0" t="s">
        <v>265</v>
      </c>
      <c r="Y194" s="0" t="s">
        <v>2003</v>
      </c>
      <c r="Z194" s="0" t="n">
        <v>24343</v>
      </c>
      <c r="AA194" s="0" t="s">
        <v>2004</v>
      </c>
      <c r="AB194" s="0" t="s">
        <v>904</v>
      </c>
      <c r="AC194" s="0" t="s">
        <v>265</v>
      </c>
      <c r="AD194" s="0" t="s">
        <v>265</v>
      </c>
      <c r="AE194" s="0" t="s">
        <v>265</v>
      </c>
      <c r="AF194" s="0" t="s">
        <v>265</v>
      </c>
      <c r="AG194" s="0" t="s">
        <v>265</v>
      </c>
      <c r="AH194" s="0" t="s">
        <v>905</v>
      </c>
      <c r="AI194" s="0" t="n">
        <v>3</v>
      </c>
      <c r="AJ194" s="0" t="s">
        <v>104</v>
      </c>
      <c r="AK194" s="0" t="n">
        <v>193</v>
      </c>
      <c r="AL194" s="0" t="n">
        <v>63</v>
      </c>
      <c r="AM194" s="0" t="s">
        <v>529</v>
      </c>
      <c r="EC194" s="0" t="s">
        <v>2005</v>
      </c>
      <c r="EG194" s="0" t="n">
        <v>2026</v>
      </c>
      <c r="EH194" s="0" t="n">
        <v>2026</v>
      </c>
      <c r="EI194" s="0" t="n">
        <v>0</v>
      </c>
      <c r="EJ194" s="0" t="n">
        <v>72</v>
      </c>
      <c r="EK194" s="0" t="n">
        <v>219</v>
      </c>
      <c r="EL194" s="0" t="s">
        <v>1063</v>
      </c>
      <c r="EM194" s="0" t="n">
        <v>22.6</v>
      </c>
      <c r="EN194" s="15" t="b">
        <f aca="false">TRUE()</f>
        <v>1</v>
      </c>
      <c r="EO194" s="0" t="n">
        <v>328</v>
      </c>
      <c r="EP194" s="0" t="n">
        <v>3.01463414634146</v>
      </c>
      <c r="EQ194" s="0" t="n">
        <v>0.161585365853659</v>
      </c>
      <c r="ER194" s="0" t="n">
        <v>1.14634146341463</v>
      </c>
      <c r="ES194" s="0" t="n">
        <v>0.692073170731707</v>
      </c>
      <c r="ET194" s="0" t="n">
        <v>30</v>
      </c>
      <c r="EU194" s="0" t="n">
        <v>20</v>
      </c>
      <c r="EV194" s="0" t="n">
        <v>4.30487804878049</v>
      </c>
      <c r="EW194" s="0" t="n">
        <v>0.666666666666667</v>
      </c>
      <c r="EX194" s="0" t="n">
        <v>2.87769409187475</v>
      </c>
      <c r="EY194" s="0" t="n">
        <v>3.085</v>
      </c>
      <c r="EZ194" s="0" t="n">
        <v>0.1549</v>
      </c>
      <c r="FA194" s="0" t="n">
        <v>2.54</v>
      </c>
      <c r="FB194" s="0" t="n">
        <v>1.664</v>
      </c>
      <c r="FC194" s="0" t="n">
        <v>24</v>
      </c>
      <c r="FD194" s="0" t="n">
        <v>646</v>
      </c>
      <c r="FE194" s="0" t="n">
        <v>0.086687306501548</v>
      </c>
      <c r="FF194" s="0" t="n">
        <v>0.0872</v>
      </c>
      <c r="FG194" s="0" t="n">
        <v>0.3175</v>
      </c>
      <c r="FH194" s="0" t="n">
        <v>2.389</v>
      </c>
      <c r="FI194" s="0" t="n">
        <v>995</v>
      </c>
      <c r="FJ194" s="0" t="n">
        <v>0.626130653266332</v>
      </c>
      <c r="FK194" s="0" t="n">
        <v>17</v>
      </c>
      <c r="FL194" s="0" t="n">
        <v>58.53</v>
      </c>
      <c r="FM194" s="0" t="n">
        <v>0.5401</v>
      </c>
      <c r="FN194" s="0" t="n">
        <v>0.4599</v>
      </c>
      <c r="FO194" s="0" t="n">
        <v>-0.0385</v>
      </c>
      <c r="FP194" s="0" t="n">
        <v>-0.0573</v>
      </c>
      <c r="FQ194" s="0" t="n">
        <v>-0.2208</v>
      </c>
      <c r="FR194" s="0" t="n">
        <v>40</v>
      </c>
      <c r="FS194" s="0" t="n">
        <v>35</v>
      </c>
      <c r="FT194" s="0" t="n">
        <v>2.06</v>
      </c>
      <c r="FU194" s="0" t="n">
        <v>16.7</v>
      </c>
      <c r="FV194" s="0" t="n">
        <v>5402</v>
      </c>
      <c r="FW194" s="0" t="n">
        <v>2848</v>
      </c>
      <c r="FX194" s="0" t="n">
        <v>0.527</v>
      </c>
      <c r="FY194" s="0" t="n">
        <v>5</v>
      </c>
      <c r="FZ194" s="0" t="n">
        <v>3</v>
      </c>
      <c r="GA194" s="0" t="n">
        <v>0.463456652097505</v>
      </c>
      <c r="GB194" s="0" t="n">
        <v>58.4</v>
      </c>
      <c r="GC194" s="0" t="n">
        <v>27.6</v>
      </c>
      <c r="GD194" s="0" t="n">
        <v>41.1</v>
      </c>
      <c r="GE194" s="0" t="n">
        <v>530</v>
      </c>
      <c r="GF194" s="0" t="n">
        <v>378</v>
      </c>
      <c r="GG194" s="0" t="n">
        <v>152</v>
      </c>
      <c r="GH194" s="0" t="n">
        <v>0</v>
      </c>
      <c r="GI194" s="0" t="n">
        <v>93</v>
      </c>
      <c r="GJ194" s="0" t="n">
        <v>8</v>
      </c>
      <c r="GK194" s="0" t="n">
        <v>0.287</v>
      </c>
      <c r="GL194" s="0" t="n">
        <v>0</v>
      </c>
      <c r="GM194" s="0" t="n">
        <v>0.086</v>
      </c>
      <c r="HF194" s="0" t="s">
        <v>206</v>
      </c>
      <c r="HG194" s="0" t="n">
        <v>216.81</v>
      </c>
      <c r="HH194" s="0" t="n">
        <v>42.14</v>
      </c>
      <c r="HI194" s="0" t="n">
        <v>135</v>
      </c>
      <c r="HJ194" s="0" t="n">
        <v>323</v>
      </c>
      <c r="HK194" s="0" t="s">
        <v>909</v>
      </c>
      <c r="HL194" s="0" t="n">
        <v>0</v>
      </c>
      <c r="HN194" s="0" t="n">
        <v>63</v>
      </c>
    </row>
    <row r="195" customFormat="false" ht="15" hidden="false" customHeight="false" outlineLevel="0" collapsed="false">
      <c r="A195" s="0" t="s">
        <v>896</v>
      </c>
      <c r="B195" s="0" t="s">
        <v>897</v>
      </c>
      <c r="C195" s="0" t="s">
        <v>898</v>
      </c>
      <c r="D195" s="0" t="s">
        <v>530</v>
      </c>
      <c r="E195" s="0" t="n">
        <v>26055</v>
      </c>
      <c r="F195" s="0" t="s">
        <v>149</v>
      </c>
      <c r="G195" s="0" t="n">
        <v>218.32</v>
      </c>
      <c r="H195" s="0" t="n">
        <v>37.7</v>
      </c>
      <c r="I195" s="0" t="n">
        <v>144</v>
      </c>
      <c r="J195" s="0" t="n">
        <v>392</v>
      </c>
      <c r="L195" s="0" t="s">
        <v>2006</v>
      </c>
      <c r="O195" s="0" t="n">
        <v>57</v>
      </c>
      <c r="U195" s="0" t="n">
        <v>13</v>
      </c>
      <c r="V195" s="0" t="s">
        <v>530</v>
      </c>
      <c r="W195" s="0" t="s">
        <v>901</v>
      </c>
      <c r="X195" s="0" t="s">
        <v>186</v>
      </c>
      <c r="Y195" s="0" t="s">
        <v>2007</v>
      </c>
      <c r="Z195" s="0" t="n">
        <v>26055</v>
      </c>
      <c r="AA195" s="0" t="s">
        <v>2008</v>
      </c>
      <c r="AB195" s="0" t="s">
        <v>904</v>
      </c>
      <c r="AC195" s="0" t="s">
        <v>186</v>
      </c>
      <c r="AD195" s="0" t="s">
        <v>186</v>
      </c>
      <c r="AE195" s="0" t="s">
        <v>186</v>
      </c>
      <c r="AF195" s="0" t="s">
        <v>186</v>
      </c>
      <c r="AG195" s="0" t="s">
        <v>186</v>
      </c>
      <c r="AH195" s="0" t="s">
        <v>905</v>
      </c>
      <c r="AI195" s="0" t="n">
        <v>1</v>
      </c>
      <c r="AJ195" s="0" t="s">
        <v>149</v>
      </c>
      <c r="AK195" s="0" t="n">
        <v>194</v>
      </c>
      <c r="AL195" s="0" t="n">
        <v>25</v>
      </c>
      <c r="AM195" s="0" t="s">
        <v>531</v>
      </c>
      <c r="EC195" s="0" t="s">
        <v>2009</v>
      </c>
      <c r="EG195" s="0" t="n">
        <v>2026</v>
      </c>
      <c r="EH195" s="0" t="n">
        <v>2026</v>
      </c>
      <c r="EI195" s="0" t="n">
        <v>0</v>
      </c>
      <c r="EJ195" s="0" t="n">
        <v>75</v>
      </c>
      <c r="EK195" s="0" t="n">
        <v>241</v>
      </c>
      <c r="EL195" s="0" t="s">
        <v>1300</v>
      </c>
      <c r="EM195" s="0" t="n">
        <v>21.5</v>
      </c>
      <c r="EN195" s="15" t="b">
        <f aca="false">TRUE()</f>
        <v>1</v>
      </c>
      <c r="EO195" s="0" t="n">
        <v>334</v>
      </c>
      <c r="EP195" s="0" t="n">
        <v>2.84431137724551</v>
      </c>
      <c r="EQ195" s="0" t="n">
        <v>0.182634730538922</v>
      </c>
      <c r="ER195" s="0" t="n">
        <v>1.19161676646707</v>
      </c>
      <c r="ES195" s="0" t="n">
        <v>0.940119760479042</v>
      </c>
      <c r="ET195" s="0" t="n">
        <v>23</v>
      </c>
      <c r="EU195" s="0" t="n">
        <v>17</v>
      </c>
      <c r="EV195" s="0" t="n">
        <v>4.44011976047904</v>
      </c>
      <c r="EW195" s="0" t="n">
        <v>0.739130434782609</v>
      </c>
      <c r="EX195" s="0" t="n">
        <v>2.90111469172123</v>
      </c>
      <c r="EY195" s="0" t="n">
        <v>2.892</v>
      </c>
      <c r="EZ195" s="0" t="n">
        <v>0.1813</v>
      </c>
      <c r="FA195" s="0" t="n">
        <v>2.899</v>
      </c>
      <c r="FB195" s="0" t="n">
        <v>1.697</v>
      </c>
      <c r="FC195" s="0" t="n">
        <v>18</v>
      </c>
      <c r="FD195" s="0" t="n">
        <v>608</v>
      </c>
      <c r="FE195" s="0" t="n">
        <v>0.0986842105263158</v>
      </c>
      <c r="FF195" s="0" t="n">
        <v>0.0989</v>
      </c>
      <c r="FG195" s="0" t="n">
        <v>0.3117</v>
      </c>
      <c r="FH195" s="0" t="n">
        <v>2.423</v>
      </c>
      <c r="FI195" s="0" t="n">
        <v>1009</v>
      </c>
      <c r="FJ195" s="0" t="n">
        <v>0.551040634291378</v>
      </c>
      <c r="FK195" s="0" t="n">
        <v>17</v>
      </c>
      <c r="FL195" s="0" t="n">
        <v>59.35</v>
      </c>
      <c r="FM195" s="0" t="n">
        <v>0.4319</v>
      </c>
      <c r="FN195" s="0" t="n">
        <v>0.5681</v>
      </c>
      <c r="FO195" s="0" t="n">
        <v>-0.0877</v>
      </c>
      <c r="FP195" s="0" t="n">
        <v>-0.061</v>
      </c>
      <c r="FQ195" s="0" t="n">
        <v>-0.1799</v>
      </c>
      <c r="FR195" s="0" t="n">
        <v>38</v>
      </c>
      <c r="FS195" s="0" t="n">
        <v>42</v>
      </c>
      <c r="FT195" s="0" t="n">
        <v>2.47</v>
      </c>
      <c r="FU195" s="0" t="n">
        <v>17.6</v>
      </c>
      <c r="FV195" s="0" t="n">
        <v>5302</v>
      </c>
      <c r="FW195" s="0" t="n">
        <v>4286</v>
      </c>
      <c r="FX195" s="0" t="n">
        <v>0.808</v>
      </c>
      <c r="FY195" s="0" t="n">
        <v>5</v>
      </c>
      <c r="FZ195" s="0" t="n">
        <v>3</v>
      </c>
      <c r="GA195" s="0" t="n">
        <v>0.350287370649638</v>
      </c>
      <c r="GB195" s="0" t="n">
        <v>56.3</v>
      </c>
      <c r="GC195" s="0" t="n">
        <v>25.8</v>
      </c>
      <c r="GD195" s="0" t="n">
        <v>38.6</v>
      </c>
      <c r="GE195" s="0" t="n">
        <v>472</v>
      </c>
      <c r="GF195" s="0" t="n">
        <v>456</v>
      </c>
      <c r="GG195" s="0" t="n">
        <v>76</v>
      </c>
      <c r="GH195" s="0" t="n">
        <v>117</v>
      </c>
      <c r="GI195" s="0" t="n">
        <v>116</v>
      </c>
      <c r="GJ195" s="0" t="n">
        <v>27</v>
      </c>
      <c r="GK195" s="0" t="n">
        <v>0.161</v>
      </c>
      <c r="GL195" s="0" t="n">
        <v>0.257</v>
      </c>
      <c r="GM195" s="0" t="n">
        <v>0.233</v>
      </c>
      <c r="HF195" s="0" t="s">
        <v>206</v>
      </c>
      <c r="HG195" s="0" t="n">
        <v>218.32</v>
      </c>
      <c r="HH195" s="0" t="n">
        <v>37.7</v>
      </c>
      <c r="HI195" s="0" t="n">
        <v>144</v>
      </c>
      <c r="HJ195" s="0" t="n">
        <v>392</v>
      </c>
      <c r="HK195" s="0" t="s">
        <v>909</v>
      </c>
      <c r="HL195" s="0" t="n">
        <v>0</v>
      </c>
      <c r="HN195" s="0" t="n">
        <v>25</v>
      </c>
    </row>
    <row r="196" customFormat="false" ht="15" hidden="false" customHeight="false" outlineLevel="0" collapsed="false">
      <c r="A196" s="0" t="s">
        <v>896</v>
      </c>
      <c r="B196" s="0" t="s">
        <v>897</v>
      </c>
      <c r="C196" s="0" t="s">
        <v>898</v>
      </c>
      <c r="D196" s="0" t="s">
        <v>532</v>
      </c>
      <c r="E196" s="0" t="n">
        <v>25418</v>
      </c>
      <c r="F196" s="0" t="s">
        <v>99</v>
      </c>
      <c r="G196" s="0" t="n">
        <v>219.38</v>
      </c>
      <c r="H196" s="0" t="n">
        <v>40.11</v>
      </c>
      <c r="I196" s="0" t="n">
        <v>136</v>
      </c>
      <c r="J196" s="0" t="n">
        <v>328</v>
      </c>
      <c r="L196" s="0" t="s">
        <v>2010</v>
      </c>
      <c r="O196" s="0" t="n">
        <v>18.7</v>
      </c>
      <c r="U196" s="0" t="n">
        <v>7</v>
      </c>
      <c r="V196" s="0" t="s">
        <v>532</v>
      </c>
      <c r="W196" s="0" t="s">
        <v>901</v>
      </c>
      <c r="X196" s="0" t="s">
        <v>221</v>
      </c>
      <c r="Y196" s="0" t="s">
        <v>2011</v>
      </c>
      <c r="Z196" s="0" t="n">
        <v>25418</v>
      </c>
      <c r="AA196" s="0" t="s">
        <v>2012</v>
      </c>
      <c r="AB196" s="0" t="s">
        <v>904</v>
      </c>
      <c r="AC196" s="0" t="s">
        <v>221</v>
      </c>
      <c r="AD196" s="0" t="s">
        <v>221</v>
      </c>
      <c r="AE196" s="0" t="s">
        <v>221</v>
      </c>
      <c r="AF196" s="0" t="s">
        <v>221</v>
      </c>
      <c r="AG196" s="0" t="s">
        <v>221</v>
      </c>
      <c r="AH196" s="0" t="s">
        <v>905</v>
      </c>
      <c r="AI196" s="0" t="n">
        <v>4</v>
      </c>
      <c r="AJ196" s="0" t="s">
        <v>99</v>
      </c>
      <c r="AK196" s="0" t="n">
        <v>195</v>
      </c>
      <c r="AL196" s="0" t="n">
        <v>80</v>
      </c>
      <c r="AM196" s="0" t="s">
        <v>533</v>
      </c>
      <c r="EC196" s="0" t="s">
        <v>2013</v>
      </c>
      <c r="EG196" s="0" t="n">
        <v>2026</v>
      </c>
      <c r="EH196" s="0" t="n">
        <v>2026</v>
      </c>
      <c r="EI196" s="0" t="n">
        <v>0</v>
      </c>
      <c r="EJ196" s="0" t="n">
        <v>71</v>
      </c>
      <c r="EK196" s="0" t="n">
        <v>190</v>
      </c>
      <c r="EL196" s="0" t="s">
        <v>1104</v>
      </c>
      <c r="EM196" s="0" t="n">
        <v>22.1</v>
      </c>
      <c r="EN196" s="15" t="b">
        <f aca="false">TRUE()</f>
        <v>1</v>
      </c>
      <c r="EO196" s="0" t="n">
        <v>345</v>
      </c>
      <c r="EP196" s="0" t="n">
        <v>3.01826086956522</v>
      </c>
      <c r="EQ196" s="0" t="n">
        <v>0.165217391304348</v>
      </c>
      <c r="ER196" s="0" t="n">
        <v>1.27246376811594</v>
      </c>
      <c r="ES196" s="0" t="n">
        <v>0.852173913043478</v>
      </c>
      <c r="ET196" s="0" t="n">
        <v>31</v>
      </c>
      <c r="EU196" s="0" t="n">
        <v>17</v>
      </c>
      <c r="EV196" s="0" t="n">
        <v>4.54782608695652</v>
      </c>
      <c r="EW196" s="0" t="n">
        <v>0.548387096774194</v>
      </c>
      <c r="EX196" s="0" t="n">
        <v>2.96856142572662</v>
      </c>
      <c r="EY196" s="0" t="n">
        <v>2.998</v>
      </c>
      <c r="EZ196" s="0" t="n">
        <v>0.1651</v>
      </c>
      <c r="FA196" s="0" t="n">
        <v>2.512</v>
      </c>
      <c r="FB196" s="0" t="n">
        <v>2.219</v>
      </c>
      <c r="FC196" s="0" t="n">
        <v>38</v>
      </c>
      <c r="FD196" s="0" t="n">
        <v>564</v>
      </c>
      <c r="FE196" s="0" t="n">
        <v>0.0656028368794326</v>
      </c>
      <c r="FF196" s="0" t="n">
        <v>0.0606</v>
      </c>
      <c r="FG196" s="0" t="n">
        <v>0.2217</v>
      </c>
      <c r="FH196" s="0" t="n">
        <v>2.36</v>
      </c>
      <c r="FI196" s="0" t="n">
        <v>979</v>
      </c>
      <c r="FJ196" s="0" t="n">
        <v>0.514811031664964</v>
      </c>
      <c r="FK196" s="0" t="n">
        <v>17</v>
      </c>
      <c r="FL196" s="0" t="n">
        <v>57.59</v>
      </c>
      <c r="FM196" s="0" t="n">
        <v>0.4747</v>
      </c>
      <c r="FN196" s="0" t="n">
        <v>0.5253</v>
      </c>
      <c r="FO196" s="0" t="n">
        <v>-0.0427</v>
      </c>
      <c r="FP196" s="0" t="n">
        <v>0.0192</v>
      </c>
      <c r="FQ196" s="0" t="n">
        <v>-0.0055</v>
      </c>
      <c r="FR196" s="0" t="n">
        <v>38</v>
      </c>
      <c r="FS196" s="0" t="n">
        <v>50</v>
      </c>
      <c r="FT196" s="0" t="n">
        <v>2.94</v>
      </c>
      <c r="FU196" s="0" t="n">
        <v>20.9</v>
      </c>
      <c r="FV196" s="0" t="n">
        <v>5375</v>
      </c>
      <c r="FW196" s="0" t="n">
        <v>3794</v>
      </c>
      <c r="FX196" s="0" t="n">
        <v>0.706</v>
      </c>
      <c r="FY196" s="0" t="n">
        <v>5</v>
      </c>
      <c r="FZ196" s="0" t="n">
        <v>4</v>
      </c>
      <c r="GA196" s="0" t="n">
        <v>0.036879143422903</v>
      </c>
      <c r="GB196" s="0" t="n">
        <v>50.7</v>
      </c>
      <c r="GC196" s="0" t="n">
        <v>56.8</v>
      </c>
      <c r="GD196" s="0" t="n">
        <v>54.8</v>
      </c>
      <c r="GE196" s="0" t="n">
        <v>432</v>
      </c>
      <c r="GF196" s="0" t="n">
        <v>484</v>
      </c>
      <c r="GG196" s="0" t="n">
        <v>138</v>
      </c>
      <c r="GH196" s="0" t="n">
        <v>142</v>
      </c>
      <c r="GI196" s="0" t="n">
        <v>138</v>
      </c>
      <c r="GJ196" s="0" t="n">
        <v>56</v>
      </c>
      <c r="GK196" s="0" t="n">
        <v>0.319</v>
      </c>
      <c r="GL196" s="0" t="n">
        <v>0.293</v>
      </c>
      <c r="GM196" s="0" t="n">
        <v>0.406</v>
      </c>
      <c r="HF196" s="0" t="s">
        <v>206</v>
      </c>
      <c r="HG196" s="0" t="n">
        <v>219.38</v>
      </c>
      <c r="HH196" s="0" t="n">
        <v>40.11</v>
      </c>
      <c r="HI196" s="0" t="n">
        <v>136</v>
      </c>
      <c r="HJ196" s="0" t="n">
        <v>328</v>
      </c>
      <c r="HK196" s="0" t="s">
        <v>909</v>
      </c>
      <c r="HL196" s="0" t="n">
        <v>0</v>
      </c>
      <c r="HN196" s="0" t="n">
        <v>80</v>
      </c>
    </row>
    <row r="197" customFormat="false" ht="15" hidden="false" customHeight="false" outlineLevel="0" collapsed="false">
      <c r="A197" s="0" t="s">
        <v>896</v>
      </c>
      <c r="B197" s="0" t="s">
        <v>897</v>
      </c>
      <c r="C197" s="0" t="s">
        <v>898</v>
      </c>
      <c r="D197" s="0" t="s">
        <v>534</v>
      </c>
      <c r="E197" s="0" t="n">
        <v>23118</v>
      </c>
      <c r="F197" s="0" t="s">
        <v>104</v>
      </c>
      <c r="G197" s="0" t="n">
        <v>220.8</v>
      </c>
      <c r="H197" s="0" t="n">
        <v>54</v>
      </c>
      <c r="I197" s="0" t="n">
        <v>136</v>
      </c>
      <c r="J197" s="0" t="n">
        <v>330</v>
      </c>
      <c r="L197" s="0" t="s">
        <v>2014</v>
      </c>
      <c r="O197" s="0" t="n">
        <v>10.5</v>
      </c>
      <c r="U197" s="0" t="n">
        <v>11</v>
      </c>
      <c r="V197" s="0" t="s">
        <v>534</v>
      </c>
      <c r="W197" s="0" t="s">
        <v>901</v>
      </c>
      <c r="X197" s="0" t="s">
        <v>1153</v>
      </c>
      <c r="Y197" s="0" t="s">
        <v>2015</v>
      </c>
      <c r="Z197" s="0" t="n">
        <v>23118</v>
      </c>
      <c r="AA197" s="0" t="s">
        <v>2016</v>
      </c>
      <c r="AB197" s="0" t="s">
        <v>904</v>
      </c>
      <c r="AC197" s="0" t="s">
        <v>218</v>
      </c>
      <c r="AD197" s="0" t="s">
        <v>218</v>
      </c>
      <c r="AE197" s="0" t="s">
        <v>218</v>
      </c>
      <c r="AF197" s="0" t="s">
        <v>218</v>
      </c>
      <c r="AG197" s="0" t="s">
        <v>218</v>
      </c>
      <c r="AH197" s="0" t="s">
        <v>905</v>
      </c>
      <c r="AI197" s="0" t="n">
        <v>2</v>
      </c>
      <c r="AJ197" s="0" t="s">
        <v>104</v>
      </c>
      <c r="AK197" s="0" t="n">
        <v>196</v>
      </c>
      <c r="AL197" s="0" t="n">
        <v>64</v>
      </c>
      <c r="AM197" s="0" t="s">
        <v>535</v>
      </c>
      <c r="EC197" s="0" t="s">
        <v>1413</v>
      </c>
      <c r="ED197" s="0" t="n">
        <v>2024</v>
      </c>
      <c r="EE197" s="0" t="n">
        <v>3</v>
      </c>
      <c r="EF197" s="0" t="n">
        <v>88</v>
      </c>
      <c r="EG197" s="0" t="n">
        <v>2024</v>
      </c>
      <c r="EH197" s="0" t="n">
        <v>2026</v>
      </c>
      <c r="EI197" s="0" t="n">
        <v>3</v>
      </c>
      <c r="EJ197" s="0" t="n">
        <v>69</v>
      </c>
      <c r="EK197" s="0" t="n">
        <v>220</v>
      </c>
      <c r="EL197" s="0" t="s">
        <v>2017</v>
      </c>
      <c r="EM197" s="0" t="n">
        <v>25.6</v>
      </c>
      <c r="EN197" s="15" t="b">
        <f aca="false">FALSE()</f>
        <v>0</v>
      </c>
      <c r="EO197" s="0" t="n">
        <v>386</v>
      </c>
      <c r="EP197" s="0" t="n">
        <v>2.97227979274611</v>
      </c>
      <c r="EQ197" s="0" t="n">
        <v>0.155440414507772</v>
      </c>
      <c r="ER197" s="0" t="n">
        <v>1.12694300518135</v>
      </c>
      <c r="ES197" s="0" t="n">
        <v>0.39119170984456</v>
      </c>
      <c r="ET197" s="0" t="n">
        <v>43</v>
      </c>
      <c r="EU197" s="0" t="n">
        <v>26</v>
      </c>
      <c r="EV197" s="0" t="n">
        <v>3.96632124352332</v>
      </c>
      <c r="EW197" s="0" t="n">
        <v>0.604651162790698</v>
      </c>
      <c r="EX197" s="0" t="n">
        <v>3.01595136627878</v>
      </c>
      <c r="EY197" s="0" t="n">
        <v>2.905</v>
      </c>
      <c r="EZ197" s="0" t="n">
        <v>0.1629</v>
      </c>
      <c r="FA197" s="0" t="n">
        <v>2.199</v>
      </c>
      <c r="FB197" s="0" t="n">
        <v>1.941</v>
      </c>
      <c r="FC197" s="0" t="n">
        <v>30</v>
      </c>
      <c r="FD197" s="0" t="n">
        <v>552</v>
      </c>
      <c r="FE197" s="0" t="n">
        <v>0.052536231884058</v>
      </c>
      <c r="FF197" s="0" t="n">
        <v>0.0493</v>
      </c>
      <c r="FG197" s="0" t="n">
        <v>0.2454</v>
      </c>
      <c r="FH197" s="0" t="n">
        <v>2.41</v>
      </c>
      <c r="FI197" s="0" t="n">
        <v>993</v>
      </c>
      <c r="FJ197" s="0" t="n">
        <v>0.522658610271903</v>
      </c>
      <c r="FK197" s="0" t="n">
        <v>17</v>
      </c>
      <c r="FL197" s="0" t="n">
        <v>58.41</v>
      </c>
      <c r="FM197" s="0" t="n">
        <v>0.5063</v>
      </c>
      <c r="FN197" s="0" t="n">
        <v>0.4937</v>
      </c>
      <c r="FO197" s="0" t="n">
        <v>-0.0441</v>
      </c>
      <c r="FP197" s="0" t="n">
        <v>-0.0102</v>
      </c>
      <c r="FQ197" s="0" t="n">
        <v>0.229</v>
      </c>
      <c r="FR197" s="0" t="n">
        <v>39</v>
      </c>
      <c r="FS197" s="0" t="n">
        <v>59</v>
      </c>
      <c r="FT197" s="0" t="n">
        <v>3.47</v>
      </c>
      <c r="FU197" s="0" t="n">
        <v>23</v>
      </c>
      <c r="FV197" s="0" t="n">
        <v>5321</v>
      </c>
      <c r="FW197" s="0" t="n">
        <v>3745</v>
      </c>
      <c r="FX197" s="0" t="n">
        <v>0.704</v>
      </c>
      <c r="FY197" s="0" t="n">
        <v>5</v>
      </c>
      <c r="FZ197" s="0" t="n">
        <v>4</v>
      </c>
      <c r="GA197" s="0" t="n">
        <v>-0.261697082182323</v>
      </c>
      <c r="GB197" s="0" t="n">
        <v>45.3</v>
      </c>
      <c r="GC197" s="0" t="n">
        <v>58.7</v>
      </c>
      <c r="GD197" s="0" t="n">
        <v>52.5</v>
      </c>
      <c r="GE197" s="0" t="n">
        <v>460</v>
      </c>
      <c r="GF197" s="0" t="n">
        <v>492</v>
      </c>
      <c r="GG197" s="0" t="n">
        <v>155</v>
      </c>
      <c r="GH197" s="0" t="n">
        <v>148</v>
      </c>
      <c r="GI197" s="0" t="n">
        <v>161</v>
      </c>
      <c r="GJ197" s="0" t="n">
        <v>52</v>
      </c>
      <c r="GK197" s="0" t="n">
        <v>0.337</v>
      </c>
      <c r="GL197" s="0" t="n">
        <v>0.301</v>
      </c>
      <c r="GM197" s="0" t="n">
        <v>0.323</v>
      </c>
      <c r="GS197" s="0" t="n">
        <v>0</v>
      </c>
      <c r="HF197" s="0" t="s">
        <v>354</v>
      </c>
      <c r="HG197" s="0" t="n">
        <v>220.8</v>
      </c>
      <c r="HH197" s="0" t="n">
        <v>54</v>
      </c>
      <c r="HI197" s="0" t="n">
        <v>136</v>
      </c>
      <c r="HJ197" s="0" t="n">
        <v>330</v>
      </c>
      <c r="HK197" s="0" t="s">
        <v>909</v>
      </c>
      <c r="HL197" s="0" t="n">
        <v>0</v>
      </c>
      <c r="HN197" s="0" t="n">
        <v>64</v>
      </c>
    </row>
    <row r="198" customFormat="false" ht="15" hidden="false" customHeight="false" outlineLevel="0" collapsed="false">
      <c r="A198" s="0" t="s">
        <v>896</v>
      </c>
      <c r="B198" s="0" t="s">
        <v>897</v>
      </c>
      <c r="C198" s="0" t="s">
        <v>898</v>
      </c>
      <c r="D198" s="0" t="s">
        <v>536</v>
      </c>
      <c r="E198" s="0" t="n">
        <v>19794</v>
      </c>
      <c r="F198" s="0" t="s">
        <v>99</v>
      </c>
      <c r="G198" s="0" t="n">
        <v>220.8</v>
      </c>
      <c r="H198" s="0" t="n">
        <v>28.38</v>
      </c>
      <c r="I198" s="0" t="n">
        <v>163</v>
      </c>
      <c r="J198" s="0" t="n">
        <v>296</v>
      </c>
      <c r="L198" s="0" t="s">
        <v>2018</v>
      </c>
      <c r="O198" s="0" t="n">
        <v>7.8</v>
      </c>
      <c r="U198" s="0" t="n">
        <v>13</v>
      </c>
      <c r="V198" s="0" t="s">
        <v>536</v>
      </c>
      <c r="W198" s="0" t="s">
        <v>901</v>
      </c>
      <c r="X198" s="0" t="s">
        <v>183</v>
      </c>
      <c r="Y198" s="0" t="s">
        <v>2019</v>
      </c>
      <c r="Z198" s="0" t="n">
        <v>19794</v>
      </c>
      <c r="AA198" s="0" t="s">
        <v>2020</v>
      </c>
      <c r="AB198" s="0" t="s">
        <v>904</v>
      </c>
      <c r="AC198" s="0" t="s">
        <v>183</v>
      </c>
      <c r="AD198" s="0" t="s">
        <v>183</v>
      </c>
      <c r="AE198" s="0" t="s">
        <v>183</v>
      </c>
      <c r="AF198" s="0" t="s">
        <v>183</v>
      </c>
      <c r="AG198" s="0" t="s">
        <v>183</v>
      </c>
      <c r="AH198" s="0" t="s">
        <v>905</v>
      </c>
      <c r="AI198" s="0" t="n">
        <v>2</v>
      </c>
      <c r="AJ198" s="0" t="s">
        <v>99</v>
      </c>
      <c r="AK198" s="0" t="n">
        <v>197</v>
      </c>
      <c r="AL198" s="0" t="n">
        <v>81</v>
      </c>
      <c r="AM198" s="0" t="s">
        <v>537</v>
      </c>
      <c r="AN198" s="0" t="n">
        <v>0</v>
      </c>
      <c r="AO198" s="0" t="n">
        <v>0</v>
      </c>
      <c r="AP198" s="0" t="n">
        <v>0</v>
      </c>
      <c r="AQ198" s="0" t="n">
        <v>0</v>
      </c>
      <c r="AR198" s="0" t="n">
        <v>0</v>
      </c>
      <c r="AS198" s="0" t="n">
        <v>0</v>
      </c>
      <c r="AT198" s="0" t="n">
        <v>0</v>
      </c>
      <c r="AU198" s="0" t="n">
        <v>0</v>
      </c>
      <c r="AV198" s="0" t="n">
        <v>0</v>
      </c>
      <c r="AW198" s="0" t="n">
        <v>0</v>
      </c>
      <c r="AX198" s="0" t="n">
        <v>0</v>
      </c>
      <c r="AY198" s="0" t="n">
        <v>0</v>
      </c>
      <c r="AZ198" s="0" t="n">
        <v>0</v>
      </c>
      <c r="BA198" s="0" t="n">
        <v>0</v>
      </c>
      <c r="BB198" s="0" t="n">
        <v>0</v>
      </c>
      <c r="BC198" s="0" t="n">
        <v>19</v>
      </c>
      <c r="BD198" s="0" t="n">
        <v>38</v>
      </c>
      <c r="BE198" s="0" t="n">
        <v>224</v>
      </c>
      <c r="BF198" s="0" t="n">
        <v>2</v>
      </c>
      <c r="BG198" s="0" t="n">
        <v>468</v>
      </c>
      <c r="BH198" s="0" t="n">
        <v>39</v>
      </c>
      <c r="BI198" s="0" t="n">
        <v>12</v>
      </c>
      <c r="BJ198" s="0" t="n">
        <v>-1.67575973441765</v>
      </c>
      <c r="BK198" s="0" t="n">
        <v>0</v>
      </c>
      <c r="BL198" s="0" t="n">
        <v>0</v>
      </c>
      <c r="BM198" s="0" t="n">
        <v>36.4</v>
      </c>
      <c r="BN198" s="0" t="n">
        <v>55.4</v>
      </c>
      <c r="BO198" s="0" t="n">
        <v>13</v>
      </c>
      <c r="BP198" s="0" t="s">
        <v>183</v>
      </c>
      <c r="BQ198" s="0" t="n">
        <v>1</v>
      </c>
      <c r="BR198" s="0" t="n">
        <v>45.9</v>
      </c>
      <c r="BS198" s="0" t="n">
        <v>0.0934</v>
      </c>
      <c r="BT198" s="0" t="n">
        <v>0</v>
      </c>
      <c r="BU198" s="0" t="n">
        <v>0.1386</v>
      </c>
      <c r="BV198" s="0" t="n">
        <v>0.1141</v>
      </c>
      <c r="BW198" s="0" t="n">
        <v>0</v>
      </c>
      <c r="BX198" s="0" t="n">
        <v>0.1757</v>
      </c>
      <c r="BY198" s="0" t="n">
        <v>0.2941</v>
      </c>
      <c r="BZ198" s="0" t="n">
        <v>13</v>
      </c>
      <c r="CA198" s="0" t="n">
        <v>1.7</v>
      </c>
      <c r="CB198" s="0" t="n">
        <v>7.54</v>
      </c>
      <c r="CC198" s="0" t="n">
        <v>3.4</v>
      </c>
      <c r="CD198" s="0" t="n">
        <v>4.77</v>
      </c>
      <c r="CE198" s="0" t="n">
        <v>0</v>
      </c>
      <c r="CF198" s="0" t="n">
        <v>5</v>
      </c>
      <c r="CG198" s="0" t="n">
        <v>13</v>
      </c>
      <c r="CH198" s="0" t="n">
        <v>0</v>
      </c>
      <c r="CI198" s="0" t="n">
        <v>0.385</v>
      </c>
      <c r="CJ198" s="0" t="n">
        <v>1.404</v>
      </c>
      <c r="CK198" s="0" t="n">
        <v>8</v>
      </c>
      <c r="CL198" s="0" t="n">
        <v>3</v>
      </c>
      <c r="CM198" s="0" t="n">
        <v>1</v>
      </c>
      <c r="CN198" s="0" t="n">
        <v>2</v>
      </c>
      <c r="CO198" s="0" t="n">
        <v>2.22705732767363</v>
      </c>
      <c r="CP198" s="0" t="n">
        <v>0</v>
      </c>
      <c r="CQ198" s="0" t="n">
        <v>0</v>
      </c>
      <c r="CR198" s="0" t="n">
        <v>0</v>
      </c>
      <c r="CS198" s="0" t="n">
        <v>0</v>
      </c>
      <c r="CT198" s="0" t="n">
        <v>0</v>
      </c>
      <c r="CU198" s="0" t="n">
        <v>8</v>
      </c>
      <c r="CV198" s="0" t="n">
        <v>3</v>
      </c>
      <c r="CW198" s="0" t="n">
        <v>1</v>
      </c>
      <c r="CX198" s="0" t="n">
        <v>2</v>
      </c>
      <c r="CY198" s="0" t="n">
        <v>2.23</v>
      </c>
      <c r="CZ198" s="0" t="n">
        <v>-0.23</v>
      </c>
      <c r="DM198" s="0" t="s">
        <v>2021</v>
      </c>
      <c r="DS198" s="0" t="n">
        <v>38</v>
      </c>
      <c r="DT198" s="0" t="n">
        <v>0</v>
      </c>
      <c r="DU198" s="0" t="n">
        <v>3</v>
      </c>
      <c r="DV198" s="0" t="n">
        <v>9.737</v>
      </c>
      <c r="DW198" s="0" t="n">
        <v>2.053</v>
      </c>
      <c r="DX198" s="0" t="n">
        <v>12.3</v>
      </c>
      <c r="DY198" s="0" t="n">
        <v>0.0789</v>
      </c>
      <c r="DZ198" s="0" t="n">
        <v>550</v>
      </c>
      <c r="EA198" s="0" t="n">
        <v>0.693</v>
      </c>
      <c r="EB198" s="0" t="n">
        <v>13</v>
      </c>
      <c r="EC198" s="0" t="s">
        <v>2022</v>
      </c>
      <c r="ED198" s="0" t="n">
        <v>2021</v>
      </c>
      <c r="EE198" s="0" t="n">
        <v>1</v>
      </c>
      <c r="EF198" s="0" t="n">
        <v>27</v>
      </c>
      <c r="EG198" s="0" t="n">
        <v>2021</v>
      </c>
      <c r="EH198" s="0" t="n">
        <v>2026</v>
      </c>
      <c r="EI198" s="0" t="n">
        <v>6</v>
      </c>
      <c r="EJ198" s="0" t="n">
        <v>73</v>
      </c>
      <c r="EK198" s="0" t="n">
        <v>193</v>
      </c>
      <c r="EL198" s="0" t="s">
        <v>2023</v>
      </c>
      <c r="EM198" s="0" t="n">
        <v>26.7</v>
      </c>
      <c r="EN198" s="15" t="b">
        <f aca="false">FALSE()</f>
        <v>0</v>
      </c>
      <c r="EO198" s="0" t="n">
        <v>392</v>
      </c>
      <c r="EP198" s="0" t="n">
        <v>3.03673469387755</v>
      </c>
      <c r="EQ198" s="0" t="n">
        <v>0.153061224489796</v>
      </c>
      <c r="ER198" s="0" t="n">
        <v>1.31122448979592</v>
      </c>
      <c r="ES198" s="0" t="n">
        <v>1.51275510204082</v>
      </c>
      <c r="ET198" s="0" t="n">
        <v>37</v>
      </c>
      <c r="EU198" s="0" t="n">
        <v>24</v>
      </c>
      <c r="EV198" s="0" t="n">
        <v>5.24489795918367</v>
      </c>
      <c r="EW198" s="0" t="n">
        <v>0.648648648648649</v>
      </c>
      <c r="EX198" s="0" t="n">
        <v>2.95276427199016</v>
      </c>
      <c r="EY198" s="0" t="n">
        <v>3.032</v>
      </c>
      <c r="EZ198" s="0" t="n">
        <v>0.1574</v>
      </c>
      <c r="FA198" s="0" t="n">
        <v>3.144</v>
      </c>
      <c r="FB198" s="0" t="n">
        <v>2.107</v>
      </c>
      <c r="FC198" s="0" t="n">
        <v>24</v>
      </c>
      <c r="FD198" s="0" t="n">
        <v>501</v>
      </c>
      <c r="FE198" s="0" t="n">
        <v>0.0898203592814371</v>
      </c>
      <c r="FF198" s="0" t="n">
        <v>0.0849</v>
      </c>
      <c r="FG198" s="0" t="n">
        <v>0.2725</v>
      </c>
      <c r="FH198" s="0" t="n">
        <v>2.454</v>
      </c>
      <c r="FI198" s="0" t="n">
        <v>956</v>
      </c>
      <c r="FJ198" s="0" t="n">
        <v>0.48744769874477</v>
      </c>
      <c r="FK198" s="0" t="n">
        <v>17</v>
      </c>
      <c r="FL198" s="0" t="n">
        <v>56.24</v>
      </c>
      <c r="FM198" s="0" t="n">
        <v>0.4667</v>
      </c>
      <c r="FN198" s="0" t="n">
        <v>0.5333</v>
      </c>
      <c r="FO198" s="0" t="n">
        <v>-0.0884</v>
      </c>
      <c r="FP198" s="0" t="n">
        <v>0.0996</v>
      </c>
      <c r="FQ198" s="0" t="n">
        <v>-0.035</v>
      </c>
      <c r="FR198" s="0" t="n">
        <v>39</v>
      </c>
      <c r="FS198" s="0" t="n">
        <v>61</v>
      </c>
      <c r="FT198" s="0" t="n">
        <v>3.59</v>
      </c>
      <c r="FU198" s="0" t="n">
        <v>24.9</v>
      </c>
      <c r="FV198" s="0" t="n">
        <v>5080</v>
      </c>
      <c r="FW198" s="0" t="n">
        <v>2908</v>
      </c>
      <c r="FX198" s="0" t="n">
        <v>0.572</v>
      </c>
      <c r="FY198" s="0" t="n">
        <v>5</v>
      </c>
      <c r="FZ198" s="0" t="n">
        <v>2</v>
      </c>
      <c r="GA198" s="0" t="n">
        <v>0.782789362458</v>
      </c>
      <c r="GB198" s="0" t="n">
        <v>64.1</v>
      </c>
      <c r="GC198" s="0" t="n">
        <v>41</v>
      </c>
      <c r="GD198" s="0" t="n">
        <v>53.2</v>
      </c>
      <c r="GE198" s="0" t="n">
        <v>407</v>
      </c>
      <c r="GF198" s="0" t="n">
        <v>507</v>
      </c>
      <c r="GG198" s="0" t="n">
        <v>75</v>
      </c>
      <c r="GH198" s="0" t="n">
        <v>64</v>
      </c>
      <c r="GI198" s="0" t="n">
        <v>160</v>
      </c>
      <c r="GJ198" s="0" t="n">
        <v>26</v>
      </c>
      <c r="GK198" s="0" t="n">
        <v>0.184</v>
      </c>
      <c r="GL198" s="0" t="n">
        <v>0.126</v>
      </c>
      <c r="GM198" s="0" t="n">
        <v>0.162</v>
      </c>
      <c r="GN198" s="0" t="n">
        <v>4.262</v>
      </c>
      <c r="GO198" s="0" t="n">
        <v>3.531</v>
      </c>
      <c r="GP198" s="0" t="n">
        <v>2.8</v>
      </c>
      <c r="GQ198" s="0" t="n">
        <v>2.923</v>
      </c>
      <c r="GR198" s="0" t="n">
        <v>0</v>
      </c>
      <c r="GS198" s="0" t="n">
        <v>38</v>
      </c>
      <c r="GT198" s="0" t="n">
        <v>1.458</v>
      </c>
      <c r="GU198" s="0" t="n">
        <v>0.101</v>
      </c>
      <c r="GV198" s="0" t="n">
        <v>5.895</v>
      </c>
      <c r="GW198" s="0" t="n">
        <v>11.789</v>
      </c>
      <c r="GX198" s="0" t="n">
        <v>0.5</v>
      </c>
      <c r="GZ198" s="0" t="n">
        <v>12.316</v>
      </c>
      <c r="HA198" s="0" t="n">
        <v>2.053</v>
      </c>
      <c r="HB198" s="0" t="n">
        <v>0.479</v>
      </c>
      <c r="HC198" s="0" t="n">
        <v>0.053</v>
      </c>
      <c r="HE198" s="0" t="n">
        <v>-0.044</v>
      </c>
      <c r="HG198" s="0" t="n">
        <v>220.8</v>
      </c>
      <c r="HH198" s="0" t="n">
        <v>28.38</v>
      </c>
      <c r="HI198" s="0" t="n">
        <v>163</v>
      </c>
      <c r="HJ198" s="0" t="n">
        <v>296</v>
      </c>
      <c r="HK198" s="0" t="s">
        <v>909</v>
      </c>
      <c r="HL198" s="0" t="n">
        <v>0</v>
      </c>
      <c r="HM198" s="0" t="n">
        <v>80</v>
      </c>
      <c r="HN198" s="0" t="n">
        <v>81</v>
      </c>
      <c r="HO198" s="0" t="n">
        <v>-0.602</v>
      </c>
      <c r="HP198" s="0" t="n">
        <v>83</v>
      </c>
      <c r="HQ198" s="0" t="n">
        <v>-0.734</v>
      </c>
      <c r="HR198" s="0" t="s">
        <v>121</v>
      </c>
    </row>
    <row r="199" customFormat="false" ht="15" hidden="false" customHeight="false" outlineLevel="0" collapsed="false">
      <c r="A199" s="0" t="s">
        <v>896</v>
      </c>
      <c r="B199" s="0" t="s">
        <v>897</v>
      </c>
      <c r="C199" s="0" t="s">
        <v>898</v>
      </c>
      <c r="D199" s="0" t="s">
        <v>538</v>
      </c>
      <c r="E199" s="0" t="n">
        <v>9001</v>
      </c>
      <c r="F199" s="0" t="s">
        <v>172</v>
      </c>
      <c r="G199" s="0" t="n">
        <v>221.65</v>
      </c>
      <c r="H199" s="0" t="n">
        <v>43.52</v>
      </c>
      <c r="I199" s="0" t="n">
        <v>147</v>
      </c>
      <c r="J199" s="0" t="n">
        <v>343</v>
      </c>
      <c r="L199" s="0" t="s">
        <v>2024</v>
      </c>
      <c r="O199" s="0" t="n">
        <v>15.3</v>
      </c>
      <c r="U199" s="0" t="n">
        <v>9</v>
      </c>
      <c r="V199" s="0" t="s">
        <v>538</v>
      </c>
      <c r="W199" s="0" t="s">
        <v>901</v>
      </c>
      <c r="X199" s="0" t="s">
        <v>284</v>
      </c>
      <c r="Y199" s="0" t="s">
        <v>2025</v>
      </c>
      <c r="Z199" s="0" t="n">
        <v>9001</v>
      </c>
      <c r="AA199" s="0" t="s">
        <v>2026</v>
      </c>
      <c r="AB199" s="0" t="s">
        <v>904</v>
      </c>
      <c r="AC199" s="0" t="s">
        <v>284</v>
      </c>
      <c r="AD199" s="0" t="s">
        <v>284</v>
      </c>
      <c r="AE199" s="0" t="s">
        <v>284</v>
      </c>
      <c r="AF199" s="0" t="s">
        <v>284</v>
      </c>
      <c r="AG199" s="0" t="s">
        <v>284</v>
      </c>
      <c r="AH199" s="0" t="s">
        <v>905</v>
      </c>
      <c r="AI199" s="0" t="n">
        <v>1</v>
      </c>
      <c r="AJ199" s="0" t="s">
        <v>172</v>
      </c>
      <c r="AK199" s="0" t="n">
        <v>198</v>
      </c>
      <c r="AL199" s="0" t="n">
        <v>28</v>
      </c>
      <c r="AM199" s="0" t="s">
        <v>539</v>
      </c>
      <c r="AN199" s="0" t="n">
        <v>327</v>
      </c>
      <c r="AO199" s="0" t="n">
        <v>498</v>
      </c>
      <c r="AP199" s="0" t="n">
        <v>3322</v>
      </c>
      <c r="AQ199" s="0" t="n">
        <v>24</v>
      </c>
      <c r="AR199" s="0" t="n">
        <v>7</v>
      </c>
      <c r="AS199" s="0" t="n">
        <v>29</v>
      </c>
      <c r="AT199" s="0" t="n">
        <v>3008</v>
      </c>
      <c r="AU199" s="0" t="n">
        <v>143</v>
      </c>
      <c r="AV199" s="0" t="n">
        <v>28.3245858144168</v>
      </c>
      <c r="AW199" s="0" t="n">
        <v>21</v>
      </c>
      <c r="AX199" s="0" t="n">
        <v>61</v>
      </c>
      <c r="AY199" s="0" t="n">
        <v>1</v>
      </c>
      <c r="AZ199" s="0" t="n">
        <v>4</v>
      </c>
      <c r="BA199" s="0" t="n">
        <v>-2.95120707369991</v>
      </c>
      <c r="BB199" s="0" t="n">
        <v>0</v>
      </c>
      <c r="BC199" s="0" t="n">
        <v>1</v>
      </c>
      <c r="BD199" s="0" t="n">
        <v>1</v>
      </c>
      <c r="BE199" s="0" t="n">
        <v>-9</v>
      </c>
      <c r="BF199" s="0" t="n">
        <v>0</v>
      </c>
      <c r="BG199" s="0" t="n">
        <v>-9</v>
      </c>
      <c r="BH199" s="0" t="n">
        <v>0</v>
      </c>
      <c r="BI199" s="0" t="n">
        <v>0</v>
      </c>
      <c r="BJ199" s="0" t="n">
        <v>-1.5339853016194</v>
      </c>
      <c r="BK199" s="0" t="n">
        <v>0</v>
      </c>
      <c r="BL199" s="0" t="n">
        <v>0</v>
      </c>
      <c r="BM199" s="0" t="n">
        <v>226.08</v>
      </c>
      <c r="BN199" s="0" t="n">
        <v>227.08</v>
      </c>
      <c r="BO199" s="0" t="n">
        <v>16</v>
      </c>
      <c r="BP199" s="0" t="s">
        <v>284</v>
      </c>
      <c r="BQ199" s="0" t="n">
        <v>1</v>
      </c>
      <c r="BR199" s="0" t="n">
        <v>226.58</v>
      </c>
      <c r="BS199" s="0" t="n">
        <v>0.0019</v>
      </c>
      <c r="BT199" s="0" t="n">
        <v>0.0516</v>
      </c>
      <c r="BU199" s="0" t="n">
        <v>-0.0028</v>
      </c>
      <c r="BV199" s="0" t="n">
        <v>0.002</v>
      </c>
      <c r="BW199" s="0" t="n">
        <v>0.0566</v>
      </c>
      <c r="BX199" s="0" t="n">
        <v>-0.003</v>
      </c>
      <c r="BY199" s="0" t="n">
        <v>0.0009</v>
      </c>
      <c r="BZ199" s="0" t="n">
        <v>16</v>
      </c>
      <c r="CA199" s="0" t="n">
        <v>10.18</v>
      </c>
      <c r="CB199" s="0" t="n">
        <v>20.54</v>
      </c>
      <c r="CC199" s="0" t="n">
        <v>14.17</v>
      </c>
      <c r="CD199" s="0" t="n">
        <v>6.24</v>
      </c>
      <c r="CE199" s="0" t="n">
        <v>4</v>
      </c>
      <c r="CF199" s="0" t="n">
        <v>2</v>
      </c>
      <c r="CG199" s="0" t="n">
        <v>16</v>
      </c>
      <c r="CH199" s="0" t="n">
        <v>0.25</v>
      </c>
      <c r="CI199" s="0" t="n">
        <v>0.125</v>
      </c>
      <c r="CJ199" s="0" t="n">
        <v>0.44</v>
      </c>
      <c r="CK199" s="0" t="n">
        <v>0</v>
      </c>
      <c r="CL199" s="0" t="n">
        <v>0</v>
      </c>
      <c r="CM199" s="0" t="n">
        <v>0</v>
      </c>
      <c r="CN199" s="0" t="n">
        <v>0</v>
      </c>
      <c r="CO199" s="0" t="n">
        <v>0.00389841835598129</v>
      </c>
      <c r="CP199" s="0" t="n">
        <v>3</v>
      </c>
      <c r="CQ199" s="0" t="n">
        <v>2</v>
      </c>
      <c r="CR199" s="0" t="n">
        <v>2</v>
      </c>
      <c r="CS199" s="0" t="n">
        <v>1</v>
      </c>
      <c r="CT199" s="0" t="n">
        <v>1.18778396849701</v>
      </c>
      <c r="CU199" s="0" t="n">
        <v>3</v>
      </c>
      <c r="CV199" s="0" t="n">
        <v>2</v>
      </c>
      <c r="CW199" s="0" t="n">
        <v>2</v>
      </c>
      <c r="CX199" s="0" t="n">
        <v>1</v>
      </c>
      <c r="CY199" s="0" t="n">
        <v>1.19</v>
      </c>
      <c r="CZ199" s="0" t="n">
        <v>-0.19</v>
      </c>
      <c r="DM199" s="0" t="s">
        <v>2027</v>
      </c>
      <c r="DN199" s="0" t="n">
        <v>21</v>
      </c>
      <c r="DO199" s="0" t="n">
        <v>0</v>
      </c>
      <c r="DP199" s="0" t="n">
        <v>2.762</v>
      </c>
      <c r="DQ199" s="0" t="n">
        <v>0.143</v>
      </c>
      <c r="DS199" s="0" t="n">
        <v>1</v>
      </c>
      <c r="DT199" s="0" t="n">
        <v>0</v>
      </c>
      <c r="DU199" s="0" t="n">
        <v>0</v>
      </c>
      <c r="DZ199" s="0" t="n">
        <v>918</v>
      </c>
      <c r="EA199" s="0" t="n">
        <v>0.957</v>
      </c>
      <c r="EB199" s="0" t="n">
        <v>16</v>
      </c>
      <c r="EC199" s="0" t="s">
        <v>2028</v>
      </c>
      <c r="ED199" s="0" t="n">
        <v>2005</v>
      </c>
      <c r="EE199" s="0" t="n">
        <v>1</v>
      </c>
      <c r="EF199" s="0" t="n">
        <v>24</v>
      </c>
      <c r="EG199" s="0" t="n">
        <v>2005</v>
      </c>
      <c r="EH199" s="0" t="n">
        <v>2026</v>
      </c>
      <c r="EI199" s="0" t="n">
        <v>22</v>
      </c>
      <c r="EJ199" s="0" t="n">
        <v>74</v>
      </c>
      <c r="EK199" s="0" t="n">
        <v>223</v>
      </c>
      <c r="EL199" s="0" t="s">
        <v>2029</v>
      </c>
      <c r="EM199" s="0" t="n">
        <v>42.7</v>
      </c>
      <c r="EN199" s="15" t="b">
        <f aca="false">FALSE()</f>
        <v>0</v>
      </c>
      <c r="EO199" s="0" t="n">
        <v>368</v>
      </c>
      <c r="EP199" s="0" t="n">
        <v>2.85652173913044</v>
      </c>
      <c r="EQ199" s="0" t="n">
        <v>0.173913043478261</v>
      </c>
      <c r="ER199" s="0" t="n">
        <v>1.21739130434783</v>
      </c>
      <c r="ES199" s="0" t="n">
        <v>0.864130434782609</v>
      </c>
      <c r="ET199" s="0" t="n">
        <v>50</v>
      </c>
      <c r="EU199" s="0" t="n">
        <v>34</v>
      </c>
      <c r="EV199" s="0" t="n">
        <v>4.36684782608696</v>
      </c>
      <c r="EW199" s="0" t="n">
        <v>0.68</v>
      </c>
      <c r="EX199" s="0" t="n">
        <v>2.93472293301175</v>
      </c>
      <c r="EY199" s="0" t="n">
        <v>2.87</v>
      </c>
      <c r="EZ199" s="0" t="n">
        <v>0.172</v>
      </c>
      <c r="FA199" s="0" t="n">
        <v>2.285</v>
      </c>
      <c r="FB199" s="0" t="n">
        <v>2.029</v>
      </c>
      <c r="FC199" s="0" t="n">
        <v>42</v>
      </c>
      <c r="FD199" s="0" t="n">
        <v>591</v>
      </c>
      <c r="FE199" s="0" t="n">
        <v>0.0524534686971235</v>
      </c>
      <c r="FF199" s="0" t="n">
        <v>0.0526</v>
      </c>
      <c r="FG199" s="0" t="n">
        <v>0.1636</v>
      </c>
      <c r="FH199" s="0" t="n">
        <v>2.209</v>
      </c>
      <c r="FI199" s="0" t="n">
        <v>975</v>
      </c>
      <c r="FJ199" s="0" t="n">
        <v>0.594871794871795</v>
      </c>
      <c r="FK199" s="0" t="n">
        <v>17</v>
      </c>
      <c r="FL199" s="0" t="n">
        <v>57.35</v>
      </c>
      <c r="FM199" s="0" t="n">
        <v>0.5795</v>
      </c>
      <c r="FN199" s="0" t="n">
        <v>0.4205</v>
      </c>
      <c r="FO199" s="0" t="n">
        <v>-0.007</v>
      </c>
      <c r="FP199" s="0" t="n">
        <v>0.0188</v>
      </c>
      <c r="FQ199" s="0" t="n">
        <v>0.0312</v>
      </c>
      <c r="FR199" s="0" t="n">
        <v>40</v>
      </c>
      <c r="FS199" s="0" t="n">
        <v>51</v>
      </c>
      <c r="FT199" s="0" t="n">
        <v>3</v>
      </c>
      <c r="FU199" s="0" t="n">
        <v>23.4</v>
      </c>
      <c r="FV199" s="0" t="n">
        <v>5344</v>
      </c>
      <c r="FW199" s="0" t="n">
        <v>4403</v>
      </c>
      <c r="FX199" s="0" t="n">
        <v>0.824</v>
      </c>
      <c r="FY199" s="0" t="n">
        <v>5</v>
      </c>
      <c r="FZ199" s="0" t="n">
        <v>5</v>
      </c>
      <c r="GA199" s="0" t="n">
        <v>-0.192560883952718</v>
      </c>
      <c r="GB199" s="0" t="n">
        <v>46.5</v>
      </c>
      <c r="GC199" s="0" t="n">
        <v>65.1</v>
      </c>
      <c r="GD199" s="0" t="n">
        <v>57.4</v>
      </c>
      <c r="GE199" s="0" t="n">
        <v>522</v>
      </c>
      <c r="GF199" s="0" t="n">
        <v>407</v>
      </c>
      <c r="GG199" s="0" t="n">
        <v>179</v>
      </c>
      <c r="GH199" s="0" t="n">
        <v>129</v>
      </c>
      <c r="GI199" s="0" t="n">
        <v>156</v>
      </c>
      <c r="GJ199" s="0" t="n">
        <v>59</v>
      </c>
      <c r="GK199" s="0" t="n">
        <v>0.343</v>
      </c>
      <c r="GL199" s="0" t="n">
        <v>0.317</v>
      </c>
      <c r="GM199" s="0" t="n">
        <v>0.378</v>
      </c>
      <c r="GN199" s="0" t="n">
        <v>14.192</v>
      </c>
      <c r="GO199" s="0" t="n">
        <v>14.161</v>
      </c>
      <c r="GP199" s="0" t="n">
        <v>14.13</v>
      </c>
      <c r="GQ199" s="0" t="n">
        <v>0.062</v>
      </c>
      <c r="GR199" s="0" t="n">
        <v>1.312</v>
      </c>
      <c r="GS199" s="0" t="n">
        <v>22</v>
      </c>
      <c r="GT199" s="0" t="n">
        <v>10.322</v>
      </c>
      <c r="GU199" s="0" t="n">
        <v>0.247</v>
      </c>
      <c r="GY199" s="0" t="n">
        <v>2.905</v>
      </c>
      <c r="HC199" s="0" t="n">
        <v>0.045</v>
      </c>
      <c r="HD199" s="0" t="n">
        <v>-0.141</v>
      </c>
      <c r="HE199" s="0" t="n">
        <v>-1.534</v>
      </c>
      <c r="HG199" s="0" t="n">
        <v>221.65</v>
      </c>
      <c r="HH199" s="0" t="n">
        <v>43.52</v>
      </c>
      <c r="HI199" s="0" t="n">
        <v>147</v>
      </c>
      <c r="HJ199" s="0" t="n">
        <v>343</v>
      </c>
      <c r="HK199" s="0" t="s">
        <v>909</v>
      </c>
      <c r="HL199" s="0" t="n">
        <v>0</v>
      </c>
      <c r="HM199" s="0" t="n">
        <v>17</v>
      </c>
      <c r="HN199" s="0" t="n">
        <v>28</v>
      </c>
      <c r="HO199" s="0" t="n">
        <v>0.282</v>
      </c>
      <c r="HP199" s="0" t="n">
        <v>24</v>
      </c>
      <c r="HQ199" s="0" t="n">
        <v>-0.025</v>
      </c>
      <c r="HR199" s="0" t="s">
        <v>102</v>
      </c>
    </row>
    <row r="200" customFormat="false" ht="15" hidden="false" customHeight="false" outlineLevel="0" collapsed="false">
      <c r="A200" s="0" t="s">
        <v>896</v>
      </c>
      <c r="B200" s="0" t="s">
        <v>897</v>
      </c>
      <c r="C200" s="0" t="s">
        <v>898</v>
      </c>
      <c r="D200" s="0" t="s">
        <v>540</v>
      </c>
      <c r="E200" s="0" t="n">
        <v>16433</v>
      </c>
      <c r="F200" s="0" t="s">
        <v>99</v>
      </c>
      <c r="G200" s="0" t="n">
        <v>222</v>
      </c>
      <c r="H200" s="0" t="n">
        <v>30.82</v>
      </c>
      <c r="I200" s="0" t="n">
        <v>140</v>
      </c>
      <c r="J200" s="0" t="n">
        <v>298</v>
      </c>
      <c r="L200" s="0" t="s">
        <v>2030</v>
      </c>
      <c r="O200" s="0" t="n">
        <v>12.7</v>
      </c>
      <c r="U200" s="0" t="n">
        <v>11</v>
      </c>
      <c r="V200" s="0" t="s">
        <v>540</v>
      </c>
      <c r="W200" s="0" t="s">
        <v>901</v>
      </c>
      <c r="X200" s="0" t="s">
        <v>115</v>
      </c>
      <c r="Y200" s="0" t="s">
        <v>2031</v>
      </c>
      <c r="Z200" s="0" t="n">
        <v>16433</v>
      </c>
      <c r="AA200" s="0" t="s">
        <v>2032</v>
      </c>
      <c r="AB200" s="0" t="s">
        <v>904</v>
      </c>
      <c r="AC200" s="0" t="s">
        <v>115</v>
      </c>
      <c r="AD200" s="0" t="s">
        <v>115</v>
      </c>
      <c r="AE200" s="0" t="s">
        <v>115</v>
      </c>
      <c r="AF200" s="0" t="s">
        <v>115</v>
      </c>
      <c r="AG200" s="0" t="s">
        <v>115</v>
      </c>
      <c r="AH200" s="0" t="s">
        <v>905</v>
      </c>
      <c r="AI200" s="0" t="n">
        <v>3</v>
      </c>
      <c r="AJ200" s="0" t="s">
        <v>99</v>
      </c>
      <c r="AK200" s="0" t="n">
        <v>199</v>
      </c>
      <c r="AL200" s="0" t="n">
        <v>82</v>
      </c>
      <c r="AM200" s="0" t="s">
        <v>541</v>
      </c>
      <c r="AN200" s="0" t="n">
        <v>0</v>
      </c>
      <c r="AO200" s="0" t="n">
        <v>1</v>
      </c>
      <c r="AP200" s="0" t="n">
        <v>0</v>
      </c>
      <c r="AQ200" s="0" t="n">
        <v>0</v>
      </c>
      <c r="AR200" s="0" t="n">
        <v>1</v>
      </c>
      <c r="AS200" s="0" t="n">
        <v>0</v>
      </c>
      <c r="AT200" s="0" t="n">
        <v>9</v>
      </c>
      <c r="AU200" s="0" t="n">
        <v>0</v>
      </c>
      <c r="AV200" s="0" t="n">
        <v>-5.37016646715347</v>
      </c>
      <c r="AW200" s="0" t="n">
        <v>0</v>
      </c>
      <c r="AX200" s="0" t="n">
        <v>0</v>
      </c>
      <c r="AY200" s="0" t="n">
        <v>0</v>
      </c>
      <c r="AZ200" s="0" t="n">
        <v>0</v>
      </c>
      <c r="BA200" s="0" t="n">
        <v>0</v>
      </c>
      <c r="BB200" s="0" t="n">
        <v>0</v>
      </c>
      <c r="BC200" s="0" t="n">
        <v>47</v>
      </c>
      <c r="BD200" s="0" t="n">
        <v>70</v>
      </c>
      <c r="BE200" s="0" t="n">
        <v>593</v>
      </c>
      <c r="BF200" s="0" t="n">
        <v>2</v>
      </c>
      <c r="BG200" s="0" t="n">
        <v>532</v>
      </c>
      <c r="BH200" s="0" t="n">
        <v>293</v>
      </c>
      <c r="BI200" s="0" t="n">
        <v>26</v>
      </c>
      <c r="BJ200" s="0" t="n">
        <v>7.63854969291928</v>
      </c>
      <c r="BK200" s="0" t="n">
        <v>1</v>
      </c>
      <c r="BL200" s="0" t="n">
        <v>0</v>
      </c>
      <c r="BM200" s="0" t="n">
        <v>69.3</v>
      </c>
      <c r="BN200" s="0" t="n">
        <v>116.3</v>
      </c>
      <c r="BO200" s="0" t="n">
        <v>16</v>
      </c>
      <c r="BP200" s="0" t="s">
        <v>115</v>
      </c>
      <c r="BQ200" s="0" t="n">
        <v>1</v>
      </c>
      <c r="BR200" s="0" t="n">
        <v>92.8</v>
      </c>
      <c r="BS200" s="0" t="n">
        <v>0.1538</v>
      </c>
      <c r="BT200" s="0" t="n">
        <v>0</v>
      </c>
      <c r="BU200" s="0" t="n">
        <v>0.145</v>
      </c>
      <c r="BV200" s="0" t="n">
        <v>0.1624</v>
      </c>
      <c r="BW200" s="0" t="n">
        <v>0</v>
      </c>
      <c r="BX200" s="0" t="n">
        <v>0.1537</v>
      </c>
      <c r="BY200" s="0" t="n">
        <v>0.3512</v>
      </c>
      <c r="BZ200" s="0" t="n">
        <v>16</v>
      </c>
      <c r="CA200" s="0" t="n">
        <v>4.78</v>
      </c>
      <c r="CB200" s="0" t="n">
        <v>11.8</v>
      </c>
      <c r="CC200" s="0" t="n">
        <v>6</v>
      </c>
      <c r="CD200" s="0" t="n">
        <v>4.05</v>
      </c>
      <c r="CE200" s="0" t="n">
        <v>0</v>
      </c>
      <c r="CF200" s="0" t="n">
        <v>1</v>
      </c>
      <c r="CG200" s="0" t="n">
        <v>16</v>
      </c>
      <c r="CH200" s="0" t="n">
        <v>0</v>
      </c>
      <c r="CI200" s="0" t="n">
        <v>0.062</v>
      </c>
      <c r="CJ200" s="0" t="n">
        <v>0.676</v>
      </c>
      <c r="CK200" s="0" t="n">
        <v>12</v>
      </c>
      <c r="CL200" s="0" t="n">
        <v>4</v>
      </c>
      <c r="CM200" s="0" t="n">
        <v>2</v>
      </c>
      <c r="CN200" s="0" t="n">
        <v>2</v>
      </c>
      <c r="CO200" s="0" t="n">
        <v>3.56904592988586</v>
      </c>
      <c r="CP200" s="0" t="n">
        <v>0</v>
      </c>
      <c r="CQ200" s="0" t="n">
        <v>0</v>
      </c>
      <c r="CR200" s="0" t="n">
        <v>0</v>
      </c>
      <c r="CS200" s="0" t="n">
        <v>0</v>
      </c>
      <c r="CT200" s="0" t="n">
        <v>0</v>
      </c>
      <c r="CU200" s="0" t="n">
        <v>12</v>
      </c>
      <c r="CV200" s="0" t="n">
        <v>4</v>
      </c>
      <c r="CW200" s="0" t="n">
        <v>2</v>
      </c>
      <c r="CX200" s="0" t="n">
        <v>2</v>
      </c>
      <c r="CY200" s="0" t="n">
        <v>3.57</v>
      </c>
      <c r="CZ200" s="0" t="n">
        <v>-1.57</v>
      </c>
      <c r="DA200" s="0" t="n">
        <v>3.02284090107854</v>
      </c>
      <c r="DB200" s="0" t="n">
        <v>6.14492307692308</v>
      </c>
      <c r="DC200" s="0" t="n">
        <v>8.28057142857143</v>
      </c>
      <c r="DD200" s="0" t="n">
        <v>15.3555562031265</v>
      </c>
      <c r="DE200" s="0" t="n">
        <v>2.07400512034173</v>
      </c>
      <c r="DF200" s="0" t="n">
        <v>67.1428571428571</v>
      </c>
      <c r="DM200" s="0" t="s">
        <v>2033</v>
      </c>
      <c r="DS200" s="0" t="n">
        <v>70</v>
      </c>
      <c r="DT200" s="0" t="n">
        <v>2</v>
      </c>
      <c r="DU200" s="0" t="n">
        <v>3</v>
      </c>
      <c r="DV200" s="0" t="n">
        <v>6.383</v>
      </c>
      <c r="DW200" s="0" t="n">
        <v>6.234</v>
      </c>
      <c r="DX200" s="0" t="n">
        <v>7.4</v>
      </c>
      <c r="DY200" s="0" t="n">
        <v>0.0429</v>
      </c>
      <c r="DZ200" s="0" t="n">
        <v>768</v>
      </c>
      <c r="EA200" s="0" t="n">
        <v>0.756</v>
      </c>
      <c r="EB200" s="0" t="n">
        <v>16</v>
      </c>
      <c r="EC200" s="0" t="s">
        <v>2034</v>
      </c>
      <c r="ED200" s="0" t="n">
        <v>2017</v>
      </c>
      <c r="EE200" s="0" t="n">
        <v>3</v>
      </c>
      <c r="EF200" s="0" t="n">
        <v>69</v>
      </c>
      <c r="EG200" s="0" t="n">
        <v>2017</v>
      </c>
      <c r="EH200" s="0" t="n">
        <v>2026</v>
      </c>
      <c r="EI200" s="0" t="n">
        <v>10</v>
      </c>
      <c r="EJ200" s="0" t="n">
        <v>74</v>
      </c>
      <c r="EK200" s="0" t="n">
        <v>207</v>
      </c>
      <c r="EL200" s="0" t="s">
        <v>2035</v>
      </c>
      <c r="EM200" s="0" t="n">
        <v>33.2</v>
      </c>
      <c r="EN200" s="15" t="b">
        <f aca="false">FALSE()</f>
        <v>0</v>
      </c>
      <c r="EO200" s="0" t="n">
        <v>435</v>
      </c>
      <c r="EP200" s="0" t="n">
        <v>2.8048275862069</v>
      </c>
      <c r="EQ200" s="0" t="n">
        <v>0.204597701149425</v>
      </c>
      <c r="ER200" s="0" t="n">
        <v>1.20689655172414</v>
      </c>
      <c r="ES200" s="0" t="n">
        <v>0.809195402298851</v>
      </c>
      <c r="ET200" s="0" t="n">
        <v>31</v>
      </c>
      <c r="EU200" s="0" t="n">
        <v>19</v>
      </c>
      <c r="EV200" s="0" t="n">
        <v>4.26666666666667</v>
      </c>
      <c r="EW200" s="0" t="n">
        <v>0.612903225806452</v>
      </c>
      <c r="EX200" s="0" t="n">
        <v>2.99550865366612</v>
      </c>
      <c r="EY200" s="0" t="n">
        <v>2.758</v>
      </c>
      <c r="EZ200" s="0" t="n">
        <v>0.2121</v>
      </c>
      <c r="FA200" s="0" t="n">
        <v>2.477</v>
      </c>
      <c r="FB200" s="0" t="n">
        <v>1.657</v>
      </c>
      <c r="FC200" s="0" t="n">
        <v>42</v>
      </c>
      <c r="FD200" s="0" t="n">
        <v>518</v>
      </c>
      <c r="FE200" s="0" t="n">
        <v>0.0521235521235521</v>
      </c>
      <c r="FF200" s="0" t="n">
        <v>0.0535</v>
      </c>
      <c r="FG200" s="0" t="n">
        <v>0.2266</v>
      </c>
      <c r="FH200" s="0" t="n">
        <v>2.4</v>
      </c>
      <c r="FI200" s="0" t="n">
        <v>997</v>
      </c>
      <c r="FJ200" s="0" t="n">
        <v>0.507522567703109</v>
      </c>
      <c r="FK200" s="0" t="n">
        <v>17</v>
      </c>
      <c r="FL200" s="0" t="n">
        <v>58.65</v>
      </c>
      <c r="FM200" s="0" t="n">
        <v>0.5204</v>
      </c>
      <c r="FN200" s="0" t="n">
        <v>0.4796</v>
      </c>
      <c r="FO200" s="0" t="n">
        <v>-0.0677</v>
      </c>
      <c r="FP200" s="0" t="n">
        <v>-0.0491</v>
      </c>
      <c r="FQ200" s="0" t="n">
        <v>0.1122</v>
      </c>
      <c r="FR200" s="0" t="n">
        <v>39</v>
      </c>
      <c r="FS200" s="0" t="n">
        <v>60</v>
      </c>
      <c r="FT200" s="0" t="n">
        <v>3.53</v>
      </c>
      <c r="FU200" s="0" t="n">
        <v>28.4</v>
      </c>
      <c r="FV200" s="0" t="n">
        <v>5338</v>
      </c>
      <c r="FW200" s="0" t="n">
        <v>5026</v>
      </c>
      <c r="FX200" s="0" t="n">
        <v>0.942</v>
      </c>
      <c r="FY200" s="0" t="n">
        <v>5</v>
      </c>
      <c r="FZ200" s="0" t="n">
        <v>5</v>
      </c>
      <c r="GA200" s="0" t="n">
        <v>-0.594571744764181</v>
      </c>
      <c r="GB200" s="0" t="n">
        <v>39.3</v>
      </c>
      <c r="GC200" s="0" t="n">
        <v>60.5</v>
      </c>
      <c r="GD200" s="0" t="n">
        <v>49.9</v>
      </c>
      <c r="GE200" s="0" t="n">
        <v>455</v>
      </c>
      <c r="GF200" s="0" t="n">
        <v>507</v>
      </c>
      <c r="GG200" s="0" t="n">
        <v>39</v>
      </c>
      <c r="GH200" s="0" t="n">
        <v>221</v>
      </c>
      <c r="GI200" s="0" t="n">
        <v>158</v>
      </c>
      <c r="GJ200" s="0" t="n">
        <v>37</v>
      </c>
      <c r="GK200" s="0" t="n">
        <v>0.086</v>
      </c>
      <c r="GL200" s="0" t="n">
        <v>0.436</v>
      </c>
      <c r="GM200" s="0" t="n">
        <v>0.234</v>
      </c>
      <c r="GN200" s="0" t="n">
        <v>7.269</v>
      </c>
      <c r="GO200" s="0" t="n">
        <v>5.8</v>
      </c>
      <c r="GP200" s="0" t="n">
        <v>4.331</v>
      </c>
      <c r="GQ200" s="0" t="n">
        <v>4.375</v>
      </c>
      <c r="GR200" s="0" t="n">
        <v>0</v>
      </c>
      <c r="GS200" s="0" t="n">
        <v>70</v>
      </c>
      <c r="GT200" s="0" t="n">
        <v>1.661</v>
      </c>
      <c r="GU200" s="0" t="n">
        <v>0.151</v>
      </c>
      <c r="GV200" s="0" t="n">
        <v>8.471</v>
      </c>
      <c r="GW200" s="0" t="n">
        <v>12.617</v>
      </c>
      <c r="GX200" s="0" t="n">
        <v>0.671</v>
      </c>
      <c r="GZ200" s="0" t="n">
        <v>7.6</v>
      </c>
      <c r="HA200" s="0" t="n">
        <v>6.234</v>
      </c>
      <c r="HB200" s="0" t="n">
        <v>1.115</v>
      </c>
      <c r="HC200" s="0" t="n">
        <v>0.029</v>
      </c>
      <c r="HE200" s="0" t="n">
        <v>0.109</v>
      </c>
      <c r="HG200" s="0" t="n">
        <v>222</v>
      </c>
      <c r="HH200" s="0" t="n">
        <v>30.82</v>
      </c>
      <c r="HI200" s="0" t="n">
        <v>140</v>
      </c>
      <c r="HJ200" s="0" t="n">
        <v>298</v>
      </c>
      <c r="HK200" s="0" t="s">
        <v>909</v>
      </c>
      <c r="HL200" s="0" t="n">
        <v>0</v>
      </c>
      <c r="HM200" s="0" t="n">
        <v>54</v>
      </c>
      <c r="HN200" s="0" t="n">
        <v>82</v>
      </c>
      <c r="HO200" s="0" t="n">
        <v>0.573</v>
      </c>
      <c r="HP200" s="0" t="n">
        <v>66</v>
      </c>
      <c r="HQ200" s="0" t="n">
        <v>0.047</v>
      </c>
      <c r="HR200" s="0" t="s">
        <v>232</v>
      </c>
    </row>
    <row r="201" customFormat="false" ht="15" hidden="false" customHeight="false" outlineLevel="0" collapsed="false">
      <c r="A201" s="0" t="s">
        <v>896</v>
      </c>
      <c r="B201" s="0" t="s">
        <v>897</v>
      </c>
      <c r="C201" s="0" t="s">
        <v>898</v>
      </c>
      <c r="D201" s="0" t="s">
        <v>542</v>
      </c>
      <c r="E201" s="0" t="n">
        <v>27109</v>
      </c>
      <c r="F201" s="0" t="s">
        <v>149</v>
      </c>
      <c r="G201" s="0" t="n">
        <v>222.29</v>
      </c>
      <c r="H201" s="0" t="n">
        <v>26.71</v>
      </c>
      <c r="I201" s="0" t="n">
        <v>153</v>
      </c>
      <c r="J201" s="0" t="n">
        <v>290</v>
      </c>
      <c r="L201" s="0" t="s">
        <v>2036</v>
      </c>
      <c r="O201" s="0" t="n">
        <v>14</v>
      </c>
      <c r="U201" s="0" t="n">
        <v>9</v>
      </c>
      <c r="V201" s="0" t="s">
        <v>542</v>
      </c>
      <c r="W201" s="0" t="s">
        <v>901</v>
      </c>
      <c r="X201" s="0" t="s">
        <v>265</v>
      </c>
      <c r="Y201" s="0" t="s">
        <v>2037</v>
      </c>
      <c r="Z201" s="0" t="n">
        <v>27109</v>
      </c>
      <c r="AA201" s="0" t="s">
        <v>2038</v>
      </c>
      <c r="AB201" s="0" t="s">
        <v>904</v>
      </c>
      <c r="AC201" s="0" t="s">
        <v>265</v>
      </c>
      <c r="AD201" s="0" t="s">
        <v>265</v>
      </c>
      <c r="AE201" s="0" t="s">
        <v>265</v>
      </c>
      <c r="AF201" s="0" t="s">
        <v>265</v>
      </c>
      <c r="AG201" s="0" t="s">
        <v>265</v>
      </c>
      <c r="AH201" s="0" t="s">
        <v>905</v>
      </c>
      <c r="AI201" s="0" t="n">
        <v>1</v>
      </c>
      <c r="AJ201" s="0" t="s">
        <v>149</v>
      </c>
      <c r="AK201" s="0" t="n">
        <v>200</v>
      </c>
      <c r="AL201" s="0" t="n">
        <v>26</v>
      </c>
      <c r="AM201" s="0" t="s">
        <v>543</v>
      </c>
      <c r="AN201" s="0" t="n">
        <v>0</v>
      </c>
      <c r="AO201" s="0" t="n">
        <v>0</v>
      </c>
      <c r="AP201" s="0" t="n">
        <v>0</v>
      </c>
      <c r="AQ201" s="0" t="n">
        <v>0</v>
      </c>
      <c r="AR201" s="0" t="n">
        <v>0</v>
      </c>
      <c r="AS201" s="0" t="n">
        <v>0</v>
      </c>
      <c r="AT201" s="0" t="n">
        <v>0</v>
      </c>
      <c r="AU201" s="0" t="n">
        <v>0</v>
      </c>
      <c r="AV201" s="0" t="n">
        <v>0</v>
      </c>
      <c r="AW201" s="0" t="n">
        <v>0</v>
      </c>
      <c r="AX201" s="0" t="n">
        <v>0</v>
      </c>
      <c r="AY201" s="0" t="n">
        <v>0</v>
      </c>
      <c r="AZ201" s="0" t="n">
        <v>0</v>
      </c>
      <c r="BA201" s="0" t="n">
        <v>0</v>
      </c>
      <c r="BB201" s="0" t="n">
        <v>0</v>
      </c>
      <c r="BC201" s="0" t="n">
        <v>44</v>
      </c>
      <c r="BD201" s="0" t="n">
        <v>55</v>
      </c>
      <c r="BE201" s="0" t="n">
        <v>357</v>
      </c>
      <c r="BF201" s="0" t="n">
        <v>2</v>
      </c>
      <c r="BG201" s="0" t="n">
        <v>303</v>
      </c>
      <c r="BH201" s="0" t="n">
        <v>159</v>
      </c>
      <c r="BI201" s="0" t="n">
        <v>17</v>
      </c>
      <c r="BJ201" s="0" t="n">
        <v>3.83447882574768</v>
      </c>
      <c r="BK201" s="0" t="n">
        <v>0</v>
      </c>
      <c r="BL201" s="0" t="n">
        <v>0</v>
      </c>
      <c r="BM201" s="0" t="n">
        <v>47.7</v>
      </c>
      <c r="BN201" s="0" t="n">
        <v>91.7</v>
      </c>
      <c r="BO201" s="0" t="n">
        <v>16</v>
      </c>
      <c r="BP201" s="0" t="s">
        <v>265</v>
      </c>
      <c r="BQ201" s="0" t="n">
        <v>1</v>
      </c>
      <c r="BR201" s="0" t="n">
        <v>69.7</v>
      </c>
      <c r="BS201" s="0" t="n">
        <v>0.1038</v>
      </c>
      <c r="BT201" s="0" t="n">
        <v>0</v>
      </c>
      <c r="BU201" s="0" t="n">
        <v>0.0772</v>
      </c>
      <c r="BV201" s="0" t="n">
        <v>0.1107</v>
      </c>
      <c r="BW201" s="0" t="n">
        <v>0</v>
      </c>
      <c r="BX201" s="0" t="n">
        <v>0.0798</v>
      </c>
      <c r="BY201" s="0" t="n">
        <v>0.2219</v>
      </c>
      <c r="BZ201" s="0" t="n">
        <v>16</v>
      </c>
      <c r="CA201" s="0" t="n">
        <v>2.58</v>
      </c>
      <c r="CB201" s="0" t="n">
        <v>9.8</v>
      </c>
      <c r="CC201" s="0" t="n">
        <v>4.6</v>
      </c>
      <c r="CD201" s="0" t="n">
        <v>3.99</v>
      </c>
      <c r="CE201" s="0" t="n">
        <v>0</v>
      </c>
      <c r="CF201" s="0" t="n">
        <v>2</v>
      </c>
      <c r="CG201" s="0" t="n">
        <v>16</v>
      </c>
      <c r="CH201" s="0" t="n">
        <v>0</v>
      </c>
      <c r="CI201" s="0" t="n">
        <v>0.125</v>
      </c>
      <c r="CJ201" s="0" t="n">
        <v>0.867</v>
      </c>
      <c r="CK201" s="0" t="n">
        <v>8</v>
      </c>
      <c r="CL201" s="0" t="n">
        <v>3</v>
      </c>
      <c r="CM201" s="0" t="n">
        <v>1</v>
      </c>
      <c r="CN201" s="0" t="n">
        <v>2</v>
      </c>
      <c r="CO201" s="0" t="n">
        <v>2.66869138060089</v>
      </c>
      <c r="CP201" s="0" t="n">
        <v>0</v>
      </c>
      <c r="CQ201" s="0" t="n">
        <v>0</v>
      </c>
      <c r="CR201" s="0" t="n">
        <v>0</v>
      </c>
      <c r="CS201" s="0" t="n">
        <v>0</v>
      </c>
      <c r="CT201" s="0" t="n">
        <v>0</v>
      </c>
      <c r="CU201" s="0" t="n">
        <v>8</v>
      </c>
      <c r="CV201" s="0" t="n">
        <v>3</v>
      </c>
      <c r="CW201" s="0" t="n">
        <v>1</v>
      </c>
      <c r="CX201" s="0" t="n">
        <v>2</v>
      </c>
      <c r="CY201" s="0" t="n">
        <v>2.67</v>
      </c>
      <c r="CZ201" s="0" t="n">
        <v>-0.67</v>
      </c>
      <c r="DA201" s="0" t="n">
        <v>3.52239567631081</v>
      </c>
      <c r="DB201" s="0" t="n">
        <v>4.87368421052632</v>
      </c>
      <c r="DC201" s="0" t="n">
        <v>5.37509090909091</v>
      </c>
      <c r="DD201" s="0" t="n">
        <v>7.61768070830027</v>
      </c>
      <c r="DE201" s="0" t="n">
        <v>-0.813668106756964</v>
      </c>
      <c r="DF201" s="0" t="n">
        <v>80</v>
      </c>
      <c r="DM201" s="0" t="s">
        <v>2039</v>
      </c>
      <c r="DS201" s="0" t="n">
        <v>55</v>
      </c>
      <c r="DT201" s="0" t="n">
        <v>0</v>
      </c>
      <c r="DU201" s="0" t="n">
        <v>2</v>
      </c>
      <c r="DV201" s="0" t="n">
        <v>4.5</v>
      </c>
      <c r="DW201" s="0" t="n">
        <v>3.614</v>
      </c>
      <c r="DX201" s="0" t="n">
        <v>5.6</v>
      </c>
      <c r="DY201" s="0" t="n">
        <v>0.0364</v>
      </c>
      <c r="DZ201" s="0" t="n">
        <v>533</v>
      </c>
      <c r="EA201" s="0" t="n">
        <v>0.526</v>
      </c>
      <c r="EB201" s="0" t="n">
        <v>16</v>
      </c>
      <c r="EC201" s="0" t="s">
        <v>2040</v>
      </c>
      <c r="ED201" s="0" t="n">
        <v>2025</v>
      </c>
      <c r="EE201" s="0" t="n">
        <v>4</v>
      </c>
      <c r="EF201" s="0" t="n">
        <v>120</v>
      </c>
      <c r="EG201" s="0" t="n">
        <v>2025</v>
      </c>
      <c r="EH201" s="0" t="n">
        <v>2026</v>
      </c>
      <c r="EI201" s="0" t="n">
        <v>2</v>
      </c>
      <c r="EJ201" s="0" t="n">
        <v>77</v>
      </c>
      <c r="EK201" s="0" t="n">
        <v>241</v>
      </c>
      <c r="EL201" s="0" t="s">
        <v>927</v>
      </c>
      <c r="EM201" s="0" t="n">
        <v>23.9</v>
      </c>
      <c r="EN201" s="15" t="b">
        <f aca="false">FALSE()</f>
        <v>0</v>
      </c>
      <c r="EO201" s="0" t="n">
        <v>328</v>
      </c>
      <c r="EP201" s="0" t="n">
        <v>3.01463414634146</v>
      </c>
      <c r="EQ201" s="0" t="n">
        <v>0.161585365853659</v>
      </c>
      <c r="ER201" s="0" t="n">
        <v>1.14634146341463</v>
      </c>
      <c r="ES201" s="0" t="n">
        <v>0.692073170731707</v>
      </c>
      <c r="ET201" s="0" t="n">
        <v>30</v>
      </c>
      <c r="EU201" s="0" t="n">
        <v>20</v>
      </c>
      <c r="EV201" s="0" t="n">
        <v>4.30487804878049</v>
      </c>
      <c r="EW201" s="0" t="n">
        <v>0.666666666666667</v>
      </c>
      <c r="EX201" s="0" t="n">
        <v>2.87769409187475</v>
      </c>
      <c r="EY201" s="0" t="n">
        <v>3.085</v>
      </c>
      <c r="EZ201" s="0" t="n">
        <v>0.1549</v>
      </c>
      <c r="FA201" s="0" t="n">
        <v>2.54</v>
      </c>
      <c r="FB201" s="0" t="n">
        <v>1.664</v>
      </c>
      <c r="FC201" s="0" t="n">
        <v>24</v>
      </c>
      <c r="FD201" s="0" t="n">
        <v>646</v>
      </c>
      <c r="FE201" s="0" t="n">
        <v>0.086687306501548</v>
      </c>
      <c r="FF201" s="0" t="n">
        <v>0.0872</v>
      </c>
      <c r="FG201" s="0" t="n">
        <v>0.3175</v>
      </c>
      <c r="FH201" s="0" t="n">
        <v>2.389</v>
      </c>
      <c r="FI201" s="0" t="n">
        <v>995</v>
      </c>
      <c r="FJ201" s="0" t="n">
        <v>0.626130653266332</v>
      </c>
      <c r="FK201" s="0" t="n">
        <v>17</v>
      </c>
      <c r="FL201" s="0" t="n">
        <v>58.53</v>
      </c>
      <c r="FM201" s="0" t="n">
        <v>0.5401</v>
      </c>
      <c r="FN201" s="0" t="n">
        <v>0.4599</v>
      </c>
      <c r="FO201" s="0" t="n">
        <v>-0.0385</v>
      </c>
      <c r="FP201" s="0" t="n">
        <v>-0.0573</v>
      </c>
      <c r="FQ201" s="0" t="n">
        <v>-0.2208</v>
      </c>
      <c r="FR201" s="0" t="n">
        <v>40</v>
      </c>
      <c r="FS201" s="0" t="n">
        <v>35</v>
      </c>
      <c r="FT201" s="0" t="n">
        <v>2.06</v>
      </c>
      <c r="FU201" s="0" t="n">
        <v>16.7</v>
      </c>
      <c r="FV201" s="0" t="n">
        <v>5402</v>
      </c>
      <c r="FW201" s="0" t="n">
        <v>2848</v>
      </c>
      <c r="FX201" s="0" t="n">
        <v>0.527</v>
      </c>
      <c r="FY201" s="0" t="n">
        <v>5</v>
      </c>
      <c r="FZ201" s="0" t="n">
        <v>3</v>
      </c>
      <c r="GA201" s="0" t="n">
        <v>0.463456652097505</v>
      </c>
      <c r="GB201" s="0" t="n">
        <v>58.4</v>
      </c>
      <c r="GC201" s="0" t="n">
        <v>27.6</v>
      </c>
      <c r="GD201" s="0" t="n">
        <v>41.1</v>
      </c>
      <c r="GE201" s="0" t="n">
        <v>530</v>
      </c>
      <c r="GF201" s="0" t="n">
        <v>378</v>
      </c>
      <c r="GG201" s="0" t="n">
        <v>152</v>
      </c>
      <c r="GH201" s="0" t="n">
        <v>0</v>
      </c>
      <c r="GI201" s="0" t="n">
        <v>93</v>
      </c>
      <c r="GJ201" s="0" t="n">
        <v>8</v>
      </c>
      <c r="GK201" s="0" t="n">
        <v>0.287</v>
      </c>
      <c r="GL201" s="0" t="n">
        <v>0</v>
      </c>
      <c r="GM201" s="0" t="n">
        <v>0.086</v>
      </c>
      <c r="GN201" s="0" t="n">
        <v>5.731</v>
      </c>
      <c r="GO201" s="0" t="n">
        <v>4.356</v>
      </c>
      <c r="GP201" s="0" t="n">
        <v>2.981</v>
      </c>
      <c r="GQ201" s="0" t="n">
        <v>3.438</v>
      </c>
      <c r="GR201" s="0" t="n">
        <v>0</v>
      </c>
      <c r="GS201" s="0" t="n">
        <v>55</v>
      </c>
      <c r="GT201" s="0" t="n">
        <v>1.667</v>
      </c>
      <c r="GU201" s="0" t="n">
        <v>0.172</v>
      </c>
      <c r="GV201" s="0" t="n">
        <v>6.491</v>
      </c>
      <c r="GW201" s="0" t="n">
        <v>8.114</v>
      </c>
      <c r="GX201" s="0" t="n">
        <v>0.8</v>
      </c>
      <c r="GZ201" s="0" t="n">
        <v>5.509</v>
      </c>
      <c r="HA201" s="0" t="n">
        <v>3.614</v>
      </c>
      <c r="HB201" s="0" t="n">
        <v>1.178</v>
      </c>
      <c r="HC201" s="0" t="n">
        <v>0.036</v>
      </c>
      <c r="HE201" s="0" t="n">
        <v>0.07</v>
      </c>
      <c r="HG201" s="0" t="n">
        <v>222.29</v>
      </c>
      <c r="HH201" s="0" t="n">
        <v>26.71</v>
      </c>
      <c r="HI201" s="0" t="n">
        <v>153</v>
      </c>
      <c r="HJ201" s="0" t="n">
        <v>290</v>
      </c>
      <c r="HK201" s="0" t="s">
        <v>909</v>
      </c>
      <c r="HL201" s="0" t="n">
        <v>0</v>
      </c>
      <c r="HM201" s="0" t="n">
        <v>27</v>
      </c>
      <c r="HN201" s="0" t="n">
        <v>26</v>
      </c>
      <c r="HO201" s="0" t="n">
        <v>-0.227</v>
      </c>
      <c r="HP201" s="0" t="n">
        <v>30</v>
      </c>
      <c r="HQ201" s="0" t="n">
        <v>-0.359</v>
      </c>
      <c r="HR201" s="0" t="s">
        <v>102</v>
      </c>
    </row>
    <row r="202" customFormat="false" ht="15" hidden="false" customHeight="false" outlineLevel="0" collapsed="false">
      <c r="A202" s="0" t="s">
        <v>896</v>
      </c>
      <c r="B202" s="0" t="s">
        <v>897</v>
      </c>
      <c r="C202" s="0" t="s">
        <v>898</v>
      </c>
      <c r="D202" s="0" t="s">
        <v>544</v>
      </c>
      <c r="E202" s="0" t="n">
        <v>24344</v>
      </c>
      <c r="F202" s="0" t="s">
        <v>104</v>
      </c>
      <c r="G202" s="0" t="n">
        <v>223.65</v>
      </c>
      <c r="H202" s="0" t="n">
        <v>47.84</v>
      </c>
      <c r="I202" s="0" t="n">
        <v>135</v>
      </c>
      <c r="J202" s="0" t="n">
        <v>328</v>
      </c>
      <c r="L202" s="0" t="s">
        <v>2041</v>
      </c>
      <c r="O202" s="0" t="n">
        <v>10.3</v>
      </c>
      <c r="U202" s="0" t="n">
        <v>14</v>
      </c>
      <c r="V202" s="0" t="s">
        <v>544</v>
      </c>
      <c r="W202" s="0" t="s">
        <v>901</v>
      </c>
      <c r="X202" s="0" t="s">
        <v>120</v>
      </c>
      <c r="Y202" s="0" t="s">
        <v>2042</v>
      </c>
      <c r="Z202" s="0" t="n">
        <v>24344</v>
      </c>
      <c r="AA202" s="0" t="s">
        <v>2043</v>
      </c>
      <c r="AB202" s="0" t="s">
        <v>904</v>
      </c>
      <c r="AC202" s="0" t="s">
        <v>120</v>
      </c>
      <c r="AD202" s="0" t="s">
        <v>120</v>
      </c>
      <c r="AE202" s="0" t="s">
        <v>120</v>
      </c>
      <c r="AF202" s="0" t="s">
        <v>120</v>
      </c>
      <c r="AG202" s="0" t="s">
        <v>120</v>
      </c>
      <c r="AH202" s="0" t="s">
        <v>905</v>
      </c>
      <c r="AI202" s="0" t="n">
        <v>2</v>
      </c>
      <c r="AJ202" s="0" t="s">
        <v>104</v>
      </c>
      <c r="AK202" s="0" t="n">
        <v>201</v>
      </c>
      <c r="AL202" s="0" t="n">
        <v>65</v>
      </c>
      <c r="AM202" s="0" t="s">
        <v>545</v>
      </c>
      <c r="AN202" s="0" t="n">
        <v>0</v>
      </c>
      <c r="AO202" s="0" t="n">
        <v>0</v>
      </c>
      <c r="AP202" s="0" t="n">
        <v>0</v>
      </c>
      <c r="AQ202" s="0" t="n">
        <v>0</v>
      </c>
      <c r="AR202" s="0" t="n">
        <v>0</v>
      </c>
      <c r="AS202" s="0" t="n">
        <v>0</v>
      </c>
      <c r="AT202" s="0" t="n">
        <v>0</v>
      </c>
      <c r="AU202" s="0" t="n">
        <v>0</v>
      </c>
      <c r="AV202" s="0" t="n">
        <v>0</v>
      </c>
      <c r="AW202" s="0" t="n">
        <v>38</v>
      </c>
      <c r="AX202" s="0" t="n">
        <v>129</v>
      </c>
      <c r="AY202" s="0" t="n">
        <v>1</v>
      </c>
      <c r="AZ202" s="0" t="n">
        <v>7</v>
      </c>
      <c r="BA202" s="0" t="n">
        <v>-7.48763545637485</v>
      </c>
      <c r="BB202" s="0" t="n">
        <v>0</v>
      </c>
      <c r="BC202" s="0" t="n">
        <v>1</v>
      </c>
      <c r="BD202" s="0" t="n">
        <v>1</v>
      </c>
      <c r="BE202" s="0" t="n">
        <v>5</v>
      </c>
      <c r="BF202" s="0" t="n">
        <v>0</v>
      </c>
      <c r="BG202" s="0" t="n">
        <v>-5</v>
      </c>
      <c r="BH202" s="0" t="n">
        <v>10</v>
      </c>
      <c r="BI202" s="0" t="n">
        <v>0</v>
      </c>
      <c r="BJ202" s="0" t="n">
        <v>-0.119361729361117</v>
      </c>
      <c r="BK202" s="0" t="n">
        <v>0</v>
      </c>
      <c r="BL202" s="0" t="n">
        <v>0</v>
      </c>
      <c r="BM202" s="0" t="n">
        <v>19.4</v>
      </c>
      <c r="BN202" s="0" t="n">
        <v>20.4</v>
      </c>
      <c r="BO202" s="0" t="n">
        <v>5</v>
      </c>
      <c r="BP202" s="0" t="s">
        <v>120</v>
      </c>
      <c r="BQ202" s="0" t="n">
        <v>1</v>
      </c>
      <c r="BR202" s="0" t="n">
        <v>19.9</v>
      </c>
      <c r="BS202" s="0" t="n">
        <v>0.0016</v>
      </c>
      <c r="BT202" s="0" t="n">
        <v>0.0817</v>
      </c>
      <c r="BU202" s="0" t="n">
        <v>-0.001</v>
      </c>
      <c r="BV202" s="0" t="n">
        <v>0.0067</v>
      </c>
      <c r="BW202" s="0" t="n">
        <v>0.2714</v>
      </c>
      <c r="BX202" s="0" t="n">
        <v>-0.0048</v>
      </c>
      <c r="BY202" s="0" t="n">
        <v>0.0067</v>
      </c>
      <c r="BZ202" s="0" t="n">
        <v>5</v>
      </c>
      <c r="CA202" s="0" t="n">
        <v>0.7</v>
      </c>
      <c r="CB202" s="0" t="n">
        <v>7.6</v>
      </c>
      <c r="CC202" s="0" t="n">
        <v>2.9</v>
      </c>
      <c r="CD202" s="0" t="n">
        <v>4.97</v>
      </c>
      <c r="CE202" s="0" t="n">
        <v>0</v>
      </c>
      <c r="CF202" s="0" t="n">
        <v>2</v>
      </c>
      <c r="CG202" s="0" t="n">
        <v>5</v>
      </c>
      <c r="CH202" s="0" t="n">
        <v>0</v>
      </c>
      <c r="CI202" s="0" t="n">
        <v>0.4</v>
      </c>
      <c r="CJ202" s="0" t="n">
        <v>1.714</v>
      </c>
      <c r="CK202" s="0" t="n">
        <v>0</v>
      </c>
      <c r="CL202" s="0" t="n">
        <v>0</v>
      </c>
      <c r="CM202" s="0" t="n">
        <v>0</v>
      </c>
      <c r="CN202" s="0" t="n">
        <v>0</v>
      </c>
      <c r="CO202" s="0" t="n">
        <v>0.0583190394511149</v>
      </c>
      <c r="CP202" s="0" t="n">
        <v>7</v>
      </c>
      <c r="CQ202" s="0" t="n">
        <v>2</v>
      </c>
      <c r="CR202" s="0" t="n">
        <v>1</v>
      </c>
      <c r="CS202" s="0" t="n">
        <v>1</v>
      </c>
      <c r="CT202" s="0" t="n">
        <v>0.802855401592132</v>
      </c>
      <c r="CU202" s="0" t="n">
        <v>7</v>
      </c>
      <c r="CV202" s="0" t="n">
        <v>2</v>
      </c>
      <c r="CW202" s="0" t="n">
        <v>1</v>
      </c>
      <c r="CX202" s="0" t="n">
        <v>1</v>
      </c>
      <c r="CY202" s="0" t="n">
        <v>0.86</v>
      </c>
      <c r="CZ202" s="0" t="n">
        <v>0.14</v>
      </c>
      <c r="DM202" s="0" t="s">
        <v>2044</v>
      </c>
      <c r="DN202" s="0" t="n">
        <v>38</v>
      </c>
      <c r="DO202" s="0" t="n">
        <v>2</v>
      </c>
      <c r="DP202" s="0" t="n">
        <v>2.237</v>
      </c>
      <c r="DQ202" s="0" t="n">
        <v>1.158</v>
      </c>
      <c r="DR202" s="0" t="n">
        <v>19</v>
      </c>
      <c r="DS202" s="0" t="n">
        <v>1</v>
      </c>
      <c r="DT202" s="0" t="n">
        <v>0</v>
      </c>
      <c r="DU202" s="0" t="n">
        <v>0</v>
      </c>
      <c r="DZ202" s="0" t="n">
        <v>78</v>
      </c>
      <c r="EA202" s="0" t="n">
        <v>0.256</v>
      </c>
      <c r="EB202" s="0" t="n">
        <v>5</v>
      </c>
      <c r="EC202" s="0" t="s">
        <v>2045</v>
      </c>
      <c r="ED202" s="0" t="n">
        <v>2025</v>
      </c>
      <c r="EE202" s="0" t="n">
        <v>5</v>
      </c>
      <c r="EF202" s="0" t="n">
        <v>149</v>
      </c>
      <c r="EG202" s="0" t="n">
        <v>2025</v>
      </c>
      <c r="EH202" s="0" t="n">
        <v>2026</v>
      </c>
      <c r="EI202" s="0" t="n">
        <v>2</v>
      </c>
      <c r="EJ202" s="0" t="n">
        <v>69</v>
      </c>
      <c r="EK202" s="0" t="n">
        <v>198</v>
      </c>
      <c r="EL202" s="0" t="s">
        <v>927</v>
      </c>
      <c r="EM202" s="0" t="n">
        <v>22.6</v>
      </c>
      <c r="EN202" s="15" t="b">
        <f aca="false">FALSE()</f>
        <v>0</v>
      </c>
      <c r="EO202" s="0" t="n">
        <v>383</v>
      </c>
      <c r="EP202" s="0" t="n">
        <v>3.16527415143603</v>
      </c>
      <c r="EQ202" s="0" t="n">
        <v>0.130548302872063</v>
      </c>
      <c r="ER202" s="0" t="n">
        <v>1.25587467362924</v>
      </c>
      <c r="ES202" s="0" t="n">
        <v>0.845953002610966</v>
      </c>
      <c r="ET202" s="0" t="n">
        <v>34</v>
      </c>
      <c r="EU202" s="0" t="n">
        <v>24</v>
      </c>
      <c r="EV202" s="0" t="n">
        <v>4.66318537859008</v>
      </c>
      <c r="EW202" s="0" t="n">
        <v>0.705882352941177</v>
      </c>
      <c r="EX202" s="0" t="n">
        <v>3.04016625444487</v>
      </c>
      <c r="EY202" s="0" t="n">
        <v>3.074</v>
      </c>
      <c r="EZ202" s="0" t="n">
        <v>0.1352</v>
      </c>
      <c r="FA202" s="0" t="n">
        <v>2.563</v>
      </c>
      <c r="FB202" s="0" t="n">
        <v>2.03</v>
      </c>
      <c r="FC202" s="0" t="n">
        <v>33</v>
      </c>
      <c r="FD202" s="0" t="n">
        <v>681</v>
      </c>
      <c r="FE202" s="0" t="n">
        <v>0.0455212922173275</v>
      </c>
      <c r="FF202" s="0" t="n">
        <v>0.044</v>
      </c>
      <c r="FG202" s="0" t="n">
        <v>0.2356</v>
      </c>
      <c r="FH202" s="0" t="n">
        <v>2.396</v>
      </c>
      <c r="FI202" s="0" t="n">
        <v>1104</v>
      </c>
      <c r="FJ202" s="0" t="n">
        <v>0.593297101449275</v>
      </c>
      <c r="FK202" s="0" t="n">
        <v>17</v>
      </c>
      <c r="FL202" s="0" t="n">
        <v>64.94</v>
      </c>
      <c r="FM202" s="0" t="n">
        <v>0.5628</v>
      </c>
      <c r="FN202" s="0" t="n">
        <v>0.4372</v>
      </c>
      <c r="FO202" s="0" t="n">
        <v>-0.0098</v>
      </c>
      <c r="FP202" s="0" t="n">
        <v>0.005</v>
      </c>
      <c r="FQ202" s="0" t="n">
        <v>0.1615</v>
      </c>
      <c r="FR202" s="0" t="n">
        <v>36</v>
      </c>
      <c r="FS202" s="0" t="n">
        <v>65</v>
      </c>
      <c r="FT202" s="0" t="n">
        <v>3.82</v>
      </c>
      <c r="FU202" s="0" t="n">
        <v>27.7</v>
      </c>
      <c r="FV202" s="0" t="n">
        <v>5938</v>
      </c>
      <c r="FW202" s="0" t="n">
        <v>5037</v>
      </c>
      <c r="FX202" s="0" t="n">
        <v>0.848</v>
      </c>
      <c r="FY202" s="0" t="n">
        <v>5</v>
      </c>
      <c r="FZ202" s="0" t="n">
        <v>5</v>
      </c>
      <c r="GA202" s="0" t="n">
        <v>0.642644133012613</v>
      </c>
      <c r="GB202" s="0" t="n">
        <v>61.6</v>
      </c>
      <c r="GC202" s="0" t="n">
        <v>62.2</v>
      </c>
      <c r="GD202" s="0" t="n">
        <v>65.1</v>
      </c>
      <c r="GE202" s="0" t="n">
        <v>607</v>
      </c>
      <c r="GF202" s="0" t="n">
        <v>465</v>
      </c>
      <c r="GG202" s="0" t="n">
        <v>34</v>
      </c>
      <c r="GH202" s="0" t="n">
        <v>0</v>
      </c>
      <c r="GI202" s="0" t="n">
        <v>187</v>
      </c>
      <c r="GJ202" s="0" t="n">
        <v>4</v>
      </c>
      <c r="GK202" s="0" t="n">
        <v>0.056</v>
      </c>
      <c r="GL202" s="0" t="n">
        <v>0</v>
      </c>
      <c r="GM202" s="0" t="n">
        <v>0.021</v>
      </c>
      <c r="GN202" s="0" t="n">
        <v>4.08</v>
      </c>
      <c r="GO202" s="0" t="n">
        <v>3.98</v>
      </c>
      <c r="GP202" s="0" t="n">
        <v>3.88</v>
      </c>
      <c r="GQ202" s="0" t="n">
        <v>0.2</v>
      </c>
      <c r="GR202" s="0" t="n">
        <v>7.6</v>
      </c>
      <c r="GS202" s="0" t="n">
        <v>39</v>
      </c>
      <c r="GT202" s="0" t="n">
        <v>0.523</v>
      </c>
      <c r="GU202" s="0" t="n">
        <v>0.262</v>
      </c>
      <c r="GY202" s="0" t="n">
        <v>3.395</v>
      </c>
      <c r="HC202" s="0" t="n">
        <v>0.026</v>
      </c>
      <c r="HD202" s="0" t="n">
        <v>-0.197</v>
      </c>
      <c r="HE202" s="0" t="n">
        <v>-0.119</v>
      </c>
      <c r="HG202" s="0" t="n">
        <v>223.65</v>
      </c>
      <c r="HH202" s="0" t="n">
        <v>47.84</v>
      </c>
      <c r="HI202" s="0" t="n">
        <v>135</v>
      </c>
      <c r="HJ202" s="0" t="n">
        <v>328</v>
      </c>
      <c r="HK202" s="0" t="s">
        <v>909</v>
      </c>
      <c r="HL202" s="0" t="n">
        <v>0</v>
      </c>
      <c r="HM202" s="0" t="n">
        <v>66</v>
      </c>
      <c r="HN202" s="0" t="n">
        <v>65</v>
      </c>
      <c r="HO202" s="0" t="n">
        <v>-0.555</v>
      </c>
      <c r="HP202" s="0" t="n">
        <v>59</v>
      </c>
      <c r="HQ202" s="0" t="n">
        <v>-0.249</v>
      </c>
      <c r="HR202" s="0" t="s">
        <v>121</v>
      </c>
    </row>
    <row r="203" customFormat="false" ht="15" hidden="false" customHeight="false" outlineLevel="0" collapsed="false">
      <c r="A203" s="0" t="s">
        <v>896</v>
      </c>
      <c r="B203" s="0" t="s">
        <v>897</v>
      </c>
      <c r="C203" s="0" t="s">
        <v>898</v>
      </c>
      <c r="D203" s="0" t="s">
        <v>546</v>
      </c>
      <c r="E203" s="0" t="n">
        <v>11687</v>
      </c>
      <c r="F203" s="0" t="s">
        <v>172</v>
      </c>
      <c r="G203" s="0" t="n">
        <v>227.81</v>
      </c>
      <c r="H203" s="0" t="n">
        <v>32.44</v>
      </c>
      <c r="I203" s="0" t="n">
        <v>147</v>
      </c>
      <c r="J203" s="0" t="n">
        <v>285</v>
      </c>
      <c r="L203" s="0" t="s">
        <v>2046</v>
      </c>
      <c r="O203" s="0" t="n">
        <v>12.4</v>
      </c>
      <c r="U203" s="0" t="n">
        <v>13</v>
      </c>
      <c r="V203" s="0" t="s">
        <v>546</v>
      </c>
      <c r="W203" s="0" t="s">
        <v>901</v>
      </c>
      <c r="X203" s="0" t="s">
        <v>186</v>
      </c>
      <c r="Y203" s="0" t="s">
        <v>2047</v>
      </c>
      <c r="Z203" s="0" t="n">
        <v>11687</v>
      </c>
      <c r="AA203" s="0" t="s">
        <v>2048</v>
      </c>
      <c r="AB203" s="0" t="s">
        <v>904</v>
      </c>
      <c r="AC203" s="0" t="s">
        <v>186</v>
      </c>
      <c r="AD203" s="0" t="s">
        <v>186</v>
      </c>
      <c r="AE203" s="0" t="s">
        <v>186</v>
      </c>
      <c r="AF203" s="0" t="s">
        <v>186</v>
      </c>
      <c r="AG203" s="0" t="s">
        <v>186</v>
      </c>
      <c r="AH203" s="0" t="s">
        <v>905</v>
      </c>
      <c r="AI203" s="0" t="n">
        <v>1</v>
      </c>
      <c r="AJ203" s="0" t="s">
        <v>172</v>
      </c>
      <c r="AK203" s="0" t="n">
        <v>202</v>
      </c>
      <c r="AL203" s="0" t="n">
        <v>29</v>
      </c>
      <c r="AM203" s="0" t="s">
        <v>547</v>
      </c>
      <c r="AN203" s="0" t="n">
        <v>302</v>
      </c>
      <c r="AO203" s="0" t="n">
        <v>448</v>
      </c>
      <c r="AP203" s="0" t="n">
        <v>3025</v>
      </c>
      <c r="AQ203" s="0" t="n">
        <v>19</v>
      </c>
      <c r="AR203" s="0" t="n">
        <v>17</v>
      </c>
      <c r="AS203" s="0" t="n">
        <v>55</v>
      </c>
      <c r="AT203" s="0" t="n">
        <v>2762</v>
      </c>
      <c r="AU203" s="0" t="n">
        <v>148</v>
      </c>
      <c r="AV203" s="0" t="n">
        <v>-72.9214060488586</v>
      </c>
      <c r="AW203" s="0" t="n">
        <v>41</v>
      </c>
      <c r="AX203" s="0" t="n">
        <v>109</v>
      </c>
      <c r="AY203" s="0" t="n">
        <v>0</v>
      </c>
      <c r="AZ203" s="0" t="n">
        <v>13</v>
      </c>
      <c r="BA203" s="0" t="n">
        <v>-1.67355429116287</v>
      </c>
      <c r="BB203" s="0" t="n">
        <v>0</v>
      </c>
      <c r="BC203" s="0" t="n">
        <v>0</v>
      </c>
      <c r="BD203" s="0" t="n">
        <v>0</v>
      </c>
      <c r="BE203" s="0" t="n">
        <v>0</v>
      </c>
      <c r="BF203" s="0" t="n">
        <v>0</v>
      </c>
      <c r="BG203" s="0" t="n">
        <v>0</v>
      </c>
      <c r="BH203" s="0" t="n">
        <v>0</v>
      </c>
      <c r="BI203" s="0" t="n">
        <v>0</v>
      </c>
      <c r="BJ203" s="0" t="n">
        <v>0</v>
      </c>
      <c r="BK203" s="0" t="n">
        <v>0</v>
      </c>
      <c r="BL203" s="0" t="n">
        <v>0</v>
      </c>
      <c r="BM203" s="0" t="n">
        <v>173.9</v>
      </c>
      <c r="BN203" s="0" t="n">
        <v>173.9</v>
      </c>
      <c r="BO203" s="0" t="n">
        <v>15</v>
      </c>
      <c r="BP203" s="0" t="s">
        <v>142</v>
      </c>
      <c r="BQ203" s="0" t="n">
        <v>1</v>
      </c>
      <c r="BR203" s="0" t="n">
        <v>173.9</v>
      </c>
      <c r="BS203" s="0" t="n">
        <v>0</v>
      </c>
      <c r="BT203" s="0" t="n">
        <v>0.1111</v>
      </c>
      <c r="BU203" s="0" t="n">
        <v>0</v>
      </c>
      <c r="BV203" s="0" t="n">
        <v>0</v>
      </c>
      <c r="BW203" s="0" t="n">
        <v>0.1265</v>
      </c>
      <c r="BX203" s="0" t="n">
        <v>0</v>
      </c>
      <c r="BY203" s="0" t="n">
        <v>0</v>
      </c>
      <c r="BZ203" s="0" t="n">
        <v>15</v>
      </c>
      <c r="CA203" s="0" t="n">
        <v>6.53</v>
      </c>
      <c r="CB203" s="0" t="n">
        <v>17.15</v>
      </c>
      <c r="CC203" s="0" t="n">
        <v>9.78</v>
      </c>
      <c r="CD203" s="0" t="n">
        <v>7.29</v>
      </c>
      <c r="CE203" s="0" t="n">
        <v>2</v>
      </c>
      <c r="CF203" s="0" t="n">
        <v>4</v>
      </c>
      <c r="CG203" s="0" t="n">
        <v>15</v>
      </c>
      <c r="CH203" s="0" t="n">
        <v>0.133</v>
      </c>
      <c r="CI203" s="0" t="n">
        <v>0.267</v>
      </c>
      <c r="CJ203" s="0" t="n">
        <v>0.745</v>
      </c>
      <c r="CK203" s="0" t="n">
        <v>0</v>
      </c>
      <c r="CL203" s="0" t="n">
        <v>0</v>
      </c>
      <c r="CM203" s="0" t="n">
        <v>0</v>
      </c>
      <c r="CN203" s="0" t="n">
        <v>0</v>
      </c>
      <c r="CO203" s="0" t="n">
        <v>0</v>
      </c>
      <c r="CP203" s="0" t="n">
        <v>7</v>
      </c>
      <c r="CQ203" s="0" t="n">
        <v>2</v>
      </c>
      <c r="CR203" s="0" t="n">
        <v>2</v>
      </c>
      <c r="CS203" s="0" t="n">
        <v>0</v>
      </c>
      <c r="CT203" s="0" t="n">
        <v>1.21311514591312</v>
      </c>
      <c r="CU203" s="0" t="n">
        <v>7</v>
      </c>
      <c r="CV203" s="0" t="n">
        <v>2</v>
      </c>
      <c r="CW203" s="0" t="n">
        <v>2</v>
      </c>
      <c r="CX203" s="0" t="n">
        <v>0</v>
      </c>
      <c r="CY203" s="0" t="n">
        <v>1.21</v>
      </c>
      <c r="CZ203" s="0" t="n">
        <v>-1.21</v>
      </c>
      <c r="DM203" s="0" t="s">
        <v>2049</v>
      </c>
      <c r="DN203" s="0" t="n">
        <v>41</v>
      </c>
      <c r="DO203" s="0" t="n">
        <v>2</v>
      </c>
      <c r="DP203" s="0" t="n">
        <v>1.39</v>
      </c>
      <c r="DQ203" s="0" t="n">
        <v>1.268</v>
      </c>
      <c r="DR203" s="0" t="n">
        <v>20.5</v>
      </c>
      <c r="DZ203" s="0" t="n">
        <v>863</v>
      </c>
      <c r="EA203" s="0" t="n">
        <v>0.965</v>
      </c>
      <c r="EB203" s="0" t="n">
        <v>15</v>
      </c>
      <c r="EC203" s="0" t="s">
        <v>2050</v>
      </c>
      <c r="ED203" s="0" t="n">
        <v>2013</v>
      </c>
      <c r="EE203" s="0" t="n">
        <v>2</v>
      </c>
      <c r="EF203" s="0" t="n">
        <v>39</v>
      </c>
      <c r="EG203" s="0" t="n">
        <v>2013</v>
      </c>
      <c r="EH203" s="0" t="n">
        <v>2026</v>
      </c>
      <c r="EI203" s="0" t="n">
        <v>14</v>
      </c>
      <c r="EJ203" s="0" t="n">
        <v>75</v>
      </c>
      <c r="EK203" s="0" t="n">
        <v>221</v>
      </c>
      <c r="EL203" s="0" t="s">
        <v>2051</v>
      </c>
      <c r="EM203" s="0" t="n">
        <v>35.9</v>
      </c>
      <c r="EN203" s="15" t="b">
        <f aca="false">FALSE()</f>
        <v>0</v>
      </c>
      <c r="EO203" s="0" t="n">
        <v>334</v>
      </c>
      <c r="EP203" s="0" t="n">
        <v>2.84431137724551</v>
      </c>
      <c r="EQ203" s="0" t="n">
        <v>0.182634730538922</v>
      </c>
      <c r="ER203" s="0" t="n">
        <v>1.19161676646707</v>
      </c>
      <c r="ES203" s="0" t="n">
        <v>0.940119760479042</v>
      </c>
      <c r="ET203" s="0" t="n">
        <v>23</v>
      </c>
      <c r="EU203" s="0" t="n">
        <v>17</v>
      </c>
      <c r="EV203" s="0" t="n">
        <v>4.44011976047904</v>
      </c>
      <c r="EW203" s="0" t="n">
        <v>0.739130434782609</v>
      </c>
      <c r="EX203" s="0" t="n">
        <v>2.90111469172123</v>
      </c>
      <c r="EY203" s="0" t="n">
        <v>2.892</v>
      </c>
      <c r="EZ203" s="0" t="n">
        <v>0.1813</v>
      </c>
      <c r="FA203" s="0" t="n">
        <v>2.899</v>
      </c>
      <c r="FB203" s="0" t="n">
        <v>1.697</v>
      </c>
      <c r="FC203" s="0" t="n">
        <v>18</v>
      </c>
      <c r="FD203" s="0" t="n">
        <v>608</v>
      </c>
      <c r="FE203" s="0" t="n">
        <v>0.0986842105263158</v>
      </c>
      <c r="FF203" s="0" t="n">
        <v>0.0989</v>
      </c>
      <c r="FG203" s="0" t="n">
        <v>0.3117</v>
      </c>
      <c r="FH203" s="0" t="n">
        <v>2.423</v>
      </c>
      <c r="FI203" s="0" t="n">
        <v>1009</v>
      </c>
      <c r="FJ203" s="0" t="n">
        <v>0.551040634291378</v>
      </c>
      <c r="FK203" s="0" t="n">
        <v>17</v>
      </c>
      <c r="FL203" s="0" t="n">
        <v>59.35</v>
      </c>
      <c r="FM203" s="0" t="n">
        <v>0.4319</v>
      </c>
      <c r="FN203" s="0" t="n">
        <v>0.5681</v>
      </c>
      <c r="FO203" s="0" t="n">
        <v>-0.0877</v>
      </c>
      <c r="FP203" s="0" t="n">
        <v>-0.061</v>
      </c>
      <c r="FQ203" s="0" t="n">
        <v>-0.1799</v>
      </c>
      <c r="FR203" s="0" t="n">
        <v>38</v>
      </c>
      <c r="FS203" s="0" t="n">
        <v>42</v>
      </c>
      <c r="FT203" s="0" t="n">
        <v>2.47</v>
      </c>
      <c r="FU203" s="0" t="n">
        <v>17.6</v>
      </c>
      <c r="FV203" s="0" t="n">
        <v>5302</v>
      </c>
      <c r="FW203" s="0" t="n">
        <v>4286</v>
      </c>
      <c r="FX203" s="0" t="n">
        <v>0.808</v>
      </c>
      <c r="FY203" s="0" t="n">
        <v>5</v>
      </c>
      <c r="FZ203" s="0" t="n">
        <v>3</v>
      </c>
      <c r="GA203" s="0" t="n">
        <v>0.350287370649638</v>
      </c>
      <c r="GB203" s="0" t="n">
        <v>56.3</v>
      </c>
      <c r="GC203" s="0" t="n">
        <v>25.8</v>
      </c>
      <c r="GD203" s="0" t="n">
        <v>38.6</v>
      </c>
      <c r="GE203" s="0" t="n">
        <v>472</v>
      </c>
      <c r="GF203" s="0" t="n">
        <v>456</v>
      </c>
      <c r="GG203" s="0" t="n">
        <v>76</v>
      </c>
      <c r="GH203" s="0" t="n">
        <v>117</v>
      </c>
      <c r="GI203" s="0" t="n">
        <v>116</v>
      </c>
      <c r="GJ203" s="0" t="n">
        <v>27</v>
      </c>
      <c r="GK203" s="0" t="n">
        <v>0.161</v>
      </c>
      <c r="GL203" s="0" t="n">
        <v>0.257</v>
      </c>
      <c r="GM203" s="0" t="n">
        <v>0.233</v>
      </c>
      <c r="GN203" s="0" t="n">
        <v>11.593</v>
      </c>
      <c r="GO203" s="0" t="n">
        <v>11.593</v>
      </c>
      <c r="GP203" s="0" t="n">
        <v>11.593</v>
      </c>
      <c r="GQ203" s="0" t="n">
        <v>0</v>
      </c>
      <c r="GR203" s="0" t="n">
        <v>2.733</v>
      </c>
      <c r="GS203" s="0" t="n">
        <v>41</v>
      </c>
      <c r="GT203" s="0" t="n">
        <v>4.241</v>
      </c>
      <c r="GU203" s="0" t="n">
        <v>0.202</v>
      </c>
      <c r="GY203" s="0" t="n">
        <v>2.659</v>
      </c>
      <c r="HC203" s="0" t="n">
        <v>0</v>
      </c>
      <c r="HD203" s="0" t="n">
        <v>-0.041</v>
      </c>
      <c r="HG203" s="0" t="n">
        <v>227.81</v>
      </c>
      <c r="HH203" s="0" t="n">
        <v>32.44</v>
      </c>
      <c r="HI203" s="0" t="n">
        <v>147</v>
      </c>
      <c r="HJ203" s="0" t="n">
        <v>285</v>
      </c>
      <c r="HK203" s="0" t="s">
        <v>909</v>
      </c>
      <c r="HL203" s="0" t="n">
        <v>0</v>
      </c>
      <c r="HM203" s="0" t="n">
        <v>24</v>
      </c>
      <c r="HN203" s="0" t="n">
        <v>29</v>
      </c>
      <c r="HO203" s="0" t="n">
        <v>0.01</v>
      </c>
      <c r="HP203" s="0" t="n">
        <v>28</v>
      </c>
      <c r="HQ203" s="0" t="n">
        <v>-0.165</v>
      </c>
      <c r="HR203" s="0" t="s">
        <v>102</v>
      </c>
    </row>
    <row r="204" customFormat="false" ht="15" hidden="false" customHeight="false" outlineLevel="0" collapsed="false">
      <c r="A204" s="0" t="s">
        <v>896</v>
      </c>
      <c r="B204" s="0" t="s">
        <v>897</v>
      </c>
      <c r="C204" s="0" t="s">
        <v>898</v>
      </c>
      <c r="D204" s="0" t="s">
        <v>548</v>
      </c>
      <c r="E204" s="0" t="n">
        <v>24362</v>
      </c>
      <c r="F204" s="0" t="s">
        <v>104</v>
      </c>
      <c r="G204" s="0" t="n">
        <v>227.85</v>
      </c>
      <c r="H204" s="0" t="n">
        <v>34.91</v>
      </c>
      <c r="I204" s="0" t="n">
        <v>158</v>
      </c>
      <c r="J204" s="0" t="n">
        <v>324</v>
      </c>
      <c r="L204" s="0" t="s">
        <v>2052</v>
      </c>
      <c r="O204" s="0" t="n">
        <v>12.7</v>
      </c>
      <c r="U204" s="0" t="n">
        <v>7</v>
      </c>
      <c r="V204" s="0" t="s">
        <v>548</v>
      </c>
      <c r="W204" s="0" t="s">
        <v>901</v>
      </c>
      <c r="X204" s="0" t="s">
        <v>221</v>
      </c>
      <c r="Y204" s="0" t="s">
        <v>2053</v>
      </c>
      <c r="Z204" s="0" t="n">
        <v>24362</v>
      </c>
      <c r="AA204" s="0" t="s">
        <v>2054</v>
      </c>
      <c r="AB204" s="0" t="s">
        <v>904</v>
      </c>
      <c r="AC204" s="0" t="s">
        <v>221</v>
      </c>
      <c r="AD204" s="0" t="s">
        <v>221</v>
      </c>
      <c r="AE204" s="0" t="s">
        <v>221</v>
      </c>
      <c r="AF204" s="0" t="s">
        <v>221</v>
      </c>
      <c r="AG204" s="0" t="s">
        <v>221</v>
      </c>
      <c r="AH204" s="0" t="s">
        <v>905</v>
      </c>
      <c r="AI204" s="0" t="n">
        <v>3</v>
      </c>
      <c r="AJ204" s="0" t="s">
        <v>104</v>
      </c>
      <c r="AK204" s="0" t="n">
        <v>203</v>
      </c>
      <c r="AL204" s="0" t="n">
        <v>66</v>
      </c>
      <c r="AM204" s="0" t="s">
        <v>549</v>
      </c>
      <c r="EC204" s="0" t="s">
        <v>2055</v>
      </c>
      <c r="EG204" s="0" t="n">
        <v>2026</v>
      </c>
      <c r="EH204" s="0" t="n">
        <v>2026</v>
      </c>
      <c r="EI204" s="0" t="n">
        <v>0</v>
      </c>
      <c r="EJ204" s="0" t="n">
        <v>71</v>
      </c>
      <c r="EK204" s="0" t="n">
        <v>217</v>
      </c>
      <c r="EL204" s="0" t="s">
        <v>1063</v>
      </c>
      <c r="EM204" s="0" t="n">
        <v>23.6</v>
      </c>
      <c r="EN204" s="15" t="b">
        <f aca="false">TRUE()</f>
        <v>1</v>
      </c>
      <c r="EO204" s="0" t="n">
        <v>345</v>
      </c>
      <c r="EP204" s="0" t="n">
        <v>3.01826086956522</v>
      </c>
      <c r="EQ204" s="0" t="n">
        <v>0.165217391304348</v>
      </c>
      <c r="ER204" s="0" t="n">
        <v>1.27246376811594</v>
      </c>
      <c r="ES204" s="0" t="n">
        <v>0.852173913043478</v>
      </c>
      <c r="ET204" s="0" t="n">
        <v>31</v>
      </c>
      <c r="EU204" s="0" t="n">
        <v>17</v>
      </c>
      <c r="EV204" s="0" t="n">
        <v>4.54782608695652</v>
      </c>
      <c r="EW204" s="0" t="n">
        <v>0.548387096774194</v>
      </c>
      <c r="EX204" s="0" t="n">
        <v>2.96856142572662</v>
      </c>
      <c r="EY204" s="0" t="n">
        <v>2.998</v>
      </c>
      <c r="EZ204" s="0" t="n">
        <v>0.1651</v>
      </c>
      <c r="FA204" s="0" t="n">
        <v>2.512</v>
      </c>
      <c r="FB204" s="0" t="n">
        <v>2.219</v>
      </c>
      <c r="FC204" s="0" t="n">
        <v>38</v>
      </c>
      <c r="FD204" s="0" t="n">
        <v>564</v>
      </c>
      <c r="FE204" s="0" t="n">
        <v>0.0656028368794326</v>
      </c>
      <c r="FF204" s="0" t="n">
        <v>0.0606</v>
      </c>
      <c r="FG204" s="0" t="n">
        <v>0.2217</v>
      </c>
      <c r="FH204" s="0" t="n">
        <v>2.36</v>
      </c>
      <c r="FI204" s="0" t="n">
        <v>979</v>
      </c>
      <c r="FJ204" s="0" t="n">
        <v>0.514811031664964</v>
      </c>
      <c r="FK204" s="0" t="n">
        <v>17</v>
      </c>
      <c r="FL204" s="0" t="n">
        <v>57.59</v>
      </c>
      <c r="FM204" s="0" t="n">
        <v>0.4747</v>
      </c>
      <c r="FN204" s="0" t="n">
        <v>0.5253</v>
      </c>
      <c r="FO204" s="0" t="n">
        <v>-0.0427</v>
      </c>
      <c r="FP204" s="0" t="n">
        <v>0.0192</v>
      </c>
      <c r="FQ204" s="0" t="n">
        <v>-0.0055</v>
      </c>
      <c r="FR204" s="0" t="n">
        <v>38</v>
      </c>
      <c r="FS204" s="0" t="n">
        <v>50</v>
      </c>
      <c r="FT204" s="0" t="n">
        <v>2.94</v>
      </c>
      <c r="FU204" s="0" t="n">
        <v>20.9</v>
      </c>
      <c r="FV204" s="0" t="n">
        <v>5375</v>
      </c>
      <c r="FW204" s="0" t="n">
        <v>3794</v>
      </c>
      <c r="FX204" s="0" t="n">
        <v>0.706</v>
      </c>
      <c r="FY204" s="0" t="n">
        <v>5</v>
      </c>
      <c r="FZ204" s="0" t="n">
        <v>4</v>
      </c>
      <c r="GA204" s="0" t="n">
        <v>0.036879143422903</v>
      </c>
      <c r="GB204" s="0" t="n">
        <v>50.7</v>
      </c>
      <c r="GC204" s="0" t="n">
        <v>56.8</v>
      </c>
      <c r="GD204" s="0" t="n">
        <v>54.8</v>
      </c>
      <c r="GE204" s="0" t="n">
        <v>432</v>
      </c>
      <c r="GF204" s="0" t="n">
        <v>484</v>
      </c>
      <c r="GG204" s="0" t="n">
        <v>138</v>
      </c>
      <c r="GH204" s="0" t="n">
        <v>142</v>
      </c>
      <c r="GI204" s="0" t="n">
        <v>138</v>
      </c>
      <c r="GJ204" s="0" t="n">
        <v>56</v>
      </c>
      <c r="GK204" s="0" t="n">
        <v>0.319</v>
      </c>
      <c r="GL204" s="0" t="n">
        <v>0.293</v>
      </c>
      <c r="GM204" s="0" t="n">
        <v>0.406</v>
      </c>
      <c r="HF204" s="0" t="s">
        <v>206</v>
      </c>
      <c r="HG204" s="0" t="n">
        <v>227.85</v>
      </c>
      <c r="HH204" s="0" t="n">
        <v>34.91</v>
      </c>
      <c r="HI204" s="0" t="n">
        <v>158</v>
      </c>
      <c r="HJ204" s="0" t="n">
        <v>324</v>
      </c>
      <c r="HK204" s="0" t="s">
        <v>909</v>
      </c>
      <c r="HL204" s="0" t="n">
        <v>0</v>
      </c>
      <c r="HN204" s="0" t="n">
        <v>66</v>
      </c>
    </row>
    <row r="205" customFormat="false" ht="15" hidden="false" customHeight="false" outlineLevel="0" collapsed="false">
      <c r="A205" s="0" t="s">
        <v>896</v>
      </c>
      <c r="B205" s="0" t="s">
        <v>897</v>
      </c>
      <c r="C205" s="0" t="s">
        <v>898</v>
      </c>
      <c r="D205" s="0" t="s">
        <v>550</v>
      </c>
      <c r="E205" s="0" t="n">
        <v>25419</v>
      </c>
      <c r="F205" s="0" t="s">
        <v>99</v>
      </c>
      <c r="G205" s="0" t="n">
        <v>229.71</v>
      </c>
      <c r="H205" s="0" t="n">
        <v>32.85</v>
      </c>
      <c r="I205" s="0" t="n">
        <v>150</v>
      </c>
      <c r="J205" s="0" t="n">
        <v>313</v>
      </c>
      <c r="L205" s="0" t="s">
        <v>2056</v>
      </c>
      <c r="O205" s="0" t="n">
        <v>17.4</v>
      </c>
      <c r="U205" s="0" t="n">
        <v>11</v>
      </c>
      <c r="V205" s="0" t="s">
        <v>550</v>
      </c>
      <c r="W205" s="0" t="s">
        <v>901</v>
      </c>
      <c r="X205" s="0" t="s">
        <v>112</v>
      </c>
      <c r="Y205" s="0" t="s">
        <v>2057</v>
      </c>
      <c r="Z205" s="0" t="n">
        <v>25419</v>
      </c>
      <c r="AA205" s="0" t="s">
        <v>2058</v>
      </c>
      <c r="AB205" s="0" t="s">
        <v>904</v>
      </c>
      <c r="AC205" s="0" t="s">
        <v>112</v>
      </c>
      <c r="AD205" s="0" t="s">
        <v>112</v>
      </c>
      <c r="AE205" s="0" t="s">
        <v>112</v>
      </c>
      <c r="AF205" s="0" t="s">
        <v>112</v>
      </c>
      <c r="AG205" s="0" t="s">
        <v>112</v>
      </c>
      <c r="AH205" s="0" t="s">
        <v>905</v>
      </c>
      <c r="AI205" s="0" t="n">
        <v>1</v>
      </c>
      <c r="AJ205" s="0" t="s">
        <v>270</v>
      </c>
      <c r="AK205" s="0" t="n">
        <v>204</v>
      </c>
      <c r="AL205" s="0" t="n">
        <v>83</v>
      </c>
      <c r="AM205" s="0" t="s">
        <v>551</v>
      </c>
      <c r="EC205" s="0" t="s">
        <v>2059</v>
      </c>
      <c r="EG205" s="0" t="n">
        <v>2026</v>
      </c>
      <c r="EH205" s="0" t="n">
        <v>2026</v>
      </c>
      <c r="EI205" s="0" t="n">
        <v>0</v>
      </c>
      <c r="EJ205" s="0" t="n">
        <v>70</v>
      </c>
      <c r="EK205" s="0" t="n">
        <v>180</v>
      </c>
      <c r="EL205" s="0" t="s">
        <v>2060</v>
      </c>
      <c r="EM205" s="0" t="n">
        <v>22.4</v>
      </c>
      <c r="EN205" s="15" t="b">
        <f aca="false">TRUE()</f>
        <v>1</v>
      </c>
      <c r="EO205" s="0" t="n">
        <v>439</v>
      </c>
      <c r="EP205" s="0" t="n">
        <v>3.05466970387244</v>
      </c>
      <c r="EQ205" s="0" t="n">
        <v>0.16628701594533</v>
      </c>
      <c r="ER205" s="0" t="n">
        <v>1.35307517084283</v>
      </c>
      <c r="ES205" s="0" t="n">
        <v>0.89749430523918</v>
      </c>
      <c r="ET205" s="0" t="n">
        <v>42</v>
      </c>
      <c r="EU205" s="0" t="n">
        <v>22</v>
      </c>
      <c r="EV205" s="0" t="n">
        <v>4.67425968109339</v>
      </c>
      <c r="EW205" s="0" t="n">
        <v>0.523809523809524</v>
      </c>
      <c r="EX205" s="0" t="n">
        <v>2.93179766542752</v>
      </c>
      <c r="EY205" s="0" t="n">
        <v>3.071</v>
      </c>
      <c r="EZ205" s="0" t="n">
        <v>0.1627</v>
      </c>
      <c r="FA205" s="0" t="n">
        <v>2.522</v>
      </c>
      <c r="FB205" s="0" t="n">
        <v>1.96</v>
      </c>
      <c r="FC205" s="0" t="n">
        <v>31</v>
      </c>
      <c r="FD205" s="0" t="n">
        <v>583</v>
      </c>
      <c r="FE205" s="0" t="n">
        <v>0.0445969125214408</v>
      </c>
      <c r="FF205" s="0" t="n">
        <v>0.0494</v>
      </c>
      <c r="FG205" s="0" t="n">
        <v>0.2037</v>
      </c>
      <c r="FH205" s="0" t="n">
        <v>2.4</v>
      </c>
      <c r="FI205" s="0" t="n">
        <v>1036</v>
      </c>
      <c r="FJ205" s="0" t="n">
        <v>0.551158301158301</v>
      </c>
      <c r="FK205" s="0" t="n">
        <v>17</v>
      </c>
      <c r="FL205" s="0" t="n">
        <v>60.94</v>
      </c>
      <c r="FM205" s="0" t="n">
        <v>0.549</v>
      </c>
      <c r="FN205" s="0" t="n">
        <v>0.451</v>
      </c>
      <c r="FO205" s="0" t="n">
        <v>-0.0621</v>
      </c>
      <c r="FP205" s="0" t="n">
        <v>-0.0314</v>
      </c>
      <c r="FQ205" s="0" t="n">
        <v>-0.0132</v>
      </c>
      <c r="FR205" s="0" t="n">
        <v>38</v>
      </c>
      <c r="FS205" s="0" t="n">
        <v>53</v>
      </c>
      <c r="FT205" s="0" t="n">
        <v>3.12</v>
      </c>
      <c r="FU205" s="0" t="n">
        <v>20.8</v>
      </c>
      <c r="FV205" s="0" t="n">
        <v>5484</v>
      </c>
      <c r="FW205" s="0" t="n">
        <v>4377</v>
      </c>
      <c r="FX205" s="0" t="n">
        <v>0.798</v>
      </c>
      <c r="FY205" s="0" t="n">
        <v>5</v>
      </c>
      <c r="FZ205" s="0" t="n">
        <v>4</v>
      </c>
      <c r="GA205" s="0" t="n">
        <v>0.149012046753805</v>
      </c>
      <c r="GB205" s="0" t="n">
        <v>52.7</v>
      </c>
      <c r="GC205" s="0" t="n">
        <v>66.9</v>
      </c>
      <c r="GD205" s="0" t="n">
        <v>62.4</v>
      </c>
      <c r="GE205" s="0" t="n">
        <v>519</v>
      </c>
      <c r="GF205" s="0" t="n">
        <v>477</v>
      </c>
      <c r="GG205" s="0" t="n">
        <v>151</v>
      </c>
      <c r="GH205" s="0" t="n">
        <v>160</v>
      </c>
      <c r="GI205" s="0" t="n">
        <v>132</v>
      </c>
      <c r="GJ205" s="0" t="n">
        <v>49</v>
      </c>
      <c r="GK205" s="0" t="n">
        <v>0.291</v>
      </c>
      <c r="GL205" s="0" t="n">
        <v>0.335</v>
      </c>
      <c r="GM205" s="0" t="n">
        <v>0.371</v>
      </c>
      <c r="HF205" s="0" t="s">
        <v>206</v>
      </c>
      <c r="HG205" s="0" t="n">
        <v>229.71</v>
      </c>
      <c r="HH205" s="0" t="n">
        <v>32.85</v>
      </c>
      <c r="HI205" s="0" t="n">
        <v>150</v>
      </c>
      <c r="HJ205" s="0" t="n">
        <v>313</v>
      </c>
      <c r="HK205" s="0" t="s">
        <v>909</v>
      </c>
      <c r="HL205" s="0" t="n">
        <v>0</v>
      </c>
      <c r="HN205" s="0" t="n">
        <v>83</v>
      </c>
    </row>
    <row r="206" customFormat="false" ht="15" hidden="false" customHeight="false" outlineLevel="0" collapsed="false">
      <c r="A206" s="0" t="s">
        <v>896</v>
      </c>
      <c r="B206" s="0" t="s">
        <v>897</v>
      </c>
      <c r="C206" s="0" t="s">
        <v>898</v>
      </c>
      <c r="D206" s="0" t="s">
        <v>552</v>
      </c>
      <c r="E206" s="0" t="n">
        <v>25987</v>
      </c>
      <c r="F206" s="0" t="s">
        <v>104</v>
      </c>
      <c r="G206" s="0" t="n">
        <v>231.65</v>
      </c>
      <c r="H206" s="0" t="n">
        <v>26.28</v>
      </c>
      <c r="I206" s="0" t="n">
        <v>157</v>
      </c>
      <c r="J206" s="0" t="n">
        <v>296</v>
      </c>
      <c r="L206" s="0" t="s">
        <v>2061</v>
      </c>
      <c r="O206" s="0" t="n">
        <v>8</v>
      </c>
      <c r="U206" s="0" t="n">
        <v>6</v>
      </c>
      <c r="V206" s="0" t="s">
        <v>552</v>
      </c>
      <c r="W206" s="0" t="s">
        <v>901</v>
      </c>
      <c r="X206" s="0" t="s">
        <v>161</v>
      </c>
      <c r="Y206" s="0" t="s">
        <v>2062</v>
      </c>
      <c r="Z206" s="0" t="n">
        <v>25987</v>
      </c>
      <c r="AA206" s="0" t="s">
        <v>2063</v>
      </c>
      <c r="AB206" s="0" t="s">
        <v>904</v>
      </c>
      <c r="AC206" s="0" t="s">
        <v>161</v>
      </c>
      <c r="AD206" s="0" t="s">
        <v>161</v>
      </c>
      <c r="AE206" s="0" t="s">
        <v>161</v>
      </c>
      <c r="AF206" s="0" t="s">
        <v>161</v>
      </c>
      <c r="AG206" s="0" t="s">
        <v>161</v>
      </c>
      <c r="AH206" s="0" t="s">
        <v>905</v>
      </c>
      <c r="AI206" s="0" t="n">
        <v>2</v>
      </c>
      <c r="AJ206" s="0" t="s">
        <v>104</v>
      </c>
      <c r="AK206" s="0" t="n">
        <v>205</v>
      </c>
      <c r="AL206" s="0" t="n">
        <v>67</v>
      </c>
      <c r="AM206" s="0" t="s">
        <v>553</v>
      </c>
      <c r="AN206" s="0" t="n">
        <v>0</v>
      </c>
      <c r="AO206" s="0" t="n">
        <v>0</v>
      </c>
      <c r="AP206" s="0" t="n">
        <v>0</v>
      </c>
      <c r="AQ206" s="0" t="n">
        <v>0</v>
      </c>
      <c r="AR206" s="0" t="n">
        <v>0</v>
      </c>
      <c r="AS206" s="0" t="n">
        <v>0</v>
      </c>
      <c r="AT206" s="0" t="n">
        <v>0</v>
      </c>
      <c r="AU206" s="0" t="n">
        <v>0</v>
      </c>
      <c r="AV206" s="0" t="n">
        <v>0</v>
      </c>
      <c r="AW206" s="0" t="n">
        <v>70</v>
      </c>
      <c r="AX206" s="0" t="n">
        <v>288</v>
      </c>
      <c r="AY206" s="0" t="n">
        <v>2</v>
      </c>
      <c r="AZ206" s="0" t="n">
        <v>17</v>
      </c>
      <c r="BA206" s="0" t="n">
        <v>-5.69901978082625</v>
      </c>
      <c r="BB206" s="0" t="n">
        <v>1</v>
      </c>
      <c r="BC206" s="0" t="n">
        <v>5</v>
      </c>
      <c r="BD206" s="0" t="n">
        <v>9</v>
      </c>
      <c r="BE206" s="0" t="n">
        <v>44</v>
      </c>
      <c r="BF206" s="0" t="n">
        <v>0</v>
      </c>
      <c r="BG206" s="0" t="n">
        <v>-34</v>
      </c>
      <c r="BH206" s="0" t="n">
        <v>60</v>
      </c>
      <c r="BI206" s="0" t="n">
        <v>2</v>
      </c>
      <c r="BJ206" s="0" t="n">
        <v>-1.6724522572018</v>
      </c>
      <c r="BK206" s="0" t="n">
        <v>0</v>
      </c>
      <c r="BL206" s="0" t="n">
        <v>0</v>
      </c>
      <c r="BM206" s="0" t="n">
        <v>43.2</v>
      </c>
      <c r="BN206" s="0" t="n">
        <v>48.2</v>
      </c>
      <c r="BO206" s="0" t="n">
        <v>9</v>
      </c>
      <c r="BP206" s="0" t="s">
        <v>161</v>
      </c>
      <c r="BQ206" s="0" t="n">
        <v>1</v>
      </c>
      <c r="BR206" s="0" t="n">
        <v>45.7</v>
      </c>
      <c r="BS206" s="0" t="n">
        <v>0.0195</v>
      </c>
      <c r="BT206" s="0" t="n">
        <v>0.162</v>
      </c>
      <c r="BU206" s="0" t="n">
        <v>-0.0103</v>
      </c>
      <c r="BV206" s="0" t="n">
        <v>0.0429</v>
      </c>
      <c r="BW206" s="0" t="n">
        <v>0.2574</v>
      </c>
      <c r="BX206" s="0" t="n">
        <v>-0.0226</v>
      </c>
      <c r="BY206" s="0" t="n">
        <v>0.0485</v>
      </c>
      <c r="BZ206" s="0" t="n">
        <v>9</v>
      </c>
      <c r="CA206" s="0" t="n">
        <v>1.7</v>
      </c>
      <c r="CB206" s="0" t="n">
        <v>10.96</v>
      </c>
      <c r="CC206" s="0" t="n">
        <v>3.8</v>
      </c>
      <c r="CD206" s="0" t="n">
        <v>5.52</v>
      </c>
      <c r="CE206" s="0" t="n">
        <v>1</v>
      </c>
      <c r="CF206" s="0" t="n">
        <v>4</v>
      </c>
      <c r="CG206" s="0" t="n">
        <v>9</v>
      </c>
      <c r="CH206" s="0" t="n">
        <v>0.111</v>
      </c>
      <c r="CI206" s="0" t="n">
        <v>0.444</v>
      </c>
      <c r="CJ206" s="0" t="n">
        <v>1.453</v>
      </c>
      <c r="CK206" s="0" t="n">
        <v>0</v>
      </c>
      <c r="CL206" s="0" t="n">
        <v>0</v>
      </c>
      <c r="CM206" s="0" t="n">
        <v>0</v>
      </c>
      <c r="CN206" s="0" t="n">
        <v>0</v>
      </c>
      <c r="CO206" s="0" t="n">
        <v>0.123583926456395</v>
      </c>
      <c r="CP206" s="0" t="n">
        <v>12</v>
      </c>
      <c r="CQ206" s="0" t="n">
        <v>6</v>
      </c>
      <c r="CR206" s="0" t="n">
        <v>4</v>
      </c>
      <c r="CS206" s="0" t="n">
        <v>2</v>
      </c>
      <c r="CT206" s="0" t="n">
        <v>2.52247603037012</v>
      </c>
      <c r="CU206" s="0" t="n">
        <v>12</v>
      </c>
      <c r="CV206" s="0" t="n">
        <v>6</v>
      </c>
      <c r="CW206" s="0" t="n">
        <v>4</v>
      </c>
      <c r="CX206" s="0" t="n">
        <v>2</v>
      </c>
      <c r="CY206" s="0" t="n">
        <v>2.65</v>
      </c>
      <c r="CZ206" s="0" t="n">
        <v>-0.65</v>
      </c>
      <c r="DM206" s="0" t="s">
        <v>2064</v>
      </c>
      <c r="DN206" s="0" t="n">
        <v>70</v>
      </c>
      <c r="DO206" s="0" t="n">
        <v>6</v>
      </c>
      <c r="DP206" s="0" t="n">
        <v>1.6</v>
      </c>
      <c r="DQ206" s="0" t="n">
        <v>2.514</v>
      </c>
      <c r="DR206" s="0" t="n">
        <v>11.67</v>
      </c>
      <c r="DS206" s="0" t="n">
        <v>9</v>
      </c>
      <c r="DT206" s="0" t="n">
        <v>0</v>
      </c>
      <c r="DU206" s="0" t="n">
        <v>1</v>
      </c>
      <c r="DZ206" s="0" t="n">
        <v>127</v>
      </c>
      <c r="EA206" s="0" t="n">
        <v>0.215</v>
      </c>
      <c r="EB206" s="0" t="n">
        <v>10</v>
      </c>
      <c r="EC206" s="0" t="s">
        <v>2065</v>
      </c>
      <c r="ED206" s="0" t="n">
        <v>2024</v>
      </c>
      <c r="EE206" s="0" t="n">
        <v>4</v>
      </c>
      <c r="EF206" s="0" t="n">
        <v>120</v>
      </c>
      <c r="EG206" s="0" t="n">
        <v>2024</v>
      </c>
      <c r="EH206" s="0" t="n">
        <v>2026</v>
      </c>
      <c r="EI206" s="0" t="n">
        <v>3</v>
      </c>
      <c r="EJ206" s="0" t="n">
        <v>70</v>
      </c>
      <c r="EK206" s="0" t="n">
        <v>208</v>
      </c>
      <c r="EL206" s="0" t="s">
        <v>1740</v>
      </c>
      <c r="EM206" s="0" t="n">
        <v>23.4</v>
      </c>
      <c r="EN206" s="15" t="b">
        <f aca="false">FALSE()</f>
        <v>0</v>
      </c>
      <c r="EO206" s="0" t="n">
        <v>380</v>
      </c>
      <c r="EP206" s="0" t="n">
        <v>2.83552631578947</v>
      </c>
      <c r="EQ206" s="0" t="n">
        <v>0.213157894736842</v>
      </c>
      <c r="ER206" s="0" t="n">
        <v>1.46578947368421</v>
      </c>
      <c r="ES206" s="0" t="n">
        <v>1.22631578947368</v>
      </c>
      <c r="ET206" s="0" t="n">
        <v>29</v>
      </c>
      <c r="EU206" s="0" t="n">
        <v>17</v>
      </c>
      <c r="EV206" s="0" t="n">
        <v>4.85789473684211</v>
      </c>
      <c r="EW206" s="0" t="n">
        <v>0.586206896551724</v>
      </c>
      <c r="EX206" s="0" t="n">
        <v>2.94501561107985</v>
      </c>
      <c r="EY206" s="0" t="n">
        <v>2.839</v>
      </c>
      <c r="EZ206" s="0" t="n">
        <v>0.2101</v>
      </c>
      <c r="FA206" s="0" t="n">
        <v>2.199</v>
      </c>
      <c r="FB206" s="0" t="n">
        <v>2.532</v>
      </c>
      <c r="FC206" s="0" t="n">
        <v>38</v>
      </c>
      <c r="FD206" s="0" t="n">
        <v>530</v>
      </c>
      <c r="FE206" s="0" t="n">
        <v>0.0716981132075472</v>
      </c>
      <c r="FF206" s="0" t="n">
        <v>0.0727</v>
      </c>
      <c r="FG206" s="0" t="n">
        <v>0.2422</v>
      </c>
      <c r="FH206" s="0" t="n">
        <v>2.29</v>
      </c>
      <c r="FI206" s="0" t="n">
        <v>942</v>
      </c>
      <c r="FJ206" s="0" t="n">
        <v>0.549893842887473</v>
      </c>
      <c r="FK206" s="0" t="n">
        <v>17</v>
      </c>
      <c r="FL206" s="0" t="n">
        <v>55.41</v>
      </c>
      <c r="FM206" s="0" t="n">
        <v>0.5279</v>
      </c>
      <c r="FN206" s="0" t="n">
        <v>0.4721</v>
      </c>
      <c r="FO206" s="0" t="n">
        <v>-0.0584</v>
      </c>
      <c r="FP206" s="0" t="n">
        <v>-0.026</v>
      </c>
      <c r="FQ206" s="0" t="n">
        <v>-0.0093</v>
      </c>
      <c r="FR206" s="0" t="n">
        <v>41</v>
      </c>
      <c r="FS206" s="0" t="n">
        <v>48</v>
      </c>
      <c r="FT206" s="0" t="n">
        <v>2.82</v>
      </c>
      <c r="FU206" s="0" t="n">
        <v>20.4</v>
      </c>
      <c r="FV206" s="0" t="n">
        <v>5041</v>
      </c>
      <c r="FW206" s="0" t="n">
        <v>3387</v>
      </c>
      <c r="FX206" s="0" t="n">
        <v>0.672</v>
      </c>
      <c r="FY206" s="0" t="n">
        <v>5</v>
      </c>
      <c r="FZ206" s="0" t="n">
        <v>4</v>
      </c>
      <c r="GA206" s="0" t="n">
        <v>-0.692098435941776</v>
      </c>
      <c r="GB206" s="0" t="n">
        <v>37.5</v>
      </c>
      <c r="GC206" s="0" t="n">
        <v>44.5</v>
      </c>
      <c r="GD206" s="0" t="n">
        <v>38.6</v>
      </c>
      <c r="GE206" s="0" t="n">
        <v>462</v>
      </c>
      <c r="GF206" s="0" t="n">
        <v>432</v>
      </c>
      <c r="GG206" s="0" t="n">
        <v>209</v>
      </c>
      <c r="GH206" s="0" t="n">
        <v>28</v>
      </c>
      <c r="GI206" s="0" t="n">
        <v>134</v>
      </c>
      <c r="GJ206" s="0" t="n">
        <v>32</v>
      </c>
      <c r="GK206" s="0" t="n">
        <v>0.452</v>
      </c>
      <c r="GL206" s="0" t="n">
        <v>0.065</v>
      </c>
      <c r="GM206" s="0" t="n">
        <v>0.239</v>
      </c>
      <c r="GN206" s="0" t="n">
        <v>5.356</v>
      </c>
      <c r="GO206" s="0" t="n">
        <v>5.078</v>
      </c>
      <c r="GP206" s="0" t="n">
        <v>4.8</v>
      </c>
      <c r="GQ206" s="0" t="n">
        <v>1</v>
      </c>
      <c r="GR206" s="0" t="n">
        <v>7.778</v>
      </c>
      <c r="GS206" s="0" t="n">
        <v>79</v>
      </c>
      <c r="GT206" s="0" t="n">
        <v>0.61</v>
      </c>
      <c r="GU206" s="0" t="n">
        <v>0.38</v>
      </c>
      <c r="GY206" s="0" t="n">
        <v>4.114</v>
      </c>
      <c r="HC206" s="0" t="n">
        <v>0.025</v>
      </c>
      <c r="HD206" s="0" t="n">
        <v>-0.081</v>
      </c>
      <c r="HE206" s="0" t="n">
        <v>-0.186</v>
      </c>
      <c r="HG206" s="0" t="n">
        <v>231.65</v>
      </c>
      <c r="HH206" s="0" t="n">
        <v>26.28</v>
      </c>
      <c r="HI206" s="0" t="n">
        <v>157</v>
      </c>
      <c r="HJ206" s="0" t="n">
        <v>296</v>
      </c>
      <c r="HK206" s="0" t="s">
        <v>909</v>
      </c>
      <c r="HL206" s="0" t="n">
        <v>0</v>
      </c>
      <c r="HM206" s="0" t="n">
        <v>60</v>
      </c>
      <c r="HN206" s="0" t="n">
        <v>67</v>
      </c>
      <c r="HO206" s="0" t="n">
        <v>-0.221</v>
      </c>
      <c r="HP206" s="0" t="n">
        <v>55</v>
      </c>
      <c r="HQ206" s="0" t="n">
        <v>-0.003</v>
      </c>
      <c r="HR206" s="0" t="s">
        <v>102</v>
      </c>
    </row>
    <row r="207" customFormat="false" ht="15" hidden="false" customHeight="false" outlineLevel="0" collapsed="false">
      <c r="A207" s="0" t="s">
        <v>896</v>
      </c>
      <c r="B207" s="0" t="s">
        <v>897</v>
      </c>
      <c r="C207" s="0" t="s">
        <v>898</v>
      </c>
      <c r="D207" s="0" t="s">
        <v>554</v>
      </c>
      <c r="E207" s="0" t="n">
        <v>27315</v>
      </c>
      <c r="F207" s="0" t="s">
        <v>99</v>
      </c>
      <c r="G207" s="0" t="n">
        <v>232.95</v>
      </c>
      <c r="H207" s="0" t="n">
        <v>36.76</v>
      </c>
      <c r="I207" s="0" t="n">
        <v>150</v>
      </c>
      <c r="J207" s="0" t="n">
        <v>328</v>
      </c>
      <c r="L207" s="0" t="s">
        <v>2066</v>
      </c>
      <c r="O207" s="0" t="n">
        <v>8.8</v>
      </c>
      <c r="U207" s="0" t="n">
        <v>9</v>
      </c>
      <c r="V207" s="0" t="s">
        <v>554</v>
      </c>
      <c r="W207" s="0" t="s">
        <v>901</v>
      </c>
      <c r="X207" s="0" t="s">
        <v>265</v>
      </c>
      <c r="Y207" s="0" t="s">
        <v>2067</v>
      </c>
      <c r="Z207" s="0" t="n">
        <v>27315</v>
      </c>
      <c r="AA207" s="0" t="s">
        <v>2068</v>
      </c>
      <c r="AB207" s="0" t="s">
        <v>904</v>
      </c>
      <c r="AC207" s="0" t="s">
        <v>265</v>
      </c>
      <c r="AD207" s="0" t="s">
        <v>265</v>
      </c>
      <c r="AE207" s="0" t="s">
        <v>265</v>
      </c>
      <c r="AF207" s="0" t="s">
        <v>265</v>
      </c>
      <c r="AG207" s="0" t="s">
        <v>265</v>
      </c>
      <c r="AH207" s="0" t="s">
        <v>905</v>
      </c>
      <c r="AI207" s="0" t="n">
        <v>1</v>
      </c>
      <c r="AJ207" s="0" t="s">
        <v>270</v>
      </c>
      <c r="AK207" s="0" t="n">
        <v>206</v>
      </c>
      <c r="AL207" s="0" t="n">
        <v>84</v>
      </c>
      <c r="AM207" s="0" t="s">
        <v>555</v>
      </c>
      <c r="AN207" s="0" t="n">
        <v>0</v>
      </c>
      <c r="AO207" s="0" t="n">
        <v>0</v>
      </c>
      <c r="AP207" s="0" t="n">
        <v>0</v>
      </c>
      <c r="AQ207" s="0" t="n">
        <v>0</v>
      </c>
      <c r="AR207" s="0" t="n">
        <v>0</v>
      </c>
      <c r="AS207" s="0" t="n">
        <v>0</v>
      </c>
      <c r="AT207" s="0" t="n">
        <v>0</v>
      </c>
      <c r="AU207" s="0" t="n">
        <v>0</v>
      </c>
      <c r="AV207" s="0" t="n">
        <v>0</v>
      </c>
      <c r="AW207" s="0" t="n">
        <v>11</v>
      </c>
      <c r="AX207" s="0" t="n">
        <v>18</v>
      </c>
      <c r="AY207" s="0" t="n">
        <v>0</v>
      </c>
      <c r="AZ207" s="0" t="n">
        <v>0</v>
      </c>
      <c r="BA207" s="0" t="n">
        <v>-4.23465750849573</v>
      </c>
      <c r="BB207" s="0" t="n">
        <v>0</v>
      </c>
      <c r="BC207" s="0" t="n">
        <v>48</v>
      </c>
      <c r="BD207" s="0" t="n">
        <v>74</v>
      </c>
      <c r="BE207" s="0" t="n">
        <v>423</v>
      </c>
      <c r="BF207" s="0" t="n">
        <v>4</v>
      </c>
      <c r="BG207" s="0" t="n">
        <v>599</v>
      </c>
      <c r="BH207" s="0" t="n">
        <v>220</v>
      </c>
      <c r="BI207" s="0" t="n">
        <v>20</v>
      </c>
      <c r="BJ207" s="0" t="n">
        <v>1.56623321907596</v>
      </c>
      <c r="BK207" s="0" t="n">
        <v>0</v>
      </c>
      <c r="BL207" s="0" t="n">
        <v>2</v>
      </c>
      <c r="BM207" s="0" t="n">
        <v>80.1</v>
      </c>
      <c r="BN207" s="0" t="n">
        <v>128.1</v>
      </c>
      <c r="BO207" s="0" t="n">
        <v>17</v>
      </c>
      <c r="BP207" s="0" t="s">
        <v>265</v>
      </c>
      <c r="BQ207" s="0" t="n">
        <v>1</v>
      </c>
      <c r="BR207" s="0" t="n">
        <v>104.1</v>
      </c>
      <c r="BS207" s="0" t="n">
        <v>0.1396</v>
      </c>
      <c r="BT207" s="0" t="n">
        <v>0.0291</v>
      </c>
      <c r="BU207" s="0" t="n">
        <v>0.1527</v>
      </c>
      <c r="BV207" s="0" t="n">
        <v>0.1396</v>
      </c>
      <c r="BW207" s="0" t="n">
        <v>0.0291</v>
      </c>
      <c r="BX207" s="0" t="n">
        <v>0.1527</v>
      </c>
      <c r="BY207" s="0" t="n">
        <v>0.3163</v>
      </c>
      <c r="BZ207" s="0" t="n">
        <v>17</v>
      </c>
      <c r="CA207" s="0" t="n">
        <v>2.8</v>
      </c>
      <c r="CB207" s="0" t="n">
        <v>15.2</v>
      </c>
      <c r="CC207" s="0" t="n">
        <v>5</v>
      </c>
      <c r="CD207" s="0" t="n">
        <v>6.48</v>
      </c>
      <c r="CE207" s="0" t="n">
        <v>1</v>
      </c>
      <c r="CF207" s="0" t="n">
        <v>4</v>
      </c>
      <c r="CG207" s="0" t="n">
        <v>17</v>
      </c>
      <c r="CH207" s="0" t="n">
        <v>0.059</v>
      </c>
      <c r="CI207" s="0" t="n">
        <v>0.235</v>
      </c>
      <c r="CJ207" s="0" t="n">
        <v>1.296</v>
      </c>
      <c r="CK207" s="0" t="n">
        <v>14</v>
      </c>
      <c r="CL207" s="0" t="n">
        <v>5</v>
      </c>
      <c r="CM207" s="0" t="n">
        <v>3</v>
      </c>
      <c r="CN207" s="0" t="n">
        <v>4</v>
      </c>
      <c r="CO207" s="0" t="n">
        <v>4.26345187275765</v>
      </c>
      <c r="CP207" s="0" t="n">
        <v>2</v>
      </c>
      <c r="CQ207" s="0" t="n">
        <v>2</v>
      </c>
      <c r="CR207" s="0" t="n">
        <v>2</v>
      </c>
      <c r="CS207" s="0" t="n">
        <v>0</v>
      </c>
      <c r="CT207" s="0" t="n">
        <v>0.864878324950749</v>
      </c>
      <c r="CU207" s="0" t="n">
        <v>16</v>
      </c>
      <c r="CV207" s="0" t="n">
        <v>7</v>
      </c>
      <c r="CW207" s="0" t="n">
        <v>5</v>
      </c>
      <c r="CX207" s="0" t="n">
        <v>4</v>
      </c>
      <c r="CY207" s="0" t="n">
        <v>5.13</v>
      </c>
      <c r="CZ207" s="0" t="n">
        <v>-1.13</v>
      </c>
      <c r="DA207" s="0" t="n">
        <v>3.80351713375379</v>
      </c>
      <c r="DB207" s="0" t="n">
        <v>6.77223880597015</v>
      </c>
      <c r="DC207" s="0" t="n">
        <v>8.20581081081081</v>
      </c>
      <c r="DD207" s="0" t="n">
        <v>15.6468702652003</v>
      </c>
      <c r="DE207" s="0" t="n">
        <v>-0.225931918572091</v>
      </c>
      <c r="DF207" s="0" t="n">
        <v>64.8648648648649</v>
      </c>
      <c r="DM207" s="0" t="s">
        <v>2069</v>
      </c>
      <c r="DN207" s="0" t="n">
        <v>11</v>
      </c>
      <c r="DO207" s="0" t="n">
        <v>1</v>
      </c>
      <c r="DS207" s="0" t="n">
        <v>74</v>
      </c>
      <c r="DT207" s="0" t="n">
        <v>0</v>
      </c>
      <c r="DU207" s="0" t="n">
        <v>2</v>
      </c>
      <c r="DV207" s="0" t="n">
        <v>4.229</v>
      </c>
      <c r="DW207" s="0" t="n">
        <v>4.583</v>
      </c>
      <c r="DX207" s="0" t="n">
        <v>7.9</v>
      </c>
      <c r="DY207" s="0" t="n">
        <v>0.027</v>
      </c>
      <c r="DZ207" s="0" t="n">
        <v>631</v>
      </c>
      <c r="EA207" s="0" t="n">
        <v>0.593</v>
      </c>
      <c r="EB207" s="0" t="n">
        <v>17</v>
      </c>
      <c r="EC207" s="0" t="s">
        <v>2070</v>
      </c>
      <c r="ED207" s="0" t="n">
        <v>2025</v>
      </c>
      <c r="EE207" s="0" t="n">
        <v>4</v>
      </c>
      <c r="EF207" s="0" t="n">
        <v>103</v>
      </c>
      <c r="EG207" s="0" t="n">
        <v>2025</v>
      </c>
      <c r="EH207" s="0" t="n">
        <v>2026</v>
      </c>
      <c r="EI207" s="0" t="n">
        <v>2</v>
      </c>
      <c r="EJ207" s="0" t="n">
        <v>73</v>
      </c>
      <c r="EK207" s="0" t="n">
        <v>196</v>
      </c>
      <c r="EL207" s="0" t="s">
        <v>2071</v>
      </c>
      <c r="EM207" s="0" t="n">
        <v>24.7</v>
      </c>
      <c r="EN207" s="15" t="b">
        <f aca="false">FALSE()</f>
        <v>0</v>
      </c>
      <c r="EO207" s="0" t="n">
        <v>328</v>
      </c>
      <c r="EP207" s="0" t="n">
        <v>3.01463414634146</v>
      </c>
      <c r="EQ207" s="0" t="n">
        <v>0.161585365853659</v>
      </c>
      <c r="ER207" s="0" t="n">
        <v>1.14634146341463</v>
      </c>
      <c r="ES207" s="0" t="n">
        <v>0.692073170731707</v>
      </c>
      <c r="ET207" s="0" t="n">
        <v>30</v>
      </c>
      <c r="EU207" s="0" t="n">
        <v>20</v>
      </c>
      <c r="EV207" s="0" t="n">
        <v>4.30487804878049</v>
      </c>
      <c r="EW207" s="0" t="n">
        <v>0.666666666666667</v>
      </c>
      <c r="EX207" s="0" t="n">
        <v>2.87769409187475</v>
      </c>
      <c r="EY207" s="0" t="n">
        <v>3.085</v>
      </c>
      <c r="EZ207" s="0" t="n">
        <v>0.1549</v>
      </c>
      <c r="FA207" s="0" t="n">
        <v>2.54</v>
      </c>
      <c r="FB207" s="0" t="n">
        <v>1.664</v>
      </c>
      <c r="FC207" s="0" t="n">
        <v>24</v>
      </c>
      <c r="FD207" s="0" t="n">
        <v>646</v>
      </c>
      <c r="FE207" s="0" t="n">
        <v>0.086687306501548</v>
      </c>
      <c r="FF207" s="0" t="n">
        <v>0.0872</v>
      </c>
      <c r="FG207" s="0" t="n">
        <v>0.3175</v>
      </c>
      <c r="FH207" s="0" t="n">
        <v>2.389</v>
      </c>
      <c r="FI207" s="0" t="n">
        <v>995</v>
      </c>
      <c r="FJ207" s="0" t="n">
        <v>0.626130653266332</v>
      </c>
      <c r="FK207" s="0" t="n">
        <v>17</v>
      </c>
      <c r="FL207" s="0" t="n">
        <v>58.53</v>
      </c>
      <c r="FM207" s="0" t="n">
        <v>0.5401</v>
      </c>
      <c r="FN207" s="0" t="n">
        <v>0.4599</v>
      </c>
      <c r="FO207" s="0" t="n">
        <v>-0.0385</v>
      </c>
      <c r="FP207" s="0" t="n">
        <v>-0.0573</v>
      </c>
      <c r="FQ207" s="0" t="n">
        <v>-0.2208</v>
      </c>
      <c r="FR207" s="0" t="n">
        <v>40</v>
      </c>
      <c r="FS207" s="0" t="n">
        <v>35</v>
      </c>
      <c r="FT207" s="0" t="n">
        <v>2.06</v>
      </c>
      <c r="FU207" s="0" t="n">
        <v>16.7</v>
      </c>
      <c r="FV207" s="0" t="n">
        <v>5402</v>
      </c>
      <c r="FW207" s="0" t="n">
        <v>2848</v>
      </c>
      <c r="FX207" s="0" t="n">
        <v>0.527</v>
      </c>
      <c r="FY207" s="0" t="n">
        <v>5</v>
      </c>
      <c r="FZ207" s="0" t="n">
        <v>3</v>
      </c>
      <c r="GA207" s="0" t="n">
        <v>0.463456652097505</v>
      </c>
      <c r="GB207" s="0" t="n">
        <v>58.4</v>
      </c>
      <c r="GC207" s="0" t="n">
        <v>27.6</v>
      </c>
      <c r="GD207" s="0" t="n">
        <v>41.1</v>
      </c>
      <c r="GE207" s="0" t="n">
        <v>530</v>
      </c>
      <c r="GF207" s="0" t="n">
        <v>378</v>
      </c>
      <c r="GG207" s="0" t="n">
        <v>152</v>
      </c>
      <c r="GH207" s="0" t="n">
        <v>0</v>
      </c>
      <c r="GI207" s="0" t="n">
        <v>93</v>
      </c>
      <c r="GJ207" s="0" t="n">
        <v>8</v>
      </c>
      <c r="GK207" s="0" t="n">
        <v>0.287</v>
      </c>
      <c r="GL207" s="0" t="n">
        <v>0</v>
      </c>
      <c r="GM207" s="0" t="n">
        <v>0.086</v>
      </c>
      <c r="GN207" s="0" t="n">
        <v>7.535</v>
      </c>
      <c r="GO207" s="0" t="n">
        <v>6.124</v>
      </c>
      <c r="GP207" s="0" t="n">
        <v>4.712</v>
      </c>
      <c r="GQ207" s="0" t="n">
        <v>4.353</v>
      </c>
      <c r="GR207" s="0" t="n">
        <v>0.647</v>
      </c>
      <c r="GS207" s="0" t="n">
        <v>85</v>
      </c>
      <c r="GT207" s="0" t="n">
        <v>1.507</v>
      </c>
      <c r="GU207" s="0" t="n">
        <v>0.203</v>
      </c>
      <c r="GV207" s="0" t="n">
        <v>5.716</v>
      </c>
      <c r="GW207" s="0" t="n">
        <v>8.812</v>
      </c>
      <c r="GX207" s="0" t="n">
        <v>0.649</v>
      </c>
      <c r="GZ207" s="0" t="n">
        <v>8.095</v>
      </c>
      <c r="HA207" s="0" t="n">
        <v>4.583</v>
      </c>
      <c r="HB207" s="0" t="n">
        <v>0.706</v>
      </c>
      <c r="HC207" s="0" t="n">
        <v>0.047</v>
      </c>
      <c r="HE207" s="0" t="n">
        <v>0.021</v>
      </c>
      <c r="HG207" s="0" t="n">
        <v>232.95</v>
      </c>
      <c r="HH207" s="0" t="n">
        <v>36.76</v>
      </c>
      <c r="HI207" s="0" t="n">
        <v>150</v>
      </c>
      <c r="HJ207" s="0" t="n">
        <v>328</v>
      </c>
      <c r="HK207" s="0" t="s">
        <v>909</v>
      </c>
      <c r="HL207" s="0" t="n">
        <v>0</v>
      </c>
      <c r="HM207" s="0" t="n">
        <v>47</v>
      </c>
      <c r="HN207" s="0" t="n">
        <v>84</v>
      </c>
      <c r="HO207" s="0" t="n">
        <v>0.95</v>
      </c>
      <c r="HP207" s="0" t="n">
        <v>63</v>
      </c>
      <c r="HQ207" s="0" t="n">
        <v>0.249</v>
      </c>
      <c r="HR207" s="0" t="s">
        <v>232</v>
      </c>
    </row>
    <row r="208" customFormat="false" ht="15" hidden="false" customHeight="false" outlineLevel="0" collapsed="false">
      <c r="A208" s="0" t="s">
        <v>896</v>
      </c>
      <c r="B208" s="0" t="s">
        <v>897</v>
      </c>
      <c r="C208" s="0" t="s">
        <v>898</v>
      </c>
      <c r="D208" s="0" t="s">
        <v>556</v>
      </c>
      <c r="E208" s="0" t="n">
        <v>23091</v>
      </c>
      <c r="F208" s="0" t="s">
        <v>149</v>
      </c>
      <c r="G208" s="0" t="n">
        <v>235.18</v>
      </c>
      <c r="H208" s="0" t="n">
        <v>24.88</v>
      </c>
      <c r="I208" s="0" t="n">
        <v>173</v>
      </c>
      <c r="J208" s="0" t="n">
        <v>290</v>
      </c>
      <c r="L208" s="0" t="s">
        <v>2072</v>
      </c>
      <c r="O208" s="0" t="n">
        <v>18.5</v>
      </c>
      <c r="U208" s="0" t="n">
        <v>11</v>
      </c>
      <c r="V208" s="0" t="s">
        <v>556</v>
      </c>
      <c r="W208" s="0" t="s">
        <v>901</v>
      </c>
      <c r="X208" s="0" t="s">
        <v>109</v>
      </c>
      <c r="Y208" s="0" t="s">
        <v>2073</v>
      </c>
      <c r="Z208" s="0" t="n">
        <v>23091</v>
      </c>
      <c r="AA208" s="0" t="s">
        <v>2074</v>
      </c>
      <c r="AB208" s="0" t="s">
        <v>904</v>
      </c>
      <c r="AC208" s="0" t="s">
        <v>109</v>
      </c>
      <c r="AD208" s="0" t="s">
        <v>109</v>
      </c>
      <c r="AE208" s="0" t="s">
        <v>109</v>
      </c>
      <c r="AF208" s="0" t="s">
        <v>109</v>
      </c>
      <c r="AG208" s="0" t="s">
        <v>109</v>
      </c>
      <c r="AH208" s="0" t="s">
        <v>905</v>
      </c>
      <c r="AI208" s="0" t="n">
        <v>3</v>
      </c>
      <c r="AJ208" s="0" t="s">
        <v>149</v>
      </c>
      <c r="AK208" s="0" t="n">
        <v>207</v>
      </c>
      <c r="AL208" s="0" t="n">
        <v>27</v>
      </c>
      <c r="AM208" s="0" t="s">
        <v>557</v>
      </c>
      <c r="AN208" s="0" t="n">
        <v>0</v>
      </c>
      <c r="AO208" s="0" t="n">
        <v>0</v>
      </c>
      <c r="AP208" s="0" t="n">
        <v>0</v>
      </c>
      <c r="AQ208" s="0" t="n">
        <v>0</v>
      </c>
      <c r="AR208" s="0" t="n">
        <v>0</v>
      </c>
      <c r="AS208" s="0" t="n">
        <v>0</v>
      </c>
      <c r="AT208" s="0" t="n">
        <v>0</v>
      </c>
      <c r="AU208" s="0" t="n">
        <v>0</v>
      </c>
      <c r="AV208" s="0" t="n">
        <v>0</v>
      </c>
      <c r="AW208" s="0" t="n">
        <v>1</v>
      </c>
      <c r="AX208" s="0" t="n">
        <v>0</v>
      </c>
      <c r="AY208" s="0" t="n">
        <v>0</v>
      </c>
      <c r="AZ208" s="0" t="n">
        <v>0</v>
      </c>
      <c r="BA208" s="0" t="n">
        <v>-1.54939064750215</v>
      </c>
      <c r="BB208" s="0" t="n">
        <v>0</v>
      </c>
      <c r="BC208" s="0" t="n">
        <v>11</v>
      </c>
      <c r="BD208" s="0" t="n">
        <v>25</v>
      </c>
      <c r="BE208" s="0" t="n">
        <v>231</v>
      </c>
      <c r="BF208" s="0" t="n">
        <v>3</v>
      </c>
      <c r="BG208" s="0" t="n">
        <v>466</v>
      </c>
      <c r="BH208" s="0" t="n">
        <v>40</v>
      </c>
      <c r="BI208" s="0" t="n">
        <v>9</v>
      </c>
      <c r="BJ208" s="0" t="n">
        <v>7.38681270902983</v>
      </c>
      <c r="BK208" s="0" t="n">
        <v>0</v>
      </c>
      <c r="BL208" s="0" t="n">
        <v>0</v>
      </c>
      <c r="BM208" s="0" t="n">
        <v>41.1</v>
      </c>
      <c r="BN208" s="0" t="n">
        <v>52.1</v>
      </c>
      <c r="BO208" s="0" t="n">
        <v>11</v>
      </c>
      <c r="BP208" s="0" t="s">
        <v>109</v>
      </c>
      <c r="BQ208" s="0" t="n">
        <v>1</v>
      </c>
      <c r="BR208" s="0" t="n">
        <v>46.6</v>
      </c>
      <c r="BS208" s="0" t="n">
        <v>0.043</v>
      </c>
      <c r="BT208" s="0" t="n">
        <v>0.0022</v>
      </c>
      <c r="BU208" s="0" t="n">
        <v>0.0864</v>
      </c>
      <c r="BV208" s="0" t="n">
        <v>0.0651</v>
      </c>
      <c r="BW208" s="0" t="n">
        <v>0.0033</v>
      </c>
      <c r="BX208" s="0" t="n">
        <v>0.1215</v>
      </c>
      <c r="BY208" s="0" t="n">
        <v>0.1827</v>
      </c>
      <c r="BZ208" s="0" t="n">
        <v>11</v>
      </c>
      <c r="CA208" s="0" t="n">
        <v>0</v>
      </c>
      <c r="CB208" s="0" t="n">
        <v>11.2</v>
      </c>
      <c r="CC208" s="0" t="n">
        <v>3.1</v>
      </c>
      <c r="CD208" s="0" t="n">
        <v>5.2</v>
      </c>
      <c r="CE208" s="0" t="n">
        <v>0</v>
      </c>
      <c r="CF208" s="0" t="n">
        <v>5</v>
      </c>
      <c r="CG208" s="0" t="n">
        <v>11</v>
      </c>
      <c r="CH208" s="0" t="n">
        <v>0</v>
      </c>
      <c r="CI208" s="0" t="n">
        <v>0.455</v>
      </c>
      <c r="CJ208" s="0" t="n">
        <v>1.678</v>
      </c>
      <c r="CK208" s="0" t="n">
        <v>3</v>
      </c>
      <c r="CL208" s="0" t="n">
        <v>2</v>
      </c>
      <c r="CM208" s="0" t="n">
        <v>1</v>
      </c>
      <c r="CN208" s="0" t="n">
        <v>3</v>
      </c>
      <c r="CO208" s="0" t="n">
        <v>1.3479338430428</v>
      </c>
      <c r="CP208" s="0" t="n">
        <v>1</v>
      </c>
      <c r="CQ208" s="0" t="n">
        <v>1</v>
      </c>
      <c r="CR208" s="0" t="n">
        <v>0</v>
      </c>
      <c r="CS208" s="0" t="n">
        <v>0</v>
      </c>
      <c r="CT208" s="0" t="n">
        <v>0.136279926335175</v>
      </c>
      <c r="CU208" s="0" t="n">
        <v>4</v>
      </c>
      <c r="CV208" s="0" t="n">
        <v>3</v>
      </c>
      <c r="CW208" s="0" t="n">
        <v>1</v>
      </c>
      <c r="CX208" s="0" t="n">
        <v>3</v>
      </c>
      <c r="CY208" s="0" t="n">
        <v>1.48</v>
      </c>
      <c r="CZ208" s="0" t="n">
        <v>1.52</v>
      </c>
      <c r="DM208" s="0" t="s">
        <v>2075</v>
      </c>
      <c r="DN208" s="0" t="n">
        <v>1</v>
      </c>
      <c r="DO208" s="0" t="n">
        <v>0</v>
      </c>
      <c r="DS208" s="0" t="n">
        <v>25</v>
      </c>
      <c r="DT208" s="0" t="n">
        <v>0</v>
      </c>
      <c r="DU208" s="0" t="n">
        <v>0</v>
      </c>
      <c r="DV208" s="0" t="n">
        <v>17.364</v>
      </c>
      <c r="DW208" s="0" t="n">
        <v>3.636</v>
      </c>
      <c r="DX208" s="0" t="n">
        <v>18.6</v>
      </c>
      <c r="DY208" s="0" t="n">
        <v>0</v>
      </c>
      <c r="DZ208" s="0" t="n">
        <v>356</v>
      </c>
      <c r="EA208" s="0" t="n">
        <v>0.367</v>
      </c>
      <c r="EB208" s="0" t="n">
        <v>14</v>
      </c>
      <c r="EC208" s="0" t="s">
        <v>2076</v>
      </c>
      <c r="ED208" s="0" t="n">
        <v>2025</v>
      </c>
      <c r="EE208" s="0" t="n">
        <v>2</v>
      </c>
      <c r="EF208" s="0" t="n">
        <v>46</v>
      </c>
      <c r="EG208" s="0" t="n">
        <v>2025</v>
      </c>
      <c r="EH208" s="0" t="n">
        <v>2026</v>
      </c>
      <c r="EI208" s="0" t="n">
        <v>2</v>
      </c>
      <c r="EJ208" s="0" t="n">
        <v>77</v>
      </c>
      <c r="EK208" s="0" t="n">
        <v>252</v>
      </c>
      <c r="EL208" s="0" t="s">
        <v>1300</v>
      </c>
      <c r="EM208" s="0" t="n">
        <v>23.4</v>
      </c>
      <c r="EN208" s="15" t="b">
        <f aca="false">FALSE()</f>
        <v>0</v>
      </c>
      <c r="EO208" s="0" t="n">
        <v>413</v>
      </c>
      <c r="EP208" s="0" t="n">
        <v>3.45544794188862</v>
      </c>
      <c r="EQ208" s="0" t="n">
        <v>0.123486682808717</v>
      </c>
      <c r="ER208" s="0" t="n">
        <v>1.50847457627119</v>
      </c>
      <c r="ES208" s="0" t="n">
        <v>0.711864406779661</v>
      </c>
      <c r="ET208" s="0" t="n">
        <v>47</v>
      </c>
      <c r="EU208" s="0" t="n">
        <v>30</v>
      </c>
      <c r="EV208" s="0" t="n">
        <v>4.94915254237288</v>
      </c>
      <c r="EW208" s="0" t="n">
        <v>0.638297872340426</v>
      </c>
      <c r="EX208" s="0" t="n">
        <v>2.94176720069723</v>
      </c>
      <c r="EY208" s="0" t="n">
        <v>3.462</v>
      </c>
      <c r="EZ208" s="0" t="n">
        <v>0.1266</v>
      </c>
      <c r="FA208" s="0" t="n">
        <v>2.811</v>
      </c>
      <c r="FB208" s="0" t="n">
        <v>1.817</v>
      </c>
      <c r="FC208" s="0" t="n">
        <v>35</v>
      </c>
      <c r="FD208" s="0" t="n">
        <v>624</v>
      </c>
      <c r="FE208" s="0" t="n">
        <v>0.0368589743589744</v>
      </c>
      <c r="FF208" s="0" t="n">
        <v>0.0424</v>
      </c>
      <c r="FG208" s="0" t="n">
        <v>0.194</v>
      </c>
      <c r="FH208" s="0" t="n">
        <v>2.396</v>
      </c>
      <c r="FI208" s="0" t="n">
        <v>1056</v>
      </c>
      <c r="FJ208" s="0" t="n">
        <v>0.584280303030303</v>
      </c>
      <c r="FK208" s="0" t="n">
        <v>17</v>
      </c>
      <c r="FL208" s="0" t="n">
        <v>62.12</v>
      </c>
      <c r="FM208" s="0" t="n">
        <v>0.6185</v>
      </c>
      <c r="FN208" s="0" t="n">
        <v>0.3815</v>
      </c>
      <c r="FO208" s="0" t="n">
        <v>0.0296</v>
      </c>
      <c r="FP208" s="0" t="n">
        <v>0.0262</v>
      </c>
      <c r="FQ208" s="0" t="n">
        <v>0.2292</v>
      </c>
      <c r="FR208" s="0" t="n">
        <v>37</v>
      </c>
      <c r="FS208" s="0" t="n">
        <v>76</v>
      </c>
      <c r="FT208" s="0" t="n">
        <v>4.47</v>
      </c>
      <c r="FU208" s="0" t="n">
        <v>30.5</v>
      </c>
      <c r="FV208" s="0" t="n">
        <v>5675</v>
      </c>
      <c r="FW208" s="0" t="n">
        <v>5129</v>
      </c>
      <c r="FX208" s="0" t="n">
        <v>0.904</v>
      </c>
      <c r="FY208" s="0" t="n">
        <v>5</v>
      </c>
      <c r="FZ208" s="0" t="n">
        <v>5</v>
      </c>
      <c r="GA208" s="0" t="n">
        <v>1.46228832359079</v>
      </c>
      <c r="GB208" s="0" t="n">
        <v>76.4</v>
      </c>
      <c r="GC208" s="0" t="n">
        <v>71.5</v>
      </c>
      <c r="GD208" s="0" t="n">
        <v>80.4</v>
      </c>
      <c r="GE208" s="0" t="n">
        <v>581</v>
      </c>
      <c r="GF208" s="0" t="n">
        <v>465</v>
      </c>
      <c r="GG208" s="0" t="n">
        <v>15</v>
      </c>
      <c r="GH208" s="0" t="n">
        <v>0</v>
      </c>
      <c r="GI208" s="0" t="n">
        <v>195</v>
      </c>
      <c r="GJ208" s="0" t="n">
        <v>1</v>
      </c>
      <c r="GK208" s="0" t="n">
        <v>0.026</v>
      </c>
      <c r="GL208" s="0" t="n">
        <v>0</v>
      </c>
      <c r="GM208" s="0" t="n">
        <v>0.005</v>
      </c>
      <c r="GN208" s="0" t="n">
        <v>4.736</v>
      </c>
      <c r="GO208" s="0" t="n">
        <v>4.236</v>
      </c>
      <c r="GP208" s="0" t="n">
        <v>3.736</v>
      </c>
      <c r="GQ208" s="0" t="n">
        <v>2.273</v>
      </c>
      <c r="GR208" s="0" t="n">
        <v>0.091</v>
      </c>
      <c r="GS208" s="0" t="n">
        <v>26</v>
      </c>
      <c r="GT208" s="0" t="n">
        <v>2.004</v>
      </c>
      <c r="GU208" s="0" t="n">
        <v>0.146</v>
      </c>
      <c r="GV208" s="0" t="n">
        <v>9.24</v>
      </c>
      <c r="GW208" s="0" t="n">
        <v>21</v>
      </c>
      <c r="GX208" s="0" t="n">
        <v>0.44</v>
      </c>
      <c r="GZ208" s="0" t="n">
        <v>18.64</v>
      </c>
      <c r="HA208" s="0" t="n">
        <v>3.636</v>
      </c>
      <c r="HB208" s="0" t="n">
        <v>0.496</v>
      </c>
      <c r="HC208" s="0" t="n">
        <v>0.115</v>
      </c>
      <c r="HE208" s="0" t="n">
        <v>0.295</v>
      </c>
      <c r="HG208" s="0" t="n">
        <v>235.18</v>
      </c>
      <c r="HH208" s="0" t="n">
        <v>24.88</v>
      </c>
      <c r="HI208" s="0" t="n">
        <v>173</v>
      </c>
      <c r="HJ208" s="0" t="n">
        <v>290</v>
      </c>
      <c r="HK208" s="0" t="s">
        <v>909</v>
      </c>
      <c r="HL208" s="0" t="n">
        <v>0</v>
      </c>
      <c r="HM208" s="0" t="n">
        <v>32</v>
      </c>
      <c r="HN208" s="0" t="n">
        <v>27</v>
      </c>
      <c r="HO208" s="0" t="n">
        <v>-0.411</v>
      </c>
      <c r="HP208" s="0" t="n">
        <v>32</v>
      </c>
      <c r="HQ208" s="0" t="n">
        <v>-0.411</v>
      </c>
      <c r="HR208" s="0" t="s">
        <v>121</v>
      </c>
    </row>
    <row r="209" customFormat="false" ht="15" hidden="false" customHeight="false" outlineLevel="0" collapsed="false">
      <c r="A209" s="0" t="s">
        <v>896</v>
      </c>
      <c r="B209" s="0" t="s">
        <v>897</v>
      </c>
      <c r="C209" s="0" t="s">
        <v>898</v>
      </c>
      <c r="D209" s="0" t="s">
        <v>558</v>
      </c>
      <c r="E209" s="0" t="n">
        <v>26039</v>
      </c>
      <c r="F209" s="0" t="s">
        <v>99</v>
      </c>
      <c r="G209" s="0" t="n">
        <v>236.01</v>
      </c>
      <c r="H209" s="0" t="n">
        <v>31.72</v>
      </c>
      <c r="I209" s="0" t="n">
        <v>173</v>
      </c>
      <c r="J209" s="0" t="n">
        <v>319</v>
      </c>
      <c r="L209" s="0" t="s">
        <v>2077</v>
      </c>
      <c r="O209" s="0" t="n">
        <v>13.3</v>
      </c>
      <c r="U209" s="0" t="n">
        <v>9</v>
      </c>
      <c r="V209" s="0" t="s">
        <v>558</v>
      </c>
      <c r="W209" s="0" t="s">
        <v>901</v>
      </c>
      <c r="X209" s="0" t="s">
        <v>284</v>
      </c>
      <c r="Y209" s="0" t="s">
        <v>2078</v>
      </c>
      <c r="Z209" s="0" t="n">
        <v>26039</v>
      </c>
      <c r="AA209" s="0" t="s">
        <v>2079</v>
      </c>
      <c r="AB209" s="0" t="s">
        <v>904</v>
      </c>
      <c r="AC209" s="0" t="s">
        <v>284</v>
      </c>
      <c r="AD209" s="0" t="s">
        <v>284</v>
      </c>
      <c r="AE209" s="0" t="s">
        <v>284</v>
      </c>
      <c r="AF209" s="0" t="s">
        <v>284</v>
      </c>
      <c r="AG209" s="0" t="s">
        <v>284</v>
      </c>
      <c r="AH209" s="0" t="s">
        <v>905</v>
      </c>
      <c r="AI209" s="0" t="n">
        <v>4</v>
      </c>
      <c r="AJ209" s="0" t="s">
        <v>99</v>
      </c>
      <c r="AK209" s="0" t="n">
        <v>208</v>
      </c>
      <c r="AL209" s="0" t="n">
        <v>85</v>
      </c>
      <c r="AM209" s="0" t="s">
        <v>559</v>
      </c>
      <c r="EC209" s="0" t="s">
        <v>989</v>
      </c>
      <c r="EG209" s="0" t="n">
        <v>2026</v>
      </c>
      <c r="EH209" s="0" t="n">
        <v>2026</v>
      </c>
      <c r="EI209" s="0" t="n">
        <v>0</v>
      </c>
      <c r="EJ209" s="0" t="n">
        <v>73</v>
      </c>
      <c r="EK209" s="0" t="n">
        <v>206</v>
      </c>
      <c r="EL209" s="0" t="s">
        <v>2080</v>
      </c>
      <c r="EM209" s="0" t="n">
        <v>22.7</v>
      </c>
      <c r="EN209" s="15" t="b">
        <f aca="false">TRUE()</f>
        <v>1</v>
      </c>
      <c r="EO209" s="0" t="n">
        <v>368</v>
      </c>
      <c r="EP209" s="0" t="n">
        <v>2.85652173913044</v>
      </c>
      <c r="EQ209" s="0" t="n">
        <v>0.173913043478261</v>
      </c>
      <c r="ER209" s="0" t="n">
        <v>1.21739130434783</v>
      </c>
      <c r="ES209" s="0" t="n">
        <v>0.864130434782609</v>
      </c>
      <c r="ET209" s="0" t="n">
        <v>50</v>
      </c>
      <c r="EU209" s="0" t="n">
        <v>34</v>
      </c>
      <c r="EV209" s="0" t="n">
        <v>4.36684782608696</v>
      </c>
      <c r="EW209" s="0" t="n">
        <v>0.68</v>
      </c>
      <c r="EX209" s="0" t="n">
        <v>2.93472293301175</v>
      </c>
      <c r="EY209" s="0" t="n">
        <v>2.87</v>
      </c>
      <c r="EZ209" s="0" t="n">
        <v>0.172</v>
      </c>
      <c r="FA209" s="0" t="n">
        <v>2.285</v>
      </c>
      <c r="FB209" s="0" t="n">
        <v>2.029</v>
      </c>
      <c r="FC209" s="0" t="n">
        <v>42</v>
      </c>
      <c r="FD209" s="0" t="n">
        <v>591</v>
      </c>
      <c r="FE209" s="0" t="n">
        <v>0.0524534686971235</v>
      </c>
      <c r="FF209" s="0" t="n">
        <v>0.0526</v>
      </c>
      <c r="FG209" s="0" t="n">
        <v>0.1636</v>
      </c>
      <c r="FH209" s="0" t="n">
        <v>2.209</v>
      </c>
      <c r="FI209" s="0" t="n">
        <v>975</v>
      </c>
      <c r="FJ209" s="0" t="n">
        <v>0.594871794871795</v>
      </c>
      <c r="FK209" s="0" t="n">
        <v>17</v>
      </c>
      <c r="FL209" s="0" t="n">
        <v>57.35</v>
      </c>
      <c r="FM209" s="0" t="n">
        <v>0.5795</v>
      </c>
      <c r="FN209" s="0" t="n">
        <v>0.4205</v>
      </c>
      <c r="FO209" s="0" t="n">
        <v>-0.007</v>
      </c>
      <c r="FP209" s="0" t="n">
        <v>0.0188</v>
      </c>
      <c r="FQ209" s="0" t="n">
        <v>0.0312</v>
      </c>
      <c r="FR209" s="0" t="n">
        <v>40</v>
      </c>
      <c r="FS209" s="0" t="n">
        <v>51</v>
      </c>
      <c r="FT209" s="0" t="n">
        <v>3</v>
      </c>
      <c r="FU209" s="0" t="n">
        <v>23.4</v>
      </c>
      <c r="FV209" s="0" t="n">
        <v>5344</v>
      </c>
      <c r="FW209" s="0" t="n">
        <v>4403</v>
      </c>
      <c r="FX209" s="0" t="n">
        <v>0.824</v>
      </c>
      <c r="FY209" s="0" t="n">
        <v>5</v>
      </c>
      <c r="FZ209" s="0" t="n">
        <v>5</v>
      </c>
      <c r="GA209" s="0" t="n">
        <v>-0.192560883952718</v>
      </c>
      <c r="GB209" s="0" t="n">
        <v>46.5</v>
      </c>
      <c r="GC209" s="0" t="n">
        <v>65.1</v>
      </c>
      <c r="GD209" s="0" t="n">
        <v>57.4</v>
      </c>
      <c r="GE209" s="0" t="n">
        <v>522</v>
      </c>
      <c r="GF209" s="0" t="n">
        <v>407</v>
      </c>
      <c r="GG209" s="0" t="n">
        <v>179</v>
      </c>
      <c r="GH209" s="0" t="n">
        <v>129</v>
      </c>
      <c r="GI209" s="0" t="n">
        <v>156</v>
      </c>
      <c r="GJ209" s="0" t="n">
        <v>59</v>
      </c>
      <c r="GK209" s="0" t="n">
        <v>0.343</v>
      </c>
      <c r="GL209" s="0" t="n">
        <v>0.317</v>
      </c>
      <c r="GM209" s="0" t="n">
        <v>0.378</v>
      </c>
      <c r="HF209" s="0" t="s">
        <v>206</v>
      </c>
      <c r="HG209" s="0" t="n">
        <v>236.01</v>
      </c>
      <c r="HH209" s="0" t="n">
        <v>31.72</v>
      </c>
      <c r="HI209" s="0" t="n">
        <v>173</v>
      </c>
      <c r="HJ209" s="0" t="n">
        <v>319</v>
      </c>
      <c r="HK209" s="0" t="s">
        <v>909</v>
      </c>
      <c r="HL209" s="0" t="n">
        <v>0</v>
      </c>
      <c r="HN209" s="0" t="n">
        <v>85</v>
      </c>
    </row>
    <row r="210" customFormat="false" ht="15" hidden="false" customHeight="false" outlineLevel="0" collapsed="false">
      <c r="A210" s="0" t="s">
        <v>896</v>
      </c>
      <c r="B210" s="0" t="s">
        <v>897</v>
      </c>
      <c r="C210" s="0" t="s">
        <v>898</v>
      </c>
      <c r="D210" s="0" t="s">
        <v>560</v>
      </c>
      <c r="E210" s="0" t="n">
        <v>20163</v>
      </c>
      <c r="F210" s="0" t="s">
        <v>149</v>
      </c>
      <c r="G210" s="0" t="n">
        <v>236.54</v>
      </c>
      <c r="H210" s="0" t="n">
        <v>30.48</v>
      </c>
      <c r="I210" s="0" t="n">
        <v>131</v>
      </c>
      <c r="J210" s="0" t="n">
        <v>332</v>
      </c>
      <c r="L210" s="0" t="s">
        <v>2081</v>
      </c>
      <c r="O210" s="0" t="n">
        <v>14.1</v>
      </c>
      <c r="U210" s="0" t="n">
        <v>9</v>
      </c>
      <c r="V210" s="0" t="s">
        <v>560</v>
      </c>
      <c r="W210" s="0" t="s">
        <v>901</v>
      </c>
      <c r="X210" s="0" t="s">
        <v>284</v>
      </c>
      <c r="Y210" s="0" t="s">
        <v>2082</v>
      </c>
      <c r="Z210" s="0" t="n">
        <v>20163</v>
      </c>
      <c r="AA210" s="0" t="s">
        <v>2083</v>
      </c>
      <c r="AB210" s="0" t="s">
        <v>904</v>
      </c>
      <c r="AC210" s="0" t="s">
        <v>284</v>
      </c>
      <c r="AD210" s="0" t="s">
        <v>284</v>
      </c>
      <c r="AE210" s="0" t="s">
        <v>284</v>
      </c>
      <c r="AF210" s="0" t="s">
        <v>284</v>
      </c>
      <c r="AG210" s="0" t="s">
        <v>284</v>
      </c>
      <c r="AH210" s="0" t="s">
        <v>905</v>
      </c>
      <c r="AI210" s="0" t="n">
        <v>1</v>
      </c>
      <c r="AJ210" s="0" t="s">
        <v>149</v>
      </c>
      <c r="AK210" s="0" t="n">
        <v>209</v>
      </c>
      <c r="AL210" s="0" t="n">
        <v>28</v>
      </c>
      <c r="AM210" s="0" t="s">
        <v>561</v>
      </c>
      <c r="AN210" s="0" t="n">
        <v>0</v>
      </c>
      <c r="AO210" s="0" t="n">
        <v>0</v>
      </c>
      <c r="AP210" s="0" t="n">
        <v>0</v>
      </c>
      <c r="AQ210" s="0" t="n">
        <v>0</v>
      </c>
      <c r="AR210" s="0" t="n">
        <v>0</v>
      </c>
      <c r="AS210" s="0" t="n">
        <v>0</v>
      </c>
      <c r="AT210" s="0" t="n">
        <v>0</v>
      </c>
      <c r="AU210" s="0" t="n">
        <v>0</v>
      </c>
      <c r="AV210" s="0" t="n">
        <v>0</v>
      </c>
      <c r="AW210" s="0" t="n">
        <v>0</v>
      </c>
      <c r="AX210" s="0" t="n">
        <v>0</v>
      </c>
      <c r="AY210" s="0" t="n">
        <v>0</v>
      </c>
      <c r="AZ210" s="0" t="n">
        <v>0</v>
      </c>
      <c r="BA210" s="0" t="n">
        <v>0</v>
      </c>
      <c r="BB210" s="0" t="n">
        <v>0</v>
      </c>
      <c r="BC210" s="0" t="n">
        <v>41</v>
      </c>
      <c r="BD210" s="0" t="n">
        <v>54</v>
      </c>
      <c r="BE210" s="0" t="n">
        <v>486</v>
      </c>
      <c r="BF210" s="0" t="n">
        <v>4</v>
      </c>
      <c r="BG210" s="0" t="n">
        <v>323</v>
      </c>
      <c r="BH210" s="0" t="n">
        <v>255</v>
      </c>
      <c r="BI210" s="0" t="n">
        <v>21</v>
      </c>
      <c r="BJ210" s="0" t="n">
        <v>23.3098408698331</v>
      </c>
      <c r="BK210" s="0" t="n">
        <v>0</v>
      </c>
      <c r="BL210" s="0" t="n">
        <v>0</v>
      </c>
      <c r="BM210" s="0" t="n">
        <v>72.6</v>
      </c>
      <c r="BN210" s="0" t="n">
        <v>113.6</v>
      </c>
      <c r="BO210" s="0" t="n">
        <v>15</v>
      </c>
      <c r="BP210" s="0" t="s">
        <v>284</v>
      </c>
      <c r="BQ210" s="0" t="n">
        <v>1</v>
      </c>
      <c r="BR210" s="0" t="n">
        <v>93.1</v>
      </c>
      <c r="BS210" s="0" t="n">
        <v>0.1034</v>
      </c>
      <c r="BT210" s="0" t="n">
        <v>0</v>
      </c>
      <c r="BU210" s="0" t="n">
        <v>0.102</v>
      </c>
      <c r="BV210" s="0" t="n">
        <v>0.113</v>
      </c>
      <c r="BW210" s="0" t="n">
        <v>0</v>
      </c>
      <c r="BX210" s="0" t="n">
        <v>0.1088</v>
      </c>
      <c r="BY210" s="0" t="n">
        <v>0.2457</v>
      </c>
      <c r="BZ210" s="0" t="n">
        <v>15</v>
      </c>
      <c r="CA210" s="0" t="n">
        <v>3.6</v>
      </c>
      <c r="CB210" s="0" t="n">
        <v>10.74</v>
      </c>
      <c r="CC210" s="0" t="n">
        <v>6.1</v>
      </c>
      <c r="CD210" s="0" t="n">
        <v>6.45</v>
      </c>
      <c r="CE210" s="0" t="n">
        <v>1</v>
      </c>
      <c r="CF210" s="0" t="n">
        <v>1</v>
      </c>
      <c r="CG210" s="0" t="n">
        <v>15</v>
      </c>
      <c r="CH210" s="0" t="n">
        <v>0.067</v>
      </c>
      <c r="CI210" s="0" t="n">
        <v>0.067</v>
      </c>
      <c r="CJ210" s="0" t="n">
        <v>1.057</v>
      </c>
      <c r="CK210" s="0" t="n">
        <v>9</v>
      </c>
      <c r="CL210" s="0" t="n">
        <v>4</v>
      </c>
      <c r="CM210" s="0" t="n">
        <v>2</v>
      </c>
      <c r="CN210" s="0" t="n">
        <v>4</v>
      </c>
      <c r="CO210" s="0" t="n">
        <v>2.7690667199512</v>
      </c>
      <c r="CP210" s="0" t="n">
        <v>0</v>
      </c>
      <c r="CQ210" s="0" t="n">
        <v>0</v>
      </c>
      <c r="CR210" s="0" t="n">
        <v>0</v>
      </c>
      <c r="CS210" s="0" t="n">
        <v>0</v>
      </c>
      <c r="CT210" s="0" t="n">
        <v>0</v>
      </c>
      <c r="CU210" s="0" t="n">
        <v>9</v>
      </c>
      <c r="CV210" s="0" t="n">
        <v>4</v>
      </c>
      <c r="CW210" s="0" t="n">
        <v>2</v>
      </c>
      <c r="CX210" s="0" t="n">
        <v>4</v>
      </c>
      <c r="CY210" s="0" t="n">
        <v>2.77</v>
      </c>
      <c r="CZ210" s="0" t="n">
        <v>1.23</v>
      </c>
      <c r="DA210" s="0" t="n">
        <v>3.18591447513813</v>
      </c>
      <c r="DB210" s="0" t="n">
        <v>5.44577777777778</v>
      </c>
      <c r="DC210" s="0" t="n">
        <v>5.94740740740741</v>
      </c>
      <c r="DD210" s="0" t="n">
        <v>10.4363876242563</v>
      </c>
      <c r="DE210" s="0" t="n">
        <v>2.36043236544098</v>
      </c>
      <c r="DF210" s="0" t="n">
        <v>75.9259259259259</v>
      </c>
      <c r="DM210" s="0" t="s">
        <v>2084</v>
      </c>
      <c r="DS210" s="0" t="n">
        <v>54</v>
      </c>
      <c r="DT210" s="0" t="n">
        <v>3</v>
      </c>
      <c r="DU210" s="0" t="n">
        <v>0</v>
      </c>
      <c r="DV210" s="0" t="n">
        <v>5.634</v>
      </c>
      <c r="DW210" s="0" t="n">
        <v>6.22</v>
      </c>
      <c r="DX210" s="0" t="n">
        <v>6</v>
      </c>
      <c r="DY210" s="0" t="n">
        <v>0</v>
      </c>
      <c r="DZ210" s="0" t="n">
        <v>522</v>
      </c>
      <c r="EA210" s="0" t="n">
        <v>0.504</v>
      </c>
      <c r="EB210" s="0" t="n">
        <v>17</v>
      </c>
      <c r="EC210" s="0" t="s">
        <v>2085</v>
      </c>
      <c r="ED210" s="0" t="n">
        <v>2021</v>
      </c>
      <c r="EE210" s="0" t="n">
        <v>2</v>
      </c>
      <c r="EF210" s="0" t="n">
        <v>55</v>
      </c>
      <c r="EG210" s="0" t="n">
        <v>2021</v>
      </c>
      <c r="EH210" s="0" t="n">
        <v>2026</v>
      </c>
      <c r="EI210" s="0" t="n">
        <v>6</v>
      </c>
      <c r="EJ210" s="0" t="n">
        <v>77</v>
      </c>
      <c r="EK210" s="0" t="n">
        <v>258</v>
      </c>
      <c r="EL210" s="0" t="s">
        <v>1063</v>
      </c>
      <c r="EM210" s="0" t="n">
        <v>27.8</v>
      </c>
      <c r="EN210" s="15" t="b">
        <f aca="false">FALSE()</f>
        <v>0</v>
      </c>
      <c r="EO210" s="0" t="n">
        <v>368</v>
      </c>
      <c r="EP210" s="0" t="n">
        <v>2.85652173913044</v>
      </c>
      <c r="EQ210" s="0" t="n">
        <v>0.173913043478261</v>
      </c>
      <c r="ER210" s="0" t="n">
        <v>1.21739130434783</v>
      </c>
      <c r="ES210" s="0" t="n">
        <v>0.864130434782609</v>
      </c>
      <c r="ET210" s="0" t="n">
        <v>50</v>
      </c>
      <c r="EU210" s="0" t="n">
        <v>34</v>
      </c>
      <c r="EV210" s="0" t="n">
        <v>4.36684782608696</v>
      </c>
      <c r="EW210" s="0" t="n">
        <v>0.68</v>
      </c>
      <c r="EX210" s="0" t="n">
        <v>2.93472293301175</v>
      </c>
      <c r="EY210" s="0" t="n">
        <v>2.87</v>
      </c>
      <c r="EZ210" s="0" t="n">
        <v>0.172</v>
      </c>
      <c r="FA210" s="0" t="n">
        <v>2.285</v>
      </c>
      <c r="FB210" s="0" t="n">
        <v>2.029</v>
      </c>
      <c r="FC210" s="0" t="n">
        <v>42</v>
      </c>
      <c r="FD210" s="0" t="n">
        <v>591</v>
      </c>
      <c r="FE210" s="0" t="n">
        <v>0.0524534686971235</v>
      </c>
      <c r="FF210" s="0" t="n">
        <v>0.0526</v>
      </c>
      <c r="FG210" s="0" t="n">
        <v>0.1636</v>
      </c>
      <c r="FH210" s="0" t="n">
        <v>2.209</v>
      </c>
      <c r="FI210" s="0" t="n">
        <v>975</v>
      </c>
      <c r="FJ210" s="0" t="n">
        <v>0.594871794871795</v>
      </c>
      <c r="FK210" s="0" t="n">
        <v>17</v>
      </c>
      <c r="FL210" s="0" t="n">
        <v>57.35</v>
      </c>
      <c r="FM210" s="0" t="n">
        <v>0.5795</v>
      </c>
      <c r="FN210" s="0" t="n">
        <v>0.4205</v>
      </c>
      <c r="FO210" s="0" t="n">
        <v>-0.007</v>
      </c>
      <c r="FP210" s="0" t="n">
        <v>0.0188</v>
      </c>
      <c r="FQ210" s="0" t="n">
        <v>0.0312</v>
      </c>
      <c r="FR210" s="0" t="n">
        <v>40</v>
      </c>
      <c r="FS210" s="0" t="n">
        <v>51</v>
      </c>
      <c r="FT210" s="0" t="n">
        <v>3</v>
      </c>
      <c r="FU210" s="0" t="n">
        <v>23.4</v>
      </c>
      <c r="FV210" s="0" t="n">
        <v>5344</v>
      </c>
      <c r="FW210" s="0" t="n">
        <v>4403</v>
      </c>
      <c r="FX210" s="0" t="n">
        <v>0.824</v>
      </c>
      <c r="FY210" s="0" t="n">
        <v>5</v>
      </c>
      <c r="FZ210" s="0" t="n">
        <v>5</v>
      </c>
      <c r="GA210" s="0" t="n">
        <v>-0.192560883952718</v>
      </c>
      <c r="GB210" s="0" t="n">
        <v>46.5</v>
      </c>
      <c r="GC210" s="0" t="n">
        <v>65.1</v>
      </c>
      <c r="GD210" s="0" t="n">
        <v>57.4</v>
      </c>
      <c r="GE210" s="0" t="n">
        <v>522</v>
      </c>
      <c r="GF210" s="0" t="n">
        <v>407</v>
      </c>
      <c r="GG210" s="0" t="n">
        <v>179</v>
      </c>
      <c r="GH210" s="0" t="n">
        <v>129</v>
      </c>
      <c r="GI210" s="0" t="n">
        <v>156</v>
      </c>
      <c r="GJ210" s="0" t="n">
        <v>59</v>
      </c>
      <c r="GK210" s="0" t="n">
        <v>0.343</v>
      </c>
      <c r="GL210" s="0" t="n">
        <v>0.317</v>
      </c>
      <c r="GM210" s="0" t="n">
        <v>0.378</v>
      </c>
      <c r="GN210" s="0" t="n">
        <v>7.573</v>
      </c>
      <c r="GO210" s="0" t="n">
        <v>6.207</v>
      </c>
      <c r="GP210" s="0" t="n">
        <v>4.84</v>
      </c>
      <c r="GQ210" s="0" t="n">
        <v>3.6</v>
      </c>
      <c r="GR210" s="0" t="n">
        <v>0</v>
      </c>
      <c r="GS210" s="0" t="n">
        <v>54</v>
      </c>
      <c r="GT210" s="0" t="n">
        <v>2.104</v>
      </c>
      <c r="GU210" s="0" t="n">
        <v>0.218</v>
      </c>
      <c r="GV210" s="0" t="n">
        <v>9</v>
      </c>
      <c r="GW210" s="0" t="n">
        <v>11.854</v>
      </c>
      <c r="GX210" s="0" t="n">
        <v>0.759</v>
      </c>
      <c r="GZ210" s="0" t="n">
        <v>5.981</v>
      </c>
      <c r="HA210" s="0" t="n">
        <v>6.22</v>
      </c>
      <c r="HB210" s="0" t="n">
        <v>1.505</v>
      </c>
      <c r="HC210" s="0" t="n">
        <v>0.074</v>
      </c>
      <c r="HE210" s="0" t="n">
        <v>0.432</v>
      </c>
      <c r="HG210" s="0" t="n">
        <v>236.54</v>
      </c>
      <c r="HH210" s="0" t="n">
        <v>30.48</v>
      </c>
      <c r="HI210" s="0" t="n">
        <v>131</v>
      </c>
      <c r="HJ210" s="0" t="n">
        <v>332</v>
      </c>
      <c r="HK210" s="0" t="s">
        <v>909</v>
      </c>
      <c r="HL210" s="0" t="n">
        <v>0</v>
      </c>
      <c r="HM210" s="0" t="n">
        <v>23</v>
      </c>
      <c r="HN210" s="0" t="n">
        <v>28</v>
      </c>
      <c r="HO210" s="0" t="n">
        <v>0.019</v>
      </c>
      <c r="HP210" s="0" t="n">
        <v>24</v>
      </c>
      <c r="HQ210" s="0" t="n">
        <v>-0.025</v>
      </c>
      <c r="HR210" s="0" t="s">
        <v>102</v>
      </c>
    </row>
    <row r="211" customFormat="false" ht="15" hidden="false" customHeight="false" outlineLevel="0" collapsed="false">
      <c r="A211" s="0" t="s">
        <v>896</v>
      </c>
      <c r="B211" s="0" t="s">
        <v>897</v>
      </c>
      <c r="C211" s="0" t="s">
        <v>898</v>
      </c>
      <c r="D211" s="0" t="s">
        <v>562</v>
      </c>
      <c r="E211" s="0" t="n">
        <v>18256</v>
      </c>
      <c r="F211" s="0" t="s">
        <v>104</v>
      </c>
      <c r="G211" s="0" t="n">
        <v>237.68</v>
      </c>
      <c r="H211" s="0" t="n">
        <v>38.94</v>
      </c>
      <c r="I211" s="0" t="n">
        <v>145</v>
      </c>
      <c r="J211" s="0" t="n">
        <v>310</v>
      </c>
      <c r="L211" s="0" t="s">
        <v>2086</v>
      </c>
      <c r="O211" s="0" t="n">
        <v>7.4</v>
      </c>
      <c r="U211" s="0" t="n">
        <v>13</v>
      </c>
      <c r="V211" s="0" t="s">
        <v>562</v>
      </c>
      <c r="W211" s="0" t="s">
        <v>901</v>
      </c>
      <c r="X211" s="0" t="s">
        <v>183</v>
      </c>
      <c r="Y211" s="0" t="s">
        <v>2087</v>
      </c>
      <c r="Z211" s="0" t="n">
        <v>18256</v>
      </c>
      <c r="AA211" s="0" t="s">
        <v>2088</v>
      </c>
      <c r="AB211" s="0" t="s">
        <v>904</v>
      </c>
      <c r="AC211" s="0" t="s">
        <v>183</v>
      </c>
      <c r="AD211" s="0" t="s">
        <v>183</v>
      </c>
      <c r="AE211" s="0" t="s">
        <v>183</v>
      </c>
      <c r="AF211" s="0" t="s">
        <v>183</v>
      </c>
      <c r="AG211" s="0" t="s">
        <v>183</v>
      </c>
      <c r="AH211" s="0" t="s">
        <v>905</v>
      </c>
      <c r="AI211" s="0" t="n">
        <v>2</v>
      </c>
      <c r="AJ211" s="0" t="s">
        <v>104</v>
      </c>
      <c r="AK211" s="0" t="n">
        <v>210</v>
      </c>
      <c r="AL211" s="0" t="n">
        <v>68</v>
      </c>
      <c r="AM211" s="0" t="s">
        <v>563</v>
      </c>
      <c r="AN211" s="0" t="n">
        <v>0</v>
      </c>
      <c r="AO211" s="0" t="n">
        <v>0</v>
      </c>
      <c r="AP211" s="0" t="n">
        <v>0</v>
      </c>
      <c r="AQ211" s="0" t="n">
        <v>0</v>
      </c>
      <c r="AR211" s="0" t="n">
        <v>0</v>
      </c>
      <c r="AS211" s="0" t="n">
        <v>0</v>
      </c>
      <c r="AT211" s="0" t="n">
        <v>0</v>
      </c>
      <c r="AU211" s="0" t="n">
        <v>0</v>
      </c>
      <c r="AV211" s="0" t="n">
        <v>0</v>
      </c>
      <c r="AW211" s="0" t="n">
        <v>18</v>
      </c>
      <c r="AX211" s="0" t="n">
        <v>93</v>
      </c>
      <c r="AY211" s="0" t="n">
        <v>2</v>
      </c>
      <c r="AZ211" s="0" t="n">
        <v>4</v>
      </c>
      <c r="BA211" s="0" t="n">
        <v>-1.25431579141878</v>
      </c>
      <c r="BB211" s="0" t="n">
        <v>0</v>
      </c>
      <c r="BC211" s="0" t="n">
        <v>21</v>
      </c>
      <c r="BD211" s="0" t="n">
        <v>27</v>
      </c>
      <c r="BE211" s="0" t="n">
        <v>169</v>
      </c>
      <c r="BF211" s="0" t="n">
        <v>1</v>
      </c>
      <c r="BG211" s="0" t="n">
        <v>-6</v>
      </c>
      <c r="BH211" s="0" t="n">
        <v>184</v>
      </c>
      <c r="BI211" s="0" t="n">
        <v>6</v>
      </c>
      <c r="BJ211" s="0" t="n">
        <v>0.421497160219587</v>
      </c>
      <c r="BK211" s="0" t="n">
        <v>0</v>
      </c>
      <c r="BL211" s="0" t="n">
        <v>0</v>
      </c>
      <c r="BM211" s="0" t="n">
        <v>44.2</v>
      </c>
      <c r="BN211" s="0" t="n">
        <v>65.2</v>
      </c>
      <c r="BO211" s="0" t="n">
        <v>10</v>
      </c>
      <c r="BP211" s="0" t="s">
        <v>183</v>
      </c>
      <c r="BQ211" s="0" t="n">
        <v>1</v>
      </c>
      <c r="BR211" s="0" t="n">
        <v>54.7</v>
      </c>
      <c r="BS211" s="0" t="n">
        <v>0.0663</v>
      </c>
      <c r="BT211" s="0" t="n">
        <v>0.0355</v>
      </c>
      <c r="BU211" s="0" t="n">
        <v>-0.0018</v>
      </c>
      <c r="BV211" s="0" t="n">
        <v>0.108</v>
      </c>
      <c r="BW211" s="0" t="n">
        <v>0.0647</v>
      </c>
      <c r="BX211" s="0" t="n">
        <v>-0.003</v>
      </c>
      <c r="BY211" s="0" t="n">
        <v>0.1599</v>
      </c>
      <c r="BZ211" s="0" t="n">
        <v>10</v>
      </c>
      <c r="CA211" s="0" t="n">
        <v>0.7</v>
      </c>
      <c r="CB211" s="0" t="n">
        <v>9.02</v>
      </c>
      <c r="CC211" s="0" t="n">
        <v>4.5</v>
      </c>
      <c r="CD211" s="0" t="n">
        <v>8.56</v>
      </c>
      <c r="CE211" s="0" t="n">
        <v>1</v>
      </c>
      <c r="CF211" s="0" t="n">
        <v>3</v>
      </c>
      <c r="CG211" s="0" t="n">
        <v>10</v>
      </c>
      <c r="CH211" s="0" t="n">
        <v>0.1</v>
      </c>
      <c r="CI211" s="0" t="n">
        <v>0.3</v>
      </c>
      <c r="CJ211" s="0" t="n">
        <v>1.902</v>
      </c>
      <c r="CK211" s="0" t="n">
        <v>1</v>
      </c>
      <c r="CL211" s="0" t="n">
        <v>0</v>
      </c>
      <c r="CM211" s="0" t="n">
        <v>0</v>
      </c>
      <c r="CN211" s="0" t="n">
        <v>1</v>
      </c>
      <c r="CO211" s="0" t="n">
        <v>0.336461976779681</v>
      </c>
      <c r="CP211" s="0" t="n">
        <v>3</v>
      </c>
      <c r="CQ211" s="0" t="n">
        <v>1</v>
      </c>
      <c r="CR211" s="0" t="n">
        <v>1</v>
      </c>
      <c r="CS211" s="0" t="n">
        <v>2</v>
      </c>
      <c r="CT211" s="0" t="n">
        <v>0.710483356361366</v>
      </c>
      <c r="CU211" s="0" t="n">
        <v>4</v>
      </c>
      <c r="CV211" s="0" t="n">
        <v>1</v>
      </c>
      <c r="CW211" s="0" t="n">
        <v>1</v>
      </c>
      <c r="CX211" s="0" t="n">
        <v>3</v>
      </c>
      <c r="CY211" s="0" t="n">
        <v>1.05</v>
      </c>
      <c r="CZ211" s="0" t="n">
        <v>1.95</v>
      </c>
      <c r="DM211" s="0" t="s">
        <v>2089</v>
      </c>
      <c r="DN211" s="0" t="n">
        <v>18</v>
      </c>
      <c r="DO211" s="0" t="n">
        <v>1</v>
      </c>
      <c r="DS211" s="0" t="n">
        <v>27</v>
      </c>
      <c r="DT211" s="0" t="n">
        <v>5</v>
      </c>
      <c r="DU211" s="0" t="n">
        <v>0</v>
      </c>
      <c r="DV211" s="0" t="n">
        <v>-0.714</v>
      </c>
      <c r="DW211" s="0" t="n">
        <v>8.762</v>
      </c>
      <c r="DX211" s="0" t="n">
        <v>-0.2</v>
      </c>
      <c r="DY211" s="0" t="n">
        <v>0</v>
      </c>
      <c r="DZ211" s="0" t="n">
        <v>219</v>
      </c>
      <c r="EA211" s="0" t="n">
        <v>0.371</v>
      </c>
      <c r="EB211" s="0" t="n">
        <v>10</v>
      </c>
      <c r="EC211" s="0" t="s">
        <v>2090</v>
      </c>
      <c r="ED211" s="0" t="n">
        <v>2019</v>
      </c>
      <c r="EE211" s="0" t="n">
        <v>4</v>
      </c>
      <c r="EF211" s="0" t="n">
        <v>113</v>
      </c>
      <c r="EG211" s="0" t="n">
        <v>2019</v>
      </c>
      <c r="EH211" s="0" t="n">
        <v>2026</v>
      </c>
      <c r="EI211" s="0" t="n">
        <v>8</v>
      </c>
      <c r="EJ211" s="0" t="n">
        <v>70</v>
      </c>
      <c r="EK211" s="0" t="n">
        <v>205</v>
      </c>
      <c r="EL211" s="0" t="s">
        <v>1321</v>
      </c>
      <c r="EM211" s="0" t="n">
        <v>28.8</v>
      </c>
      <c r="EN211" s="15" t="b">
        <f aca="false">FALSE()</f>
        <v>0</v>
      </c>
      <c r="EO211" s="0" t="n">
        <v>392</v>
      </c>
      <c r="EP211" s="0" t="n">
        <v>3.03673469387755</v>
      </c>
      <c r="EQ211" s="0" t="n">
        <v>0.153061224489796</v>
      </c>
      <c r="ER211" s="0" t="n">
        <v>1.31122448979592</v>
      </c>
      <c r="ES211" s="0" t="n">
        <v>1.51275510204082</v>
      </c>
      <c r="ET211" s="0" t="n">
        <v>37</v>
      </c>
      <c r="EU211" s="0" t="n">
        <v>24</v>
      </c>
      <c r="EV211" s="0" t="n">
        <v>5.24489795918367</v>
      </c>
      <c r="EW211" s="0" t="n">
        <v>0.648648648648649</v>
      </c>
      <c r="EX211" s="0" t="n">
        <v>2.95276427199016</v>
      </c>
      <c r="EY211" s="0" t="n">
        <v>3.032</v>
      </c>
      <c r="EZ211" s="0" t="n">
        <v>0.1574</v>
      </c>
      <c r="FA211" s="0" t="n">
        <v>3.144</v>
      </c>
      <c r="FB211" s="0" t="n">
        <v>2.107</v>
      </c>
      <c r="FC211" s="0" t="n">
        <v>24</v>
      </c>
      <c r="FD211" s="0" t="n">
        <v>501</v>
      </c>
      <c r="FE211" s="0" t="n">
        <v>0.0898203592814371</v>
      </c>
      <c r="FF211" s="0" t="n">
        <v>0.0849</v>
      </c>
      <c r="FG211" s="0" t="n">
        <v>0.2725</v>
      </c>
      <c r="FH211" s="0" t="n">
        <v>2.454</v>
      </c>
      <c r="FI211" s="0" t="n">
        <v>956</v>
      </c>
      <c r="FJ211" s="0" t="n">
        <v>0.48744769874477</v>
      </c>
      <c r="FK211" s="0" t="n">
        <v>17</v>
      </c>
      <c r="FL211" s="0" t="n">
        <v>56.24</v>
      </c>
      <c r="FM211" s="0" t="n">
        <v>0.4667</v>
      </c>
      <c r="FN211" s="0" t="n">
        <v>0.5333</v>
      </c>
      <c r="FO211" s="0" t="n">
        <v>-0.0884</v>
      </c>
      <c r="FP211" s="0" t="n">
        <v>0.0996</v>
      </c>
      <c r="FQ211" s="0" t="n">
        <v>-0.035</v>
      </c>
      <c r="FR211" s="0" t="n">
        <v>39</v>
      </c>
      <c r="FS211" s="0" t="n">
        <v>61</v>
      </c>
      <c r="FT211" s="0" t="n">
        <v>3.59</v>
      </c>
      <c r="FU211" s="0" t="n">
        <v>24.9</v>
      </c>
      <c r="FV211" s="0" t="n">
        <v>5080</v>
      </c>
      <c r="FW211" s="0" t="n">
        <v>2908</v>
      </c>
      <c r="FX211" s="0" t="n">
        <v>0.572</v>
      </c>
      <c r="FY211" s="0" t="n">
        <v>5</v>
      </c>
      <c r="FZ211" s="0" t="n">
        <v>2</v>
      </c>
      <c r="GA211" s="0" t="n">
        <v>0.782789362458</v>
      </c>
      <c r="GB211" s="0" t="n">
        <v>64.1</v>
      </c>
      <c r="GC211" s="0" t="n">
        <v>41</v>
      </c>
      <c r="GD211" s="0" t="n">
        <v>53.2</v>
      </c>
      <c r="GE211" s="0" t="n">
        <v>407</v>
      </c>
      <c r="GF211" s="0" t="n">
        <v>507</v>
      </c>
      <c r="GG211" s="0" t="n">
        <v>75</v>
      </c>
      <c r="GH211" s="0" t="n">
        <v>64</v>
      </c>
      <c r="GI211" s="0" t="n">
        <v>160</v>
      </c>
      <c r="GJ211" s="0" t="n">
        <v>26</v>
      </c>
      <c r="GK211" s="0" t="n">
        <v>0.184</v>
      </c>
      <c r="GL211" s="0" t="n">
        <v>0.126</v>
      </c>
      <c r="GM211" s="0" t="n">
        <v>0.162</v>
      </c>
      <c r="GN211" s="0" t="n">
        <v>6.52</v>
      </c>
      <c r="GO211" s="0" t="n">
        <v>5.47</v>
      </c>
      <c r="GP211" s="0" t="n">
        <v>4.42</v>
      </c>
      <c r="GQ211" s="0" t="n">
        <v>2.7</v>
      </c>
      <c r="GR211" s="0" t="n">
        <v>1.8</v>
      </c>
      <c r="GS211" s="0" t="n">
        <v>45</v>
      </c>
      <c r="GT211" s="0" t="n">
        <v>1.449</v>
      </c>
      <c r="GU211" s="0" t="n">
        <v>0.298</v>
      </c>
      <c r="GV211" s="0" t="n">
        <v>6.259</v>
      </c>
      <c r="GW211" s="0" t="n">
        <v>8.048</v>
      </c>
      <c r="GX211" s="0" t="n">
        <v>0.778</v>
      </c>
      <c r="GZ211" s="0" t="n">
        <v>-0.222</v>
      </c>
      <c r="HA211" s="0" t="n">
        <v>8.762</v>
      </c>
      <c r="HB211" s="0" t="n">
        <v>-28.167</v>
      </c>
      <c r="HC211" s="0" t="n">
        <v>0.067</v>
      </c>
      <c r="HE211" s="0" t="n">
        <v>0.016</v>
      </c>
      <c r="HG211" s="0" t="n">
        <v>237.68</v>
      </c>
      <c r="HH211" s="0" t="n">
        <v>38.94</v>
      </c>
      <c r="HI211" s="0" t="n">
        <v>145</v>
      </c>
      <c r="HJ211" s="0" t="n">
        <v>310</v>
      </c>
      <c r="HK211" s="0" t="s">
        <v>909</v>
      </c>
      <c r="HL211" s="0" t="n">
        <v>0</v>
      </c>
      <c r="HM211" s="0" t="n">
        <v>54</v>
      </c>
      <c r="HN211" s="0" t="n">
        <v>68</v>
      </c>
      <c r="HO211" s="0" t="n">
        <v>0.077</v>
      </c>
      <c r="HP211" s="0" t="n">
        <v>49</v>
      </c>
      <c r="HQ211" s="0" t="n">
        <v>0.296</v>
      </c>
      <c r="HR211" s="0" t="s">
        <v>102</v>
      </c>
    </row>
    <row r="212" customFormat="false" ht="15" hidden="false" customHeight="false" outlineLevel="0" collapsed="false">
      <c r="A212" s="0" t="s">
        <v>896</v>
      </c>
      <c r="B212" s="0" t="s">
        <v>897</v>
      </c>
      <c r="C212" s="0" t="s">
        <v>898</v>
      </c>
      <c r="D212" s="0" t="s">
        <v>564</v>
      </c>
      <c r="E212" s="0" t="n">
        <v>27059</v>
      </c>
      <c r="F212" s="0" t="s">
        <v>99</v>
      </c>
      <c r="G212" s="0" t="n">
        <v>242.52</v>
      </c>
      <c r="H212" s="0" t="n">
        <v>36.68</v>
      </c>
      <c r="I212" s="0" t="n">
        <v>168</v>
      </c>
      <c r="J212" s="0" t="n">
        <v>344</v>
      </c>
      <c r="L212" s="0" t="s">
        <v>2091</v>
      </c>
      <c r="O212" s="0" t="n">
        <v>6.6</v>
      </c>
      <c r="U212" s="0" t="n">
        <v>9</v>
      </c>
      <c r="V212" s="0" t="s">
        <v>564</v>
      </c>
      <c r="W212" s="0" t="s">
        <v>901</v>
      </c>
      <c r="X212" s="0" t="s">
        <v>265</v>
      </c>
      <c r="Y212" s="0" t="s">
        <v>2092</v>
      </c>
      <c r="Z212" s="0" t="n">
        <v>27059</v>
      </c>
      <c r="AA212" s="0" t="s">
        <v>2093</v>
      </c>
      <c r="AB212" s="0" t="s">
        <v>904</v>
      </c>
      <c r="AC212" s="0" t="s">
        <v>265</v>
      </c>
      <c r="AD212" s="0" t="s">
        <v>265</v>
      </c>
      <c r="AE212" s="0" t="s">
        <v>265</v>
      </c>
      <c r="AF212" s="0" t="s">
        <v>265</v>
      </c>
      <c r="AG212" s="0" t="s">
        <v>265</v>
      </c>
      <c r="AH212" s="0" t="s">
        <v>905</v>
      </c>
      <c r="AI212" s="0" t="n">
        <v>5</v>
      </c>
      <c r="AJ212" s="0" t="s">
        <v>99</v>
      </c>
      <c r="AK212" s="0" t="n">
        <v>211</v>
      </c>
      <c r="AL212" s="0" t="n">
        <v>86</v>
      </c>
      <c r="AM212" s="0" t="s">
        <v>565</v>
      </c>
      <c r="AN212" s="0" t="n">
        <v>0</v>
      </c>
      <c r="AO212" s="0" t="n">
        <v>0</v>
      </c>
      <c r="AP212" s="0" t="n">
        <v>0</v>
      </c>
      <c r="AQ212" s="0" t="n">
        <v>0</v>
      </c>
      <c r="AR212" s="0" t="n">
        <v>0</v>
      </c>
      <c r="AS212" s="0" t="n">
        <v>0</v>
      </c>
      <c r="AT212" s="0" t="n">
        <v>0</v>
      </c>
      <c r="AU212" s="0" t="n">
        <v>0</v>
      </c>
      <c r="AV212" s="0" t="n">
        <v>0</v>
      </c>
      <c r="AW212" s="0" t="n">
        <v>0</v>
      </c>
      <c r="AX212" s="0" t="n">
        <v>0</v>
      </c>
      <c r="AY212" s="0" t="n">
        <v>0</v>
      </c>
      <c r="AZ212" s="0" t="n">
        <v>0</v>
      </c>
      <c r="BA212" s="0" t="n">
        <v>0</v>
      </c>
      <c r="BB212" s="0" t="n">
        <v>0</v>
      </c>
      <c r="BC212" s="0" t="n">
        <v>41</v>
      </c>
      <c r="BD212" s="0" t="n">
        <v>89</v>
      </c>
      <c r="BE212" s="0" t="n">
        <v>515</v>
      </c>
      <c r="BF212" s="0" t="n">
        <v>4</v>
      </c>
      <c r="BG212" s="0" t="n">
        <v>1126</v>
      </c>
      <c r="BH212" s="0" t="n">
        <v>115</v>
      </c>
      <c r="BI212" s="0" t="n">
        <v>30</v>
      </c>
      <c r="BJ212" s="0" t="n">
        <v>-9.59570349645603</v>
      </c>
      <c r="BK212" s="0" t="n">
        <v>0</v>
      </c>
      <c r="BL212" s="0" t="n">
        <v>0</v>
      </c>
      <c r="BM212" s="0" t="n">
        <v>75.5</v>
      </c>
      <c r="BN212" s="0" t="n">
        <v>116.5</v>
      </c>
      <c r="BO212" s="0" t="n">
        <v>16</v>
      </c>
      <c r="BP212" s="0" t="s">
        <v>265</v>
      </c>
      <c r="BQ212" s="0" t="n">
        <v>1</v>
      </c>
      <c r="BR212" s="0" t="n">
        <v>96</v>
      </c>
      <c r="BS212" s="0" t="n">
        <v>0.1679</v>
      </c>
      <c r="BT212" s="0" t="n">
        <v>0</v>
      </c>
      <c r="BU212" s="0" t="n">
        <v>0.287</v>
      </c>
      <c r="BV212" s="0" t="n">
        <v>0.1809</v>
      </c>
      <c r="BW212" s="0" t="n">
        <v>0</v>
      </c>
      <c r="BX212" s="0" t="n">
        <v>0.302</v>
      </c>
      <c r="BY212" s="0" t="n">
        <v>0.4828</v>
      </c>
      <c r="BZ212" s="0" t="n">
        <v>16</v>
      </c>
      <c r="CA212" s="0" t="n">
        <v>3.68</v>
      </c>
      <c r="CB212" s="0" t="n">
        <v>12.58</v>
      </c>
      <c r="CC212" s="0" t="n">
        <v>7</v>
      </c>
      <c r="CD212" s="0" t="n">
        <v>4.24</v>
      </c>
      <c r="CE212" s="0" t="n">
        <v>0</v>
      </c>
      <c r="CF212" s="0" t="n">
        <v>1</v>
      </c>
      <c r="CG212" s="0" t="n">
        <v>16</v>
      </c>
      <c r="CH212" s="0" t="n">
        <v>0</v>
      </c>
      <c r="CI212" s="0" t="n">
        <v>0.062</v>
      </c>
      <c r="CJ212" s="0" t="n">
        <v>0.606</v>
      </c>
      <c r="CK212" s="0" t="n">
        <v>8</v>
      </c>
      <c r="CL212" s="0" t="n">
        <v>6</v>
      </c>
      <c r="CM212" s="0" t="n">
        <v>1</v>
      </c>
      <c r="CN212" s="0" t="n">
        <v>4</v>
      </c>
      <c r="CO212" s="0" t="n">
        <v>3.44730584804185</v>
      </c>
      <c r="CP212" s="0" t="n">
        <v>0</v>
      </c>
      <c r="CQ212" s="0" t="n">
        <v>0</v>
      </c>
      <c r="CR212" s="0" t="n">
        <v>0</v>
      </c>
      <c r="CS212" s="0" t="n">
        <v>0</v>
      </c>
      <c r="CT212" s="0" t="n">
        <v>0</v>
      </c>
      <c r="CU212" s="0" t="n">
        <v>8</v>
      </c>
      <c r="CV212" s="0" t="n">
        <v>6</v>
      </c>
      <c r="CW212" s="0" t="n">
        <v>1</v>
      </c>
      <c r="CX212" s="0" t="n">
        <v>4</v>
      </c>
      <c r="CY212" s="0" t="n">
        <v>3.45</v>
      </c>
      <c r="CZ212" s="0" t="n">
        <v>0.55</v>
      </c>
      <c r="DA212" s="0" t="n">
        <v>2.65747993512358</v>
      </c>
      <c r="DB212" s="0" t="n">
        <v>5.82084337349398</v>
      </c>
      <c r="DC212" s="0" t="n">
        <v>12.244606741573</v>
      </c>
      <c r="DD212" s="0" t="n">
        <v>28.0807763267746</v>
      </c>
      <c r="DE212" s="0" t="n">
        <v>-0.128995775222342</v>
      </c>
      <c r="DF212" s="0" t="n">
        <v>46.0674157303371</v>
      </c>
      <c r="DM212" s="0" t="s">
        <v>2094</v>
      </c>
      <c r="DS212" s="0" t="n">
        <v>89</v>
      </c>
      <c r="DT212" s="0" t="n">
        <v>0</v>
      </c>
      <c r="DU212" s="0" t="n">
        <v>5</v>
      </c>
      <c r="DV212" s="0" t="n">
        <v>9.756</v>
      </c>
      <c r="DW212" s="0" t="n">
        <v>2.805</v>
      </c>
      <c r="DX212" s="0" t="n">
        <v>12.2</v>
      </c>
      <c r="DY212" s="0" t="n">
        <v>0.0562</v>
      </c>
      <c r="DZ212" s="0" t="n">
        <v>787</v>
      </c>
      <c r="EA212" s="0" t="n">
        <v>0.806</v>
      </c>
      <c r="EB212" s="0" t="n">
        <v>16</v>
      </c>
      <c r="EC212" s="0" t="s">
        <v>2095</v>
      </c>
      <c r="ED212" s="0" t="n">
        <v>2025</v>
      </c>
      <c r="EE212" s="0" t="n">
        <v>4</v>
      </c>
      <c r="EF212" s="0" t="n">
        <v>136</v>
      </c>
      <c r="EG212" s="0" t="n">
        <v>2025</v>
      </c>
      <c r="EH212" s="0" t="n">
        <v>2026</v>
      </c>
      <c r="EI212" s="0" t="n">
        <v>2</v>
      </c>
      <c r="EJ212" s="0" t="n">
        <v>74</v>
      </c>
      <c r="EK212" s="0" t="n">
        <v>206</v>
      </c>
      <c r="EL212" s="0" t="s">
        <v>953</v>
      </c>
      <c r="EM212" s="0" t="n">
        <v>23.2</v>
      </c>
      <c r="EN212" s="15" t="b">
        <f aca="false">FALSE()</f>
        <v>0</v>
      </c>
      <c r="EO212" s="0" t="n">
        <v>328</v>
      </c>
      <c r="EP212" s="0" t="n">
        <v>3.01463414634146</v>
      </c>
      <c r="EQ212" s="0" t="n">
        <v>0.161585365853659</v>
      </c>
      <c r="ER212" s="0" t="n">
        <v>1.14634146341463</v>
      </c>
      <c r="ES212" s="0" t="n">
        <v>0.692073170731707</v>
      </c>
      <c r="ET212" s="0" t="n">
        <v>30</v>
      </c>
      <c r="EU212" s="0" t="n">
        <v>20</v>
      </c>
      <c r="EV212" s="0" t="n">
        <v>4.30487804878049</v>
      </c>
      <c r="EW212" s="0" t="n">
        <v>0.666666666666667</v>
      </c>
      <c r="EX212" s="0" t="n">
        <v>2.87769409187475</v>
      </c>
      <c r="EY212" s="0" t="n">
        <v>3.085</v>
      </c>
      <c r="EZ212" s="0" t="n">
        <v>0.1549</v>
      </c>
      <c r="FA212" s="0" t="n">
        <v>2.54</v>
      </c>
      <c r="FB212" s="0" t="n">
        <v>1.664</v>
      </c>
      <c r="FC212" s="0" t="n">
        <v>24</v>
      </c>
      <c r="FD212" s="0" t="n">
        <v>646</v>
      </c>
      <c r="FE212" s="0" t="n">
        <v>0.086687306501548</v>
      </c>
      <c r="FF212" s="0" t="n">
        <v>0.0872</v>
      </c>
      <c r="FG212" s="0" t="n">
        <v>0.3175</v>
      </c>
      <c r="FH212" s="0" t="n">
        <v>2.389</v>
      </c>
      <c r="FI212" s="0" t="n">
        <v>995</v>
      </c>
      <c r="FJ212" s="0" t="n">
        <v>0.626130653266332</v>
      </c>
      <c r="FK212" s="0" t="n">
        <v>17</v>
      </c>
      <c r="FL212" s="0" t="n">
        <v>58.53</v>
      </c>
      <c r="FM212" s="0" t="n">
        <v>0.5401</v>
      </c>
      <c r="FN212" s="0" t="n">
        <v>0.4599</v>
      </c>
      <c r="FO212" s="0" t="n">
        <v>-0.0385</v>
      </c>
      <c r="FP212" s="0" t="n">
        <v>-0.0573</v>
      </c>
      <c r="FQ212" s="0" t="n">
        <v>-0.2208</v>
      </c>
      <c r="FR212" s="0" t="n">
        <v>40</v>
      </c>
      <c r="FS212" s="0" t="n">
        <v>35</v>
      </c>
      <c r="FT212" s="0" t="n">
        <v>2.06</v>
      </c>
      <c r="FU212" s="0" t="n">
        <v>16.7</v>
      </c>
      <c r="FV212" s="0" t="n">
        <v>5402</v>
      </c>
      <c r="FW212" s="0" t="n">
        <v>2848</v>
      </c>
      <c r="FX212" s="0" t="n">
        <v>0.527</v>
      </c>
      <c r="FY212" s="0" t="n">
        <v>5</v>
      </c>
      <c r="FZ212" s="0" t="n">
        <v>3</v>
      </c>
      <c r="GA212" s="0" t="n">
        <v>0.463456652097505</v>
      </c>
      <c r="GB212" s="0" t="n">
        <v>58.4</v>
      </c>
      <c r="GC212" s="0" t="n">
        <v>27.6</v>
      </c>
      <c r="GD212" s="0" t="n">
        <v>41.1</v>
      </c>
      <c r="GE212" s="0" t="n">
        <v>530</v>
      </c>
      <c r="GF212" s="0" t="n">
        <v>378</v>
      </c>
      <c r="GG212" s="0" t="n">
        <v>152</v>
      </c>
      <c r="GH212" s="0" t="n">
        <v>0</v>
      </c>
      <c r="GI212" s="0" t="n">
        <v>93</v>
      </c>
      <c r="GJ212" s="0" t="n">
        <v>8</v>
      </c>
      <c r="GK212" s="0" t="n">
        <v>0.287</v>
      </c>
      <c r="GL212" s="0" t="n">
        <v>0</v>
      </c>
      <c r="GM212" s="0" t="n">
        <v>0.086</v>
      </c>
      <c r="GN212" s="0" t="n">
        <v>7.281</v>
      </c>
      <c r="GO212" s="0" t="n">
        <v>6</v>
      </c>
      <c r="GP212" s="0" t="n">
        <v>4.719</v>
      </c>
      <c r="GQ212" s="0" t="n">
        <v>5.562</v>
      </c>
      <c r="GR212" s="0" t="n">
        <v>0</v>
      </c>
      <c r="GS212" s="0" t="n">
        <v>89</v>
      </c>
      <c r="GT212" s="0" t="n">
        <v>1.309</v>
      </c>
      <c r="GU212" s="0" t="n">
        <v>0.148</v>
      </c>
      <c r="GV212" s="0" t="n">
        <v>5.787</v>
      </c>
      <c r="GW212" s="0" t="n">
        <v>12.561</v>
      </c>
      <c r="GX212" s="0" t="n">
        <v>0.461</v>
      </c>
      <c r="GZ212" s="0" t="n">
        <v>12.652</v>
      </c>
      <c r="HA212" s="0" t="n">
        <v>2.805</v>
      </c>
      <c r="HB212" s="0" t="n">
        <v>0.457</v>
      </c>
      <c r="HC212" s="0" t="n">
        <v>0.045</v>
      </c>
      <c r="HE212" s="0" t="n">
        <v>-0.108</v>
      </c>
      <c r="HG212" s="0" t="n">
        <v>242.52</v>
      </c>
      <c r="HH212" s="0" t="n">
        <v>36.68</v>
      </c>
      <c r="HI212" s="0" t="n">
        <v>168</v>
      </c>
      <c r="HJ212" s="0" t="n">
        <v>344</v>
      </c>
      <c r="HK212" s="0" t="s">
        <v>909</v>
      </c>
      <c r="HL212" s="0" t="n">
        <v>0</v>
      </c>
      <c r="HM212" s="0" t="n">
        <v>53</v>
      </c>
      <c r="HN212" s="0" t="n">
        <v>86</v>
      </c>
      <c r="HO212" s="0" t="n">
        <v>0.758</v>
      </c>
      <c r="HP212" s="0" t="n">
        <v>65</v>
      </c>
      <c r="HQ212" s="0" t="n">
        <v>0.232</v>
      </c>
      <c r="HR212" s="0" t="s">
        <v>232</v>
      </c>
    </row>
    <row r="213" customFormat="false" ht="15" hidden="false" customHeight="false" outlineLevel="0" collapsed="false">
      <c r="A213" s="0" t="s">
        <v>896</v>
      </c>
      <c r="B213" s="0" t="s">
        <v>897</v>
      </c>
      <c r="C213" s="0" t="s">
        <v>898</v>
      </c>
      <c r="D213" s="0" t="s">
        <v>566</v>
      </c>
      <c r="E213" s="0" t="n">
        <v>23181</v>
      </c>
      <c r="F213" s="0" t="s">
        <v>149</v>
      </c>
      <c r="G213" s="0" t="n">
        <v>242.56</v>
      </c>
      <c r="H213" s="0" t="n">
        <v>21.79</v>
      </c>
      <c r="I213" s="0" t="n">
        <v>158</v>
      </c>
      <c r="J213" s="0" t="n">
        <v>290</v>
      </c>
      <c r="L213" s="0" t="s">
        <v>2096</v>
      </c>
      <c r="O213" s="0" t="n">
        <v>15.3</v>
      </c>
      <c r="U213" s="0" t="n">
        <v>10</v>
      </c>
      <c r="V213" s="0" t="s">
        <v>566</v>
      </c>
      <c r="W213" s="0" t="s">
        <v>901</v>
      </c>
      <c r="X213" s="0" t="s">
        <v>1111</v>
      </c>
      <c r="Y213" s="0" t="s">
        <v>2097</v>
      </c>
      <c r="Z213" s="0" t="n">
        <v>23181</v>
      </c>
      <c r="AA213" s="0" t="s">
        <v>2098</v>
      </c>
      <c r="AB213" s="0" t="s">
        <v>904</v>
      </c>
      <c r="AC213" s="0" t="s">
        <v>198</v>
      </c>
      <c r="AD213" s="0" t="s">
        <v>198</v>
      </c>
      <c r="AE213" s="0" t="s">
        <v>198</v>
      </c>
      <c r="AF213" s="0" t="s">
        <v>198</v>
      </c>
      <c r="AG213" s="0" t="s">
        <v>198</v>
      </c>
      <c r="AH213" s="0" t="s">
        <v>905</v>
      </c>
      <c r="AI213" s="0" t="n">
        <v>1</v>
      </c>
      <c r="AJ213" s="0" t="s">
        <v>149</v>
      </c>
      <c r="AK213" s="0" t="n">
        <v>212</v>
      </c>
      <c r="AL213" s="0" t="n">
        <v>29</v>
      </c>
      <c r="AM213" s="0" t="s">
        <v>567</v>
      </c>
      <c r="AN213" s="0" t="n">
        <v>0</v>
      </c>
      <c r="AO213" s="0" t="n">
        <v>0</v>
      </c>
      <c r="AP213" s="0" t="n">
        <v>0</v>
      </c>
      <c r="AQ213" s="0" t="n">
        <v>0</v>
      </c>
      <c r="AR213" s="0" t="n">
        <v>0</v>
      </c>
      <c r="AS213" s="0" t="n">
        <v>0</v>
      </c>
      <c r="AT213" s="0" t="n">
        <v>0</v>
      </c>
      <c r="AU213" s="0" t="n">
        <v>0</v>
      </c>
      <c r="AV213" s="0" t="n">
        <v>0</v>
      </c>
      <c r="AW213" s="0" t="n">
        <v>0</v>
      </c>
      <c r="AX213" s="0" t="n">
        <v>0</v>
      </c>
      <c r="AY213" s="0" t="n">
        <v>0</v>
      </c>
      <c r="AZ213" s="0" t="n">
        <v>0</v>
      </c>
      <c r="BA213" s="0" t="n">
        <v>0</v>
      </c>
      <c r="BB213" s="0" t="n">
        <v>0</v>
      </c>
      <c r="BC213" s="0" t="n">
        <v>59</v>
      </c>
      <c r="BD213" s="0" t="n">
        <v>81</v>
      </c>
      <c r="BE213" s="0" t="n">
        <v>572</v>
      </c>
      <c r="BF213" s="0" t="n">
        <v>1</v>
      </c>
      <c r="BG213" s="0" t="n">
        <v>419</v>
      </c>
      <c r="BH213" s="0" t="n">
        <v>309</v>
      </c>
      <c r="BI213" s="0" t="n">
        <v>25</v>
      </c>
      <c r="BJ213" s="0" t="n">
        <v>3.08032558020279</v>
      </c>
      <c r="BK213" s="0" t="n">
        <v>0</v>
      </c>
      <c r="BL213" s="0" t="n">
        <v>0</v>
      </c>
      <c r="BM213" s="0" t="n">
        <v>63.2</v>
      </c>
      <c r="BN213" s="0" t="n">
        <v>122.2</v>
      </c>
      <c r="BO213" s="0" t="n">
        <v>15</v>
      </c>
      <c r="BP213" s="0" t="s">
        <v>198</v>
      </c>
      <c r="BQ213" s="0" t="n">
        <v>1</v>
      </c>
      <c r="BR213" s="0" t="n">
        <v>92.7</v>
      </c>
      <c r="BS213" s="0" t="n">
        <v>0.1497</v>
      </c>
      <c r="BT213" s="0" t="n">
        <v>0</v>
      </c>
      <c r="BU213" s="0" t="n">
        <v>0.0966</v>
      </c>
      <c r="BV213" s="0" t="n">
        <v>0.1688</v>
      </c>
      <c r="BW213" s="0" t="n">
        <v>0</v>
      </c>
      <c r="BX213" s="0" t="n">
        <v>0.1121</v>
      </c>
      <c r="BY213" s="0" t="n">
        <v>0.3317</v>
      </c>
      <c r="BZ213" s="0" t="n">
        <v>15</v>
      </c>
      <c r="CA213" s="0" t="n">
        <v>4.35</v>
      </c>
      <c r="CB213" s="0" t="n">
        <v>13.36</v>
      </c>
      <c r="CC213" s="0" t="n">
        <v>6.1</v>
      </c>
      <c r="CD213" s="0" t="n">
        <v>5.98</v>
      </c>
      <c r="CE213" s="0" t="n">
        <v>2</v>
      </c>
      <c r="CF213" s="0" t="n">
        <v>1</v>
      </c>
      <c r="CG213" s="0" t="n">
        <v>15</v>
      </c>
      <c r="CH213" s="0" t="n">
        <v>0.133</v>
      </c>
      <c r="CI213" s="0" t="n">
        <v>0.067</v>
      </c>
      <c r="CJ213" s="0" t="n">
        <v>0.98</v>
      </c>
      <c r="CK213" s="0" t="n">
        <v>6</v>
      </c>
      <c r="CL213" s="0" t="n">
        <v>2</v>
      </c>
      <c r="CM213" s="0" t="n">
        <v>0</v>
      </c>
      <c r="CN213" s="0" t="n">
        <v>1</v>
      </c>
      <c r="CO213" s="0" t="n">
        <v>2.35775768709385</v>
      </c>
      <c r="CP213" s="0" t="n">
        <v>0</v>
      </c>
      <c r="CQ213" s="0" t="n">
        <v>0</v>
      </c>
      <c r="CR213" s="0" t="n">
        <v>0</v>
      </c>
      <c r="CS213" s="0" t="n">
        <v>0</v>
      </c>
      <c r="CT213" s="0" t="n">
        <v>0</v>
      </c>
      <c r="CU213" s="0" t="n">
        <v>6</v>
      </c>
      <c r="CV213" s="0" t="n">
        <v>2</v>
      </c>
      <c r="CW213" s="0" t="n">
        <v>0</v>
      </c>
      <c r="CX213" s="0" t="n">
        <v>1</v>
      </c>
      <c r="CY213" s="0" t="n">
        <v>2.36</v>
      </c>
      <c r="CZ213" s="0" t="n">
        <v>-1.36</v>
      </c>
      <c r="DA213" s="0" t="n">
        <v>3.50057388828325</v>
      </c>
      <c r="DB213" s="0" t="n">
        <v>5.56191176470588</v>
      </c>
      <c r="DC213" s="0" t="n">
        <v>4.84530864197531</v>
      </c>
      <c r="DD213" s="0" t="n">
        <v>8.99512736240414</v>
      </c>
      <c r="DE213" s="0" t="n">
        <v>0.732540436512259</v>
      </c>
      <c r="DF213" s="0" t="n">
        <v>72.8395061728395</v>
      </c>
      <c r="DM213" s="0" t="s">
        <v>2099</v>
      </c>
      <c r="DS213" s="0" t="n">
        <v>81</v>
      </c>
      <c r="DT213" s="0" t="n">
        <v>6</v>
      </c>
      <c r="DU213" s="0" t="n">
        <v>1</v>
      </c>
      <c r="DV213" s="0" t="n">
        <v>4.458</v>
      </c>
      <c r="DW213" s="0" t="n">
        <v>5.237</v>
      </c>
      <c r="DX213" s="0" t="n">
        <v>5.1</v>
      </c>
      <c r="DY213" s="0" t="n">
        <v>0.0123</v>
      </c>
      <c r="DZ213" s="0" t="n">
        <v>993</v>
      </c>
      <c r="EA213" s="0" t="n">
        <v>0.935</v>
      </c>
      <c r="EB213" s="0" t="n">
        <v>16</v>
      </c>
      <c r="EC213" s="0" t="s">
        <v>2100</v>
      </c>
      <c r="ED213" s="0" t="n">
        <v>2022</v>
      </c>
      <c r="EE213" s="0" t="n">
        <v>4</v>
      </c>
      <c r="EF213" s="0" t="n">
        <v>106</v>
      </c>
      <c r="EG213" s="0" t="n">
        <v>2022</v>
      </c>
      <c r="EH213" s="0" t="n">
        <v>2026</v>
      </c>
      <c r="EI213" s="0" t="n">
        <v>5</v>
      </c>
      <c r="EJ213" s="0" t="n">
        <v>77</v>
      </c>
      <c r="EK213" s="0" t="n">
        <v>247</v>
      </c>
      <c r="EL213" s="0" t="s">
        <v>1250</v>
      </c>
      <c r="EM213" s="0" t="n">
        <v>27.3</v>
      </c>
      <c r="EN213" s="15" t="b">
        <f aca="false">FALSE()</f>
        <v>0</v>
      </c>
      <c r="EO213" s="0" t="n">
        <v>398</v>
      </c>
      <c r="EP213" s="0" t="n">
        <v>2.76407035175879</v>
      </c>
      <c r="EQ213" s="0" t="n">
        <v>0.183417085427136</v>
      </c>
      <c r="ER213" s="0" t="n">
        <v>1.05276381909548</v>
      </c>
      <c r="ES213" s="0" t="n">
        <v>0.42462311557789</v>
      </c>
      <c r="ET213" s="0" t="n">
        <v>48</v>
      </c>
      <c r="EU213" s="0" t="n">
        <v>34</v>
      </c>
      <c r="EV213" s="0" t="n">
        <v>3.76130653266332</v>
      </c>
      <c r="EW213" s="0" t="n">
        <v>0.708333333333333</v>
      </c>
      <c r="EX213" s="0" t="n">
        <v>2.97696363334511</v>
      </c>
      <c r="EY213" s="0" t="n">
        <v>2.736</v>
      </c>
      <c r="EZ213" s="0" t="n">
        <v>0.1938</v>
      </c>
      <c r="FA213" s="0" t="n">
        <v>2.699</v>
      </c>
      <c r="FB213" s="0" t="n">
        <v>1.426</v>
      </c>
      <c r="FC213" s="0" t="n">
        <v>31</v>
      </c>
      <c r="FD213" s="0" t="n">
        <v>638</v>
      </c>
      <c r="FE213" s="0" t="n">
        <v>0.0595611285266458</v>
      </c>
      <c r="FF213" s="0" t="n">
        <v>0.0571</v>
      </c>
      <c r="FG213" s="0" t="n">
        <v>0.172</v>
      </c>
      <c r="FH213" s="0" t="n">
        <v>2.292</v>
      </c>
      <c r="FI213" s="0" t="n">
        <v>1065</v>
      </c>
      <c r="FJ213" s="0" t="n">
        <v>0.564319248826291</v>
      </c>
      <c r="FK213" s="0" t="n">
        <v>17</v>
      </c>
      <c r="FL213" s="0" t="n">
        <v>62.65</v>
      </c>
      <c r="FM213" s="0" t="n">
        <v>0.5148</v>
      </c>
      <c r="FN213" s="0" t="n">
        <v>0.4852</v>
      </c>
      <c r="FO213" s="0" t="n">
        <v>-0.0347</v>
      </c>
      <c r="FP213" s="0" t="n">
        <v>0.0138</v>
      </c>
      <c r="FQ213" s="0" t="n">
        <v>-0.0264</v>
      </c>
      <c r="FR213" s="0" t="n">
        <v>41</v>
      </c>
      <c r="FS213" s="0" t="n">
        <v>53</v>
      </c>
      <c r="FT213" s="0" t="n">
        <v>3.12</v>
      </c>
      <c r="FU213" s="0" t="n">
        <v>22.4</v>
      </c>
      <c r="FV213" s="0" t="n">
        <v>5692</v>
      </c>
      <c r="FW213" s="0" t="n">
        <v>4502</v>
      </c>
      <c r="FX213" s="0" t="n">
        <v>0.791</v>
      </c>
      <c r="FY213" s="0" t="n">
        <v>5</v>
      </c>
      <c r="FZ213" s="0" t="n">
        <v>4</v>
      </c>
      <c r="GA213" s="0" t="n">
        <v>-0.202503543001561</v>
      </c>
      <c r="GB213" s="0" t="n">
        <v>46.3</v>
      </c>
      <c r="GC213" s="0" t="n">
        <v>65.4</v>
      </c>
      <c r="GD213" s="0" t="n">
        <v>57.4</v>
      </c>
      <c r="GE213" s="0" t="n">
        <v>541</v>
      </c>
      <c r="GF213" s="0" t="n">
        <v>472</v>
      </c>
      <c r="GG213" s="0" t="n">
        <v>111</v>
      </c>
      <c r="GH213" s="0" t="n">
        <v>138</v>
      </c>
      <c r="GI213" s="0" t="n">
        <v>136</v>
      </c>
      <c r="GJ213" s="0" t="n">
        <v>38</v>
      </c>
      <c r="GK213" s="0" t="n">
        <v>0.205</v>
      </c>
      <c r="GL213" s="0" t="n">
        <v>0.292</v>
      </c>
      <c r="GM213" s="0" t="n">
        <v>0.279</v>
      </c>
      <c r="GN213" s="0" t="n">
        <v>8.147</v>
      </c>
      <c r="GO213" s="0" t="n">
        <v>6.18</v>
      </c>
      <c r="GP213" s="0" t="n">
        <v>4.213</v>
      </c>
      <c r="GQ213" s="0" t="n">
        <v>5.4</v>
      </c>
      <c r="GR213" s="0" t="n">
        <v>0</v>
      </c>
      <c r="GS213" s="0" t="n">
        <v>81</v>
      </c>
      <c r="GT213" s="0" t="n">
        <v>1.509</v>
      </c>
      <c r="GU213" s="0" t="n">
        <v>0.123</v>
      </c>
      <c r="GV213" s="0" t="n">
        <v>7.062</v>
      </c>
      <c r="GW213" s="0" t="n">
        <v>9.695</v>
      </c>
      <c r="GX213" s="0" t="n">
        <v>0.728</v>
      </c>
      <c r="GZ213" s="0" t="n">
        <v>5.173</v>
      </c>
      <c r="HA213" s="0" t="n">
        <v>5.237</v>
      </c>
      <c r="HB213" s="0" t="n">
        <v>1.365</v>
      </c>
      <c r="HC213" s="0" t="n">
        <v>0.012</v>
      </c>
      <c r="HE213" s="0" t="n">
        <v>0.038</v>
      </c>
      <c r="HG213" s="0" t="n">
        <v>242.56</v>
      </c>
      <c r="HH213" s="0" t="n">
        <v>21.79</v>
      </c>
      <c r="HI213" s="0" t="n">
        <v>158</v>
      </c>
      <c r="HJ213" s="0" t="n">
        <v>290</v>
      </c>
      <c r="HK213" s="0" t="s">
        <v>909</v>
      </c>
      <c r="HL213" s="0" t="n">
        <v>0</v>
      </c>
      <c r="HM213" s="0" t="n">
        <v>20</v>
      </c>
      <c r="HN213" s="0" t="n">
        <v>29</v>
      </c>
      <c r="HO213" s="0" t="n">
        <v>0.186</v>
      </c>
      <c r="HP213" s="0" t="n">
        <v>21</v>
      </c>
      <c r="HQ213" s="0" t="n">
        <v>0.142</v>
      </c>
      <c r="HR213" s="0" t="s">
        <v>102</v>
      </c>
    </row>
    <row r="214" customFormat="false" ht="15" hidden="false" customHeight="false" outlineLevel="0" collapsed="false">
      <c r="A214" s="0" t="s">
        <v>896</v>
      </c>
      <c r="B214" s="0" t="s">
        <v>897</v>
      </c>
      <c r="C214" s="0" t="s">
        <v>898</v>
      </c>
      <c r="D214" s="0" t="s">
        <v>568</v>
      </c>
      <c r="E214" s="0" t="n">
        <v>25984</v>
      </c>
      <c r="F214" s="0" t="s">
        <v>104</v>
      </c>
      <c r="G214" s="0" t="n">
        <v>243.04</v>
      </c>
      <c r="H214" s="0" t="n">
        <v>22.81</v>
      </c>
      <c r="I214" s="0" t="n">
        <v>173</v>
      </c>
      <c r="J214" s="0" t="n">
        <v>309</v>
      </c>
      <c r="L214" s="0" t="s">
        <v>2101</v>
      </c>
      <c r="O214" s="0" t="n">
        <v>3.2</v>
      </c>
      <c r="U214" s="0" t="n">
        <v>6</v>
      </c>
      <c r="V214" s="0" t="s">
        <v>2102</v>
      </c>
      <c r="W214" s="0" t="s">
        <v>901</v>
      </c>
      <c r="X214" s="0" t="s">
        <v>161</v>
      </c>
      <c r="Y214" s="0" t="s">
        <v>2103</v>
      </c>
      <c r="Z214" s="0" t="n">
        <v>25984</v>
      </c>
      <c r="AA214" s="0" t="s">
        <v>2104</v>
      </c>
      <c r="AB214" s="0" t="s">
        <v>904</v>
      </c>
      <c r="AC214" s="0" t="s">
        <v>161</v>
      </c>
      <c r="AD214" s="0" t="s">
        <v>161</v>
      </c>
      <c r="AE214" s="0" t="s">
        <v>161</v>
      </c>
      <c r="AF214" s="0" t="s">
        <v>161</v>
      </c>
      <c r="AG214" s="0" t="s">
        <v>161</v>
      </c>
      <c r="AH214" s="0" t="s">
        <v>905</v>
      </c>
      <c r="AI214" s="0" t="n">
        <v>3</v>
      </c>
      <c r="AJ214" s="0" t="s">
        <v>104</v>
      </c>
      <c r="AK214" s="0" t="n">
        <v>213</v>
      </c>
      <c r="AL214" s="0" t="n">
        <v>69</v>
      </c>
      <c r="AM214" s="0" t="s">
        <v>569</v>
      </c>
      <c r="AN214" s="0" t="n">
        <v>0</v>
      </c>
      <c r="AO214" s="0" t="n">
        <v>0</v>
      </c>
      <c r="AP214" s="0" t="n">
        <v>0</v>
      </c>
      <c r="AQ214" s="0" t="n">
        <v>0</v>
      </c>
      <c r="AR214" s="0" t="n">
        <v>0</v>
      </c>
      <c r="AS214" s="0" t="n">
        <v>0</v>
      </c>
      <c r="AT214" s="0" t="n">
        <v>0</v>
      </c>
      <c r="AU214" s="0" t="n">
        <v>0</v>
      </c>
      <c r="AV214" s="0" t="n">
        <v>0</v>
      </c>
      <c r="AW214" s="0" t="n">
        <v>70</v>
      </c>
      <c r="AX214" s="0" t="n">
        <v>199</v>
      </c>
      <c r="AY214" s="0" t="n">
        <v>3</v>
      </c>
      <c r="AZ214" s="0" t="n">
        <v>21</v>
      </c>
      <c r="BA214" s="0" t="n">
        <v>-9.57118379965144</v>
      </c>
      <c r="BB214" s="0" t="n">
        <v>0</v>
      </c>
      <c r="BC214" s="0" t="n">
        <v>7</v>
      </c>
      <c r="BD214" s="0" t="n">
        <v>9</v>
      </c>
      <c r="BE214" s="0" t="n">
        <v>32</v>
      </c>
      <c r="BF214" s="0" t="n">
        <v>1</v>
      </c>
      <c r="BG214" s="0" t="n">
        <v>-25</v>
      </c>
      <c r="BH214" s="0" t="n">
        <v>57</v>
      </c>
      <c r="BI214" s="0" t="n">
        <v>1</v>
      </c>
      <c r="BJ214" s="0" t="n">
        <v>-3.44637874682667</v>
      </c>
      <c r="BK214" s="0" t="n">
        <v>0</v>
      </c>
      <c r="BL214" s="0" t="n">
        <v>0</v>
      </c>
      <c r="BM214" s="0" t="n">
        <v>47.1</v>
      </c>
      <c r="BN214" s="0" t="n">
        <v>54.1</v>
      </c>
      <c r="BO214" s="0" t="n">
        <v>17</v>
      </c>
      <c r="BP214" s="0" t="s">
        <v>161</v>
      </c>
      <c r="BQ214" s="0" t="n">
        <v>1</v>
      </c>
      <c r="BR214" s="0" t="n">
        <v>50.6</v>
      </c>
      <c r="BS214" s="0" t="n">
        <v>0.0195</v>
      </c>
      <c r="BT214" s="0" t="n">
        <v>0.162</v>
      </c>
      <c r="BU214" s="0" t="n">
        <v>-0.0076</v>
      </c>
      <c r="BV214" s="0" t="n">
        <v>0.0195</v>
      </c>
      <c r="BW214" s="0" t="n">
        <v>0.162</v>
      </c>
      <c r="BX214" s="0" t="n">
        <v>-0.0076</v>
      </c>
      <c r="BY214" s="0" t="n">
        <v>0.0239</v>
      </c>
      <c r="BZ214" s="0" t="n">
        <v>17</v>
      </c>
      <c r="CA214" s="0" t="n">
        <v>0</v>
      </c>
      <c r="CB214" s="0" t="n">
        <v>8.96</v>
      </c>
      <c r="CC214" s="0" t="n">
        <v>1.3</v>
      </c>
      <c r="CD214" s="0" t="n">
        <v>4.35</v>
      </c>
      <c r="CE214" s="0" t="n">
        <v>0</v>
      </c>
      <c r="CF214" s="0" t="n">
        <v>12</v>
      </c>
      <c r="CG214" s="0" t="n">
        <v>17</v>
      </c>
      <c r="CH214" s="0" t="n">
        <v>0</v>
      </c>
      <c r="CI214" s="0" t="n">
        <v>0.706</v>
      </c>
      <c r="CJ214" s="0" t="n">
        <v>3.343</v>
      </c>
      <c r="CK214" s="0" t="n">
        <v>2</v>
      </c>
      <c r="CL214" s="0" t="n">
        <v>0</v>
      </c>
      <c r="CM214" s="0" t="n">
        <v>0</v>
      </c>
      <c r="CN214" s="0" t="n">
        <v>1</v>
      </c>
      <c r="CO214" s="0" t="n">
        <v>0.48045635746149</v>
      </c>
      <c r="CP214" s="0" t="n">
        <v>19</v>
      </c>
      <c r="CQ214" s="0" t="n">
        <v>12</v>
      </c>
      <c r="CR214" s="0" t="n">
        <v>6</v>
      </c>
      <c r="CS214" s="0" t="n">
        <v>3</v>
      </c>
      <c r="CT214" s="0" t="n">
        <v>4.15719150001365</v>
      </c>
      <c r="CU214" s="0" t="n">
        <v>21</v>
      </c>
      <c r="CV214" s="0" t="n">
        <v>12</v>
      </c>
      <c r="CW214" s="0" t="n">
        <v>6</v>
      </c>
      <c r="CX214" s="0" t="n">
        <v>4</v>
      </c>
      <c r="CY214" s="0" t="n">
        <v>4.64</v>
      </c>
      <c r="CZ214" s="0" t="n">
        <v>-0.64</v>
      </c>
      <c r="DM214" s="0" t="s">
        <v>2105</v>
      </c>
      <c r="DN214" s="0" t="n">
        <v>70</v>
      </c>
      <c r="DO214" s="0" t="n">
        <v>6</v>
      </c>
      <c r="DP214" s="0" t="n">
        <v>1.157</v>
      </c>
      <c r="DQ214" s="0" t="n">
        <v>1.686</v>
      </c>
      <c r="DR214" s="0" t="n">
        <v>11.67</v>
      </c>
      <c r="DS214" s="0" t="n">
        <v>9</v>
      </c>
      <c r="DT214" s="0" t="n">
        <v>2</v>
      </c>
      <c r="DU214" s="0" t="n">
        <v>1</v>
      </c>
      <c r="DZ214" s="0" t="n">
        <v>222</v>
      </c>
      <c r="EA214" s="0" t="n">
        <v>0.224</v>
      </c>
      <c r="EB214" s="0" t="n">
        <v>17</v>
      </c>
      <c r="EC214" s="0" t="s">
        <v>2106</v>
      </c>
      <c r="ED214" s="0" t="n">
        <v>2025</v>
      </c>
      <c r="EE214" s="0" t="n">
        <v>6</v>
      </c>
      <c r="EF214" s="0" t="n">
        <v>179</v>
      </c>
      <c r="EG214" s="0" t="n">
        <v>2025</v>
      </c>
      <c r="EH214" s="0" t="n">
        <v>2026</v>
      </c>
      <c r="EI214" s="0" t="n">
        <v>2</v>
      </c>
      <c r="EJ214" s="0" t="n">
        <v>74</v>
      </c>
      <c r="EK214" s="0" t="n">
        <v>225</v>
      </c>
      <c r="EL214" s="0" t="s">
        <v>1321</v>
      </c>
      <c r="EM214" s="0" t="n">
        <v>22.6</v>
      </c>
      <c r="EN214" s="15" t="b">
        <f aca="false">FALSE()</f>
        <v>0</v>
      </c>
      <c r="EO214" s="0" t="n">
        <v>380</v>
      </c>
      <c r="EP214" s="0" t="n">
        <v>2.83552631578947</v>
      </c>
      <c r="EQ214" s="0" t="n">
        <v>0.213157894736842</v>
      </c>
      <c r="ER214" s="0" t="n">
        <v>1.46578947368421</v>
      </c>
      <c r="ES214" s="0" t="n">
        <v>1.22631578947368</v>
      </c>
      <c r="ET214" s="0" t="n">
        <v>29</v>
      </c>
      <c r="EU214" s="0" t="n">
        <v>17</v>
      </c>
      <c r="EV214" s="0" t="n">
        <v>4.85789473684211</v>
      </c>
      <c r="EW214" s="0" t="n">
        <v>0.586206896551724</v>
      </c>
      <c r="EX214" s="0" t="n">
        <v>2.94501561107985</v>
      </c>
      <c r="EY214" s="0" t="n">
        <v>2.839</v>
      </c>
      <c r="EZ214" s="0" t="n">
        <v>0.2101</v>
      </c>
      <c r="FA214" s="0" t="n">
        <v>2.199</v>
      </c>
      <c r="FB214" s="0" t="n">
        <v>2.532</v>
      </c>
      <c r="FC214" s="0" t="n">
        <v>38</v>
      </c>
      <c r="FD214" s="0" t="n">
        <v>530</v>
      </c>
      <c r="FE214" s="0" t="n">
        <v>0.0716981132075472</v>
      </c>
      <c r="FF214" s="0" t="n">
        <v>0.0727</v>
      </c>
      <c r="FG214" s="0" t="n">
        <v>0.2422</v>
      </c>
      <c r="FH214" s="0" t="n">
        <v>2.29</v>
      </c>
      <c r="FI214" s="0" t="n">
        <v>942</v>
      </c>
      <c r="FJ214" s="0" t="n">
        <v>0.549893842887473</v>
      </c>
      <c r="FK214" s="0" t="n">
        <v>17</v>
      </c>
      <c r="FL214" s="0" t="n">
        <v>55.41</v>
      </c>
      <c r="FM214" s="0" t="n">
        <v>0.5279</v>
      </c>
      <c r="FN214" s="0" t="n">
        <v>0.4721</v>
      </c>
      <c r="FO214" s="0" t="n">
        <v>-0.0584</v>
      </c>
      <c r="FP214" s="0" t="n">
        <v>-0.026</v>
      </c>
      <c r="FQ214" s="0" t="n">
        <v>-0.0093</v>
      </c>
      <c r="FR214" s="0" t="n">
        <v>41</v>
      </c>
      <c r="FS214" s="0" t="n">
        <v>48</v>
      </c>
      <c r="FT214" s="0" t="n">
        <v>2.82</v>
      </c>
      <c r="FU214" s="0" t="n">
        <v>20.4</v>
      </c>
      <c r="FV214" s="0" t="n">
        <v>5041</v>
      </c>
      <c r="FW214" s="0" t="n">
        <v>3387</v>
      </c>
      <c r="FX214" s="0" t="n">
        <v>0.672</v>
      </c>
      <c r="FY214" s="0" t="n">
        <v>5</v>
      </c>
      <c r="FZ214" s="0" t="n">
        <v>4</v>
      </c>
      <c r="GA214" s="0" t="n">
        <v>-0.692098435941776</v>
      </c>
      <c r="GB214" s="0" t="n">
        <v>37.5</v>
      </c>
      <c r="GC214" s="0" t="n">
        <v>44.5</v>
      </c>
      <c r="GD214" s="0" t="n">
        <v>38.6</v>
      </c>
      <c r="GE214" s="0" t="n">
        <v>462</v>
      </c>
      <c r="GF214" s="0" t="n">
        <v>432</v>
      </c>
      <c r="GG214" s="0" t="n">
        <v>209</v>
      </c>
      <c r="GH214" s="0" t="n">
        <v>28</v>
      </c>
      <c r="GI214" s="0" t="n">
        <v>134</v>
      </c>
      <c r="GJ214" s="0" t="n">
        <v>32</v>
      </c>
      <c r="GK214" s="0" t="n">
        <v>0.452</v>
      </c>
      <c r="GL214" s="0" t="n">
        <v>0.065</v>
      </c>
      <c r="GM214" s="0" t="n">
        <v>0.239</v>
      </c>
      <c r="GN214" s="0" t="n">
        <v>3.182</v>
      </c>
      <c r="GO214" s="0" t="n">
        <v>2.976</v>
      </c>
      <c r="GP214" s="0" t="n">
        <v>2.771</v>
      </c>
      <c r="GQ214" s="0" t="n">
        <v>0.529</v>
      </c>
      <c r="GR214" s="0" t="n">
        <v>4.118</v>
      </c>
      <c r="GS214" s="0" t="n">
        <v>79</v>
      </c>
      <c r="GT214" s="0" t="n">
        <v>0.685</v>
      </c>
      <c r="GU214" s="0" t="n">
        <v>0.244</v>
      </c>
      <c r="GY214" s="0" t="n">
        <v>2.843</v>
      </c>
      <c r="HC214" s="0" t="n">
        <v>0.051</v>
      </c>
      <c r="HD214" s="0" t="n">
        <v>-0.137</v>
      </c>
      <c r="HE214" s="0" t="n">
        <v>-0.383</v>
      </c>
      <c r="HG214" s="0" t="n">
        <v>243.04</v>
      </c>
      <c r="HH214" s="0" t="n">
        <v>22.81</v>
      </c>
      <c r="HI214" s="0" t="n">
        <v>173</v>
      </c>
      <c r="HJ214" s="0" t="n">
        <v>309</v>
      </c>
      <c r="HK214" s="0" t="s">
        <v>909</v>
      </c>
      <c r="HL214" s="0" t="n">
        <v>0</v>
      </c>
      <c r="HM214" s="0" t="n">
        <v>58</v>
      </c>
      <c r="HN214" s="0" t="n">
        <v>69</v>
      </c>
      <c r="HO214" s="0" t="n">
        <v>-0.063</v>
      </c>
      <c r="HP214" s="0" t="n">
        <v>64</v>
      </c>
      <c r="HQ214" s="0" t="n">
        <v>-0.326</v>
      </c>
      <c r="HR214" s="0" t="s">
        <v>102</v>
      </c>
    </row>
    <row r="215" customFormat="false" ht="15" hidden="false" customHeight="false" outlineLevel="0" collapsed="false">
      <c r="A215" s="0" t="s">
        <v>896</v>
      </c>
      <c r="B215" s="0" t="s">
        <v>897</v>
      </c>
      <c r="C215" s="0" t="s">
        <v>898</v>
      </c>
      <c r="D215" s="0" t="s">
        <v>570</v>
      </c>
      <c r="E215" s="0" t="n">
        <v>27224</v>
      </c>
      <c r="F215" s="0" t="s">
        <v>99</v>
      </c>
      <c r="G215" s="0" t="n">
        <v>244</v>
      </c>
      <c r="H215" s="0" t="n">
        <v>26.3</v>
      </c>
      <c r="I215" s="0" t="n">
        <v>178</v>
      </c>
      <c r="J215" s="0" t="n">
        <v>331</v>
      </c>
      <c r="L215" s="0" t="s">
        <v>2107</v>
      </c>
      <c r="O215" s="0" t="n">
        <v>7.1</v>
      </c>
      <c r="U215" s="0" t="n">
        <v>13</v>
      </c>
      <c r="V215" s="0" t="s">
        <v>570</v>
      </c>
      <c r="W215" s="0" t="s">
        <v>901</v>
      </c>
      <c r="X215" s="0" t="s">
        <v>985</v>
      </c>
      <c r="Y215" s="0" t="s">
        <v>2108</v>
      </c>
      <c r="Z215" s="0" t="n">
        <v>27224</v>
      </c>
      <c r="AA215" s="0" t="s">
        <v>2109</v>
      </c>
      <c r="AB215" s="0" t="s">
        <v>904</v>
      </c>
      <c r="AC215" s="0" t="s">
        <v>142</v>
      </c>
      <c r="AD215" s="0" t="s">
        <v>142</v>
      </c>
      <c r="AE215" s="0" t="s">
        <v>142</v>
      </c>
      <c r="AF215" s="0" t="s">
        <v>142</v>
      </c>
      <c r="AG215" s="0" t="s">
        <v>142</v>
      </c>
      <c r="AH215" s="0" t="s">
        <v>905</v>
      </c>
      <c r="AI215" s="0" t="n">
        <v>4</v>
      </c>
      <c r="AJ215" s="0" t="s">
        <v>99</v>
      </c>
      <c r="AK215" s="0" t="n">
        <v>214</v>
      </c>
      <c r="AL215" s="0" t="n">
        <v>87</v>
      </c>
      <c r="AM215" s="0" t="s">
        <v>571</v>
      </c>
      <c r="AN215" s="0" t="n">
        <v>0</v>
      </c>
      <c r="AO215" s="0" t="n">
        <v>0</v>
      </c>
      <c r="AP215" s="0" t="n">
        <v>0</v>
      </c>
      <c r="AQ215" s="0" t="n">
        <v>0</v>
      </c>
      <c r="AR215" s="0" t="n">
        <v>0</v>
      </c>
      <c r="AS215" s="0" t="n">
        <v>0</v>
      </c>
      <c r="AT215" s="0" t="n">
        <v>0</v>
      </c>
      <c r="AU215" s="0" t="n">
        <v>0</v>
      </c>
      <c r="AV215" s="0" t="n">
        <v>0</v>
      </c>
      <c r="AW215" s="0" t="n">
        <v>0</v>
      </c>
      <c r="AX215" s="0" t="n">
        <v>0</v>
      </c>
      <c r="AY215" s="0" t="n">
        <v>0</v>
      </c>
      <c r="AZ215" s="0" t="n">
        <v>0</v>
      </c>
      <c r="BA215" s="0" t="n">
        <v>0</v>
      </c>
      <c r="BB215" s="0" t="n">
        <v>0</v>
      </c>
      <c r="BC215" s="0" t="n">
        <v>20</v>
      </c>
      <c r="BD215" s="0" t="n">
        <v>29</v>
      </c>
      <c r="BE215" s="0" t="n">
        <v>224</v>
      </c>
      <c r="BF215" s="0" t="n">
        <v>0</v>
      </c>
      <c r="BG215" s="0" t="n">
        <v>240</v>
      </c>
      <c r="BH215" s="0" t="n">
        <v>68</v>
      </c>
      <c r="BI215" s="0" t="n">
        <v>11</v>
      </c>
      <c r="BJ215" s="0" t="n">
        <v>-2.03056111650892</v>
      </c>
      <c r="BK215" s="0" t="n">
        <v>0</v>
      </c>
      <c r="BL215" s="0" t="n">
        <v>0</v>
      </c>
      <c r="BM215" s="0" t="n">
        <v>22.4</v>
      </c>
      <c r="BN215" s="0" t="n">
        <v>42.4</v>
      </c>
      <c r="BO215" s="0" t="n">
        <v>14</v>
      </c>
      <c r="BP215" s="0" t="s">
        <v>142</v>
      </c>
      <c r="BQ215" s="0" t="n">
        <v>1</v>
      </c>
      <c r="BR215" s="0" t="n">
        <v>32.4</v>
      </c>
      <c r="BS215" s="0" t="n">
        <v>0.0587</v>
      </c>
      <c r="BT215" s="0" t="n">
        <v>0</v>
      </c>
      <c r="BU215" s="0" t="n">
        <v>0.075</v>
      </c>
      <c r="BV215" s="0" t="n">
        <v>0.0845</v>
      </c>
      <c r="BW215" s="0" t="n">
        <v>0</v>
      </c>
      <c r="BX215" s="0" t="n">
        <v>0.1083</v>
      </c>
      <c r="BY215" s="0" t="n">
        <v>0.2026</v>
      </c>
      <c r="BZ215" s="0" t="n">
        <v>13</v>
      </c>
      <c r="CA215" s="0" t="n">
        <v>0</v>
      </c>
      <c r="CB215" s="0" t="n">
        <v>5.82</v>
      </c>
      <c r="CC215" s="0" t="n">
        <v>3.3</v>
      </c>
      <c r="CD215" s="0" t="n">
        <v>3.17</v>
      </c>
      <c r="CE215" s="0" t="n">
        <v>0</v>
      </c>
      <c r="CF215" s="0" t="n">
        <v>5</v>
      </c>
      <c r="CG215" s="0" t="n">
        <v>13</v>
      </c>
      <c r="CH215" s="0" t="n">
        <v>0</v>
      </c>
      <c r="CI215" s="0" t="n">
        <v>0.385</v>
      </c>
      <c r="CJ215" s="0" t="n">
        <v>0.96</v>
      </c>
      <c r="CK215" s="0" t="n">
        <v>4</v>
      </c>
      <c r="CL215" s="0" t="n">
        <v>1</v>
      </c>
      <c r="CM215" s="0" t="n">
        <v>0</v>
      </c>
      <c r="CN215" s="0" t="n">
        <v>0</v>
      </c>
      <c r="CO215" s="0" t="n">
        <v>0.873555360443747</v>
      </c>
      <c r="CP215" s="0" t="n">
        <v>0</v>
      </c>
      <c r="CQ215" s="0" t="n">
        <v>0</v>
      </c>
      <c r="CR215" s="0" t="n">
        <v>0</v>
      </c>
      <c r="CS215" s="0" t="n">
        <v>0</v>
      </c>
      <c r="CT215" s="0" t="n">
        <v>0</v>
      </c>
      <c r="CU215" s="0" t="n">
        <v>4</v>
      </c>
      <c r="CV215" s="0" t="n">
        <v>1</v>
      </c>
      <c r="CW215" s="0" t="n">
        <v>0</v>
      </c>
      <c r="CX215" s="0" t="n">
        <v>0</v>
      </c>
      <c r="CY215" s="0" t="n">
        <v>0.87</v>
      </c>
      <c r="CZ215" s="0" t="n">
        <v>-0.87</v>
      </c>
      <c r="DM215" s="0" t="s">
        <v>2110</v>
      </c>
      <c r="DS215" s="0" t="n">
        <v>29</v>
      </c>
      <c r="DT215" s="0" t="n">
        <v>1</v>
      </c>
      <c r="DU215" s="0" t="n">
        <v>1</v>
      </c>
      <c r="DV215" s="0" t="n">
        <v>7.8</v>
      </c>
      <c r="DW215" s="0" t="n">
        <v>3.4</v>
      </c>
      <c r="DX215" s="0" t="n">
        <v>8.8</v>
      </c>
      <c r="DY215" s="0" t="n">
        <v>0.0345</v>
      </c>
      <c r="DZ215" s="0" t="n">
        <v>343</v>
      </c>
      <c r="EA215" s="0" t="n">
        <v>0.398</v>
      </c>
      <c r="EB215" s="0" t="n">
        <v>16</v>
      </c>
      <c r="EC215" s="0" t="s">
        <v>1841</v>
      </c>
      <c r="ED215" s="0" t="n">
        <v>2025</v>
      </c>
      <c r="EE215" s="0" t="n">
        <v>2</v>
      </c>
      <c r="EF215" s="0" t="n">
        <v>58</v>
      </c>
      <c r="EG215" s="0" t="n">
        <v>2025</v>
      </c>
      <c r="EH215" s="0" t="n">
        <v>2026</v>
      </c>
      <c r="EI215" s="0" t="n">
        <v>2</v>
      </c>
      <c r="EJ215" s="0" t="n">
        <v>73</v>
      </c>
      <c r="EK215" s="0" t="n">
        <v>214</v>
      </c>
      <c r="EL215" s="0" t="s">
        <v>2111</v>
      </c>
      <c r="EM215" s="0" t="n">
        <v>23.7</v>
      </c>
      <c r="EN215" s="15" t="b">
        <f aca="false">FALSE()</f>
        <v>0</v>
      </c>
      <c r="EO215" s="0" t="n">
        <v>307</v>
      </c>
      <c r="EP215" s="0" t="n">
        <v>2.4599348534202</v>
      </c>
      <c r="EQ215" s="0" t="n">
        <v>0.257328990228013</v>
      </c>
      <c r="ER215" s="0" t="n">
        <v>1.04234527687296</v>
      </c>
      <c r="ES215" s="0" t="n">
        <v>0.605863192182411</v>
      </c>
      <c r="ET215" s="0" t="n">
        <v>30</v>
      </c>
      <c r="EU215" s="0" t="n">
        <v>11</v>
      </c>
      <c r="EV215" s="0" t="n">
        <v>3.64820846905537</v>
      </c>
      <c r="EW215" s="0" t="n">
        <v>0.366666666666667</v>
      </c>
      <c r="EX215" s="0" t="n">
        <v>2.91882875417365</v>
      </c>
      <c r="EY215" s="0" t="n">
        <v>2.49</v>
      </c>
      <c r="EZ215" s="0" t="n">
        <v>0.2502</v>
      </c>
      <c r="FA215" s="0" t="n">
        <v>1.629</v>
      </c>
      <c r="FB215" s="0" t="n">
        <v>1.94</v>
      </c>
      <c r="FC215" s="0" t="n">
        <v>30</v>
      </c>
      <c r="FD215" s="0" t="n">
        <v>598</v>
      </c>
      <c r="FE215" s="0" t="n">
        <v>0.107023411371238</v>
      </c>
      <c r="FF215" s="0" t="n">
        <v>0.1019</v>
      </c>
      <c r="FG215" s="0" t="n">
        <v>0.2641</v>
      </c>
      <c r="FH215" s="0" t="n">
        <v>2.487</v>
      </c>
      <c r="FI215" s="0" t="n">
        <v>942</v>
      </c>
      <c r="FJ215" s="0" t="n">
        <v>0.613588110403397</v>
      </c>
      <c r="FK215" s="0" t="n">
        <v>17</v>
      </c>
      <c r="FL215" s="0" t="n">
        <v>55.41</v>
      </c>
      <c r="FM215" s="0" t="n">
        <v>0.5679</v>
      </c>
      <c r="FN215" s="0" t="n">
        <v>0.4321</v>
      </c>
      <c r="FO215" s="0" t="n">
        <v>-0.0175</v>
      </c>
      <c r="FP215" s="0" t="n">
        <v>-0.2605</v>
      </c>
      <c r="FQ215" s="0" t="n">
        <v>-0.187</v>
      </c>
      <c r="FR215" s="0" t="n">
        <v>38</v>
      </c>
      <c r="FS215" s="0" t="n">
        <v>38</v>
      </c>
      <c r="FT215" s="0" t="n">
        <v>2.24</v>
      </c>
      <c r="FU215" s="0" t="n">
        <v>14.2</v>
      </c>
      <c r="FV215" s="0" t="n">
        <v>4992</v>
      </c>
      <c r="FW215" s="0" t="n">
        <v>1916</v>
      </c>
      <c r="FX215" s="0" t="n">
        <v>0.384</v>
      </c>
      <c r="FY215" s="0" t="n">
        <v>5</v>
      </c>
      <c r="FZ215" s="0" t="n">
        <v>2</v>
      </c>
      <c r="GA215" s="0" t="n">
        <v>-2.33610006354308</v>
      </c>
      <c r="GB215" s="0" t="n">
        <v>7.8</v>
      </c>
      <c r="GC215" s="0" t="n">
        <v>37.5</v>
      </c>
      <c r="GD215" s="0" t="n">
        <v>15.2</v>
      </c>
      <c r="GE215" s="0" t="n">
        <v>494</v>
      </c>
      <c r="GF215" s="0" t="n">
        <v>369</v>
      </c>
      <c r="GG215" s="0" t="n">
        <v>55</v>
      </c>
      <c r="GH215" s="0" t="n">
        <v>58</v>
      </c>
      <c r="GI215" s="0" t="n">
        <v>106</v>
      </c>
      <c r="GJ215" s="0" t="n">
        <v>13</v>
      </c>
      <c r="GK215" s="0" t="n">
        <v>0.111</v>
      </c>
      <c r="GL215" s="0" t="n">
        <v>0.157</v>
      </c>
      <c r="GM215" s="0" t="n">
        <v>0.123</v>
      </c>
      <c r="GN215" s="0" t="n">
        <v>3.029</v>
      </c>
      <c r="GO215" s="0" t="n">
        <v>2.314</v>
      </c>
      <c r="GP215" s="0" t="n">
        <v>1.6</v>
      </c>
      <c r="GQ215" s="0" t="n">
        <v>2.071</v>
      </c>
      <c r="GR215" s="0" t="n">
        <v>0</v>
      </c>
      <c r="GS215" s="0" t="n">
        <v>29</v>
      </c>
      <c r="GT215" s="0" t="n">
        <v>1.462</v>
      </c>
      <c r="GU215" s="0" t="n">
        <v>0.124</v>
      </c>
      <c r="GV215" s="0" t="n">
        <v>7.724</v>
      </c>
      <c r="GW215" s="0" t="n">
        <v>11.2</v>
      </c>
      <c r="GX215" s="0" t="n">
        <v>0.69</v>
      </c>
      <c r="GZ215" s="0" t="n">
        <v>8.276</v>
      </c>
      <c r="HA215" s="0" t="n">
        <v>3.4</v>
      </c>
      <c r="HB215" s="0" t="n">
        <v>0.933</v>
      </c>
      <c r="HC215" s="0" t="n">
        <v>0</v>
      </c>
      <c r="HE215" s="0" t="n">
        <v>-0.07</v>
      </c>
      <c r="HG215" s="0" t="n">
        <v>244</v>
      </c>
      <c r="HH215" s="0" t="n">
        <v>26.3</v>
      </c>
      <c r="HI215" s="0" t="n">
        <v>178</v>
      </c>
      <c r="HJ215" s="0" t="n">
        <v>331</v>
      </c>
      <c r="HK215" s="0" t="s">
        <v>909</v>
      </c>
      <c r="HL215" s="0" t="n">
        <v>0</v>
      </c>
      <c r="HM215" s="0" t="n">
        <v>85</v>
      </c>
      <c r="HN215" s="0" t="n">
        <v>87</v>
      </c>
      <c r="HO215" s="0" t="n">
        <v>-0.609</v>
      </c>
      <c r="HP215" s="0" t="n">
        <v>86</v>
      </c>
      <c r="HQ215" s="0" t="n">
        <v>-0.653</v>
      </c>
      <c r="HR215" s="0" t="s">
        <v>121</v>
      </c>
    </row>
    <row r="216" customFormat="false" ht="15" hidden="false" customHeight="false" outlineLevel="0" collapsed="false">
      <c r="A216" s="0" t="s">
        <v>896</v>
      </c>
      <c r="B216" s="0" t="s">
        <v>897</v>
      </c>
      <c r="C216" s="0" t="s">
        <v>898</v>
      </c>
      <c r="D216" s="0" t="s">
        <v>572</v>
      </c>
      <c r="E216" s="0" t="n">
        <v>26019</v>
      </c>
      <c r="F216" s="0" t="s">
        <v>99</v>
      </c>
      <c r="G216" s="0" t="n">
        <v>244.59</v>
      </c>
      <c r="H216" s="0" t="n">
        <v>31.75</v>
      </c>
      <c r="I216" s="0" t="n">
        <v>140</v>
      </c>
      <c r="J216" s="0" t="n">
        <v>331</v>
      </c>
      <c r="L216" s="0" t="s">
        <v>2112</v>
      </c>
      <c r="O216" s="0" t="n">
        <v>7.5</v>
      </c>
      <c r="U216" s="0" t="n">
        <v>7</v>
      </c>
      <c r="V216" s="0" t="s">
        <v>572</v>
      </c>
      <c r="W216" s="0" t="s">
        <v>901</v>
      </c>
      <c r="X216" s="0" t="s">
        <v>147</v>
      </c>
      <c r="Y216" s="0" t="s">
        <v>2113</v>
      </c>
      <c r="Z216" s="0" t="n">
        <v>26019</v>
      </c>
      <c r="AA216" s="0" t="s">
        <v>2114</v>
      </c>
      <c r="AB216" s="0" t="s">
        <v>904</v>
      </c>
      <c r="AC216" s="0" t="s">
        <v>147</v>
      </c>
      <c r="AD216" s="0" t="s">
        <v>147</v>
      </c>
      <c r="AE216" s="0" t="s">
        <v>147</v>
      </c>
      <c r="AF216" s="0" t="s">
        <v>147</v>
      </c>
      <c r="AG216" s="0" t="s">
        <v>147</v>
      </c>
      <c r="AH216" s="0" t="s">
        <v>905</v>
      </c>
      <c r="AI216" s="0" t="n">
        <v>2</v>
      </c>
      <c r="AJ216" s="0" t="s">
        <v>270</v>
      </c>
      <c r="AK216" s="0" t="n">
        <v>215</v>
      </c>
      <c r="AL216" s="0" t="n">
        <v>88</v>
      </c>
      <c r="AM216" s="0" t="s">
        <v>573</v>
      </c>
      <c r="AN216" s="0" t="n">
        <v>0</v>
      </c>
      <c r="AO216" s="0" t="n">
        <v>0</v>
      </c>
      <c r="AP216" s="0" t="n">
        <v>0</v>
      </c>
      <c r="AQ216" s="0" t="n">
        <v>0</v>
      </c>
      <c r="AR216" s="0" t="n">
        <v>0</v>
      </c>
      <c r="AS216" s="0" t="n">
        <v>0</v>
      </c>
      <c r="AT216" s="0" t="n">
        <v>0</v>
      </c>
      <c r="AU216" s="0" t="n">
        <v>0</v>
      </c>
      <c r="AV216" s="0" t="n">
        <v>0</v>
      </c>
      <c r="AW216" s="0" t="n">
        <v>0</v>
      </c>
      <c r="AX216" s="0" t="n">
        <v>0</v>
      </c>
      <c r="AY216" s="0" t="n">
        <v>0</v>
      </c>
      <c r="AZ216" s="0" t="n">
        <v>0</v>
      </c>
      <c r="BA216" s="0" t="n">
        <v>0</v>
      </c>
      <c r="BB216" s="0" t="n">
        <v>0</v>
      </c>
      <c r="BC216" s="0" t="n">
        <v>38</v>
      </c>
      <c r="BD216" s="0" t="n">
        <v>59</v>
      </c>
      <c r="BE216" s="0" t="n">
        <v>404</v>
      </c>
      <c r="BF216" s="0" t="n">
        <v>4</v>
      </c>
      <c r="BG216" s="0" t="n">
        <v>659</v>
      </c>
      <c r="BH216" s="0" t="n">
        <v>88</v>
      </c>
      <c r="BI216" s="0" t="n">
        <v>26</v>
      </c>
      <c r="BJ216" s="0" t="n">
        <v>12.3911374161693</v>
      </c>
      <c r="BK216" s="0" t="n">
        <v>1</v>
      </c>
      <c r="BL216" s="0" t="n">
        <v>0</v>
      </c>
      <c r="BM216" s="0" t="n">
        <v>64.4</v>
      </c>
      <c r="BN216" s="0" t="n">
        <v>102.4</v>
      </c>
      <c r="BO216" s="0" t="n">
        <v>12</v>
      </c>
      <c r="BP216" s="0" t="s">
        <v>147</v>
      </c>
      <c r="BQ216" s="0" t="n">
        <v>1</v>
      </c>
      <c r="BR216" s="0" t="n">
        <v>83.4</v>
      </c>
      <c r="BS216" s="0" t="n">
        <v>0.1232</v>
      </c>
      <c r="BT216" s="0" t="n">
        <v>0</v>
      </c>
      <c r="BU216" s="0" t="n">
        <v>0.1887</v>
      </c>
      <c r="BV216" s="0" t="n">
        <v>0.1735</v>
      </c>
      <c r="BW216" s="0" t="n">
        <v>0</v>
      </c>
      <c r="BX216" s="0" t="n">
        <v>0.2758</v>
      </c>
      <c r="BY216" s="0" t="n">
        <v>0.4533</v>
      </c>
      <c r="BZ216" s="0" t="n">
        <v>12</v>
      </c>
      <c r="CA216" s="0" t="n">
        <v>4.78</v>
      </c>
      <c r="CB216" s="0" t="n">
        <v>11.46</v>
      </c>
      <c r="CC216" s="0" t="n">
        <v>6.75</v>
      </c>
      <c r="CD216" s="0" t="n">
        <v>6.05</v>
      </c>
      <c r="CE216" s="0" t="n">
        <v>1</v>
      </c>
      <c r="CF216" s="0" t="n">
        <v>0</v>
      </c>
      <c r="CG216" s="0" t="n">
        <v>12</v>
      </c>
      <c r="CH216" s="0" t="n">
        <v>0.083</v>
      </c>
      <c r="CI216" s="0" t="n">
        <v>0</v>
      </c>
      <c r="CJ216" s="0" t="n">
        <v>0.896</v>
      </c>
      <c r="CK216" s="0" t="n">
        <v>9</v>
      </c>
      <c r="CL216" s="0" t="n">
        <v>6</v>
      </c>
      <c r="CM216" s="0" t="n">
        <v>3</v>
      </c>
      <c r="CN216" s="0" t="n">
        <v>4</v>
      </c>
      <c r="CO216" s="0" t="n">
        <v>3.64476151020881</v>
      </c>
      <c r="CP216" s="0" t="n">
        <v>0</v>
      </c>
      <c r="CQ216" s="0" t="n">
        <v>0</v>
      </c>
      <c r="CR216" s="0" t="n">
        <v>0</v>
      </c>
      <c r="CS216" s="0" t="n">
        <v>0</v>
      </c>
      <c r="CT216" s="0" t="n">
        <v>0</v>
      </c>
      <c r="CU216" s="0" t="n">
        <v>9</v>
      </c>
      <c r="CV216" s="0" t="n">
        <v>6</v>
      </c>
      <c r="CW216" s="0" t="n">
        <v>3</v>
      </c>
      <c r="CX216" s="0" t="n">
        <v>4</v>
      </c>
      <c r="CY216" s="0" t="n">
        <v>3.64</v>
      </c>
      <c r="CZ216" s="0" t="n">
        <v>0.36</v>
      </c>
      <c r="DA216" s="0" t="n">
        <v>2.77588662494268</v>
      </c>
      <c r="DB216" s="0" t="n">
        <v>5.70762711864407</v>
      </c>
      <c r="DC216" s="0" t="n">
        <v>11.9625423728814</v>
      </c>
      <c r="DD216" s="0" t="n">
        <v>20.5788878262695</v>
      </c>
      <c r="DE216" s="0" t="n">
        <v>-0.39696735661699</v>
      </c>
      <c r="DF216" s="0" t="n">
        <v>64.4067796610169</v>
      </c>
      <c r="DM216" s="0" t="s">
        <v>2115</v>
      </c>
      <c r="DS216" s="0" t="n">
        <v>59</v>
      </c>
      <c r="DT216" s="0" t="n">
        <v>1</v>
      </c>
      <c r="DU216" s="0" t="n">
        <v>3</v>
      </c>
      <c r="DV216" s="0" t="n">
        <v>8.316</v>
      </c>
      <c r="DW216" s="0" t="n">
        <v>2.316</v>
      </c>
      <c r="DX216" s="0" t="n">
        <v>11.1</v>
      </c>
      <c r="DY216" s="0" t="n">
        <v>0.0508</v>
      </c>
      <c r="DZ216" s="0" t="n">
        <v>576</v>
      </c>
      <c r="EA216" s="0" t="n">
        <v>0.652</v>
      </c>
      <c r="EB216" s="0" t="n">
        <v>13</v>
      </c>
      <c r="EC216" s="0" t="s">
        <v>2116</v>
      </c>
      <c r="ED216" s="0" t="n">
        <v>2024</v>
      </c>
      <c r="EE216" s="0" t="n">
        <v>2</v>
      </c>
      <c r="EF216" s="0" t="n">
        <v>33</v>
      </c>
      <c r="EG216" s="0" t="n">
        <v>2024</v>
      </c>
      <c r="EH216" s="0" t="n">
        <v>2026</v>
      </c>
      <c r="EI216" s="0" t="n">
        <v>3</v>
      </c>
      <c r="EJ216" s="0" t="n">
        <v>75</v>
      </c>
      <c r="EK216" s="0" t="n">
        <v>213</v>
      </c>
      <c r="EL216" s="0" t="s">
        <v>2117</v>
      </c>
      <c r="EM216" s="0" t="n">
        <v>23.3</v>
      </c>
      <c r="EN216" s="15" t="b">
        <f aca="false">FALSE()</f>
        <v>0</v>
      </c>
      <c r="EO216" s="0" t="n">
        <v>419</v>
      </c>
      <c r="EP216" s="0" t="n">
        <v>3.36658711217184</v>
      </c>
      <c r="EQ216" s="0" t="n">
        <v>0.126491646778043</v>
      </c>
      <c r="ER216" s="0" t="n">
        <v>1.44630071599045</v>
      </c>
      <c r="ES216" s="0" t="n">
        <v>0.897374701670644</v>
      </c>
      <c r="ET216" s="0" t="n">
        <v>37</v>
      </c>
      <c r="EU216" s="0" t="n">
        <v>20</v>
      </c>
      <c r="EV216" s="0" t="n">
        <v>5.01193317422434</v>
      </c>
      <c r="EW216" s="0" t="n">
        <v>0.540540540540541</v>
      </c>
      <c r="EX216" s="0" t="n">
        <v>2.91817960590113</v>
      </c>
      <c r="EY216" s="0" t="n">
        <v>3.397</v>
      </c>
      <c r="EZ216" s="0" t="n">
        <v>0.1265</v>
      </c>
      <c r="FA216" s="0" t="n">
        <v>2.905</v>
      </c>
      <c r="FB216" s="0" t="n">
        <v>2.057</v>
      </c>
      <c r="FC216" s="0" t="n">
        <v>35</v>
      </c>
      <c r="FD216" s="0" t="n">
        <v>584</v>
      </c>
      <c r="FE216" s="0" t="n">
        <v>0.0684931506849315</v>
      </c>
      <c r="FF216" s="0" t="n">
        <v>0.0702</v>
      </c>
      <c r="FG216" s="0" t="n">
        <v>0.2</v>
      </c>
      <c r="FH216" s="0" t="n">
        <v>2.507</v>
      </c>
      <c r="FI216" s="0" t="n">
        <v>1065</v>
      </c>
      <c r="FJ216" s="0" t="n">
        <v>0.509859154929578</v>
      </c>
      <c r="FK216" s="0" t="n">
        <v>17</v>
      </c>
      <c r="FL216" s="0" t="n">
        <v>62.65</v>
      </c>
      <c r="FM216" s="0" t="n">
        <v>0.5028</v>
      </c>
      <c r="FN216" s="0" t="n">
        <v>0.4972</v>
      </c>
      <c r="FO216" s="0" t="n">
        <v>-0.0352</v>
      </c>
      <c r="FP216" s="0" t="n">
        <v>0.1102</v>
      </c>
      <c r="FQ216" s="0" t="n">
        <v>0.1599</v>
      </c>
      <c r="FR216" s="0" t="n">
        <v>40</v>
      </c>
      <c r="FS216" s="0" t="n">
        <v>68</v>
      </c>
      <c r="FT216" s="0" t="n">
        <v>4</v>
      </c>
      <c r="FU216" s="0" t="n">
        <v>28.3</v>
      </c>
      <c r="FV216" s="0" t="n">
        <v>5677</v>
      </c>
      <c r="FW216" s="0" t="n">
        <v>4330</v>
      </c>
      <c r="FX216" s="0" t="n">
        <v>0.763</v>
      </c>
      <c r="FY216" s="0" t="n">
        <v>5</v>
      </c>
      <c r="FZ216" s="0" t="n">
        <v>4</v>
      </c>
      <c r="GA216" s="0" t="n">
        <v>1.26194193528219</v>
      </c>
      <c r="GB216" s="0" t="n">
        <v>72.8</v>
      </c>
      <c r="GC216" s="0" t="n">
        <v>64.4</v>
      </c>
      <c r="GD216" s="0" t="n">
        <v>73.6</v>
      </c>
      <c r="GE216" s="0" t="n">
        <v>479</v>
      </c>
      <c r="GF216" s="0" t="n">
        <v>547</v>
      </c>
      <c r="GG216" s="0" t="n">
        <v>19</v>
      </c>
      <c r="GH216" s="0" t="n">
        <v>17</v>
      </c>
      <c r="GI216" s="0" t="n">
        <v>180</v>
      </c>
      <c r="GJ216" s="0" t="n">
        <v>2</v>
      </c>
      <c r="GK216" s="0" t="n">
        <v>0.04</v>
      </c>
      <c r="GL216" s="0" t="n">
        <v>0.031</v>
      </c>
      <c r="GM216" s="0" t="n">
        <v>0.011</v>
      </c>
      <c r="GN216" s="0" t="n">
        <v>8.533</v>
      </c>
      <c r="GO216" s="0" t="n">
        <v>6.95</v>
      </c>
      <c r="GP216" s="0" t="n">
        <v>5.367</v>
      </c>
      <c r="GQ216" s="0" t="n">
        <v>4.917</v>
      </c>
      <c r="GR216" s="0" t="n">
        <v>0</v>
      </c>
      <c r="GS216" s="0" t="n">
        <v>59</v>
      </c>
      <c r="GT216" s="0" t="n">
        <v>1.736</v>
      </c>
      <c r="GU216" s="0" t="n">
        <v>0.178</v>
      </c>
      <c r="GV216" s="0" t="n">
        <v>6.847</v>
      </c>
      <c r="GW216" s="0" t="n">
        <v>10.632</v>
      </c>
      <c r="GX216" s="0" t="n">
        <v>0.644</v>
      </c>
      <c r="GZ216" s="0" t="n">
        <v>11.169</v>
      </c>
      <c r="HA216" s="0" t="n">
        <v>2.316</v>
      </c>
      <c r="HB216" s="0" t="n">
        <v>0.613</v>
      </c>
      <c r="HC216" s="0" t="n">
        <v>0.068</v>
      </c>
      <c r="HE216" s="0" t="n">
        <v>0.21</v>
      </c>
      <c r="HG216" s="0" t="n">
        <v>244.59</v>
      </c>
      <c r="HH216" s="0" t="n">
        <v>31.75</v>
      </c>
      <c r="HI216" s="0" t="n">
        <v>140</v>
      </c>
      <c r="HJ216" s="0" t="n">
        <v>331</v>
      </c>
      <c r="HK216" s="0" t="s">
        <v>909</v>
      </c>
      <c r="HL216" s="0" t="n">
        <v>0</v>
      </c>
      <c r="HM216" s="0" t="n">
        <v>58</v>
      </c>
      <c r="HN216" s="0" t="n">
        <v>88</v>
      </c>
      <c r="HO216" s="0" t="n">
        <v>0.61</v>
      </c>
      <c r="HP216" s="0" t="n">
        <v>56</v>
      </c>
      <c r="HQ216" s="0" t="n">
        <v>0.697</v>
      </c>
      <c r="HR216" s="0" t="s">
        <v>232</v>
      </c>
    </row>
    <row r="217" customFormat="false" ht="15" hidden="false" customHeight="false" outlineLevel="0" collapsed="false">
      <c r="A217" s="0" t="s">
        <v>896</v>
      </c>
      <c r="B217" s="0" t="s">
        <v>897</v>
      </c>
      <c r="C217" s="0" t="s">
        <v>898</v>
      </c>
      <c r="D217" s="0" t="s">
        <v>574</v>
      </c>
      <c r="E217" s="0" t="n">
        <v>19252</v>
      </c>
      <c r="F217" s="0" t="s">
        <v>99</v>
      </c>
      <c r="G217" s="0" t="n">
        <v>245.86</v>
      </c>
      <c r="H217" s="0" t="n">
        <v>54.98</v>
      </c>
      <c r="I217" s="0" t="n">
        <v>128</v>
      </c>
      <c r="J217" s="0" t="n">
        <v>348</v>
      </c>
      <c r="L217" s="0" t="s">
        <v>2118</v>
      </c>
      <c r="O217" s="0" t="n">
        <v>13.9</v>
      </c>
      <c r="U217" s="0" t="n">
        <v>8</v>
      </c>
      <c r="V217" s="0" t="s">
        <v>574</v>
      </c>
      <c r="W217" s="0" t="s">
        <v>901</v>
      </c>
      <c r="X217" s="0" t="s">
        <v>948</v>
      </c>
      <c r="Y217" s="0" t="s">
        <v>2119</v>
      </c>
      <c r="Z217" s="0" t="n">
        <v>19252</v>
      </c>
      <c r="AA217" s="0" t="s">
        <v>2120</v>
      </c>
      <c r="AB217" s="0" t="s">
        <v>904</v>
      </c>
      <c r="AD217" s="0" t="s">
        <v>124</v>
      </c>
      <c r="AE217" s="0" t="s">
        <v>124</v>
      </c>
      <c r="AF217" s="0" t="s">
        <v>124</v>
      </c>
      <c r="AG217" s="0" t="s">
        <v>124</v>
      </c>
      <c r="AH217" s="0" t="s">
        <v>1541</v>
      </c>
      <c r="AI217" s="0" t="n">
        <v>13</v>
      </c>
      <c r="AJ217" s="0" t="s">
        <v>99</v>
      </c>
      <c r="AK217" s="0" t="n">
        <v>216</v>
      </c>
      <c r="AL217" s="0" t="n">
        <v>89</v>
      </c>
      <c r="AM217" s="0" t="s">
        <v>575</v>
      </c>
      <c r="EC217" s="0" t="s">
        <v>2121</v>
      </c>
      <c r="ED217" s="0" t="n">
        <v>2020</v>
      </c>
      <c r="EE217" s="0" t="n">
        <v>1</v>
      </c>
      <c r="EF217" s="0" t="n">
        <v>25</v>
      </c>
      <c r="EG217" s="0" t="n">
        <v>2020</v>
      </c>
      <c r="EH217" s="0" t="n">
        <v>2026</v>
      </c>
      <c r="EI217" s="0" t="n">
        <v>6</v>
      </c>
      <c r="EJ217" s="0" t="n">
        <v>72</v>
      </c>
      <c r="EK217" s="0" t="n">
        <v>200</v>
      </c>
      <c r="EL217" s="0" t="s">
        <v>2122</v>
      </c>
      <c r="EM217" s="0" t="n">
        <v>28.4</v>
      </c>
      <c r="EN217" s="15" t="b">
        <f aca="false">FALSE()</f>
        <v>0</v>
      </c>
      <c r="EO217" s="0" t="n">
        <v>405</v>
      </c>
      <c r="EP217" s="0" t="n">
        <v>2.91456790123457</v>
      </c>
      <c r="EQ217" s="0" t="n">
        <v>0.180246913580247</v>
      </c>
      <c r="ER217" s="0" t="n">
        <v>1.17530864197531</v>
      </c>
      <c r="ES217" s="0" t="n">
        <v>0.402469135802469</v>
      </c>
      <c r="ET217" s="0" t="n">
        <v>29</v>
      </c>
      <c r="EU217" s="0" t="n">
        <v>19</v>
      </c>
      <c r="EV217" s="0" t="n">
        <v>3.94814814814815</v>
      </c>
      <c r="EW217" s="0" t="n">
        <v>0.655172413793103</v>
      </c>
      <c r="EX217" s="0" t="n">
        <v>2.9571088201075</v>
      </c>
      <c r="EY217" s="0" t="n">
        <v>2.906</v>
      </c>
      <c r="EZ217" s="0" t="n">
        <v>0.1848</v>
      </c>
      <c r="FA217" s="0" t="n">
        <v>2.349</v>
      </c>
      <c r="FB217" s="0" t="n">
        <v>1.428</v>
      </c>
      <c r="FC217" s="0" t="n">
        <v>23</v>
      </c>
      <c r="FD217" s="0" t="n">
        <v>624</v>
      </c>
      <c r="FE217" s="0" t="n">
        <v>0.0432692307692308</v>
      </c>
      <c r="FF217" s="0" t="n">
        <v>0.0428</v>
      </c>
      <c r="FG217" s="0" t="n">
        <v>0.2125</v>
      </c>
      <c r="FH217" s="0" t="n">
        <v>2.547</v>
      </c>
      <c r="FI217" s="0" t="n">
        <v>1065</v>
      </c>
      <c r="FJ217" s="0" t="n">
        <v>0.566197183098592</v>
      </c>
      <c r="FK217" s="0" t="n">
        <v>17</v>
      </c>
      <c r="FL217" s="0" t="n">
        <v>62.65</v>
      </c>
      <c r="FM217" s="0" t="n">
        <v>0.5521</v>
      </c>
      <c r="FN217" s="0" t="n">
        <v>0.4479</v>
      </c>
      <c r="FO217" s="0" t="n">
        <v>-0.0088</v>
      </c>
      <c r="FP217" s="0" t="n">
        <v>-0.0044</v>
      </c>
      <c r="FQ217" s="0" t="n">
        <v>0.1587</v>
      </c>
      <c r="FR217" s="0" t="n">
        <v>38</v>
      </c>
      <c r="FS217" s="0" t="n">
        <v>66</v>
      </c>
      <c r="FT217" s="0" t="n">
        <v>3.88</v>
      </c>
      <c r="FU217" s="0" t="n">
        <v>25.7</v>
      </c>
      <c r="FV217" s="0" t="n">
        <v>5615</v>
      </c>
      <c r="FW217" s="0" t="n">
        <v>4784</v>
      </c>
      <c r="FX217" s="0" t="n">
        <v>0.852</v>
      </c>
      <c r="FY217" s="0" t="n">
        <v>5</v>
      </c>
      <c r="FZ217" s="0" t="n">
        <v>4</v>
      </c>
      <c r="GA217" s="0" t="n">
        <v>-0.196965652614142</v>
      </c>
      <c r="GB217" s="0" t="n">
        <v>46.4</v>
      </c>
      <c r="GC217" s="0" t="n">
        <v>74.5</v>
      </c>
      <c r="GD217" s="0" t="n">
        <v>63.3</v>
      </c>
      <c r="GE217" s="0" t="n">
        <v>550</v>
      </c>
      <c r="GF217" s="0" t="n">
        <v>481</v>
      </c>
      <c r="GG217" s="0" t="n">
        <v>170</v>
      </c>
      <c r="GH217" s="0" t="n">
        <v>94</v>
      </c>
      <c r="GI217" s="0" t="n">
        <v>185</v>
      </c>
      <c r="GJ217" s="0" t="n">
        <v>38</v>
      </c>
      <c r="GK217" s="0" t="n">
        <v>0.309</v>
      </c>
      <c r="GL217" s="0" t="n">
        <v>0.195</v>
      </c>
      <c r="GM217" s="0" t="n">
        <v>0.205</v>
      </c>
      <c r="GS217" s="0" t="n">
        <v>0</v>
      </c>
      <c r="HF217" s="0" t="s">
        <v>354</v>
      </c>
      <c r="HG217" s="0" t="n">
        <v>245.86</v>
      </c>
      <c r="HH217" s="0" t="n">
        <v>54.98</v>
      </c>
      <c r="HI217" s="0" t="n">
        <v>128</v>
      </c>
      <c r="HJ217" s="0" t="n">
        <v>348</v>
      </c>
      <c r="HK217" s="0" t="s">
        <v>909</v>
      </c>
      <c r="HL217" s="0" t="n">
        <v>0</v>
      </c>
      <c r="HN217" s="0" t="n">
        <v>89</v>
      </c>
    </row>
    <row r="218" customFormat="false" ht="15" hidden="false" customHeight="false" outlineLevel="0" collapsed="false">
      <c r="A218" s="0" t="s">
        <v>896</v>
      </c>
      <c r="B218" s="0" t="s">
        <v>897</v>
      </c>
      <c r="C218" s="0" t="s">
        <v>898</v>
      </c>
      <c r="D218" s="0" t="s">
        <v>576</v>
      </c>
      <c r="E218" s="0" t="n">
        <v>25977</v>
      </c>
      <c r="F218" s="0" t="s">
        <v>104</v>
      </c>
      <c r="G218" s="0" t="n">
        <v>247.78</v>
      </c>
      <c r="H218" s="0" t="n">
        <v>30.4</v>
      </c>
      <c r="I218" s="0" t="n">
        <v>171</v>
      </c>
      <c r="J218" s="0" t="n">
        <v>317</v>
      </c>
      <c r="L218" s="0" t="s">
        <v>2123</v>
      </c>
      <c r="O218" s="0" t="n">
        <v>2.7</v>
      </c>
      <c r="U218" s="0" t="n">
        <v>13</v>
      </c>
      <c r="V218" s="0" t="s">
        <v>576</v>
      </c>
      <c r="W218" s="0" t="s">
        <v>901</v>
      </c>
      <c r="X218" s="0" t="s">
        <v>186</v>
      </c>
      <c r="Y218" s="0" t="s">
        <v>2124</v>
      </c>
      <c r="Z218" s="0" t="n">
        <v>25977</v>
      </c>
      <c r="AA218" s="0" t="s">
        <v>2125</v>
      </c>
      <c r="AB218" s="0" t="s">
        <v>904</v>
      </c>
      <c r="AC218" s="0" t="s">
        <v>186</v>
      </c>
      <c r="AD218" s="0" t="s">
        <v>186</v>
      </c>
      <c r="AE218" s="0" t="s">
        <v>186</v>
      </c>
      <c r="AF218" s="0" t="s">
        <v>186</v>
      </c>
      <c r="AG218" s="0" t="s">
        <v>186</v>
      </c>
      <c r="AH218" s="0" t="s">
        <v>905</v>
      </c>
      <c r="AI218" s="0" t="n">
        <v>3</v>
      </c>
      <c r="AJ218" s="0" t="s">
        <v>104</v>
      </c>
      <c r="AK218" s="0" t="n">
        <v>217</v>
      </c>
      <c r="AL218" s="0" t="n">
        <v>70</v>
      </c>
      <c r="AM218" s="0" t="s">
        <v>577</v>
      </c>
      <c r="AN218" s="0" t="n">
        <v>0</v>
      </c>
      <c r="AO218" s="0" t="n">
        <v>0</v>
      </c>
      <c r="AP218" s="0" t="n">
        <v>0</v>
      </c>
      <c r="AQ218" s="0" t="n">
        <v>0</v>
      </c>
      <c r="AR218" s="0" t="n">
        <v>0</v>
      </c>
      <c r="AS218" s="0" t="n">
        <v>0</v>
      </c>
      <c r="AT218" s="0" t="n">
        <v>0</v>
      </c>
      <c r="AU218" s="0" t="n">
        <v>0</v>
      </c>
      <c r="AV218" s="0" t="n">
        <v>0</v>
      </c>
      <c r="AW218" s="0" t="n">
        <v>43</v>
      </c>
      <c r="AX218" s="0" t="n">
        <v>236</v>
      </c>
      <c r="AY218" s="0" t="n">
        <v>1</v>
      </c>
      <c r="AZ218" s="0" t="n">
        <v>7</v>
      </c>
      <c r="BA218" s="0" t="n">
        <v>-3.23455874067657</v>
      </c>
      <c r="BB218" s="0" t="n">
        <v>0</v>
      </c>
      <c r="BC218" s="0" t="n">
        <v>21</v>
      </c>
      <c r="BD218" s="0" t="n">
        <v>28</v>
      </c>
      <c r="BE218" s="0" t="n">
        <v>186</v>
      </c>
      <c r="BF218" s="0" t="n">
        <v>0</v>
      </c>
      <c r="BG218" s="0" t="n">
        <v>32</v>
      </c>
      <c r="BH218" s="0" t="n">
        <v>189</v>
      </c>
      <c r="BI218" s="0" t="n">
        <v>8</v>
      </c>
      <c r="BJ218" s="0" t="n">
        <v>4.61495825006047</v>
      </c>
      <c r="BK218" s="0" t="n">
        <v>0</v>
      </c>
      <c r="BL218" s="0" t="n">
        <v>0</v>
      </c>
      <c r="BM218" s="0" t="n">
        <v>50.2</v>
      </c>
      <c r="BN218" s="0" t="n">
        <v>71.2</v>
      </c>
      <c r="BO218" s="0" t="n">
        <v>16</v>
      </c>
      <c r="BP218" s="0" t="s">
        <v>186</v>
      </c>
      <c r="BQ218" s="0" t="n">
        <v>1</v>
      </c>
      <c r="BR218" s="0" t="n">
        <v>60.7</v>
      </c>
      <c r="BS218" s="0" t="n">
        <v>0.0593</v>
      </c>
      <c r="BT218" s="0" t="n">
        <v>0.0943</v>
      </c>
      <c r="BU218" s="0" t="n">
        <v>0.0099</v>
      </c>
      <c r="BV218" s="0" t="n">
        <v>0.0622</v>
      </c>
      <c r="BW218" s="0" t="n">
        <v>0.0993</v>
      </c>
      <c r="BX218" s="0" t="n">
        <v>0.0102</v>
      </c>
      <c r="BY218" s="0" t="n">
        <v>0.1004</v>
      </c>
      <c r="BZ218" s="0" t="n">
        <v>16</v>
      </c>
      <c r="CA218" s="0" t="n">
        <v>1.1</v>
      </c>
      <c r="CB218" s="0" t="n">
        <v>9.07</v>
      </c>
      <c r="CC218" s="0" t="n">
        <v>2.15</v>
      </c>
      <c r="CD218" s="0" t="n">
        <v>5.17</v>
      </c>
      <c r="CE218" s="0" t="n">
        <v>1</v>
      </c>
      <c r="CF218" s="0" t="n">
        <v>8</v>
      </c>
      <c r="CG218" s="0" t="n">
        <v>16</v>
      </c>
      <c r="CH218" s="0" t="n">
        <v>0.062</v>
      </c>
      <c r="CI218" s="0" t="n">
        <v>0.5</v>
      </c>
      <c r="CJ218" s="0" t="n">
        <v>2.407</v>
      </c>
      <c r="CK218" s="0" t="n">
        <v>1</v>
      </c>
      <c r="CL218" s="0" t="n">
        <v>0</v>
      </c>
      <c r="CM218" s="0" t="n">
        <v>0</v>
      </c>
      <c r="CN218" s="0" t="n">
        <v>0</v>
      </c>
      <c r="CO218" s="0" t="n">
        <v>0.534395487719503</v>
      </c>
      <c r="CP218" s="0" t="n">
        <v>9</v>
      </c>
      <c r="CQ218" s="0" t="n">
        <v>1</v>
      </c>
      <c r="CR218" s="0" t="n">
        <v>0</v>
      </c>
      <c r="CS218" s="0" t="n">
        <v>1</v>
      </c>
      <c r="CT218" s="0" t="n">
        <v>0.809092953524507</v>
      </c>
      <c r="CU218" s="0" t="n">
        <v>10</v>
      </c>
      <c r="CV218" s="0" t="n">
        <v>1</v>
      </c>
      <c r="CW218" s="0" t="n">
        <v>0</v>
      </c>
      <c r="CX218" s="0" t="n">
        <v>1</v>
      </c>
      <c r="CY218" s="0" t="n">
        <v>1.34</v>
      </c>
      <c r="CZ218" s="0" t="n">
        <v>-0.34</v>
      </c>
      <c r="DM218" s="0" t="s">
        <v>2126</v>
      </c>
      <c r="DN218" s="0" t="n">
        <v>43</v>
      </c>
      <c r="DO218" s="0" t="n">
        <v>2</v>
      </c>
      <c r="DP218" s="0" t="n">
        <v>3.023</v>
      </c>
      <c r="DQ218" s="0" t="n">
        <v>2.465</v>
      </c>
      <c r="DR218" s="0" t="n">
        <v>21.5</v>
      </c>
      <c r="DS218" s="0" t="n">
        <v>28</v>
      </c>
      <c r="DT218" s="0" t="n">
        <v>1</v>
      </c>
      <c r="DU218" s="0" t="n">
        <v>1</v>
      </c>
      <c r="DV218" s="0" t="n">
        <v>-0.143</v>
      </c>
      <c r="DW218" s="0" t="n">
        <v>9</v>
      </c>
      <c r="DX218" s="0" t="n">
        <v>1.1</v>
      </c>
      <c r="DY218" s="0" t="n">
        <v>0.0357</v>
      </c>
      <c r="DZ218" s="0" t="n">
        <v>285</v>
      </c>
      <c r="EA218" s="0" t="n">
        <v>0.28</v>
      </c>
      <c r="EB218" s="0" t="n">
        <v>16</v>
      </c>
      <c r="EC218" s="0" t="s">
        <v>2127</v>
      </c>
      <c r="ED218" s="0" t="n">
        <v>2024</v>
      </c>
      <c r="EE218" s="0" t="n">
        <v>5</v>
      </c>
      <c r="EF218" s="0" t="n">
        <v>173</v>
      </c>
      <c r="EG218" s="0" t="n">
        <v>2024</v>
      </c>
      <c r="EH218" s="0" t="n">
        <v>2026</v>
      </c>
      <c r="EI218" s="0" t="n">
        <v>3</v>
      </c>
      <c r="EJ218" s="0" t="n">
        <v>73</v>
      </c>
      <c r="EK218" s="0" t="n">
        <v>220</v>
      </c>
      <c r="EL218" s="0" t="s">
        <v>1311</v>
      </c>
      <c r="EM218" s="0" t="n">
        <v>24.5</v>
      </c>
      <c r="EN218" s="15" t="b">
        <f aca="false">FALSE()</f>
        <v>0</v>
      </c>
      <c r="EO218" s="0" t="n">
        <v>334</v>
      </c>
      <c r="EP218" s="0" t="n">
        <v>2.84431137724551</v>
      </c>
      <c r="EQ218" s="0" t="n">
        <v>0.182634730538922</v>
      </c>
      <c r="ER218" s="0" t="n">
        <v>1.19161676646707</v>
      </c>
      <c r="ES218" s="0" t="n">
        <v>0.940119760479042</v>
      </c>
      <c r="ET218" s="0" t="n">
        <v>23</v>
      </c>
      <c r="EU218" s="0" t="n">
        <v>17</v>
      </c>
      <c r="EV218" s="0" t="n">
        <v>4.44011976047904</v>
      </c>
      <c r="EW218" s="0" t="n">
        <v>0.739130434782609</v>
      </c>
      <c r="EX218" s="0" t="n">
        <v>2.90111469172123</v>
      </c>
      <c r="EY218" s="0" t="n">
        <v>2.892</v>
      </c>
      <c r="EZ218" s="0" t="n">
        <v>0.1813</v>
      </c>
      <c r="FA218" s="0" t="n">
        <v>2.899</v>
      </c>
      <c r="FB218" s="0" t="n">
        <v>1.697</v>
      </c>
      <c r="FC218" s="0" t="n">
        <v>18</v>
      </c>
      <c r="FD218" s="0" t="n">
        <v>608</v>
      </c>
      <c r="FE218" s="0" t="n">
        <v>0.0986842105263158</v>
      </c>
      <c r="FF218" s="0" t="n">
        <v>0.0989</v>
      </c>
      <c r="FG218" s="0" t="n">
        <v>0.3117</v>
      </c>
      <c r="FH218" s="0" t="n">
        <v>2.423</v>
      </c>
      <c r="FI218" s="0" t="n">
        <v>1009</v>
      </c>
      <c r="FJ218" s="0" t="n">
        <v>0.551040634291378</v>
      </c>
      <c r="FK218" s="0" t="n">
        <v>17</v>
      </c>
      <c r="FL218" s="0" t="n">
        <v>59.35</v>
      </c>
      <c r="FM218" s="0" t="n">
        <v>0.4319</v>
      </c>
      <c r="FN218" s="0" t="n">
        <v>0.5681</v>
      </c>
      <c r="FO218" s="0" t="n">
        <v>-0.0877</v>
      </c>
      <c r="FP218" s="0" t="n">
        <v>-0.061</v>
      </c>
      <c r="FQ218" s="0" t="n">
        <v>-0.1799</v>
      </c>
      <c r="FR218" s="0" t="n">
        <v>38</v>
      </c>
      <c r="FS218" s="0" t="n">
        <v>42</v>
      </c>
      <c r="FT218" s="0" t="n">
        <v>2.47</v>
      </c>
      <c r="FU218" s="0" t="n">
        <v>17.6</v>
      </c>
      <c r="FV218" s="0" t="n">
        <v>5302</v>
      </c>
      <c r="FW218" s="0" t="n">
        <v>4286</v>
      </c>
      <c r="FX218" s="0" t="n">
        <v>0.808</v>
      </c>
      <c r="FY218" s="0" t="n">
        <v>5</v>
      </c>
      <c r="FZ218" s="0" t="n">
        <v>3</v>
      </c>
      <c r="GA218" s="0" t="n">
        <v>0.350287370649638</v>
      </c>
      <c r="GB218" s="0" t="n">
        <v>56.3</v>
      </c>
      <c r="GC218" s="0" t="n">
        <v>25.8</v>
      </c>
      <c r="GD218" s="0" t="n">
        <v>38.6</v>
      </c>
      <c r="GE218" s="0" t="n">
        <v>472</v>
      </c>
      <c r="GF218" s="0" t="n">
        <v>456</v>
      </c>
      <c r="GG218" s="0" t="n">
        <v>76</v>
      </c>
      <c r="GH218" s="0" t="n">
        <v>117</v>
      </c>
      <c r="GI218" s="0" t="n">
        <v>116</v>
      </c>
      <c r="GJ218" s="0" t="n">
        <v>27</v>
      </c>
      <c r="GK218" s="0" t="n">
        <v>0.161</v>
      </c>
      <c r="GL218" s="0" t="n">
        <v>0.257</v>
      </c>
      <c r="GM218" s="0" t="n">
        <v>0.233</v>
      </c>
      <c r="GN218" s="0" t="n">
        <v>4.45</v>
      </c>
      <c r="GO218" s="0" t="n">
        <v>3.794</v>
      </c>
      <c r="GP218" s="0" t="n">
        <v>3.138</v>
      </c>
      <c r="GQ218" s="0" t="n">
        <v>1.75</v>
      </c>
      <c r="GR218" s="0" t="n">
        <v>2.688</v>
      </c>
      <c r="GS218" s="0" t="n">
        <v>71</v>
      </c>
      <c r="GT218" s="0" t="n">
        <v>1.003</v>
      </c>
      <c r="GU218" s="0" t="n">
        <v>0.25</v>
      </c>
      <c r="GV218" s="0" t="n">
        <v>6.643</v>
      </c>
      <c r="GW218" s="0" t="n">
        <v>8.857</v>
      </c>
      <c r="GX218" s="0" t="n">
        <v>0.75</v>
      </c>
      <c r="GY218" s="0" t="n">
        <v>5.488</v>
      </c>
      <c r="GZ218" s="0" t="n">
        <v>1.143</v>
      </c>
      <c r="HA218" s="0" t="n">
        <v>9</v>
      </c>
      <c r="HB218" s="0" t="n">
        <v>5.812</v>
      </c>
      <c r="HC218" s="0" t="n">
        <v>0.014</v>
      </c>
      <c r="HD218" s="0" t="n">
        <v>-0.075</v>
      </c>
      <c r="HE218" s="0" t="n">
        <v>0.165</v>
      </c>
      <c r="HG218" s="0" t="n">
        <v>247.78</v>
      </c>
      <c r="HH218" s="0" t="n">
        <v>30.4</v>
      </c>
      <c r="HI218" s="0" t="n">
        <v>171</v>
      </c>
      <c r="HJ218" s="0" t="n">
        <v>317</v>
      </c>
      <c r="HK218" s="0" t="s">
        <v>909</v>
      </c>
      <c r="HL218" s="0" t="n">
        <v>0</v>
      </c>
      <c r="HM218" s="0" t="n">
        <v>53</v>
      </c>
      <c r="HN218" s="0" t="n">
        <v>70</v>
      </c>
      <c r="HO218" s="0" t="n">
        <v>0.192</v>
      </c>
      <c r="HP218" s="0" t="n">
        <v>57</v>
      </c>
      <c r="HQ218" s="0" t="n">
        <v>0.016</v>
      </c>
      <c r="HR218" s="0" t="s">
        <v>102</v>
      </c>
    </row>
    <row r="219" customFormat="false" ht="15" hidden="false" customHeight="false" outlineLevel="0" collapsed="false">
      <c r="A219" s="0" t="s">
        <v>896</v>
      </c>
      <c r="B219" s="0" t="s">
        <v>897</v>
      </c>
      <c r="C219" s="0" t="s">
        <v>898</v>
      </c>
      <c r="D219" s="0" t="s">
        <v>578</v>
      </c>
      <c r="E219" s="0" t="n">
        <v>16399</v>
      </c>
      <c r="F219" s="0" t="s">
        <v>149</v>
      </c>
      <c r="G219" s="0" t="n">
        <v>248.9</v>
      </c>
      <c r="H219" s="0" t="n">
        <v>21.8</v>
      </c>
      <c r="I219" s="0" t="n">
        <v>173</v>
      </c>
      <c r="J219" s="0" t="n">
        <v>299</v>
      </c>
      <c r="L219" s="0" t="s">
        <v>2128</v>
      </c>
      <c r="O219" s="0" t="n">
        <v>15.5</v>
      </c>
      <c r="U219" s="0" t="n">
        <v>7</v>
      </c>
      <c r="V219" s="0" t="s">
        <v>578</v>
      </c>
      <c r="W219" s="0" t="s">
        <v>901</v>
      </c>
      <c r="X219" s="0" t="s">
        <v>170</v>
      </c>
      <c r="Y219" s="0" t="s">
        <v>2129</v>
      </c>
      <c r="Z219" s="0" t="n">
        <v>16399</v>
      </c>
      <c r="AA219" s="0" t="s">
        <v>2130</v>
      </c>
      <c r="AB219" s="0" t="s">
        <v>904</v>
      </c>
      <c r="AC219" s="0" t="s">
        <v>170</v>
      </c>
      <c r="AD219" s="0" t="s">
        <v>170</v>
      </c>
      <c r="AE219" s="0" t="s">
        <v>170</v>
      </c>
      <c r="AF219" s="0" t="s">
        <v>170</v>
      </c>
      <c r="AG219" s="0" t="s">
        <v>170</v>
      </c>
      <c r="AH219" s="0" t="s">
        <v>905</v>
      </c>
      <c r="AI219" s="0" t="n">
        <v>2</v>
      </c>
      <c r="AJ219" s="0" t="s">
        <v>149</v>
      </c>
      <c r="AK219" s="0" t="n">
        <v>218</v>
      </c>
      <c r="AL219" s="0" t="n">
        <v>30</v>
      </c>
      <c r="AM219" s="0" t="s">
        <v>579</v>
      </c>
      <c r="AN219" s="0" t="n">
        <v>0</v>
      </c>
      <c r="AO219" s="0" t="n">
        <v>0</v>
      </c>
      <c r="AP219" s="0" t="n">
        <v>0</v>
      </c>
      <c r="AQ219" s="0" t="n">
        <v>0</v>
      </c>
      <c r="AR219" s="0" t="n">
        <v>0</v>
      </c>
      <c r="AS219" s="0" t="n">
        <v>0</v>
      </c>
      <c r="AT219" s="0" t="n">
        <v>0</v>
      </c>
      <c r="AU219" s="0" t="n">
        <v>0</v>
      </c>
      <c r="AV219" s="0" t="n">
        <v>0</v>
      </c>
      <c r="AW219" s="0" t="n">
        <v>0</v>
      </c>
      <c r="AX219" s="0" t="n">
        <v>0</v>
      </c>
      <c r="AY219" s="0" t="n">
        <v>0</v>
      </c>
      <c r="AZ219" s="0" t="n">
        <v>0</v>
      </c>
      <c r="BA219" s="0" t="n">
        <v>0</v>
      </c>
      <c r="BB219" s="0" t="n">
        <v>0</v>
      </c>
      <c r="BC219" s="0" t="n">
        <v>33</v>
      </c>
      <c r="BD219" s="0" t="n">
        <v>48</v>
      </c>
      <c r="BE219" s="0" t="n">
        <v>293</v>
      </c>
      <c r="BF219" s="0" t="n">
        <v>4</v>
      </c>
      <c r="BG219" s="0" t="n">
        <v>253</v>
      </c>
      <c r="BH219" s="0" t="n">
        <v>160</v>
      </c>
      <c r="BI219" s="0" t="n">
        <v>11</v>
      </c>
      <c r="BJ219" s="0" t="n">
        <v>-3.61477234348778</v>
      </c>
      <c r="BK219" s="0" t="n">
        <v>0</v>
      </c>
      <c r="BL219" s="0" t="n">
        <v>0</v>
      </c>
      <c r="BM219" s="0" t="n">
        <v>53.3</v>
      </c>
      <c r="BN219" s="0" t="n">
        <v>86.3</v>
      </c>
      <c r="BO219" s="0" t="n">
        <v>11</v>
      </c>
      <c r="BP219" s="0" t="s">
        <v>258</v>
      </c>
      <c r="BQ219" s="0" t="n">
        <v>1</v>
      </c>
      <c r="BR219" s="0" t="n">
        <v>69.8</v>
      </c>
      <c r="BS219" s="0" t="n">
        <v>0.092</v>
      </c>
      <c r="BT219" s="0" t="n">
        <v>0</v>
      </c>
      <c r="BU219" s="0" t="n">
        <v>0.0705</v>
      </c>
      <c r="BV219" s="0" t="n">
        <v>0.125</v>
      </c>
      <c r="BW219" s="0" t="n">
        <v>0</v>
      </c>
      <c r="BX219" s="0" t="n">
        <v>0.0962</v>
      </c>
      <c r="BY219" s="0" t="n">
        <v>0.2548</v>
      </c>
      <c r="BZ219" s="0" t="n">
        <v>11</v>
      </c>
      <c r="CA219" s="0" t="n">
        <v>4.45</v>
      </c>
      <c r="CB219" s="0" t="n">
        <v>11.9</v>
      </c>
      <c r="CC219" s="0" t="n">
        <v>7.1</v>
      </c>
      <c r="CD219" s="0" t="n">
        <v>5.05</v>
      </c>
      <c r="CE219" s="0" t="n">
        <v>0</v>
      </c>
      <c r="CF219" s="0" t="n">
        <v>1</v>
      </c>
      <c r="CG219" s="0" t="n">
        <v>11</v>
      </c>
      <c r="CH219" s="0" t="n">
        <v>0</v>
      </c>
      <c r="CI219" s="0" t="n">
        <v>0.091</v>
      </c>
      <c r="CJ219" s="0" t="n">
        <v>0.711</v>
      </c>
      <c r="CK219" s="0" t="n">
        <v>9</v>
      </c>
      <c r="CL219" s="0" t="n">
        <v>3</v>
      </c>
      <c r="CM219" s="0" t="n">
        <v>1</v>
      </c>
      <c r="CN219" s="0" t="n">
        <v>4</v>
      </c>
      <c r="CO219" s="0" t="n">
        <v>2.59007387944081</v>
      </c>
      <c r="CP219" s="0" t="n">
        <v>0</v>
      </c>
      <c r="CQ219" s="0" t="n">
        <v>0</v>
      </c>
      <c r="CR219" s="0" t="n">
        <v>0</v>
      </c>
      <c r="CS219" s="0" t="n">
        <v>0</v>
      </c>
      <c r="CT219" s="0" t="n">
        <v>0</v>
      </c>
      <c r="CU219" s="0" t="n">
        <v>9</v>
      </c>
      <c r="CV219" s="0" t="n">
        <v>3</v>
      </c>
      <c r="CW219" s="0" t="n">
        <v>1</v>
      </c>
      <c r="CX219" s="0" t="n">
        <v>4</v>
      </c>
      <c r="CY219" s="0" t="n">
        <v>2.59</v>
      </c>
      <c r="CZ219" s="0" t="n">
        <v>1.41</v>
      </c>
      <c r="DA219" s="0" t="n">
        <v>2.66460427128804</v>
      </c>
      <c r="DB219" s="0" t="n">
        <v>5.68121212121212</v>
      </c>
      <c r="DC219" s="0" t="n">
        <v>5.04270833333333</v>
      </c>
      <c r="DD219" s="0" t="n">
        <v>6.97598681176796</v>
      </c>
      <c r="DE219" s="0" t="n">
        <v>0.79688818545724</v>
      </c>
      <c r="DF219" s="0" t="n">
        <v>68.75</v>
      </c>
      <c r="DM219" s="0" t="s">
        <v>2131</v>
      </c>
      <c r="DS219" s="0" t="n">
        <v>48</v>
      </c>
      <c r="DT219" s="0" t="n">
        <v>3</v>
      </c>
      <c r="DU219" s="0" t="n">
        <v>1</v>
      </c>
      <c r="DV219" s="0" t="n">
        <v>4.03</v>
      </c>
      <c r="DW219" s="0" t="n">
        <v>4.848</v>
      </c>
      <c r="DX219" s="0" t="n">
        <v>5.3</v>
      </c>
      <c r="DY219" s="0" t="n">
        <v>0.0208</v>
      </c>
      <c r="DZ219" s="0" t="n">
        <v>514</v>
      </c>
      <c r="EA219" s="0" t="n">
        <v>0.639</v>
      </c>
      <c r="EB219" s="0" t="n">
        <v>12</v>
      </c>
      <c r="EC219" s="0" t="s">
        <v>2132</v>
      </c>
      <c r="ED219" s="0" t="n">
        <v>2017</v>
      </c>
      <c r="EE219" s="0" t="n">
        <v>1</v>
      </c>
      <c r="EF219" s="0" t="n">
        <v>29</v>
      </c>
      <c r="EG219" s="0" t="n">
        <v>2017</v>
      </c>
      <c r="EH219" s="0" t="n">
        <v>2026</v>
      </c>
      <c r="EI219" s="0" t="n">
        <v>12</v>
      </c>
      <c r="EJ219" s="0" t="n">
        <v>76</v>
      </c>
      <c r="EK219" s="0" t="n">
        <v>246</v>
      </c>
      <c r="EL219" s="0" t="s">
        <v>2133</v>
      </c>
      <c r="EM219" s="0" t="n">
        <v>30.1</v>
      </c>
      <c r="EN219" s="15" t="b">
        <f aca="false">FALSE()</f>
        <v>0</v>
      </c>
      <c r="EO219" s="0" t="n">
        <v>359</v>
      </c>
      <c r="EP219" s="0" t="n">
        <v>2.71309192200557</v>
      </c>
      <c r="EQ219" s="0" t="n">
        <v>0.22841225626741</v>
      </c>
      <c r="ER219" s="0" t="n">
        <v>1.12534818941504</v>
      </c>
      <c r="ES219" s="0" t="n">
        <v>0.746518105849582</v>
      </c>
      <c r="ET219" s="0" t="n">
        <v>36</v>
      </c>
      <c r="EU219" s="0" t="n">
        <v>22</v>
      </c>
      <c r="EV219" s="0" t="n">
        <v>4.06685236768802</v>
      </c>
      <c r="EW219" s="0" t="n">
        <v>0.611111111111111</v>
      </c>
      <c r="EX219" s="0" t="n">
        <v>2.89104964249176</v>
      </c>
      <c r="EY219" s="0" t="n">
        <v>2.77</v>
      </c>
      <c r="EZ219" s="0" t="n">
        <v>0.2195</v>
      </c>
      <c r="FA219" s="0" t="n">
        <v>2.614</v>
      </c>
      <c r="FB219" s="0" t="n">
        <v>1.822</v>
      </c>
      <c r="FC219" s="0" t="n">
        <v>24</v>
      </c>
      <c r="FD219" s="0" t="n">
        <v>681</v>
      </c>
      <c r="FE219" s="0" t="n">
        <v>0.0881057268722467</v>
      </c>
      <c r="FF219" s="0" t="n">
        <v>0.0832</v>
      </c>
      <c r="FG219" s="0" t="n">
        <v>0.3427</v>
      </c>
      <c r="FH219" s="0" t="n">
        <v>2.37</v>
      </c>
      <c r="FI219" s="0" t="n">
        <v>1080</v>
      </c>
      <c r="FJ219" s="0" t="n">
        <v>0.578703703703704</v>
      </c>
      <c r="FK219" s="0" t="n">
        <v>17</v>
      </c>
      <c r="FL219" s="0" t="n">
        <v>63.53</v>
      </c>
      <c r="FM219" s="0" t="n">
        <v>0.579</v>
      </c>
      <c r="FN219" s="0" t="n">
        <v>0.421</v>
      </c>
      <c r="FO219" s="0" t="n">
        <v>0.0064</v>
      </c>
      <c r="FP219" s="0" t="n">
        <v>0.0187</v>
      </c>
      <c r="FQ219" s="0" t="n">
        <v>-0.0542</v>
      </c>
      <c r="FR219" s="0" t="n">
        <v>39</v>
      </c>
      <c r="FS219" s="0" t="n">
        <v>59</v>
      </c>
      <c r="FT219" s="0" t="n">
        <v>3.47</v>
      </c>
      <c r="FU219" s="0" t="n">
        <v>21.6</v>
      </c>
      <c r="FV219" s="0" t="n">
        <v>5784</v>
      </c>
      <c r="FW219" s="0" t="n">
        <v>1183</v>
      </c>
      <c r="FX219" s="0" t="n">
        <v>0.205</v>
      </c>
      <c r="FY219" s="0" t="n">
        <v>5</v>
      </c>
      <c r="FZ219" s="0" t="n">
        <v>1</v>
      </c>
      <c r="GA219" s="0" t="n">
        <v>-0.516900207039375</v>
      </c>
      <c r="GB219" s="0" t="n">
        <v>40.7</v>
      </c>
      <c r="GC219" s="0" t="n">
        <v>23</v>
      </c>
      <c r="GD219" s="0" t="n">
        <v>26.9</v>
      </c>
      <c r="GE219" s="0" t="n">
        <v>544</v>
      </c>
      <c r="GF219" s="0" t="n">
        <v>466</v>
      </c>
      <c r="GG219" s="0" t="n">
        <v>15</v>
      </c>
      <c r="GH219" s="0" t="n">
        <v>23</v>
      </c>
      <c r="GI219" s="0" t="n">
        <v>152</v>
      </c>
      <c r="GJ219" s="0" t="n">
        <v>2</v>
      </c>
      <c r="GK219" s="0" t="n">
        <v>0.028</v>
      </c>
      <c r="GL219" s="0" t="n">
        <v>0.049</v>
      </c>
      <c r="GM219" s="0" t="n">
        <v>0.013</v>
      </c>
      <c r="GN219" s="0" t="n">
        <v>7.845</v>
      </c>
      <c r="GO219" s="0" t="n">
        <v>6.345</v>
      </c>
      <c r="GP219" s="0" t="n">
        <v>4.845</v>
      </c>
      <c r="GQ219" s="0" t="n">
        <v>4.364</v>
      </c>
      <c r="GR219" s="0" t="n">
        <v>0</v>
      </c>
      <c r="GS219" s="0" t="n">
        <v>48</v>
      </c>
      <c r="GT219" s="0" t="n">
        <v>1.798</v>
      </c>
      <c r="GU219" s="0" t="n">
        <v>0.168</v>
      </c>
      <c r="GV219" s="0" t="n">
        <v>6.104</v>
      </c>
      <c r="GW219" s="0" t="n">
        <v>8.879</v>
      </c>
      <c r="GX219" s="0" t="n">
        <v>0.688</v>
      </c>
      <c r="GZ219" s="0" t="n">
        <v>5.271</v>
      </c>
      <c r="HA219" s="0" t="n">
        <v>4.848</v>
      </c>
      <c r="HB219" s="0" t="n">
        <v>1.158</v>
      </c>
      <c r="HC219" s="0" t="n">
        <v>0.083</v>
      </c>
      <c r="HE219" s="0" t="n">
        <v>-0.075</v>
      </c>
      <c r="HG219" s="0" t="n">
        <v>248.9</v>
      </c>
      <c r="HH219" s="0" t="n">
        <v>21.8</v>
      </c>
      <c r="HI219" s="0" t="n">
        <v>173</v>
      </c>
      <c r="HJ219" s="0" t="n">
        <v>299</v>
      </c>
      <c r="HK219" s="0" t="s">
        <v>909</v>
      </c>
      <c r="HL219" s="0" t="n">
        <v>0</v>
      </c>
      <c r="HM219" s="0" t="n">
        <v>28</v>
      </c>
      <c r="HN219" s="0" t="n">
        <v>30</v>
      </c>
      <c r="HO219" s="0" t="n">
        <v>-0.129</v>
      </c>
      <c r="HP219" s="0" t="n">
        <v>22</v>
      </c>
      <c r="HQ219" s="0" t="n">
        <v>0.133</v>
      </c>
      <c r="HR219" s="0" t="s">
        <v>102</v>
      </c>
    </row>
    <row r="220" customFormat="false" ht="15" hidden="false" customHeight="false" outlineLevel="0" collapsed="false">
      <c r="A220" s="0" t="s">
        <v>896</v>
      </c>
      <c r="B220" s="0" t="s">
        <v>897</v>
      </c>
      <c r="C220" s="0" t="s">
        <v>898</v>
      </c>
      <c r="D220" s="0" t="s">
        <v>580</v>
      </c>
      <c r="E220" s="0" t="n">
        <v>26038</v>
      </c>
      <c r="F220" s="0" t="s">
        <v>99</v>
      </c>
      <c r="G220" s="0" t="n">
        <v>249.16</v>
      </c>
      <c r="H220" s="0" t="n">
        <v>30.46</v>
      </c>
      <c r="I220" s="0" t="n">
        <v>170</v>
      </c>
      <c r="J220" s="0" t="n">
        <v>311</v>
      </c>
      <c r="L220" s="0" t="s">
        <v>2134</v>
      </c>
      <c r="O220" s="0" t="n">
        <v>13</v>
      </c>
      <c r="U220" s="0" t="n">
        <v>6</v>
      </c>
      <c r="V220" s="0" t="s">
        <v>580</v>
      </c>
      <c r="W220" s="0" t="s">
        <v>901</v>
      </c>
      <c r="X220" s="0" t="s">
        <v>161</v>
      </c>
      <c r="Y220" s="0" t="s">
        <v>2135</v>
      </c>
      <c r="Z220" s="0" t="n">
        <v>26038</v>
      </c>
      <c r="AA220" s="0" t="s">
        <v>2136</v>
      </c>
      <c r="AB220" s="0" t="s">
        <v>904</v>
      </c>
      <c r="AC220" s="0" t="s">
        <v>161</v>
      </c>
      <c r="AD220" s="0" t="s">
        <v>161</v>
      </c>
      <c r="AE220" s="0" t="s">
        <v>161</v>
      </c>
      <c r="AF220" s="0" t="s">
        <v>161</v>
      </c>
      <c r="AG220" s="0" t="s">
        <v>161</v>
      </c>
      <c r="AH220" s="0" t="s">
        <v>905</v>
      </c>
      <c r="AI220" s="0" t="n">
        <v>5</v>
      </c>
      <c r="AJ220" s="0" t="s">
        <v>99</v>
      </c>
      <c r="AK220" s="0" t="n">
        <v>219</v>
      </c>
      <c r="AL220" s="0" t="n">
        <v>90</v>
      </c>
      <c r="AM220" s="0" t="s">
        <v>581</v>
      </c>
      <c r="EC220" s="0" t="s">
        <v>2137</v>
      </c>
      <c r="EG220" s="0" t="n">
        <v>2026</v>
      </c>
      <c r="EH220" s="0" t="n">
        <v>2026</v>
      </c>
      <c r="EI220" s="0" t="n">
        <v>0</v>
      </c>
      <c r="EJ220" s="0" t="n">
        <v>74</v>
      </c>
      <c r="EK220" s="0" t="n">
        <v>220</v>
      </c>
      <c r="EL220" s="0" t="s">
        <v>1092</v>
      </c>
      <c r="EM220" s="0" t="n">
        <v>22.2</v>
      </c>
      <c r="EN220" s="15" t="b">
        <f aca="false">TRUE()</f>
        <v>1</v>
      </c>
      <c r="EO220" s="0" t="n">
        <v>380</v>
      </c>
      <c r="EP220" s="0" t="n">
        <v>2.83552631578947</v>
      </c>
      <c r="EQ220" s="0" t="n">
        <v>0.213157894736842</v>
      </c>
      <c r="ER220" s="0" t="n">
        <v>1.46578947368421</v>
      </c>
      <c r="ES220" s="0" t="n">
        <v>1.22631578947368</v>
      </c>
      <c r="ET220" s="0" t="n">
        <v>29</v>
      </c>
      <c r="EU220" s="0" t="n">
        <v>17</v>
      </c>
      <c r="EV220" s="0" t="n">
        <v>4.85789473684211</v>
      </c>
      <c r="EW220" s="0" t="n">
        <v>0.586206896551724</v>
      </c>
      <c r="EX220" s="0" t="n">
        <v>2.94501561107985</v>
      </c>
      <c r="EY220" s="0" t="n">
        <v>2.839</v>
      </c>
      <c r="EZ220" s="0" t="n">
        <v>0.2101</v>
      </c>
      <c r="FA220" s="0" t="n">
        <v>2.199</v>
      </c>
      <c r="FB220" s="0" t="n">
        <v>2.532</v>
      </c>
      <c r="FC220" s="0" t="n">
        <v>38</v>
      </c>
      <c r="FD220" s="0" t="n">
        <v>530</v>
      </c>
      <c r="FE220" s="0" t="n">
        <v>0.0716981132075472</v>
      </c>
      <c r="FF220" s="0" t="n">
        <v>0.0727</v>
      </c>
      <c r="FG220" s="0" t="n">
        <v>0.2422</v>
      </c>
      <c r="FH220" s="0" t="n">
        <v>2.29</v>
      </c>
      <c r="FI220" s="0" t="n">
        <v>942</v>
      </c>
      <c r="FJ220" s="0" t="n">
        <v>0.549893842887473</v>
      </c>
      <c r="FK220" s="0" t="n">
        <v>17</v>
      </c>
      <c r="FL220" s="0" t="n">
        <v>55.41</v>
      </c>
      <c r="FM220" s="0" t="n">
        <v>0.5279</v>
      </c>
      <c r="FN220" s="0" t="n">
        <v>0.4721</v>
      </c>
      <c r="FO220" s="0" t="n">
        <v>-0.0584</v>
      </c>
      <c r="FP220" s="0" t="n">
        <v>-0.026</v>
      </c>
      <c r="FQ220" s="0" t="n">
        <v>-0.0093</v>
      </c>
      <c r="FR220" s="0" t="n">
        <v>41</v>
      </c>
      <c r="FS220" s="0" t="n">
        <v>48</v>
      </c>
      <c r="FT220" s="0" t="n">
        <v>2.82</v>
      </c>
      <c r="FU220" s="0" t="n">
        <v>20.4</v>
      </c>
      <c r="FV220" s="0" t="n">
        <v>5041</v>
      </c>
      <c r="FW220" s="0" t="n">
        <v>3387</v>
      </c>
      <c r="FX220" s="0" t="n">
        <v>0.672</v>
      </c>
      <c r="FY220" s="0" t="n">
        <v>5</v>
      </c>
      <c r="FZ220" s="0" t="n">
        <v>4</v>
      </c>
      <c r="GA220" s="0" t="n">
        <v>-0.692098435941776</v>
      </c>
      <c r="GB220" s="0" t="n">
        <v>37.5</v>
      </c>
      <c r="GC220" s="0" t="n">
        <v>44.5</v>
      </c>
      <c r="GD220" s="0" t="n">
        <v>38.6</v>
      </c>
      <c r="GE220" s="0" t="n">
        <v>462</v>
      </c>
      <c r="GF220" s="0" t="n">
        <v>432</v>
      </c>
      <c r="GG220" s="0" t="n">
        <v>209</v>
      </c>
      <c r="GH220" s="0" t="n">
        <v>28</v>
      </c>
      <c r="GI220" s="0" t="n">
        <v>134</v>
      </c>
      <c r="GJ220" s="0" t="n">
        <v>32</v>
      </c>
      <c r="GK220" s="0" t="n">
        <v>0.452</v>
      </c>
      <c r="GL220" s="0" t="n">
        <v>0.065</v>
      </c>
      <c r="GM220" s="0" t="n">
        <v>0.239</v>
      </c>
      <c r="HF220" s="0" t="s">
        <v>206</v>
      </c>
      <c r="HG220" s="0" t="n">
        <v>249.16</v>
      </c>
      <c r="HH220" s="0" t="n">
        <v>30.46</v>
      </c>
      <c r="HI220" s="0" t="n">
        <v>170</v>
      </c>
      <c r="HJ220" s="0" t="n">
        <v>311</v>
      </c>
      <c r="HK220" s="0" t="s">
        <v>909</v>
      </c>
      <c r="HL220" s="0" t="n">
        <v>0</v>
      </c>
      <c r="HN220" s="0" t="n">
        <v>90</v>
      </c>
    </row>
    <row r="221" customFormat="false" ht="15" hidden="false" customHeight="false" outlineLevel="0" collapsed="false">
      <c r="A221" s="0" t="s">
        <v>896</v>
      </c>
      <c r="B221" s="0" t="s">
        <v>897</v>
      </c>
      <c r="C221" s="0" t="s">
        <v>898</v>
      </c>
      <c r="D221" s="0" t="s">
        <v>582</v>
      </c>
      <c r="E221" s="0" t="n">
        <v>28424</v>
      </c>
      <c r="F221" s="0" t="s">
        <v>99</v>
      </c>
      <c r="G221" s="0" t="n">
        <v>249.26</v>
      </c>
      <c r="H221" s="0" t="n">
        <v>61.96</v>
      </c>
      <c r="I221" s="0" t="n">
        <v>150</v>
      </c>
      <c r="J221" s="0" t="n">
        <v>439</v>
      </c>
      <c r="L221" s="0" t="s">
        <v>2138</v>
      </c>
      <c r="O221" s="0" t="n">
        <v>8</v>
      </c>
      <c r="U221" s="0" t="n">
        <v>5</v>
      </c>
      <c r="V221" s="0" t="s">
        <v>582</v>
      </c>
      <c r="W221" s="0" t="s">
        <v>901</v>
      </c>
      <c r="X221" s="0" t="s">
        <v>1034</v>
      </c>
      <c r="Y221" s="0" t="s">
        <v>2139</v>
      </c>
      <c r="Z221" s="0" t="n">
        <v>28424</v>
      </c>
      <c r="AA221" s="0" t="s">
        <v>2140</v>
      </c>
      <c r="AB221" s="0" t="s">
        <v>904</v>
      </c>
      <c r="AC221" s="0" t="s">
        <v>164</v>
      </c>
      <c r="AD221" s="0" t="s">
        <v>164</v>
      </c>
      <c r="AE221" s="0" t="s">
        <v>164</v>
      </c>
      <c r="AF221" s="0" t="s">
        <v>164</v>
      </c>
      <c r="AG221" s="0" t="s">
        <v>164</v>
      </c>
      <c r="AH221" s="0" t="s">
        <v>905</v>
      </c>
      <c r="AI221" s="0" t="n">
        <v>5</v>
      </c>
      <c r="AJ221" s="0" t="s">
        <v>99</v>
      </c>
      <c r="AK221" s="0" t="n">
        <v>220</v>
      </c>
      <c r="AL221" s="0" t="n">
        <v>91</v>
      </c>
      <c r="AM221" s="0" t="s">
        <v>583</v>
      </c>
      <c r="EC221" s="0" t="s">
        <v>2141</v>
      </c>
      <c r="EG221" s="0" t="n">
        <v>2026</v>
      </c>
      <c r="EH221" s="0" t="n">
        <v>2026</v>
      </c>
      <c r="EI221" s="0" t="n">
        <v>0</v>
      </c>
      <c r="EJ221" s="0" t="n">
        <v>71</v>
      </c>
      <c r="EK221" s="0" t="n">
        <v>180</v>
      </c>
      <c r="EL221" s="0" t="s">
        <v>2142</v>
      </c>
      <c r="EM221" s="0" t="n">
        <v>23.5</v>
      </c>
      <c r="EN221" s="15" t="b">
        <f aca="false">TRUE()</f>
        <v>1</v>
      </c>
      <c r="EO221" s="0" t="n">
        <v>336</v>
      </c>
      <c r="EP221" s="0" t="n">
        <v>3.01964285714286</v>
      </c>
      <c r="EQ221" s="0" t="n">
        <v>0.133928571428571</v>
      </c>
      <c r="ER221" s="0" t="n">
        <v>0.958333333333333</v>
      </c>
      <c r="ES221" s="0" t="n">
        <v>0.196428571428571</v>
      </c>
      <c r="ET221" s="0" t="n">
        <v>48</v>
      </c>
      <c r="EU221" s="0" t="n">
        <v>39</v>
      </c>
      <c r="EV221" s="0" t="n">
        <v>3.71130952380952</v>
      </c>
      <c r="EW221" s="0" t="n">
        <v>0.8125</v>
      </c>
      <c r="EX221" s="0" t="n">
        <v>2.90619800347793</v>
      </c>
      <c r="EY221" s="0" t="n">
        <v>3.062</v>
      </c>
      <c r="EZ221" s="0" t="n">
        <v>0.1258</v>
      </c>
      <c r="FA221" s="0" t="n">
        <v>2.623</v>
      </c>
      <c r="FB221" s="0" t="n">
        <v>1.591</v>
      </c>
      <c r="FC221" s="0" t="n">
        <v>14</v>
      </c>
      <c r="FD221" s="0" t="n">
        <v>686</v>
      </c>
      <c r="FE221" s="0" t="n">
        <v>0.0685131195335277</v>
      </c>
      <c r="FF221" s="0" t="n">
        <v>0.0659</v>
      </c>
      <c r="FG221" s="0" t="n">
        <v>0.2877</v>
      </c>
      <c r="FH221" s="0" t="n">
        <v>2.212</v>
      </c>
      <c r="FI221" s="0" t="n">
        <v>1048</v>
      </c>
      <c r="FJ221" s="0" t="n">
        <v>0.602099236641221</v>
      </c>
      <c r="FK221" s="0" t="n">
        <v>17</v>
      </c>
      <c r="FL221" s="0" t="n">
        <v>61.65</v>
      </c>
      <c r="FM221" s="0" t="n">
        <v>0.5721</v>
      </c>
      <c r="FN221" s="0" t="n">
        <v>0.4279</v>
      </c>
      <c r="FO221" s="0" t="n">
        <v>0.0395</v>
      </c>
      <c r="FP221" s="0" t="n">
        <v>0.0273</v>
      </c>
      <c r="FQ221" s="0" t="n">
        <v>0.0399</v>
      </c>
      <c r="FR221" s="0" t="n">
        <v>38</v>
      </c>
      <c r="FS221" s="0" t="n">
        <v>63</v>
      </c>
      <c r="FT221" s="0" t="n">
        <v>3.71</v>
      </c>
      <c r="FU221" s="0" t="n">
        <v>21.3</v>
      </c>
      <c r="FV221" s="0" t="n">
        <v>5605</v>
      </c>
      <c r="FW221" s="0" t="n">
        <v>4845</v>
      </c>
      <c r="FX221" s="0" t="n">
        <v>0.864</v>
      </c>
      <c r="FY221" s="0" t="n">
        <v>5</v>
      </c>
      <c r="FZ221" s="0" t="n">
        <v>5</v>
      </c>
      <c r="GA221" s="0" t="n">
        <v>0.894249870072499</v>
      </c>
      <c r="GB221" s="0" t="n">
        <v>66.2</v>
      </c>
      <c r="GC221" s="0" t="n">
        <v>34</v>
      </c>
      <c r="GD221" s="0" t="n">
        <v>50.1</v>
      </c>
      <c r="GE221" s="0" t="n">
        <v>549</v>
      </c>
      <c r="GF221" s="0" t="n">
        <v>430</v>
      </c>
      <c r="GG221" s="0" t="n">
        <v>147</v>
      </c>
      <c r="GH221" s="0" t="n">
        <v>129</v>
      </c>
      <c r="GI221" s="0" t="n">
        <v>166</v>
      </c>
      <c r="GJ221" s="0" t="n">
        <v>43</v>
      </c>
      <c r="GK221" s="0" t="n">
        <v>0.268</v>
      </c>
      <c r="GL221" s="0" t="n">
        <v>0.3</v>
      </c>
      <c r="GM221" s="0" t="n">
        <v>0.259</v>
      </c>
      <c r="HF221" s="0" t="s">
        <v>206</v>
      </c>
      <c r="HG221" s="0" t="n">
        <v>249.26</v>
      </c>
      <c r="HH221" s="0" t="n">
        <v>61.96</v>
      </c>
      <c r="HI221" s="0" t="n">
        <v>150</v>
      </c>
      <c r="HJ221" s="0" t="n">
        <v>439</v>
      </c>
      <c r="HK221" s="0" t="s">
        <v>909</v>
      </c>
      <c r="HL221" s="0" t="n">
        <v>0</v>
      </c>
      <c r="HN221" s="0" t="n">
        <v>91</v>
      </c>
    </row>
    <row r="222" customFormat="false" ht="15" hidden="false" customHeight="false" outlineLevel="0" collapsed="false">
      <c r="A222" s="0" t="s">
        <v>896</v>
      </c>
      <c r="B222" s="0" t="s">
        <v>897</v>
      </c>
      <c r="C222" s="0" t="s">
        <v>898</v>
      </c>
      <c r="D222" s="0" t="s">
        <v>584</v>
      </c>
      <c r="E222" s="0" t="n">
        <v>22915</v>
      </c>
      <c r="F222" s="0" t="s">
        <v>104</v>
      </c>
      <c r="G222" s="0" t="n">
        <v>251.2</v>
      </c>
      <c r="H222" s="0" t="n">
        <v>40.97</v>
      </c>
      <c r="I222" s="0" t="n">
        <v>160</v>
      </c>
      <c r="J222" s="0" t="n">
        <v>313</v>
      </c>
      <c r="L222" s="0" t="s">
        <v>2143</v>
      </c>
      <c r="O222" s="0" t="n">
        <v>5.3</v>
      </c>
      <c r="U222" s="0" t="n">
        <v>11</v>
      </c>
      <c r="V222" s="0" t="s">
        <v>584</v>
      </c>
      <c r="W222" s="0" t="s">
        <v>901</v>
      </c>
      <c r="X222" s="0" t="s">
        <v>115</v>
      </c>
      <c r="Y222" s="0" t="s">
        <v>2144</v>
      </c>
      <c r="Z222" s="0" t="n">
        <v>22915</v>
      </c>
      <c r="AA222" s="0" t="s">
        <v>2145</v>
      </c>
      <c r="AB222" s="0" t="s">
        <v>904</v>
      </c>
      <c r="AC222" s="0" t="s">
        <v>115</v>
      </c>
      <c r="AD222" s="0" t="s">
        <v>115</v>
      </c>
      <c r="AE222" s="0" t="s">
        <v>115</v>
      </c>
      <c r="AF222" s="0" t="s">
        <v>115</v>
      </c>
      <c r="AG222" s="0" t="s">
        <v>115</v>
      </c>
      <c r="AH222" s="0" t="s">
        <v>905</v>
      </c>
      <c r="AI222" s="0" t="n">
        <v>3</v>
      </c>
      <c r="AJ222" s="0" t="s">
        <v>281</v>
      </c>
      <c r="AK222" s="0" t="n">
        <v>221</v>
      </c>
      <c r="AL222" s="0" t="n">
        <v>71</v>
      </c>
      <c r="AM222" s="0" t="s">
        <v>585</v>
      </c>
      <c r="AN222" s="0" t="n">
        <v>0</v>
      </c>
      <c r="AO222" s="0" t="n">
        <v>0</v>
      </c>
      <c r="AP222" s="0" t="n">
        <v>0</v>
      </c>
      <c r="AQ222" s="0" t="n">
        <v>0</v>
      </c>
      <c r="AR222" s="0" t="n">
        <v>0</v>
      </c>
      <c r="AS222" s="0" t="n">
        <v>0</v>
      </c>
      <c r="AT222" s="0" t="n">
        <v>0</v>
      </c>
      <c r="AU222" s="0" t="n">
        <v>0</v>
      </c>
      <c r="AV222" s="0" t="n">
        <v>0</v>
      </c>
      <c r="AW222" s="0" t="n">
        <v>22</v>
      </c>
      <c r="AX222" s="0" t="n">
        <v>73</v>
      </c>
      <c r="AY222" s="0" t="n">
        <v>1</v>
      </c>
      <c r="AZ222" s="0" t="n">
        <v>5</v>
      </c>
      <c r="BA222" s="0" t="n">
        <v>-9.34992969580418</v>
      </c>
      <c r="BB222" s="0" t="n">
        <v>1</v>
      </c>
      <c r="BC222" s="0" t="n">
        <v>2</v>
      </c>
      <c r="BD222" s="0" t="n">
        <v>2</v>
      </c>
      <c r="BE222" s="0" t="n">
        <v>15</v>
      </c>
      <c r="BF222" s="0" t="n">
        <v>0</v>
      </c>
      <c r="BG222" s="0" t="n">
        <v>-1</v>
      </c>
      <c r="BH222" s="0" t="n">
        <v>16</v>
      </c>
      <c r="BI222" s="0" t="n">
        <v>1</v>
      </c>
      <c r="BJ222" s="0" t="n">
        <v>-0.140541897155345</v>
      </c>
      <c r="BK222" s="0" t="n">
        <v>0</v>
      </c>
      <c r="BL222" s="0" t="n">
        <v>1</v>
      </c>
      <c r="BM222" s="0" t="n">
        <v>18.8</v>
      </c>
      <c r="BN222" s="0" t="n">
        <v>20.8</v>
      </c>
      <c r="BO222" s="0" t="n">
        <v>10</v>
      </c>
      <c r="BP222" s="0" t="s">
        <v>115</v>
      </c>
      <c r="BQ222" s="0" t="n">
        <v>1</v>
      </c>
      <c r="BR222" s="0" t="n">
        <v>19.8</v>
      </c>
      <c r="BS222" s="0" t="n">
        <v>0.0044</v>
      </c>
      <c r="BT222" s="0" t="n">
        <v>0.0434</v>
      </c>
      <c r="BU222" s="0" t="n">
        <v>-0.0003</v>
      </c>
      <c r="BV222" s="0" t="n">
        <v>0.0204</v>
      </c>
      <c r="BW222" s="0" t="n">
        <v>0.1594</v>
      </c>
      <c r="BX222" s="0" t="n">
        <v>-0.0012</v>
      </c>
      <c r="BY222" s="0" t="n">
        <v>0.0298</v>
      </c>
      <c r="BZ222" s="0" t="n">
        <v>4</v>
      </c>
      <c r="CA222" s="0" t="n">
        <v>0.6</v>
      </c>
      <c r="CB222" s="0" t="n">
        <v>6.16</v>
      </c>
      <c r="CC222" s="0" t="n">
        <v>0.9</v>
      </c>
      <c r="CD222" s="0" t="n">
        <v>3.8</v>
      </c>
      <c r="CE222" s="0" t="n">
        <v>0</v>
      </c>
      <c r="CF222" s="0" t="n">
        <v>3</v>
      </c>
      <c r="CG222" s="0" t="n">
        <v>5</v>
      </c>
      <c r="CH222" s="0" t="n">
        <v>0</v>
      </c>
      <c r="CI222" s="0" t="n">
        <v>0.6</v>
      </c>
      <c r="CJ222" s="0" t="n">
        <v>4.224</v>
      </c>
      <c r="CK222" s="0" t="n">
        <v>0</v>
      </c>
      <c r="CL222" s="0" t="n">
        <v>0</v>
      </c>
      <c r="CM222" s="0" t="n">
        <v>0</v>
      </c>
      <c r="CN222" s="0" t="n">
        <v>0</v>
      </c>
      <c r="CO222" s="0" t="n">
        <v>0.00779683671196258</v>
      </c>
      <c r="CP222" s="0" t="n">
        <v>5</v>
      </c>
      <c r="CQ222" s="0" t="n">
        <v>1</v>
      </c>
      <c r="CR222" s="0" t="n">
        <v>0</v>
      </c>
      <c r="CS222" s="0" t="n">
        <v>1</v>
      </c>
      <c r="CT222" s="0" t="n">
        <v>0.435342180511845</v>
      </c>
      <c r="CU222" s="0" t="n">
        <v>5</v>
      </c>
      <c r="CV222" s="0" t="n">
        <v>1</v>
      </c>
      <c r="CW222" s="0" t="n">
        <v>0</v>
      </c>
      <c r="CX222" s="0" t="n">
        <v>1</v>
      </c>
      <c r="CY222" s="0" t="n">
        <v>0.44</v>
      </c>
      <c r="CZ222" s="0" t="n">
        <v>0.56</v>
      </c>
      <c r="DM222" s="0" t="s">
        <v>2146</v>
      </c>
      <c r="DN222" s="0" t="n">
        <v>22</v>
      </c>
      <c r="DO222" s="0" t="n">
        <v>3</v>
      </c>
      <c r="DP222" s="0" t="n">
        <v>1.636</v>
      </c>
      <c r="DQ222" s="0" t="n">
        <v>1.682</v>
      </c>
      <c r="DR222" s="0" t="n">
        <v>7.33</v>
      </c>
      <c r="DS222" s="0" t="n">
        <v>2</v>
      </c>
      <c r="DT222" s="0" t="n">
        <v>0</v>
      </c>
      <c r="DU222" s="0" t="n">
        <v>0</v>
      </c>
      <c r="DZ222" s="0" t="n">
        <v>36</v>
      </c>
      <c r="EA222" s="0" t="n">
        <v>0.055</v>
      </c>
      <c r="EB222" s="0" t="n">
        <v>11</v>
      </c>
      <c r="EC222" s="0" t="s">
        <v>2147</v>
      </c>
      <c r="EG222" s="0" t="n">
        <v>2024</v>
      </c>
      <c r="EH222" s="0" t="n">
        <v>2026</v>
      </c>
      <c r="EI222" s="0" t="n">
        <v>3</v>
      </c>
      <c r="EJ222" s="0" t="n">
        <v>70</v>
      </c>
      <c r="EK222" s="0" t="n">
        <v>210</v>
      </c>
      <c r="EL222" s="0" t="s">
        <v>990</v>
      </c>
      <c r="EM222" s="0" t="n">
        <v>26.7</v>
      </c>
      <c r="EN222" s="15" t="b">
        <f aca="false">FALSE()</f>
        <v>0</v>
      </c>
      <c r="EO222" s="0" t="n">
        <v>435</v>
      </c>
      <c r="EP222" s="0" t="n">
        <v>2.8048275862069</v>
      </c>
      <c r="EQ222" s="0" t="n">
        <v>0.204597701149425</v>
      </c>
      <c r="ER222" s="0" t="n">
        <v>1.20689655172414</v>
      </c>
      <c r="ES222" s="0" t="n">
        <v>0.809195402298851</v>
      </c>
      <c r="ET222" s="0" t="n">
        <v>31</v>
      </c>
      <c r="EU222" s="0" t="n">
        <v>19</v>
      </c>
      <c r="EV222" s="0" t="n">
        <v>4.26666666666667</v>
      </c>
      <c r="EW222" s="0" t="n">
        <v>0.612903225806452</v>
      </c>
      <c r="EX222" s="0" t="n">
        <v>2.99550865366612</v>
      </c>
      <c r="EY222" s="0" t="n">
        <v>2.758</v>
      </c>
      <c r="EZ222" s="0" t="n">
        <v>0.2121</v>
      </c>
      <c r="FA222" s="0" t="n">
        <v>2.477</v>
      </c>
      <c r="FB222" s="0" t="n">
        <v>1.657</v>
      </c>
      <c r="FC222" s="0" t="n">
        <v>42</v>
      </c>
      <c r="FD222" s="0" t="n">
        <v>518</v>
      </c>
      <c r="FE222" s="0" t="n">
        <v>0.0521235521235521</v>
      </c>
      <c r="FF222" s="0" t="n">
        <v>0.0535</v>
      </c>
      <c r="FG222" s="0" t="n">
        <v>0.2266</v>
      </c>
      <c r="FH222" s="0" t="n">
        <v>2.4</v>
      </c>
      <c r="FI222" s="0" t="n">
        <v>997</v>
      </c>
      <c r="FJ222" s="0" t="n">
        <v>0.507522567703109</v>
      </c>
      <c r="FK222" s="0" t="n">
        <v>17</v>
      </c>
      <c r="FL222" s="0" t="n">
        <v>58.65</v>
      </c>
      <c r="FM222" s="0" t="n">
        <v>0.5204</v>
      </c>
      <c r="FN222" s="0" t="n">
        <v>0.4796</v>
      </c>
      <c r="FO222" s="0" t="n">
        <v>-0.0677</v>
      </c>
      <c r="FP222" s="0" t="n">
        <v>-0.0491</v>
      </c>
      <c r="FQ222" s="0" t="n">
        <v>0.1122</v>
      </c>
      <c r="FR222" s="0" t="n">
        <v>39</v>
      </c>
      <c r="FS222" s="0" t="n">
        <v>60</v>
      </c>
      <c r="FT222" s="0" t="n">
        <v>3.53</v>
      </c>
      <c r="FU222" s="0" t="n">
        <v>28.4</v>
      </c>
      <c r="FV222" s="0" t="n">
        <v>5338</v>
      </c>
      <c r="FW222" s="0" t="n">
        <v>5026</v>
      </c>
      <c r="FX222" s="0" t="n">
        <v>0.942</v>
      </c>
      <c r="FY222" s="0" t="n">
        <v>5</v>
      </c>
      <c r="FZ222" s="0" t="n">
        <v>5</v>
      </c>
      <c r="GA222" s="0" t="n">
        <v>-0.594571744764181</v>
      </c>
      <c r="GB222" s="0" t="n">
        <v>39.3</v>
      </c>
      <c r="GC222" s="0" t="n">
        <v>60.5</v>
      </c>
      <c r="GD222" s="0" t="n">
        <v>49.9</v>
      </c>
      <c r="GE222" s="0" t="n">
        <v>455</v>
      </c>
      <c r="GF222" s="0" t="n">
        <v>507</v>
      </c>
      <c r="GG222" s="0" t="n">
        <v>39</v>
      </c>
      <c r="GH222" s="0" t="n">
        <v>221</v>
      </c>
      <c r="GI222" s="0" t="n">
        <v>158</v>
      </c>
      <c r="GJ222" s="0" t="n">
        <v>37</v>
      </c>
      <c r="GK222" s="0" t="n">
        <v>0.086</v>
      </c>
      <c r="GL222" s="0" t="n">
        <v>0.436</v>
      </c>
      <c r="GM222" s="0" t="n">
        <v>0.234</v>
      </c>
      <c r="GN222" s="0" t="n">
        <v>2.08</v>
      </c>
      <c r="GO222" s="0" t="n">
        <v>1.98</v>
      </c>
      <c r="GP222" s="0" t="n">
        <v>1.88</v>
      </c>
      <c r="GQ222" s="0" t="n">
        <v>0.2</v>
      </c>
      <c r="GR222" s="0" t="n">
        <v>2.2</v>
      </c>
      <c r="GS222" s="0" t="n">
        <v>24</v>
      </c>
      <c r="GT222" s="0" t="n">
        <v>0.867</v>
      </c>
      <c r="GU222" s="0" t="n">
        <v>0.578</v>
      </c>
      <c r="GY222" s="0" t="n">
        <v>3.318</v>
      </c>
      <c r="HC222" s="0" t="n">
        <v>0.042</v>
      </c>
      <c r="HD222" s="0" t="n">
        <v>-0.425</v>
      </c>
      <c r="HE222" s="0" t="n">
        <v>-0.07</v>
      </c>
      <c r="HG222" s="0" t="n">
        <v>251.2</v>
      </c>
      <c r="HH222" s="0" t="n">
        <v>40.97</v>
      </c>
      <c r="HI222" s="0" t="n">
        <v>160</v>
      </c>
      <c r="HJ222" s="0" t="n">
        <v>313</v>
      </c>
      <c r="HK222" s="0" t="s">
        <v>909</v>
      </c>
      <c r="HL222" s="0" t="n">
        <v>0</v>
      </c>
      <c r="HM222" s="0" t="n">
        <v>65</v>
      </c>
      <c r="HN222" s="0" t="n">
        <v>71</v>
      </c>
      <c r="HO222" s="0" t="n">
        <v>-0.299</v>
      </c>
      <c r="HP222" s="0" t="n">
        <v>65</v>
      </c>
      <c r="HQ222" s="0" t="n">
        <v>-0.299</v>
      </c>
      <c r="HR222" s="0" t="s">
        <v>102</v>
      </c>
    </row>
    <row r="223" customFormat="false" ht="15" hidden="false" customHeight="false" outlineLevel="0" collapsed="false">
      <c r="A223" s="0" t="s">
        <v>896</v>
      </c>
      <c r="B223" s="0" t="s">
        <v>897</v>
      </c>
      <c r="C223" s="0" t="s">
        <v>898</v>
      </c>
      <c r="D223" s="0" t="s">
        <v>586</v>
      </c>
      <c r="E223" s="0" t="n">
        <v>17268</v>
      </c>
      <c r="F223" s="0" t="s">
        <v>99</v>
      </c>
      <c r="G223" s="0" t="n">
        <v>251.51</v>
      </c>
      <c r="H223" s="0" t="n">
        <v>30.85</v>
      </c>
      <c r="I223" s="0" t="n">
        <v>165</v>
      </c>
      <c r="J223" s="0" t="n">
        <v>324</v>
      </c>
      <c r="L223" s="0" t="s">
        <v>2148</v>
      </c>
      <c r="O223" s="0" t="n">
        <v>6.9</v>
      </c>
      <c r="U223" s="0" t="n">
        <v>8</v>
      </c>
      <c r="V223" s="0" t="s">
        <v>586</v>
      </c>
      <c r="W223" s="0" t="s">
        <v>901</v>
      </c>
      <c r="X223" s="0" t="s">
        <v>948</v>
      </c>
      <c r="Y223" s="0" t="s">
        <v>2149</v>
      </c>
      <c r="Z223" s="0" t="n">
        <v>17268</v>
      </c>
      <c r="AA223" s="0" t="s">
        <v>2150</v>
      </c>
      <c r="AB223" s="0" t="s">
        <v>904</v>
      </c>
      <c r="AC223" s="0" t="s">
        <v>124</v>
      </c>
      <c r="AD223" s="0" t="s">
        <v>124</v>
      </c>
      <c r="AE223" s="0" t="s">
        <v>124</v>
      </c>
      <c r="AF223" s="0" t="s">
        <v>124</v>
      </c>
      <c r="AG223" s="0" t="s">
        <v>124</v>
      </c>
      <c r="AH223" s="0" t="s">
        <v>905</v>
      </c>
      <c r="AI223" s="0" t="n">
        <v>3</v>
      </c>
      <c r="AJ223" s="0" t="s">
        <v>99</v>
      </c>
      <c r="AK223" s="0" t="n">
        <v>222</v>
      </c>
      <c r="AL223" s="0" t="n">
        <v>92</v>
      </c>
      <c r="AM223" s="0" t="s">
        <v>587</v>
      </c>
      <c r="AN223" s="0" t="n">
        <v>0</v>
      </c>
      <c r="AO223" s="0" t="n">
        <v>0</v>
      </c>
      <c r="AP223" s="0" t="n">
        <v>0</v>
      </c>
      <c r="AQ223" s="0" t="n">
        <v>0</v>
      </c>
      <c r="AR223" s="0" t="n">
        <v>0</v>
      </c>
      <c r="AS223" s="0" t="n">
        <v>0</v>
      </c>
      <c r="AT223" s="0" t="n">
        <v>0</v>
      </c>
      <c r="AU223" s="0" t="n">
        <v>0</v>
      </c>
      <c r="AV223" s="0" t="n">
        <v>0</v>
      </c>
      <c r="AW223" s="0" t="n">
        <v>0</v>
      </c>
      <c r="AX223" s="0" t="n">
        <v>0</v>
      </c>
      <c r="AY223" s="0" t="n">
        <v>0</v>
      </c>
      <c r="AZ223" s="0" t="n">
        <v>0</v>
      </c>
      <c r="BA223" s="0" t="n">
        <v>0</v>
      </c>
      <c r="BB223" s="0" t="n">
        <v>0</v>
      </c>
      <c r="BC223" s="0" t="n">
        <v>28</v>
      </c>
      <c r="BD223" s="0" t="n">
        <v>52</v>
      </c>
      <c r="BE223" s="0" t="n">
        <v>239</v>
      </c>
      <c r="BF223" s="0" t="n">
        <v>1</v>
      </c>
      <c r="BG223" s="0" t="n">
        <v>365</v>
      </c>
      <c r="BH223" s="0" t="n">
        <v>115</v>
      </c>
      <c r="BI223" s="0" t="n">
        <v>12</v>
      </c>
      <c r="BJ223" s="0" t="n">
        <v>-21.1679273483629</v>
      </c>
      <c r="BK223" s="0" t="n">
        <v>0</v>
      </c>
      <c r="BL223" s="0" t="n">
        <v>0</v>
      </c>
      <c r="BM223" s="0" t="n">
        <v>29.9</v>
      </c>
      <c r="BN223" s="0" t="n">
        <v>57.9</v>
      </c>
      <c r="BO223" s="0" t="n">
        <v>11</v>
      </c>
      <c r="BP223" s="0" t="s">
        <v>139</v>
      </c>
      <c r="BQ223" s="0" t="n">
        <v>1</v>
      </c>
      <c r="BR223" s="0" t="n">
        <v>43.9</v>
      </c>
      <c r="BS223" s="0" t="n">
        <v>0.094</v>
      </c>
      <c r="BT223" s="0" t="n">
        <v>0</v>
      </c>
      <c r="BU223" s="0" t="n">
        <v>0.0794</v>
      </c>
      <c r="BV223" s="0" t="n">
        <v>0.144</v>
      </c>
      <c r="BW223" s="0" t="n">
        <v>0</v>
      </c>
      <c r="BX223" s="0" t="n">
        <v>0.119</v>
      </c>
      <c r="BY223" s="0" t="n">
        <v>0.2993</v>
      </c>
      <c r="BZ223" s="0" t="n">
        <v>11</v>
      </c>
      <c r="CA223" s="0" t="n">
        <v>1.6</v>
      </c>
      <c r="CB223" s="0" t="n">
        <v>8.55</v>
      </c>
      <c r="CC223" s="0" t="n">
        <v>5</v>
      </c>
      <c r="CD223" s="0" t="n">
        <v>4.77</v>
      </c>
      <c r="CE223" s="0" t="n">
        <v>0</v>
      </c>
      <c r="CF223" s="0" t="n">
        <v>5</v>
      </c>
      <c r="CG223" s="0" t="n">
        <v>11</v>
      </c>
      <c r="CH223" s="0" t="n">
        <v>0</v>
      </c>
      <c r="CI223" s="0" t="n">
        <v>0.455</v>
      </c>
      <c r="CJ223" s="0" t="n">
        <v>0.954</v>
      </c>
      <c r="CK223" s="0" t="n">
        <v>6</v>
      </c>
      <c r="CL223" s="0" t="n">
        <v>4</v>
      </c>
      <c r="CM223" s="0" t="n">
        <v>2</v>
      </c>
      <c r="CN223" s="0" t="n">
        <v>1</v>
      </c>
      <c r="CO223" s="0" t="n">
        <v>2.74919742624335</v>
      </c>
      <c r="CP223" s="0" t="n">
        <v>0</v>
      </c>
      <c r="CQ223" s="0" t="n">
        <v>0</v>
      </c>
      <c r="CR223" s="0" t="n">
        <v>0</v>
      </c>
      <c r="CS223" s="0" t="n">
        <v>0</v>
      </c>
      <c r="CT223" s="0" t="n">
        <v>0</v>
      </c>
      <c r="CU223" s="0" t="n">
        <v>6</v>
      </c>
      <c r="CV223" s="0" t="n">
        <v>4</v>
      </c>
      <c r="CW223" s="0" t="n">
        <v>2</v>
      </c>
      <c r="CX223" s="0" t="n">
        <v>1</v>
      </c>
      <c r="CY223" s="0" t="n">
        <v>2.75</v>
      </c>
      <c r="CZ223" s="0" t="n">
        <v>-1.75</v>
      </c>
      <c r="DA223" s="0" t="n">
        <v>2.53994125718566</v>
      </c>
      <c r="DB223" s="0" t="n">
        <v>5.71116279069767</v>
      </c>
      <c r="DC223" s="0" t="n">
        <v>7.23980769230769</v>
      </c>
      <c r="DD223" s="0" t="n">
        <v>8.28887660809314</v>
      </c>
      <c r="DE223" s="0" t="n">
        <v>-0.249072859662676</v>
      </c>
      <c r="DF223" s="0" t="n">
        <v>53.8461538461539</v>
      </c>
      <c r="DM223" s="0" t="s">
        <v>2151</v>
      </c>
      <c r="DS223" s="0" t="n">
        <v>52</v>
      </c>
      <c r="DT223" s="0" t="n">
        <v>1</v>
      </c>
      <c r="DU223" s="0" t="n">
        <v>2</v>
      </c>
      <c r="DV223" s="0" t="n">
        <v>4.429</v>
      </c>
      <c r="DW223" s="0" t="n">
        <v>4.107</v>
      </c>
      <c r="DX223" s="0" t="n">
        <v>6.8</v>
      </c>
      <c r="DY223" s="0" t="n">
        <v>0.0385</v>
      </c>
      <c r="DZ223" s="0" t="n">
        <v>433</v>
      </c>
      <c r="EA223" s="0" t="n">
        <v>0.486</v>
      </c>
      <c r="EB223" s="0" t="n">
        <v>13</v>
      </c>
      <c r="EC223" s="0" t="s">
        <v>2152</v>
      </c>
      <c r="ED223" s="0" t="n">
        <v>2018</v>
      </c>
      <c r="EE223" s="0" t="n">
        <v>2</v>
      </c>
      <c r="EF223" s="0" t="n">
        <v>47</v>
      </c>
      <c r="EG223" s="0" t="n">
        <v>2018</v>
      </c>
      <c r="EH223" s="0" t="n">
        <v>2026</v>
      </c>
      <c r="EI223" s="0" t="n">
        <v>9</v>
      </c>
      <c r="EJ223" s="0" t="n">
        <v>71</v>
      </c>
      <c r="EK223" s="0" t="n">
        <v>200</v>
      </c>
      <c r="EL223" s="0" t="s">
        <v>1032</v>
      </c>
      <c r="EM223" s="0" t="n">
        <v>29.7</v>
      </c>
      <c r="EN223" s="15" t="b">
        <f aca="false">FALSE()</f>
        <v>0</v>
      </c>
      <c r="EO223" s="0" t="n">
        <v>405</v>
      </c>
      <c r="EP223" s="0" t="n">
        <v>2.91456790123457</v>
      </c>
      <c r="EQ223" s="0" t="n">
        <v>0.180246913580247</v>
      </c>
      <c r="ER223" s="0" t="n">
        <v>1.17530864197531</v>
      </c>
      <c r="ES223" s="0" t="n">
        <v>0.402469135802469</v>
      </c>
      <c r="ET223" s="0" t="n">
        <v>29</v>
      </c>
      <c r="EU223" s="0" t="n">
        <v>19</v>
      </c>
      <c r="EV223" s="0" t="n">
        <v>3.94814814814815</v>
      </c>
      <c r="EW223" s="0" t="n">
        <v>0.655172413793103</v>
      </c>
      <c r="EX223" s="0" t="n">
        <v>2.9571088201075</v>
      </c>
      <c r="EY223" s="0" t="n">
        <v>2.906</v>
      </c>
      <c r="EZ223" s="0" t="n">
        <v>0.1848</v>
      </c>
      <c r="FA223" s="0" t="n">
        <v>2.349</v>
      </c>
      <c r="FB223" s="0" t="n">
        <v>1.428</v>
      </c>
      <c r="FC223" s="0" t="n">
        <v>23</v>
      </c>
      <c r="FD223" s="0" t="n">
        <v>624</v>
      </c>
      <c r="FE223" s="0" t="n">
        <v>0.0432692307692308</v>
      </c>
      <c r="FF223" s="0" t="n">
        <v>0.0428</v>
      </c>
      <c r="FG223" s="0" t="n">
        <v>0.2125</v>
      </c>
      <c r="FH223" s="0" t="n">
        <v>2.547</v>
      </c>
      <c r="FI223" s="0" t="n">
        <v>1065</v>
      </c>
      <c r="FJ223" s="0" t="n">
        <v>0.566197183098592</v>
      </c>
      <c r="FK223" s="0" t="n">
        <v>17</v>
      </c>
      <c r="FL223" s="0" t="n">
        <v>62.65</v>
      </c>
      <c r="FM223" s="0" t="n">
        <v>0.5521</v>
      </c>
      <c r="FN223" s="0" t="n">
        <v>0.4479</v>
      </c>
      <c r="FO223" s="0" t="n">
        <v>-0.0088</v>
      </c>
      <c r="FP223" s="0" t="n">
        <v>-0.0044</v>
      </c>
      <c r="FQ223" s="0" t="n">
        <v>0.1587</v>
      </c>
      <c r="FR223" s="0" t="n">
        <v>38</v>
      </c>
      <c r="FS223" s="0" t="n">
        <v>66</v>
      </c>
      <c r="FT223" s="0" t="n">
        <v>3.88</v>
      </c>
      <c r="FU223" s="0" t="n">
        <v>25.7</v>
      </c>
      <c r="FV223" s="0" t="n">
        <v>5615</v>
      </c>
      <c r="FW223" s="0" t="n">
        <v>4784</v>
      </c>
      <c r="FX223" s="0" t="n">
        <v>0.852</v>
      </c>
      <c r="FY223" s="0" t="n">
        <v>5</v>
      </c>
      <c r="FZ223" s="0" t="n">
        <v>4</v>
      </c>
      <c r="GA223" s="0" t="n">
        <v>-0.196965652614142</v>
      </c>
      <c r="GB223" s="0" t="n">
        <v>46.4</v>
      </c>
      <c r="GC223" s="0" t="n">
        <v>74.5</v>
      </c>
      <c r="GD223" s="0" t="n">
        <v>63.3</v>
      </c>
      <c r="GE223" s="0" t="n">
        <v>550</v>
      </c>
      <c r="GF223" s="0" t="n">
        <v>481</v>
      </c>
      <c r="GG223" s="0" t="n">
        <v>170</v>
      </c>
      <c r="GH223" s="0" t="n">
        <v>94</v>
      </c>
      <c r="GI223" s="0" t="n">
        <v>185</v>
      </c>
      <c r="GJ223" s="0" t="n">
        <v>38</v>
      </c>
      <c r="GK223" s="0" t="n">
        <v>0.309</v>
      </c>
      <c r="GL223" s="0" t="n">
        <v>0.195</v>
      </c>
      <c r="GM223" s="0" t="n">
        <v>0.205</v>
      </c>
      <c r="GN223" s="0" t="n">
        <v>5.264</v>
      </c>
      <c r="GO223" s="0" t="n">
        <v>3.991</v>
      </c>
      <c r="GP223" s="0" t="n">
        <v>2.718</v>
      </c>
      <c r="GQ223" s="0" t="n">
        <v>4.727</v>
      </c>
      <c r="GR223" s="0" t="n">
        <v>0</v>
      </c>
      <c r="GS223" s="0" t="n">
        <v>52</v>
      </c>
      <c r="GT223" s="0" t="n">
        <v>1.113</v>
      </c>
      <c r="GU223" s="0" t="n">
        <v>0.134</v>
      </c>
      <c r="GV223" s="0" t="n">
        <v>4.596</v>
      </c>
      <c r="GW223" s="0" t="n">
        <v>8.536</v>
      </c>
      <c r="GX223" s="0" t="n">
        <v>0.538</v>
      </c>
      <c r="GZ223" s="0" t="n">
        <v>7.019</v>
      </c>
      <c r="HA223" s="0" t="n">
        <v>4.107</v>
      </c>
      <c r="HB223" s="0" t="n">
        <v>0.655</v>
      </c>
      <c r="HC223" s="0" t="n">
        <v>0.019</v>
      </c>
      <c r="HE223" s="0" t="n">
        <v>-0.407</v>
      </c>
      <c r="HG223" s="0" t="n">
        <v>251.51</v>
      </c>
      <c r="HH223" s="0" t="n">
        <v>30.85</v>
      </c>
      <c r="HI223" s="0" t="n">
        <v>165</v>
      </c>
      <c r="HJ223" s="0" t="n">
        <v>324</v>
      </c>
      <c r="HK223" s="0" t="s">
        <v>909</v>
      </c>
      <c r="HL223" s="0" t="n">
        <v>0</v>
      </c>
      <c r="HM223" s="0" t="n">
        <v>78</v>
      </c>
      <c r="HN223" s="0" t="n">
        <v>92</v>
      </c>
      <c r="HO223" s="0" t="n">
        <v>-0.125</v>
      </c>
      <c r="HP223" s="0" t="n">
        <v>80</v>
      </c>
      <c r="HQ223" s="0" t="n">
        <v>-0.213</v>
      </c>
      <c r="HR223" s="0" t="s">
        <v>102</v>
      </c>
    </row>
    <row r="224" customFormat="false" ht="15" hidden="false" customHeight="false" outlineLevel="0" collapsed="false">
      <c r="A224" s="0" t="s">
        <v>896</v>
      </c>
      <c r="B224" s="0" t="s">
        <v>897</v>
      </c>
      <c r="C224" s="0" t="s">
        <v>898</v>
      </c>
      <c r="D224" s="0" t="s">
        <v>588</v>
      </c>
      <c r="E224" s="0" t="n">
        <v>27337</v>
      </c>
      <c r="F224" s="0" t="s">
        <v>99</v>
      </c>
      <c r="G224" s="0" t="n">
        <v>251.76</v>
      </c>
      <c r="H224" s="0" t="n">
        <v>45.73</v>
      </c>
      <c r="I224" s="0" t="n">
        <v>154</v>
      </c>
      <c r="J224" s="0" t="n">
        <v>339</v>
      </c>
      <c r="L224" s="0" t="s">
        <v>2153</v>
      </c>
      <c r="O224" s="0" t="n">
        <v>15.3</v>
      </c>
      <c r="U224" s="0" t="n">
        <v>13</v>
      </c>
      <c r="V224" s="0" t="s">
        <v>2154</v>
      </c>
      <c r="W224" s="0" t="s">
        <v>901</v>
      </c>
      <c r="X224" s="0" t="s">
        <v>183</v>
      </c>
      <c r="Y224" s="0" t="s">
        <v>2155</v>
      </c>
      <c r="Z224" s="0" t="n">
        <v>27337</v>
      </c>
      <c r="AA224" s="0" t="s">
        <v>2156</v>
      </c>
      <c r="AB224" s="0" t="s">
        <v>904</v>
      </c>
      <c r="AC224" s="0" t="s">
        <v>183</v>
      </c>
      <c r="AD224" s="0" t="s">
        <v>183</v>
      </c>
      <c r="AE224" s="0" t="s">
        <v>183</v>
      </c>
      <c r="AF224" s="0" t="s">
        <v>183</v>
      </c>
      <c r="AG224" s="0" t="s">
        <v>183</v>
      </c>
      <c r="AH224" s="0" t="s">
        <v>905</v>
      </c>
      <c r="AI224" s="0" t="n">
        <v>3</v>
      </c>
      <c r="AJ224" s="0" t="s">
        <v>99</v>
      </c>
      <c r="AK224" s="0" t="n">
        <v>223</v>
      </c>
      <c r="AL224" s="0" t="n">
        <v>93</v>
      </c>
      <c r="AM224" s="0" t="s">
        <v>589</v>
      </c>
      <c r="EC224" s="0" t="s">
        <v>2157</v>
      </c>
      <c r="EG224" s="0" t="n">
        <v>2026</v>
      </c>
      <c r="EH224" s="0" t="n">
        <v>2026</v>
      </c>
      <c r="EI224" s="0" t="n">
        <v>0</v>
      </c>
      <c r="EJ224" s="0" t="n">
        <v>76</v>
      </c>
      <c r="EK224" s="0" t="n">
        <v>208</v>
      </c>
      <c r="EL224" s="0" t="s">
        <v>940</v>
      </c>
      <c r="EM224" s="0" t="n">
        <v>22</v>
      </c>
      <c r="EN224" s="15" t="b">
        <f aca="false">TRUE()</f>
        <v>1</v>
      </c>
      <c r="EO224" s="0" t="n">
        <v>392</v>
      </c>
      <c r="EP224" s="0" t="n">
        <v>3.03673469387755</v>
      </c>
      <c r="EQ224" s="0" t="n">
        <v>0.153061224489796</v>
      </c>
      <c r="ER224" s="0" t="n">
        <v>1.31122448979592</v>
      </c>
      <c r="ES224" s="0" t="n">
        <v>1.51275510204082</v>
      </c>
      <c r="ET224" s="0" t="n">
        <v>37</v>
      </c>
      <c r="EU224" s="0" t="n">
        <v>24</v>
      </c>
      <c r="EV224" s="0" t="n">
        <v>5.24489795918367</v>
      </c>
      <c r="EW224" s="0" t="n">
        <v>0.648648648648649</v>
      </c>
      <c r="EX224" s="0" t="n">
        <v>2.95276427199016</v>
      </c>
      <c r="EY224" s="0" t="n">
        <v>3.032</v>
      </c>
      <c r="EZ224" s="0" t="n">
        <v>0.1574</v>
      </c>
      <c r="FA224" s="0" t="n">
        <v>3.144</v>
      </c>
      <c r="FB224" s="0" t="n">
        <v>2.107</v>
      </c>
      <c r="FC224" s="0" t="n">
        <v>24</v>
      </c>
      <c r="FD224" s="0" t="n">
        <v>501</v>
      </c>
      <c r="FE224" s="0" t="n">
        <v>0.0898203592814371</v>
      </c>
      <c r="FF224" s="0" t="n">
        <v>0.0849</v>
      </c>
      <c r="FG224" s="0" t="n">
        <v>0.2725</v>
      </c>
      <c r="FH224" s="0" t="n">
        <v>2.454</v>
      </c>
      <c r="FI224" s="0" t="n">
        <v>956</v>
      </c>
      <c r="FJ224" s="0" t="n">
        <v>0.48744769874477</v>
      </c>
      <c r="FK224" s="0" t="n">
        <v>17</v>
      </c>
      <c r="FL224" s="0" t="n">
        <v>56.24</v>
      </c>
      <c r="FM224" s="0" t="n">
        <v>0.4667</v>
      </c>
      <c r="FN224" s="0" t="n">
        <v>0.5333</v>
      </c>
      <c r="FO224" s="0" t="n">
        <v>-0.0884</v>
      </c>
      <c r="FP224" s="0" t="n">
        <v>0.0996</v>
      </c>
      <c r="FQ224" s="0" t="n">
        <v>-0.035</v>
      </c>
      <c r="FR224" s="0" t="n">
        <v>39</v>
      </c>
      <c r="FS224" s="0" t="n">
        <v>61</v>
      </c>
      <c r="FT224" s="0" t="n">
        <v>3.59</v>
      </c>
      <c r="FU224" s="0" t="n">
        <v>24.9</v>
      </c>
      <c r="FV224" s="0" t="n">
        <v>5080</v>
      </c>
      <c r="FW224" s="0" t="n">
        <v>2908</v>
      </c>
      <c r="FX224" s="0" t="n">
        <v>0.572</v>
      </c>
      <c r="FY224" s="0" t="n">
        <v>5</v>
      </c>
      <c r="FZ224" s="0" t="n">
        <v>2</v>
      </c>
      <c r="GA224" s="0" t="n">
        <v>0.782789362458</v>
      </c>
      <c r="GB224" s="0" t="n">
        <v>64.1</v>
      </c>
      <c r="GC224" s="0" t="n">
        <v>41</v>
      </c>
      <c r="GD224" s="0" t="n">
        <v>53.2</v>
      </c>
      <c r="GE224" s="0" t="n">
        <v>407</v>
      </c>
      <c r="GF224" s="0" t="n">
        <v>507</v>
      </c>
      <c r="GG224" s="0" t="n">
        <v>75</v>
      </c>
      <c r="GH224" s="0" t="n">
        <v>64</v>
      </c>
      <c r="GI224" s="0" t="n">
        <v>160</v>
      </c>
      <c r="GJ224" s="0" t="n">
        <v>26</v>
      </c>
      <c r="GK224" s="0" t="n">
        <v>0.184</v>
      </c>
      <c r="GL224" s="0" t="n">
        <v>0.126</v>
      </c>
      <c r="GM224" s="0" t="n">
        <v>0.162</v>
      </c>
      <c r="HF224" s="0" t="s">
        <v>206</v>
      </c>
      <c r="HG224" s="0" t="n">
        <v>251.76</v>
      </c>
      <c r="HH224" s="0" t="n">
        <v>45.73</v>
      </c>
      <c r="HI224" s="0" t="n">
        <v>154</v>
      </c>
      <c r="HJ224" s="0" t="n">
        <v>339</v>
      </c>
      <c r="HK224" s="0" t="s">
        <v>909</v>
      </c>
      <c r="HL224" s="0" t="n">
        <v>0</v>
      </c>
      <c r="HN224" s="0" t="n">
        <v>93</v>
      </c>
    </row>
    <row r="225" customFormat="false" ht="15" hidden="false" customHeight="false" outlineLevel="0" collapsed="false">
      <c r="A225" s="0" t="s">
        <v>896</v>
      </c>
      <c r="B225" s="0" t="s">
        <v>897</v>
      </c>
      <c r="C225" s="0" t="s">
        <v>898</v>
      </c>
      <c r="D225" s="0" t="s">
        <v>590</v>
      </c>
      <c r="E225" s="0" t="n">
        <v>16411</v>
      </c>
      <c r="F225" s="0" t="s">
        <v>149</v>
      </c>
      <c r="G225" s="0" t="n">
        <v>253.2</v>
      </c>
      <c r="H225" s="0" t="n">
        <v>26.19</v>
      </c>
      <c r="I225" s="0" t="n">
        <v>138</v>
      </c>
      <c r="J225" s="0" t="n">
        <v>300</v>
      </c>
      <c r="L225" s="0" t="s">
        <v>2158</v>
      </c>
      <c r="O225" s="0" t="n">
        <v>8.3</v>
      </c>
      <c r="U225" s="0" t="n">
        <v>10</v>
      </c>
      <c r="V225" s="0" t="s">
        <v>590</v>
      </c>
      <c r="W225" s="0" t="s">
        <v>901</v>
      </c>
      <c r="X225" s="0" t="s">
        <v>209</v>
      </c>
      <c r="Y225" s="0" t="s">
        <v>2159</v>
      </c>
      <c r="Z225" s="0" t="n">
        <v>16411</v>
      </c>
      <c r="AA225" s="0" t="s">
        <v>2160</v>
      </c>
      <c r="AB225" s="0" t="s">
        <v>904</v>
      </c>
      <c r="AC225" s="0" t="s">
        <v>209</v>
      </c>
      <c r="AD225" s="0" t="s">
        <v>209</v>
      </c>
      <c r="AE225" s="0" t="s">
        <v>209</v>
      </c>
      <c r="AF225" s="0" t="s">
        <v>209</v>
      </c>
      <c r="AG225" s="0" t="s">
        <v>209</v>
      </c>
      <c r="AH225" s="0" t="s">
        <v>905</v>
      </c>
      <c r="AI225" s="0" t="n">
        <v>1</v>
      </c>
      <c r="AJ225" s="0" t="s">
        <v>149</v>
      </c>
      <c r="AK225" s="0" t="n">
        <v>224</v>
      </c>
      <c r="AL225" s="0" t="n">
        <v>31</v>
      </c>
      <c r="AM225" s="0" t="s">
        <v>591</v>
      </c>
      <c r="AN225" s="0" t="n">
        <v>0</v>
      </c>
      <c r="AO225" s="0" t="n">
        <v>0</v>
      </c>
      <c r="AP225" s="0" t="n">
        <v>0</v>
      </c>
      <c r="AQ225" s="0" t="n">
        <v>0</v>
      </c>
      <c r="AR225" s="0" t="n">
        <v>0</v>
      </c>
      <c r="AS225" s="0" t="n">
        <v>0</v>
      </c>
      <c r="AT225" s="0" t="n">
        <v>0</v>
      </c>
      <c r="AU225" s="0" t="n">
        <v>0</v>
      </c>
      <c r="AV225" s="0" t="n">
        <v>0</v>
      </c>
      <c r="AW225" s="0" t="n">
        <v>1</v>
      </c>
      <c r="AX225" s="0" t="n">
        <v>7</v>
      </c>
      <c r="AY225" s="0" t="n">
        <v>0</v>
      </c>
      <c r="AZ225" s="0" t="n">
        <v>0</v>
      </c>
      <c r="BA225" s="0" t="n">
        <v>0.254432351794094</v>
      </c>
      <c r="BB225" s="0" t="n">
        <v>0</v>
      </c>
      <c r="BC225" s="0" t="n">
        <v>50</v>
      </c>
      <c r="BD225" s="0" t="n">
        <v>76</v>
      </c>
      <c r="BE225" s="0" t="n">
        <v>461</v>
      </c>
      <c r="BF225" s="0" t="n">
        <v>1</v>
      </c>
      <c r="BG225" s="0" t="n">
        <v>331</v>
      </c>
      <c r="BH225" s="0" t="n">
        <v>302</v>
      </c>
      <c r="BI225" s="0" t="n">
        <v>19</v>
      </c>
      <c r="BJ225" s="0" t="n">
        <v>3.49128043235745</v>
      </c>
      <c r="BK225" s="0" t="n">
        <v>0</v>
      </c>
      <c r="BL225" s="0" t="n">
        <v>0</v>
      </c>
      <c r="BM225" s="0" t="n">
        <v>52.8</v>
      </c>
      <c r="BN225" s="0" t="n">
        <v>102.8</v>
      </c>
      <c r="BO225" s="0" t="n">
        <v>16</v>
      </c>
      <c r="BP225" s="0" t="s">
        <v>209</v>
      </c>
      <c r="BQ225" s="0" t="n">
        <v>1</v>
      </c>
      <c r="BR225" s="0" t="n">
        <v>77.8</v>
      </c>
      <c r="BS225" s="0" t="n">
        <v>0.1301</v>
      </c>
      <c r="BT225" s="0" t="n">
        <v>0.0022</v>
      </c>
      <c r="BU225" s="0" t="n">
        <v>0.0756</v>
      </c>
      <c r="BV225" s="0" t="n">
        <v>0.1355</v>
      </c>
      <c r="BW225" s="0" t="n">
        <v>0.0023</v>
      </c>
      <c r="BX225" s="0" t="n">
        <v>0.0799</v>
      </c>
      <c r="BY225" s="0" t="n">
        <v>0.2592</v>
      </c>
      <c r="BZ225" s="0" t="n">
        <v>16</v>
      </c>
      <c r="CA225" s="0" t="n">
        <v>3.1</v>
      </c>
      <c r="CB225" s="0" t="n">
        <v>9.72</v>
      </c>
      <c r="CC225" s="0" t="n">
        <v>6.5</v>
      </c>
      <c r="CD225" s="0" t="n">
        <v>3.91</v>
      </c>
      <c r="CE225" s="0" t="n">
        <v>1</v>
      </c>
      <c r="CF225" s="0" t="n">
        <v>2</v>
      </c>
      <c r="CG225" s="0" t="n">
        <v>16</v>
      </c>
      <c r="CH225" s="0" t="n">
        <v>0.062</v>
      </c>
      <c r="CI225" s="0" t="n">
        <v>0.125</v>
      </c>
      <c r="CJ225" s="0" t="n">
        <v>0.602</v>
      </c>
      <c r="CK225" s="0" t="n">
        <v>10</v>
      </c>
      <c r="CL225" s="0" t="n">
        <v>0</v>
      </c>
      <c r="CM225" s="0" t="n">
        <v>0</v>
      </c>
      <c r="CN225" s="0" t="n">
        <v>1</v>
      </c>
      <c r="CO225" s="0" t="n">
        <v>2.29171581274261</v>
      </c>
      <c r="CP225" s="0" t="n">
        <v>0</v>
      </c>
      <c r="CQ225" s="0" t="n">
        <v>0</v>
      </c>
      <c r="CR225" s="0" t="n">
        <v>0</v>
      </c>
      <c r="CS225" s="0" t="n">
        <v>0</v>
      </c>
      <c r="CT225" s="0" t="n">
        <v>0.00357091844022283</v>
      </c>
      <c r="CU225" s="0" t="n">
        <v>10</v>
      </c>
      <c r="CV225" s="0" t="n">
        <v>0</v>
      </c>
      <c r="CW225" s="0" t="n">
        <v>0</v>
      </c>
      <c r="CX225" s="0" t="n">
        <v>1</v>
      </c>
      <c r="CY225" s="0" t="n">
        <v>2.3</v>
      </c>
      <c r="CZ225" s="0" t="n">
        <v>-1.3</v>
      </c>
      <c r="DA225" s="0" t="n">
        <v>4.5777356159887</v>
      </c>
      <c r="DB225" s="0" t="n">
        <v>6.77365384615385</v>
      </c>
      <c r="DC225" s="0" t="n">
        <v>4.29960526315789</v>
      </c>
      <c r="DD225" s="0" t="n">
        <v>7.46324562224927</v>
      </c>
      <c r="DE225" s="0" t="n">
        <v>-0.0837162753851661</v>
      </c>
      <c r="DF225" s="0" t="n">
        <v>65.7894736842105</v>
      </c>
      <c r="DM225" s="0" t="s">
        <v>2161</v>
      </c>
      <c r="DN225" s="0" t="n">
        <v>1</v>
      </c>
      <c r="DO225" s="0" t="n">
        <v>0</v>
      </c>
      <c r="DS225" s="0" t="n">
        <v>76</v>
      </c>
      <c r="DT225" s="0" t="n">
        <v>2</v>
      </c>
      <c r="DU225" s="0" t="n">
        <v>8</v>
      </c>
      <c r="DV225" s="0" t="n">
        <v>3.18</v>
      </c>
      <c r="DW225" s="0" t="n">
        <v>6.04</v>
      </c>
      <c r="DX225" s="0" t="n">
        <v>4.4</v>
      </c>
      <c r="DY225" s="0" t="n">
        <v>0.1053</v>
      </c>
      <c r="DZ225" s="0" t="n">
        <v>458</v>
      </c>
      <c r="EA225" s="0" t="n">
        <v>0.421</v>
      </c>
      <c r="EB225" s="0" t="n">
        <v>16</v>
      </c>
      <c r="EC225" s="0" t="s">
        <v>2162</v>
      </c>
      <c r="ED225" s="0" t="n">
        <v>2017</v>
      </c>
      <c r="EE225" s="0" t="n">
        <v>1</v>
      </c>
      <c r="EF225" s="0" t="n">
        <v>23</v>
      </c>
      <c r="EG225" s="0" t="n">
        <v>2017</v>
      </c>
      <c r="EH225" s="0" t="n">
        <v>2026</v>
      </c>
      <c r="EI225" s="0" t="n">
        <v>10</v>
      </c>
      <c r="EJ225" s="0" t="n">
        <v>75</v>
      </c>
      <c r="EK225" s="0" t="n">
        <v>240</v>
      </c>
      <c r="EL225" s="0" t="s">
        <v>977</v>
      </c>
      <c r="EM225" s="0" t="n">
        <v>32</v>
      </c>
      <c r="EN225" s="15" t="b">
        <f aca="false">FALSE()</f>
        <v>0</v>
      </c>
      <c r="EO225" s="0" t="n">
        <v>354</v>
      </c>
      <c r="EP225" s="0" t="n">
        <v>2.95932203389831</v>
      </c>
      <c r="EQ225" s="0" t="n">
        <v>0.172316384180791</v>
      </c>
      <c r="ER225" s="0" t="n">
        <v>1.24293785310735</v>
      </c>
      <c r="ES225" s="0" t="n">
        <v>0.807909604519774</v>
      </c>
      <c r="ET225" s="0" t="n">
        <v>29</v>
      </c>
      <c r="EU225" s="0" t="n">
        <v>16</v>
      </c>
      <c r="EV225" s="0" t="n">
        <v>4.42372881355932</v>
      </c>
      <c r="EW225" s="0" t="n">
        <v>0.551724137931035</v>
      </c>
      <c r="EX225" s="0" t="n">
        <v>2.95623424539257</v>
      </c>
      <c r="EY225" s="0" t="n">
        <v>2.952</v>
      </c>
      <c r="EZ225" s="0" t="n">
        <v>0.1682</v>
      </c>
      <c r="FA225" s="0" t="n">
        <v>2.592</v>
      </c>
      <c r="FB225" s="0" t="n">
        <v>1.833</v>
      </c>
      <c r="FC225" s="0" t="n">
        <v>20</v>
      </c>
      <c r="FD225" s="0" t="n">
        <v>671</v>
      </c>
      <c r="FE225" s="0" t="n">
        <v>0.0342771982116244</v>
      </c>
      <c r="FF225" s="0" t="n">
        <v>0.037</v>
      </c>
      <c r="FG225" s="0" t="n">
        <v>0.2088</v>
      </c>
      <c r="FH225" s="0" t="n">
        <v>2.401</v>
      </c>
      <c r="FI225" s="0" t="n">
        <v>1079</v>
      </c>
      <c r="FJ225" s="0" t="n">
        <v>0.593141797961075</v>
      </c>
      <c r="FK225" s="0" t="n">
        <v>17</v>
      </c>
      <c r="FL225" s="0" t="n">
        <v>63.47</v>
      </c>
      <c r="FM225" s="0" t="n">
        <v>0.59</v>
      </c>
      <c r="FN225" s="0" t="n">
        <v>0.41</v>
      </c>
      <c r="FO225" s="0" t="n">
        <v>0.0157</v>
      </c>
      <c r="FP225" s="0" t="n">
        <v>0.0004</v>
      </c>
      <c r="FQ225" s="0" t="n">
        <v>0.0835</v>
      </c>
      <c r="FR225" s="0" t="n">
        <v>38</v>
      </c>
      <c r="FS225" s="0" t="n">
        <v>59</v>
      </c>
      <c r="FT225" s="0" t="n">
        <v>3.47</v>
      </c>
      <c r="FU225" s="0" t="n">
        <v>23.6</v>
      </c>
      <c r="FV225" s="0" t="n">
        <v>5797</v>
      </c>
      <c r="FW225" s="0" t="n">
        <v>5793</v>
      </c>
      <c r="FX225" s="0" t="n">
        <v>0.999</v>
      </c>
      <c r="FY225" s="0" t="n">
        <v>5</v>
      </c>
      <c r="FZ225" s="0" t="n">
        <v>5</v>
      </c>
      <c r="GA225" s="0" t="n">
        <v>0.00253477555898343</v>
      </c>
      <c r="GB225" s="0" t="n">
        <v>50</v>
      </c>
      <c r="GC225" s="0" t="n">
        <v>70.8</v>
      </c>
      <c r="GD225" s="0" t="n">
        <v>63.2</v>
      </c>
      <c r="GE225" s="0" t="n">
        <v>584</v>
      </c>
      <c r="GF225" s="0" t="n">
        <v>456</v>
      </c>
      <c r="GG225" s="0" t="n">
        <v>4</v>
      </c>
      <c r="GH225" s="0" t="n">
        <v>0</v>
      </c>
      <c r="GI225" s="0" t="n">
        <v>157</v>
      </c>
      <c r="GJ225" s="0" t="n">
        <v>1</v>
      </c>
      <c r="GK225" s="0" t="n">
        <v>0.007</v>
      </c>
      <c r="GL225" s="0" t="n">
        <v>0</v>
      </c>
      <c r="GM225" s="0" t="n">
        <v>0.006</v>
      </c>
      <c r="GN225" s="0" t="n">
        <v>6.425</v>
      </c>
      <c r="GO225" s="0" t="n">
        <v>4.862</v>
      </c>
      <c r="GP225" s="0" t="n">
        <v>3.3</v>
      </c>
      <c r="GQ225" s="0" t="n">
        <v>4.75</v>
      </c>
      <c r="GR225" s="0" t="n">
        <v>0.062</v>
      </c>
      <c r="GS225" s="0" t="n">
        <v>77</v>
      </c>
      <c r="GT225" s="0" t="n">
        <v>1.335</v>
      </c>
      <c r="GU225" s="0" t="n">
        <v>0.224</v>
      </c>
      <c r="GV225" s="0" t="n">
        <v>6.066</v>
      </c>
      <c r="GW225" s="0" t="n">
        <v>9.22</v>
      </c>
      <c r="GX225" s="0" t="n">
        <v>0.658</v>
      </c>
      <c r="GZ225" s="0" t="n">
        <v>4.355</v>
      </c>
      <c r="HA225" s="0" t="n">
        <v>6.04</v>
      </c>
      <c r="HB225" s="0" t="n">
        <v>1.393</v>
      </c>
      <c r="HC225" s="0" t="n">
        <v>0.013</v>
      </c>
      <c r="HE225" s="0" t="n">
        <v>0.046</v>
      </c>
      <c r="HG225" s="0" t="n">
        <v>253.2</v>
      </c>
      <c r="HH225" s="0" t="n">
        <v>26.19</v>
      </c>
      <c r="HI225" s="0" t="n">
        <v>138</v>
      </c>
      <c r="HJ225" s="0" t="n">
        <v>300</v>
      </c>
      <c r="HK225" s="0" t="s">
        <v>909</v>
      </c>
      <c r="HL225" s="0" t="n">
        <v>0</v>
      </c>
      <c r="HM225" s="0" t="n">
        <v>26</v>
      </c>
      <c r="HN225" s="0" t="n">
        <v>31</v>
      </c>
      <c r="HO225" s="0" t="n">
        <v>-0.006</v>
      </c>
      <c r="HP225" s="0" t="n">
        <v>28</v>
      </c>
      <c r="HQ225" s="0" t="n">
        <v>-0.094</v>
      </c>
      <c r="HR225" s="0" t="s">
        <v>102</v>
      </c>
    </row>
    <row r="226" customFormat="false" ht="15" hidden="false" customHeight="false" outlineLevel="0" collapsed="false">
      <c r="A226" s="0" t="s">
        <v>896</v>
      </c>
      <c r="B226" s="0" t="s">
        <v>897</v>
      </c>
      <c r="C226" s="0" t="s">
        <v>898</v>
      </c>
      <c r="D226" s="0" t="s">
        <v>592</v>
      </c>
      <c r="E226" s="0" t="n">
        <v>28084</v>
      </c>
      <c r="F226" s="0" t="s">
        <v>104</v>
      </c>
      <c r="G226" s="0" t="n">
        <v>254</v>
      </c>
      <c r="H226" s="0" t="n">
        <v>34.79</v>
      </c>
      <c r="I226" s="0" t="n">
        <v>164</v>
      </c>
      <c r="J226" s="0" t="n">
        <v>354</v>
      </c>
      <c r="L226" s="0" t="s">
        <v>2163</v>
      </c>
      <c r="O226" s="0" t="n">
        <v>9.9</v>
      </c>
      <c r="U226" s="0" t="n">
        <v>6</v>
      </c>
      <c r="V226" s="0" t="s">
        <v>592</v>
      </c>
      <c r="W226" s="0" t="s">
        <v>901</v>
      </c>
      <c r="X226" s="0" t="s">
        <v>127</v>
      </c>
      <c r="Y226" s="0" t="s">
        <v>2164</v>
      </c>
      <c r="Z226" s="0" t="n">
        <v>28084</v>
      </c>
      <c r="AA226" s="0" t="s">
        <v>2165</v>
      </c>
      <c r="AB226" s="0" t="s">
        <v>904</v>
      </c>
      <c r="AC226" s="0" t="s">
        <v>127</v>
      </c>
      <c r="AD226" s="0" t="s">
        <v>127</v>
      </c>
      <c r="AE226" s="0" t="s">
        <v>127</v>
      </c>
      <c r="AF226" s="0" t="s">
        <v>127</v>
      </c>
      <c r="AG226" s="0" t="s">
        <v>127</v>
      </c>
      <c r="AH226" s="0" t="s">
        <v>905</v>
      </c>
      <c r="AI226" s="0" t="n">
        <v>2</v>
      </c>
      <c r="AJ226" s="0" t="s">
        <v>281</v>
      </c>
      <c r="AK226" s="0" t="n">
        <v>225</v>
      </c>
      <c r="AL226" s="0" t="n">
        <v>72</v>
      </c>
      <c r="AM226" s="0" t="s">
        <v>593</v>
      </c>
      <c r="EC226" s="0" t="s">
        <v>1315</v>
      </c>
      <c r="EG226" s="0" t="n">
        <v>2026</v>
      </c>
      <c r="EH226" s="0" t="n">
        <v>2026</v>
      </c>
      <c r="EI226" s="0" t="n">
        <v>0</v>
      </c>
      <c r="EJ226" s="0" t="n">
        <v>70</v>
      </c>
      <c r="EK226" s="0" t="n">
        <v>188</v>
      </c>
      <c r="EL226" s="0" t="s">
        <v>2166</v>
      </c>
      <c r="EM226" s="0" t="n">
        <v>22.9</v>
      </c>
      <c r="EN226" s="15" t="b">
        <f aca="false">TRUE()</f>
        <v>1</v>
      </c>
      <c r="EO226" s="0" t="n">
        <v>348</v>
      </c>
      <c r="EP226" s="0" t="n">
        <v>3.06781609195402</v>
      </c>
      <c r="EQ226" s="0" t="n">
        <v>0.160919540229885</v>
      </c>
      <c r="ER226" s="0" t="n">
        <v>1.27011494252874</v>
      </c>
      <c r="ES226" s="0" t="n">
        <v>0.548850574712644</v>
      </c>
      <c r="ET226" s="0" t="n">
        <v>30</v>
      </c>
      <c r="EU226" s="0" t="n">
        <v>21</v>
      </c>
      <c r="EV226" s="0" t="n">
        <v>4.28448275862069</v>
      </c>
      <c r="EW226" s="0" t="n">
        <v>0.7</v>
      </c>
      <c r="EX226" s="0" t="n">
        <v>3.05559506502035</v>
      </c>
      <c r="EY226" s="0" t="n">
        <v>2.961</v>
      </c>
      <c r="EZ226" s="0" t="n">
        <v>0.1751</v>
      </c>
      <c r="FA226" s="0" t="n">
        <v>2.441</v>
      </c>
      <c r="FB226" s="0" t="n">
        <v>2.049</v>
      </c>
      <c r="FC226" s="0" t="n">
        <v>27</v>
      </c>
      <c r="FD226" s="0" t="n">
        <v>571</v>
      </c>
      <c r="FE226" s="0" t="n">
        <v>0.10507880910683</v>
      </c>
      <c r="FF226" s="0" t="n">
        <v>0.1028</v>
      </c>
      <c r="FG226" s="0" t="n">
        <v>0.3037</v>
      </c>
      <c r="FH226" s="0" t="n">
        <v>2.429</v>
      </c>
      <c r="FI226" s="0" t="n">
        <v>943</v>
      </c>
      <c r="FJ226" s="0" t="n">
        <v>0.580063626723224</v>
      </c>
      <c r="FK226" s="0" t="n">
        <v>17</v>
      </c>
      <c r="FL226" s="0" t="n">
        <v>55.47</v>
      </c>
      <c r="FM226" s="0" t="n">
        <v>0.5369</v>
      </c>
      <c r="FN226" s="0" t="n">
        <v>0.4631</v>
      </c>
      <c r="FO226" s="0" t="n">
        <v>-0.012</v>
      </c>
      <c r="FP226" s="0" t="n">
        <v>-0.0149</v>
      </c>
      <c r="FQ226" s="0" t="n">
        <v>-0.1883</v>
      </c>
      <c r="FR226" s="0" t="n">
        <v>39</v>
      </c>
      <c r="FS226" s="0" t="n">
        <v>53</v>
      </c>
      <c r="FT226" s="0" t="n">
        <v>3.12</v>
      </c>
      <c r="FU226" s="0" t="n">
        <v>20.2</v>
      </c>
      <c r="FV226" s="0" t="n">
        <v>5009</v>
      </c>
      <c r="FW226" s="0" t="n">
        <v>4102</v>
      </c>
      <c r="FX226" s="0" t="n">
        <v>0.819</v>
      </c>
      <c r="FY226" s="0" t="n">
        <v>5</v>
      </c>
      <c r="FZ226" s="0" t="n">
        <v>5</v>
      </c>
      <c r="GA226" s="0" t="n">
        <v>0.100485160629548</v>
      </c>
      <c r="GB226" s="0" t="n">
        <v>51.8</v>
      </c>
      <c r="GC226" s="0" t="n">
        <v>26.2</v>
      </c>
      <c r="GD226" s="0" t="n">
        <v>36</v>
      </c>
      <c r="GE226" s="0" t="n">
        <v>468</v>
      </c>
      <c r="GF226" s="0" t="n">
        <v>410</v>
      </c>
      <c r="GG226" s="0" t="n">
        <v>82</v>
      </c>
      <c r="GH226" s="0" t="n">
        <v>24</v>
      </c>
      <c r="GI226" s="0" t="n">
        <v>131</v>
      </c>
      <c r="GJ226" s="0" t="n">
        <v>17</v>
      </c>
      <c r="GK226" s="0" t="n">
        <v>0.175</v>
      </c>
      <c r="GL226" s="0" t="n">
        <v>0.059</v>
      </c>
      <c r="GM226" s="0" t="n">
        <v>0.13</v>
      </c>
      <c r="HF226" s="0" t="s">
        <v>206</v>
      </c>
      <c r="HG226" s="0" t="n">
        <v>254</v>
      </c>
      <c r="HH226" s="0" t="n">
        <v>34.79</v>
      </c>
      <c r="HI226" s="0" t="n">
        <v>164</v>
      </c>
      <c r="HJ226" s="0" t="n">
        <v>354</v>
      </c>
      <c r="HK226" s="0" t="s">
        <v>909</v>
      </c>
      <c r="HL226" s="0" t="n">
        <v>0</v>
      </c>
      <c r="HN226" s="0" t="n">
        <v>72</v>
      </c>
    </row>
    <row r="227" customFormat="false" ht="15" hidden="false" customHeight="false" outlineLevel="0" collapsed="false">
      <c r="A227" s="0" t="s">
        <v>896</v>
      </c>
      <c r="B227" s="0" t="s">
        <v>897</v>
      </c>
      <c r="C227" s="0" t="s">
        <v>898</v>
      </c>
      <c r="D227" s="0" t="s">
        <v>594</v>
      </c>
      <c r="E227" s="0" t="n">
        <v>28130</v>
      </c>
      <c r="F227" s="0" t="s">
        <v>99</v>
      </c>
      <c r="G227" s="0" t="n">
        <v>254.24</v>
      </c>
      <c r="H227" s="0" t="n">
        <v>35.2</v>
      </c>
      <c r="I227" s="0" t="n">
        <v>184</v>
      </c>
      <c r="J227" s="0" t="n">
        <v>351</v>
      </c>
      <c r="L227" s="0" t="s">
        <v>2167</v>
      </c>
      <c r="O227" s="0" t="n">
        <v>9.4</v>
      </c>
      <c r="U227" s="0" t="n">
        <v>10</v>
      </c>
      <c r="V227" s="0" t="s">
        <v>2168</v>
      </c>
      <c r="W227" s="0" t="s">
        <v>901</v>
      </c>
      <c r="X227" s="0" t="s">
        <v>1111</v>
      </c>
      <c r="Y227" s="0" t="s">
        <v>2169</v>
      </c>
      <c r="Z227" s="0" t="n">
        <v>28130</v>
      </c>
      <c r="AA227" s="0" t="s">
        <v>2170</v>
      </c>
      <c r="AB227" s="0" t="s">
        <v>904</v>
      </c>
      <c r="AC227" s="0" t="s">
        <v>198</v>
      </c>
      <c r="AD227" s="0" t="s">
        <v>198</v>
      </c>
      <c r="AE227" s="0" t="s">
        <v>198</v>
      </c>
      <c r="AF227" s="0" t="s">
        <v>198</v>
      </c>
      <c r="AG227" s="0" t="s">
        <v>198</v>
      </c>
      <c r="AH227" s="0" t="s">
        <v>905</v>
      </c>
      <c r="AI227" s="0" t="n">
        <v>4</v>
      </c>
      <c r="AJ227" s="0" t="s">
        <v>99</v>
      </c>
      <c r="AK227" s="0" t="n">
        <v>226</v>
      </c>
      <c r="AL227" s="0" t="n">
        <v>94</v>
      </c>
      <c r="AM227" s="0" t="s">
        <v>595</v>
      </c>
      <c r="EC227" s="0" t="s">
        <v>2171</v>
      </c>
      <c r="EG227" s="0" t="n">
        <v>2026</v>
      </c>
      <c r="EH227" s="0" t="n">
        <v>2026</v>
      </c>
      <c r="EI227" s="0" t="n">
        <v>0</v>
      </c>
      <c r="EJ227" s="0" t="n">
        <v>75</v>
      </c>
      <c r="EK227" s="0" t="n">
        <v>195</v>
      </c>
      <c r="EL227" s="0" t="s">
        <v>2172</v>
      </c>
      <c r="EM227" s="0" t="n">
        <v>22.1</v>
      </c>
      <c r="EN227" s="15" t="b">
        <f aca="false">TRUE()</f>
        <v>1</v>
      </c>
      <c r="EO227" s="0" t="n">
        <v>398</v>
      </c>
      <c r="EP227" s="0" t="n">
        <v>2.76407035175879</v>
      </c>
      <c r="EQ227" s="0" t="n">
        <v>0.183417085427136</v>
      </c>
      <c r="ER227" s="0" t="n">
        <v>1.05276381909548</v>
      </c>
      <c r="ES227" s="0" t="n">
        <v>0.42462311557789</v>
      </c>
      <c r="ET227" s="0" t="n">
        <v>48</v>
      </c>
      <c r="EU227" s="0" t="n">
        <v>34</v>
      </c>
      <c r="EV227" s="0" t="n">
        <v>3.76130653266332</v>
      </c>
      <c r="EW227" s="0" t="n">
        <v>0.708333333333333</v>
      </c>
      <c r="EX227" s="0" t="n">
        <v>2.97696363334511</v>
      </c>
      <c r="EY227" s="0" t="n">
        <v>2.736</v>
      </c>
      <c r="EZ227" s="0" t="n">
        <v>0.1938</v>
      </c>
      <c r="FA227" s="0" t="n">
        <v>2.699</v>
      </c>
      <c r="FB227" s="0" t="n">
        <v>1.426</v>
      </c>
      <c r="FC227" s="0" t="n">
        <v>31</v>
      </c>
      <c r="FD227" s="0" t="n">
        <v>638</v>
      </c>
      <c r="FE227" s="0" t="n">
        <v>0.0595611285266458</v>
      </c>
      <c r="FF227" s="0" t="n">
        <v>0.0571</v>
      </c>
      <c r="FG227" s="0" t="n">
        <v>0.172</v>
      </c>
      <c r="FH227" s="0" t="n">
        <v>2.292</v>
      </c>
      <c r="FI227" s="0" t="n">
        <v>1065</v>
      </c>
      <c r="FJ227" s="0" t="n">
        <v>0.564319248826291</v>
      </c>
      <c r="FK227" s="0" t="n">
        <v>17</v>
      </c>
      <c r="FL227" s="0" t="n">
        <v>62.65</v>
      </c>
      <c r="FM227" s="0" t="n">
        <v>0.5148</v>
      </c>
      <c r="FN227" s="0" t="n">
        <v>0.4852</v>
      </c>
      <c r="FO227" s="0" t="n">
        <v>-0.0347</v>
      </c>
      <c r="FP227" s="0" t="n">
        <v>0.0138</v>
      </c>
      <c r="FQ227" s="0" t="n">
        <v>-0.0264</v>
      </c>
      <c r="FR227" s="0" t="n">
        <v>41</v>
      </c>
      <c r="FS227" s="0" t="n">
        <v>53</v>
      </c>
      <c r="FT227" s="0" t="n">
        <v>3.12</v>
      </c>
      <c r="FU227" s="0" t="n">
        <v>22.4</v>
      </c>
      <c r="FV227" s="0" t="n">
        <v>5692</v>
      </c>
      <c r="FW227" s="0" t="n">
        <v>4502</v>
      </c>
      <c r="FX227" s="0" t="n">
        <v>0.791</v>
      </c>
      <c r="FY227" s="0" t="n">
        <v>5</v>
      </c>
      <c r="FZ227" s="0" t="n">
        <v>4</v>
      </c>
      <c r="GA227" s="0" t="n">
        <v>-0.202503543001561</v>
      </c>
      <c r="GB227" s="0" t="n">
        <v>46.3</v>
      </c>
      <c r="GC227" s="0" t="n">
        <v>65.4</v>
      </c>
      <c r="GD227" s="0" t="n">
        <v>57.4</v>
      </c>
      <c r="GE227" s="0" t="n">
        <v>541</v>
      </c>
      <c r="GF227" s="0" t="n">
        <v>472</v>
      </c>
      <c r="GG227" s="0" t="n">
        <v>111</v>
      </c>
      <c r="GH227" s="0" t="n">
        <v>138</v>
      </c>
      <c r="GI227" s="0" t="n">
        <v>136</v>
      </c>
      <c r="GJ227" s="0" t="n">
        <v>38</v>
      </c>
      <c r="GK227" s="0" t="n">
        <v>0.205</v>
      </c>
      <c r="GL227" s="0" t="n">
        <v>0.292</v>
      </c>
      <c r="GM227" s="0" t="n">
        <v>0.279</v>
      </c>
      <c r="HF227" s="0" t="s">
        <v>206</v>
      </c>
      <c r="HG227" s="0" t="n">
        <v>254.24</v>
      </c>
      <c r="HH227" s="0" t="n">
        <v>35.2</v>
      </c>
      <c r="HI227" s="0" t="n">
        <v>184</v>
      </c>
      <c r="HJ227" s="0" t="n">
        <v>351</v>
      </c>
      <c r="HK227" s="0" t="s">
        <v>909</v>
      </c>
      <c r="HL227" s="0" t="n">
        <v>0</v>
      </c>
      <c r="HN227" s="0" t="n">
        <v>94</v>
      </c>
    </row>
    <row r="228" customFormat="false" ht="15" hidden="false" customHeight="false" outlineLevel="0" collapsed="false">
      <c r="A228" s="0" t="s">
        <v>896</v>
      </c>
      <c r="B228" s="0" t="s">
        <v>897</v>
      </c>
      <c r="C228" s="0" t="s">
        <v>898</v>
      </c>
      <c r="D228" s="0" t="s">
        <v>596</v>
      </c>
      <c r="E228" s="0" t="n">
        <v>26022</v>
      </c>
      <c r="F228" s="0" t="s">
        <v>99</v>
      </c>
      <c r="G228" s="0" t="n">
        <v>254.68</v>
      </c>
      <c r="H228" s="0" t="n">
        <v>23.67</v>
      </c>
      <c r="I228" s="0" t="n">
        <v>197</v>
      </c>
      <c r="J228" s="0" t="n">
        <v>323</v>
      </c>
      <c r="L228" s="0" t="s">
        <v>2173</v>
      </c>
      <c r="O228" s="0" t="n">
        <v>8.6</v>
      </c>
      <c r="U228" s="0" t="n">
        <v>11</v>
      </c>
      <c r="V228" s="0" t="s">
        <v>596</v>
      </c>
      <c r="W228" s="0" t="s">
        <v>901</v>
      </c>
      <c r="X228" s="0" t="s">
        <v>115</v>
      </c>
      <c r="Y228" s="0" t="s">
        <v>2174</v>
      </c>
      <c r="Z228" s="0" t="n">
        <v>26022</v>
      </c>
      <c r="AA228" s="0" t="s">
        <v>2175</v>
      </c>
      <c r="AB228" s="0" t="s">
        <v>904</v>
      </c>
      <c r="AC228" s="0" t="s">
        <v>115</v>
      </c>
      <c r="AD228" s="0" t="s">
        <v>115</v>
      </c>
      <c r="AE228" s="0" t="s">
        <v>115</v>
      </c>
      <c r="AF228" s="0" t="s">
        <v>115</v>
      </c>
      <c r="AG228" s="0" t="s">
        <v>115</v>
      </c>
      <c r="AH228" s="0" t="s">
        <v>905</v>
      </c>
      <c r="AI228" s="0" t="n">
        <v>2</v>
      </c>
      <c r="AJ228" s="0" t="s">
        <v>270</v>
      </c>
      <c r="AK228" s="0" t="n">
        <v>227</v>
      </c>
      <c r="AL228" s="0" t="n">
        <v>95</v>
      </c>
      <c r="AM228" s="0" t="s">
        <v>597</v>
      </c>
      <c r="AN228" s="0" t="n">
        <v>0</v>
      </c>
      <c r="AO228" s="0" t="n">
        <v>0</v>
      </c>
      <c r="AP228" s="0" t="n">
        <v>0</v>
      </c>
      <c r="AQ228" s="0" t="n">
        <v>0</v>
      </c>
      <c r="AR228" s="0" t="n">
        <v>0</v>
      </c>
      <c r="AS228" s="0" t="n">
        <v>0</v>
      </c>
      <c r="AT228" s="0" t="n">
        <v>0</v>
      </c>
      <c r="AU228" s="0" t="n">
        <v>0</v>
      </c>
      <c r="AV228" s="0" t="n">
        <v>0</v>
      </c>
      <c r="AW228" s="0" t="n">
        <v>0</v>
      </c>
      <c r="AX228" s="0" t="n">
        <v>0</v>
      </c>
      <c r="AY228" s="0" t="n">
        <v>0</v>
      </c>
      <c r="AZ228" s="0" t="n">
        <v>0</v>
      </c>
      <c r="BA228" s="0" t="n">
        <v>0</v>
      </c>
      <c r="BB228" s="0" t="n">
        <v>0</v>
      </c>
      <c r="BC228" s="0" t="n">
        <v>13</v>
      </c>
      <c r="BD228" s="0" t="n">
        <v>22</v>
      </c>
      <c r="BE228" s="0" t="n">
        <v>161</v>
      </c>
      <c r="BF228" s="0" t="n">
        <v>5</v>
      </c>
      <c r="BG228" s="0" t="n">
        <v>337</v>
      </c>
      <c r="BH228" s="0" t="n">
        <v>33</v>
      </c>
      <c r="BI228" s="0" t="n">
        <v>7</v>
      </c>
      <c r="BJ228" s="0" t="n">
        <v>10.2457756163879</v>
      </c>
      <c r="BK228" s="0" t="n">
        <v>0</v>
      </c>
      <c r="BL228" s="0" t="n">
        <v>1</v>
      </c>
      <c r="BM228" s="0" t="n">
        <v>52.1</v>
      </c>
      <c r="BN228" s="0" t="n">
        <v>65.1</v>
      </c>
      <c r="BO228" s="0" t="n">
        <v>8</v>
      </c>
      <c r="BP228" s="0" t="s">
        <v>115</v>
      </c>
      <c r="BQ228" s="0" t="n">
        <v>1</v>
      </c>
      <c r="BR228" s="0" t="n">
        <v>58.6</v>
      </c>
      <c r="BS228" s="0" t="n">
        <v>0.0484</v>
      </c>
      <c r="BT228" s="0" t="n">
        <v>0</v>
      </c>
      <c r="BU228" s="0" t="n">
        <v>0.0919</v>
      </c>
      <c r="BV228" s="0" t="n">
        <v>0.1063</v>
      </c>
      <c r="BW228" s="0" t="n">
        <v>0</v>
      </c>
      <c r="BX228" s="0" t="n">
        <v>0.1737</v>
      </c>
      <c r="BY228" s="0" t="n">
        <v>0.281</v>
      </c>
      <c r="BZ228" s="0" t="n">
        <v>8</v>
      </c>
      <c r="CA228" s="0" t="n">
        <v>0</v>
      </c>
      <c r="CB228" s="0" t="n">
        <v>17.93</v>
      </c>
      <c r="CC228" s="0" t="n">
        <v>6.6</v>
      </c>
      <c r="CD228" s="0" t="n">
        <v>8.7</v>
      </c>
      <c r="CE228" s="0" t="n">
        <v>1</v>
      </c>
      <c r="CF228" s="0" t="n">
        <v>4</v>
      </c>
      <c r="CG228" s="0" t="n">
        <v>8</v>
      </c>
      <c r="CH228" s="0" t="n">
        <v>0.125</v>
      </c>
      <c r="CI228" s="0" t="n">
        <v>0.5</v>
      </c>
      <c r="CJ228" s="0" t="n">
        <v>1.318</v>
      </c>
      <c r="CK228" s="0" t="n">
        <v>4</v>
      </c>
      <c r="CL228" s="0" t="n">
        <v>3</v>
      </c>
      <c r="CM228" s="0" t="n">
        <v>1</v>
      </c>
      <c r="CN228" s="0" t="n">
        <v>5</v>
      </c>
      <c r="CO228" s="0" t="n">
        <v>1.59716086517443</v>
      </c>
      <c r="CP228" s="0" t="n">
        <v>0</v>
      </c>
      <c r="CQ228" s="0" t="n">
        <v>0</v>
      </c>
      <c r="CR228" s="0" t="n">
        <v>0</v>
      </c>
      <c r="CS228" s="0" t="n">
        <v>0</v>
      </c>
      <c r="CT228" s="0" t="n">
        <v>0</v>
      </c>
      <c r="CU228" s="0" t="n">
        <v>4</v>
      </c>
      <c r="CV228" s="0" t="n">
        <v>3</v>
      </c>
      <c r="CW228" s="0" t="n">
        <v>1</v>
      </c>
      <c r="CX228" s="0" t="n">
        <v>5</v>
      </c>
      <c r="CY228" s="0" t="n">
        <v>1.6</v>
      </c>
      <c r="CZ228" s="0" t="n">
        <v>3.4</v>
      </c>
      <c r="DM228" s="0" t="s">
        <v>2176</v>
      </c>
      <c r="DS228" s="0" t="n">
        <v>22</v>
      </c>
      <c r="DT228" s="0" t="n">
        <v>1</v>
      </c>
      <c r="DU228" s="0" t="n">
        <v>0</v>
      </c>
      <c r="DV228" s="0" t="n">
        <v>9.846</v>
      </c>
      <c r="DW228" s="0" t="n">
        <v>2.538</v>
      </c>
      <c r="DX228" s="0" t="n">
        <v>15.3</v>
      </c>
      <c r="DY228" s="0" t="n">
        <v>0</v>
      </c>
      <c r="DZ228" s="0" t="n">
        <v>226</v>
      </c>
      <c r="EA228" s="0" t="n">
        <v>0.481</v>
      </c>
      <c r="EB228" s="0" t="n">
        <v>8</v>
      </c>
      <c r="EC228" s="0" t="s">
        <v>2177</v>
      </c>
      <c r="ED228" s="0" t="n">
        <v>2025</v>
      </c>
      <c r="EE228" s="0" t="n">
        <v>5</v>
      </c>
      <c r="EF228" s="0" t="n">
        <v>166</v>
      </c>
      <c r="EG228" s="0" t="n">
        <v>2025</v>
      </c>
      <c r="EH228" s="0" t="n">
        <v>2026</v>
      </c>
      <c r="EI228" s="0" t="n">
        <v>2</v>
      </c>
      <c r="EJ228" s="0" t="n">
        <v>74</v>
      </c>
      <c r="EK228" s="0" t="n">
        <v>196</v>
      </c>
      <c r="EL228" s="0" t="s">
        <v>2178</v>
      </c>
      <c r="EM228" s="0" t="n">
        <v>23.7</v>
      </c>
      <c r="EN228" s="15" t="b">
        <f aca="false">FALSE()</f>
        <v>0</v>
      </c>
      <c r="EO228" s="0" t="n">
        <v>435</v>
      </c>
      <c r="EP228" s="0" t="n">
        <v>2.8048275862069</v>
      </c>
      <c r="EQ228" s="0" t="n">
        <v>0.204597701149425</v>
      </c>
      <c r="ER228" s="0" t="n">
        <v>1.20689655172414</v>
      </c>
      <c r="ES228" s="0" t="n">
        <v>0.809195402298851</v>
      </c>
      <c r="ET228" s="0" t="n">
        <v>31</v>
      </c>
      <c r="EU228" s="0" t="n">
        <v>19</v>
      </c>
      <c r="EV228" s="0" t="n">
        <v>4.26666666666667</v>
      </c>
      <c r="EW228" s="0" t="n">
        <v>0.612903225806452</v>
      </c>
      <c r="EX228" s="0" t="n">
        <v>2.99550865366612</v>
      </c>
      <c r="EY228" s="0" t="n">
        <v>2.758</v>
      </c>
      <c r="EZ228" s="0" t="n">
        <v>0.2121</v>
      </c>
      <c r="FA228" s="0" t="n">
        <v>2.477</v>
      </c>
      <c r="FB228" s="0" t="n">
        <v>1.657</v>
      </c>
      <c r="FC228" s="0" t="n">
        <v>42</v>
      </c>
      <c r="FD228" s="0" t="n">
        <v>518</v>
      </c>
      <c r="FE228" s="0" t="n">
        <v>0.0521235521235521</v>
      </c>
      <c r="FF228" s="0" t="n">
        <v>0.0535</v>
      </c>
      <c r="FG228" s="0" t="n">
        <v>0.2266</v>
      </c>
      <c r="FH228" s="0" t="n">
        <v>2.4</v>
      </c>
      <c r="FI228" s="0" t="n">
        <v>997</v>
      </c>
      <c r="FJ228" s="0" t="n">
        <v>0.507522567703109</v>
      </c>
      <c r="FK228" s="0" t="n">
        <v>17</v>
      </c>
      <c r="FL228" s="0" t="n">
        <v>58.65</v>
      </c>
      <c r="FM228" s="0" t="n">
        <v>0.5204</v>
      </c>
      <c r="FN228" s="0" t="n">
        <v>0.4796</v>
      </c>
      <c r="FO228" s="0" t="n">
        <v>-0.0677</v>
      </c>
      <c r="FP228" s="0" t="n">
        <v>-0.0491</v>
      </c>
      <c r="FQ228" s="0" t="n">
        <v>0.1122</v>
      </c>
      <c r="FR228" s="0" t="n">
        <v>39</v>
      </c>
      <c r="FS228" s="0" t="n">
        <v>60</v>
      </c>
      <c r="FT228" s="0" t="n">
        <v>3.53</v>
      </c>
      <c r="FU228" s="0" t="n">
        <v>28.4</v>
      </c>
      <c r="FV228" s="0" t="n">
        <v>5338</v>
      </c>
      <c r="FW228" s="0" t="n">
        <v>5026</v>
      </c>
      <c r="FX228" s="0" t="n">
        <v>0.942</v>
      </c>
      <c r="FY228" s="0" t="n">
        <v>5</v>
      </c>
      <c r="FZ228" s="0" t="n">
        <v>5</v>
      </c>
      <c r="GA228" s="0" t="n">
        <v>-0.594571744764181</v>
      </c>
      <c r="GB228" s="0" t="n">
        <v>39.3</v>
      </c>
      <c r="GC228" s="0" t="n">
        <v>60.5</v>
      </c>
      <c r="GD228" s="0" t="n">
        <v>49.9</v>
      </c>
      <c r="GE228" s="0" t="n">
        <v>455</v>
      </c>
      <c r="GF228" s="0" t="n">
        <v>507</v>
      </c>
      <c r="GG228" s="0" t="n">
        <v>39</v>
      </c>
      <c r="GH228" s="0" t="n">
        <v>221</v>
      </c>
      <c r="GI228" s="0" t="n">
        <v>158</v>
      </c>
      <c r="GJ228" s="0" t="n">
        <v>37</v>
      </c>
      <c r="GK228" s="0" t="n">
        <v>0.086</v>
      </c>
      <c r="GL228" s="0" t="n">
        <v>0.436</v>
      </c>
      <c r="GM228" s="0" t="n">
        <v>0.234</v>
      </c>
      <c r="GN228" s="0" t="n">
        <v>8.137</v>
      </c>
      <c r="GO228" s="0" t="n">
        <v>7.325</v>
      </c>
      <c r="GP228" s="0" t="n">
        <v>6.512</v>
      </c>
      <c r="GQ228" s="0" t="n">
        <v>2.75</v>
      </c>
      <c r="GR228" s="0" t="n">
        <v>0</v>
      </c>
      <c r="GS228" s="0" t="n">
        <v>22</v>
      </c>
      <c r="GT228" s="0" t="n">
        <v>2.959</v>
      </c>
      <c r="GU228" s="0" t="n">
        <v>0.288</v>
      </c>
      <c r="GV228" s="0" t="n">
        <v>7.318</v>
      </c>
      <c r="GW228" s="0" t="n">
        <v>12.385</v>
      </c>
      <c r="GX228" s="0" t="n">
        <v>0.591</v>
      </c>
      <c r="GZ228" s="0" t="n">
        <v>15.318</v>
      </c>
      <c r="HA228" s="0" t="n">
        <v>2.538</v>
      </c>
      <c r="HB228" s="0" t="n">
        <v>0.478</v>
      </c>
      <c r="HC228" s="0" t="n">
        <v>0.227</v>
      </c>
      <c r="HE228" s="0" t="n">
        <v>0.466</v>
      </c>
      <c r="HG228" s="0" t="n">
        <v>254.68</v>
      </c>
      <c r="HH228" s="0" t="n">
        <v>23.67</v>
      </c>
      <c r="HI228" s="0" t="n">
        <v>197</v>
      </c>
      <c r="HJ228" s="0" t="n">
        <v>323</v>
      </c>
      <c r="HK228" s="0" t="s">
        <v>909</v>
      </c>
      <c r="HL228" s="0" t="n">
        <v>0</v>
      </c>
      <c r="HM228" s="0" t="n">
        <v>76</v>
      </c>
      <c r="HN228" s="0" t="n">
        <v>95</v>
      </c>
      <c r="HO228" s="0" t="n">
        <v>0.069</v>
      </c>
      <c r="HP228" s="0" t="n">
        <v>59</v>
      </c>
      <c r="HQ228" s="0" t="n">
        <v>0.814</v>
      </c>
      <c r="HR228" s="0" t="s">
        <v>102</v>
      </c>
    </row>
    <row r="229" customFormat="false" ht="15" hidden="false" customHeight="false" outlineLevel="0" collapsed="false">
      <c r="A229" s="0" t="s">
        <v>896</v>
      </c>
      <c r="B229" s="0" t="s">
        <v>897</v>
      </c>
      <c r="C229" s="0" t="s">
        <v>898</v>
      </c>
      <c r="D229" s="0" t="s">
        <v>598</v>
      </c>
      <c r="E229" s="0" t="n">
        <v>27994</v>
      </c>
      <c r="F229" s="0" t="s">
        <v>99</v>
      </c>
      <c r="G229" s="0" t="n">
        <v>254.83</v>
      </c>
      <c r="H229" s="0" t="n">
        <v>33.83</v>
      </c>
      <c r="I229" s="0" t="n">
        <v>190</v>
      </c>
      <c r="J229" s="0" t="n">
        <v>379</v>
      </c>
      <c r="L229" s="0" t="s">
        <v>2179</v>
      </c>
      <c r="O229" s="0" t="n">
        <v>9.6</v>
      </c>
      <c r="U229" s="0" t="n">
        <v>8</v>
      </c>
      <c r="V229" s="0" t="s">
        <v>598</v>
      </c>
      <c r="W229" s="0" t="s">
        <v>901</v>
      </c>
      <c r="X229" s="0" t="s">
        <v>178</v>
      </c>
      <c r="Y229" s="0" t="s">
        <v>2180</v>
      </c>
      <c r="Z229" s="0" t="n">
        <v>27994</v>
      </c>
      <c r="AA229" s="0" t="s">
        <v>2181</v>
      </c>
      <c r="AB229" s="0" t="s">
        <v>904</v>
      </c>
      <c r="AC229" s="0" t="s">
        <v>178</v>
      </c>
      <c r="AD229" s="0" t="s">
        <v>178</v>
      </c>
      <c r="AE229" s="0" t="s">
        <v>178</v>
      </c>
      <c r="AF229" s="0" t="s">
        <v>178</v>
      </c>
      <c r="AG229" s="0" t="s">
        <v>178</v>
      </c>
      <c r="AH229" s="0" t="s">
        <v>905</v>
      </c>
      <c r="AI229" s="0" t="n">
        <v>5</v>
      </c>
      <c r="AJ229" s="0" t="s">
        <v>99</v>
      </c>
      <c r="AK229" s="0" t="n">
        <v>228</v>
      </c>
      <c r="AL229" s="0" t="n">
        <v>96</v>
      </c>
      <c r="AM229" s="0" t="s">
        <v>599</v>
      </c>
      <c r="EC229" s="0" t="s">
        <v>2182</v>
      </c>
      <c r="EG229" s="0" t="n">
        <v>2026</v>
      </c>
      <c r="EH229" s="0" t="n">
        <v>2026</v>
      </c>
      <c r="EI229" s="0" t="n">
        <v>0</v>
      </c>
      <c r="EJ229" s="0" t="n">
        <v>76</v>
      </c>
      <c r="EK229" s="0" t="n">
        <v>222</v>
      </c>
      <c r="EL229" s="0" t="s">
        <v>2183</v>
      </c>
      <c r="EM229" s="0" t="n">
        <v>23</v>
      </c>
      <c r="EN229" s="15" t="b">
        <f aca="false">TRUE()</f>
        <v>1</v>
      </c>
      <c r="EO229" s="0" t="n">
        <v>396</v>
      </c>
      <c r="EP229" s="0" t="n">
        <v>2.99646464646465</v>
      </c>
      <c r="EQ229" s="0" t="n">
        <v>0.146464646464647</v>
      </c>
      <c r="ER229" s="0" t="n">
        <v>1.08080808080808</v>
      </c>
      <c r="ES229" s="0" t="n">
        <v>0.441919191919192</v>
      </c>
      <c r="ET229" s="0" t="n">
        <v>24</v>
      </c>
      <c r="EU229" s="0" t="n">
        <v>15</v>
      </c>
      <c r="EV229" s="0" t="n">
        <v>4.00757575757576</v>
      </c>
      <c r="EW229" s="0" t="n">
        <v>0.625</v>
      </c>
      <c r="EX229" s="0" t="n">
        <v>2.97085160992848</v>
      </c>
      <c r="EY229" s="0" t="n">
        <v>2.974</v>
      </c>
      <c r="EZ229" s="0" t="n">
        <v>0.1475</v>
      </c>
      <c r="FA229" s="0" t="n">
        <v>2.714</v>
      </c>
      <c r="FB229" s="0" t="n">
        <v>1.581</v>
      </c>
      <c r="FC229" s="0" t="n">
        <v>16</v>
      </c>
      <c r="FD229" s="0" t="n">
        <v>624</v>
      </c>
      <c r="FE229" s="0" t="n">
        <v>0.0769230769230769</v>
      </c>
      <c r="FF229" s="0" t="n">
        <v>0.076</v>
      </c>
      <c r="FG229" s="0" t="n">
        <v>0.2947</v>
      </c>
      <c r="FH229" s="0" t="n">
        <v>2.388</v>
      </c>
      <c r="FI229" s="0" t="n">
        <v>1079</v>
      </c>
      <c r="FJ229" s="0" t="n">
        <v>0.533827618164968</v>
      </c>
      <c r="FK229" s="0" t="n">
        <v>17</v>
      </c>
      <c r="FL229" s="0" t="n">
        <v>63.47</v>
      </c>
      <c r="FM229" s="0" t="n">
        <v>0.494</v>
      </c>
      <c r="FN229" s="0" t="n">
        <v>0.506</v>
      </c>
      <c r="FO229" s="0" t="n">
        <v>-0.0466</v>
      </c>
      <c r="FP229" s="0" t="n">
        <v>0.0356</v>
      </c>
      <c r="FQ229" s="0" t="n">
        <v>-0.008</v>
      </c>
      <c r="FR229" s="0" t="n">
        <v>36</v>
      </c>
      <c r="FS229" s="0" t="n">
        <v>61</v>
      </c>
      <c r="FT229" s="0" t="n">
        <v>3.59</v>
      </c>
      <c r="FU229" s="0" t="n">
        <v>22.4</v>
      </c>
      <c r="FV229" s="0" t="n">
        <v>5756</v>
      </c>
      <c r="FW229" s="0" t="n">
        <v>4159</v>
      </c>
      <c r="FX229" s="0" t="n">
        <v>0.723</v>
      </c>
      <c r="FY229" s="0" t="n">
        <v>5</v>
      </c>
      <c r="FZ229" s="0" t="n">
        <v>4</v>
      </c>
      <c r="GA229" s="0" t="n">
        <v>0.375872277758655</v>
      </c>
      <c r="GB229" s="0" t="n">
        <v>56.8</v>
      </c>
      <c r="GC229" s="0" t="n">
        <v>36.8</v>
      </c>
      <c r="GD229" s="0" t="n">
        <v>45.9</v>
      </c>
      <c r="GE229" s="0" t="n">
        <v>503</v>
      </c>
      <c r="GF229" s="0" t="n">
        <v>511</v>
      </c>
      <c r="GG229" s="0" t="n">
        <v>177</v>
      </c>
      <c r="GH229" s="0" t="n">
        <v>3</v>
      </c>
      <c r="GI229" s="0" t="n">
        <v>162</v>
      </c>
      <c r="GJ229" s="0" t="n">
        <v>21</v>
      </c>
      <c r="GK229" s="0" t="n">
        <v>0.352</v>
      </c>
      <c r="GL229" s="0" t="n">
        <v>0.006</v>
      </c>
      <c r="GM229" s="0" t="n">
        <v>0.13</v>
      </c>
      <c r="HF229" s="0" t="s">
        <v>206</v>
      </c>
      <c r="HG229" s="0" t="n">
        <v>254.83</v>
      </c>
      <c r="HH229" s="0" t="n">
        <v>33.83</v>
      </c>
      <c r="HI229" s="0" t="n">
        <v>190</v>
      </c>
      <c r="HJ229" s="0" t="n">
        <v>379</v>
      </c>
      <c r="HK229" s="0" t="s">
        <v>909</v>
      </c>
      <c r="HL229" s="0" t="n">
        <v>0</v>
      </c>
      <c r="HN229" s="0" t="n">
        <v>96</v>
      </c>
    </row>
    <row r="230" customFormat="false" ht="15" hidden="false" customHeight="false" outlineLevel="0" collapsed="false">
      <c r="A230" s="0" t="s">
        <v>896</v>
      </c>
      <c r="B230" s="0" t="s">
        <v>897</v>
      </c>
      <c r="C230" s="0" t="s">
        <v>898</v>
      </c>
      <c r="D230" s="0" t="s">
        <v>600</v>
      </c>
      <c r="E230" s="0" t="n">
        <v>18406</v>
      </c>
      <c r="F230" s="0" t="s">
        <v>104</v>
      </c>
      <c r="G230" s="0" t="n">
        <v>255.07</v>
      </c>
      <c r="H230" s="0" t="n">
        <v>36.02</v>
      </c>
      <c r="I230" s="0" t="n">
        <v>156</v>
      </c>
      <c r="J230" s="0" t="n">
        <v>385</v>
      </c>
      <c r="L230" s="0" t="s">
        <v>2184</v>
      </c>
      <c r="O230" s="0" t="n">
        <v>2.6</v>
      </c>
      <c r="U230" s="0" t="n">
        <v>7</v>
      </c>
      <c r="V230" s="0" t="s">
        <v>600</v>
      </c>
      <c r="W230" s="0" t="s">
        <v>901</v>
      </c>
      <c r="X230" s="0" t="s">
        <v>147</v>
      </c>
      <c r="Y230" s="0" t="s">
        <v>2185</v>
      </c>
      <c r="Z230" s="0" t="n">
        <v>18406</v>
      </c>
      <c r="AA230" s="0" t="s">
        <v>2186</v>
      </c>
      <c r="AB230" s="0" t="s">
        <v>904</v>
      </c>
      <c r="AC230" s="0" t="s">
        <v>147</v>
      </c>
      <c r="AD230" s="0" t="s">
        <v>147</v>
      </c>
      <c r="AE230" s="0" t="s">
        <v>147</v>
      </c>
      <c r="AF230" s="0" t="s">
        <v>147</v>
      </c>
      <c r="AG230" s="0" t="s">
        <v>147</v>
      </c>
      <c r="AH230" s="0" t="s">
        <v>905</v>
      </c>
      <c r="AI230" s="0" t="n">
        <v>2</v>
      </c>
      <c r="AJ230" s="0" t="s">
        <v>281</v>
      </c>
      <c r="AK230" s="0" t="n">
        <v>229</v>
      </c>
      <c r="AL230" s="0" t="n">
        <v>73</v>
      </c>
      <c r="AM230" s="0" t="s">
        <v>601</v>
      </c>
      <c r="AN230" s="0" t="n">
        <v>0</v>
      </c>
      <c r="AO230" s="0" t="n">
        <v>0</v>
      </c>
      <c r="AP230" s="0" t="n">
        <v>0</v>
      </c>
      <c r="AQ230" s="0" t="n">
        <v>0</v>
      </c>
      <c r="AR230" s="0" t="n">
        <v>0</v>
      </c>
      <c r="AS230" s="0" t="n">
        <v>0</v>
      </c>
      <c r="AT230" s="0" t="n">
        <v>0</v>
      </c>
      <c r="AU230" s="0" t="n">
        <v>0</v>
      </c>
      <c r="AV230" s="0" t="n">
        <v>0</v>
      </c>
      <c r="AW230" s="0" t="n">
        <v>50</v>
      </c>
      <c r="AX230" s="0" t="n">
        <v>200</v>
      </c>
      <c r="AY230" s="0" t="n">
        <v>3</v>
      </c>
      <c r="AZ230" s="0" t="n">
        <v>13</v>
      </c>
      <c r="BA230" s="0" t="n">
        <v>2.76324966031825</v>
      </c>
      <c r="BB230" s="0" t="n">
        <v>0</v>
      </c>
      <c r="BC230" s="0" t="n">
        <v>24</v>
      </c>
      <c r="BD230" s="0" t="n">
        <v>33</v>
      </c>
      <c r="BE230" s="0" t="n">
        <v>263</v>
      </c>
      <c r="BF230" s="0" t="n">
        <v>2</v>
      </c>
      <c r="BG230" s="0" t="n">
        <v>-39</v>
      </c>
      <c r="BH230" s="0" t="n">
        <v>301</v>
      </c>
      <c r="BI230" s="0" t="n">
        <v>11</v>
      </c>
      <c r="BJ230" s="0" t="n">
        <v>11.4494839878753</v>
      </c>
      <c r="BK230" s="0" t="n">
        <v>0</v>
      </c>
      <c r="BL230" s="0" t="n">
        <v>0</v>
      </c>
      <c r="BM230" s="0" t="n">
        <v>76.3</v>
      </c>
      <c r="BN230" s="0" t="n">
        <v>100.3</v>
      </c>
      <c r="BO230" s="0" t="n">
        <v>17</v>
      </c>
      <c r="BP230" s="0" t="s">
        <v>147</v>
      </c>
      <c r="BQ230" s="0" t="n">
        <v>1</v>
      </c>
      <c r="BR230" s="0" t="n">
        <v>88.3</v>
      </c>
      <c r="BS230" s="0" t="n">
        <v>0.0689</v>
      </c>
      <c r="BT230" s="0" t="n">
        <v>0.0914</v>
      </c>
      <c r="BU230" s="0" t="n">
        <v>-0.0112</v>
      </c>
      <c r="BV230" s="0" t="n">
        <v>0.0689</v>
      </c>
      <c r="BW230" s="0" t="n">
        <v>0.0914</v>
      </c>
      <c r="BX230" s="0" t="n">
        <v>-0.0112</v>
      </c>
      <c r="BY230" s="0" t="n">
        <v>0.0955</v>
      </c>
      <c r="BZ230" s="0" t="n">
        <v>17</v>
      </c>
      <c r="CA230" s="0" t="n">
        <v>2.4</v>
      </c>
      <c r="CB230" s="0" t="n">
        <v>9.28</v>
      </c>
      <c r="CC230" s="0" t="n">
        <v>5.5</v>
      </c>
      <c r="CD230" s="0" t="n">
        <v>5.29</v>
      </c>
      <c r="CE230" s="0" t="n">
        <v>1</v>
      </c>
      <c r="CF230" s="0" t="n">
        <v>4</v>
      </c>
      <c r="CG230" s="0" t="n">
        <v>17</v>
      </c>
      <c r="CH230" s="0" t="n">
        <v>0.059</v>
      </c>
      <c r="CI230" s="0" t="n">
        <v>0.235</v>
      </c>
      <c r="CJ230" s="0" t="n">
        <v>0.961</v>
      </c>
      <c r="CK230" s="0" t="n">
        <v>4</v>
      </c>
      <c r="CL230" s="0" t="n">
        <v>1</v>
      </c>
      <c r="CM230" s="0" t="n">
        <v>0</v>
      </c>
      <c r="CN230" s="0" t="n">
        <v>2</v>
      </c>
      <c r="CO230" s="0" t="n">
        <v>1.15133920676637</v>
      </c>
      <c r="CP230" s="0" t="n">
        <v>19</v>
      </c>
      <c r="CQ230" s="0" t="n">
        <v>11</v>
      </c>
      <c r="CR230" s="0" t="n">
        <v>6</v>
      </c>
      <c r="CS230" s="0" t="n">
        <v>3</v>
      </c>
      <c r="CT230" s="0" t="n">
        <v>3.69415944784368</v>
      </c>
      <c r="CU230" s="0" t="n">
        <v>23</v>
      </c>
      <c r="CV230" s="0" t="n">
        <v>12</v>
      </c>
      <c r="CW230" s="0" t="n">
        <v>6</v>
      </c>
      <c r="CX230" s="0" t="n">
        <v>5</v>
      </c>
      <c r="CY230" s="0" t="n">
        <v>4.85</v>
      </c>
      <c r="CZ230" s="0" t="n">
        <v>0.15</v>
      </c>
      <c r="DM230" s="0" t="s">
        <v>2187</v>
      </c>
      <c r="DN230" s="0" t="n">
        <v>50</v>
      </c>
      <c r="DO230" s="0" t="n">
        <v>2</v>
      </c>
      <c r="DP230" s="0" t="n">
        <v>2.58</v>
      </c>
      <c r="DQ230" s="0" t="n">
        <v>1.42</v>
      </c>
      <c r="DR230" s="0" t="n">
        <v>25</v>
      </c>
      <c r="DS230" s="0" t="n">
        <v>33</v>
      </c>
      <c r="DT230" s="0" t="n">
        <v>4</v>
      </c>
      <c r="DU230" s="0" t="n">
        <v>2</v>
      </c>
      <c r="DV230" s="0" t="n">
        <v>-1.583</v>
      </c>
      <c r="DW230" s="0" t="n">
        <v>12.542</v>
      </c>
      <c r="DX230" s="0" t="n">
        <v>-1.2</v>
      </c>
      <c r="DY230" s="0" t="n">
        <v>0.0606</v>
      </c>
      <c r="DZ230" s="0" t="n">
        <v>335</v>
      </c>
      <c r="EA230" s="0" t="n">
        <v>0.296</v>
      </c>
      <c r="EB230" s="0" t="n">
        <v>17</v>
      </c>
      <c r="EC230" s="0" t="s">
        <v>2188</v>
      </c>
      <c r="ED230" s="0" t="n">
        <v>2019</v>
      </c>
      <c r="EE230" s="0" t="n">
        <v>6</v>
      </c>
      <c r="EF230" s="0" t="n">
        <v>186</v>
      </c>
      <c r="EG230" s="0" t="n">
        <v>2019</v>
      </c>
      <c r="EH230" s="0" t="n">
        <v>2026</v>
      </c>
      <c r="EI230" s="0" t="n">
        <v>8</v>
      </c>
      <c r="EJ230" s="0" t="n">
        <v>70</v>
      </c>
      <c r="EK230" s="0" t="n">
        <v>210</v>
      </c>
      <c r="EL230" s="0" t="s">
        <v>1204</v>
      </c>
      <c r="EM230" s="0" t="n">
        <v>28.9</v>
      </c>
      <c r="EN230" s="15" t="b">
        <f aca="false">FALSE()</f>
        <v>0</v>
      </c>
      <c r="EO230" s="0" t="n">
        <v>419</v>
      </c>
      <c r="EP230" s="0" t="n">
        <v>3.36658711217184</v>
      </c>
      <c r="EQ230" s="0" t="n">
        <v>0.126491646778043</v>
      </c>
      <c r="ER230" s="0" t="n">
        <v>1.44630071599045</v>
      </c>
      <c r="ES230" s="0" t="n">
        <v>0.897374701670644</v>
      </c>
      <c r="ET230" s="0" t="n">
        <v>37</v>
      </c>
      <c r="EU230" s="0" t="n">
        <v>20</v>
      </c>
      <c r="EV230" s="0" t="n">
        <v>5.01193317422434</v>
      </c>
      <c r="EW230" s="0" t="n">
        <v>0.540540540540541</v>
      </c>
      <c r="EX230" s="0" t="n">
        <v>2.91817960590113</v>
      </c>
      <c r="EY230" s="0" t="n">
        <v>3.397</v>
      </c>
      <c r="EZ230" s="0" t="n">
        <v>0.1265</v>
      </c>
      <c r="FA230" s="0" t="n">
        <v>2.905</v>
      </c>
      <c r="FB230" s="0" t="n">
        <v>2.057</v>
      </c>
      <c r="FC230" s="0" t="n">
        <v>35</v>
      </c>
      <c r="FD230" s="0" t="n">
        <v>584</v>
      </c>
      <c r="FE230" s="0" t="n">
        <v>0.0684931506849315</v>
      </c>
      <c r="FF230" s="0" t="n">
        <v>0.0702</v>
      </c>
      <c r="FG230" s="0" t="n">
        <v>0.2</v>
      </c>
      <c r="FH230" s="0" t="n">
        <v>2.507</v>
      </c>
      <c r="FI230" s="0" t="n">
        <v>1065</v>
      </c>
      <c r="FJ230" s="0" t="n">
        <v>0.509859154929578</v>
      </c>
      <c r="FK230" s="0" t="n">
        <v>17</v>
      </c>
      <c r="FL230" s="0" t="n">
        <v>62.65</v>
      </c>
      <c r="FM230" s="0" t="n">
        <v>0.5028</v>
      </c>
      <c r="FN230" s="0" t="n">
        <v>0.4972</v>
      </c>
      <c r="FO230" s="0" t="n">
        <v>-0.0352</v>
      </c>
      <c r="FP230" s="0" t="n">
        <v>0.1102</v>
      </c>
      <c r="FQ230" s="0" t="n">
        <v>0.1599</v>
      </c>
      <c r="FR230" s="0" t="n">
        <v>40</v>
      </c>
      <c r="FS230" s="0" t="n">
        <v>68</v>
      </c>
      <c r="FT230" s="0" t="n">
        <v>4</v>
      </c>
      <c r="FU230" s="0" t="n">
        <v>28.3</v>
      </c>
      <c r="FV230" s="0" t="n">
        <v>5677</v>
      </c>
      <c r="FW230" s="0" t="n">
        <v>4330</v>
      </c>
      <c r="FX230" s="0" t="n">
        <v>0.763</v>
      </c>
      <c r="FY230" s="0" t="n">
        <v>5</v>
      </c>
      <c r="FZ230" s="0" t="n">
        <v>4</v>
      </c>
      <c r="GA230" s="0" t="n">
        <v>1.26194193528219</v>
      </c>
      <c r="GB230" s="0" t="n">
        <v>72.8</v>
      </c>
      <c r="GC230" s="0" t="n">
        <v>64.4</v>
      </c>
      <c r="GD230" s="0" t="n">
        <v>73.6</v>
      </c>
      <c r="GE230" s="0" t="n">
        <v>479</v>
      </c>
      <c r="GF230" s="0" t="n">
        <v>547</v>
      </c>
      <c r="GG230" s="0" t="n">
        <v>19</v>
      </c>
      <c r="GH230" s="0" t="n">
        <v>17</v>
      </c>
      <c r="GI230" s="0" t="n">
        <v>180</v>
      </c>
      <c r="GJ230" s="0" t="n">
        <v>2</v>
      </c>
      <c r="GK230" s="0" t="n">
        <v>0.04</v>
      </c>
      <c r="GL230" s="0" t="n">
        <v>0.031</v>
      </c>
      <c r="GM230" s="0" t="n">
        <v>0.011</v>
      </c>
      <c r="GN230" s="0" t="n">
        <v>5.9</v>
      </c>
      <c r="GO230" s="0" t="n">
        <v>5.194</v>
      </c>
      <c r="GP230" s="0" t="n">
        <v>4.488</v>
      </c>
      <c r="GQ230" s="0" t="n">
        <v>1.941</v>
      </c>
      <c r="GR230" s="0" t="n">
        <v>2.941</v>
      </c>
      <c r="GS230" s="0" t="n">
        <v>83</v>
      </c>
      <c r="GT230" s="0" t="n">
        <v>1.208</v>
      </c>
      <c r="GU230" s="0" t="n">
        <v>0.299</v>
      </c>
      <c r="GV230" s="0" t="n">
        <v>7.97</v>
      </c>
      <c r="GW230" s="0" t="n">
        <v>10.958</v>
      </c>
      <c r="GX230" s="0" t="n">
        <v>0.727</v>
      </c>
      <c r="GY230" s="0" t="n">
        <v>4</v>
      </c>
      <c r="GZ230" s="0" t="n">
        <v>-1.182</v>
      </c>
      <c r="HA230" s="0" t="n">
        <v>12.542</v>
      </c>
      <c r="HB230" s="0" t="n">
        <v>-6.744</v>
      </c>
      <c r="HC230" s="0" t="n">
        <v>0.06</v>
      </c>
      <c r="HD230" s="0" t="n">
        <v>0.055</v>
      </c>
      <c r="HE230" s="0" t="n">
        <v>0.347</v>
      </c>
      <c r="HG230" s="0" t="n">
        <v>255.07</v>
      </c>
      <c r="HH230" s="0" t="n">
        <v>36.02</v>
      </c>
      <c r="HI230" s="0" t="n">
        <v>156</v>
      </c>
      <c r="HJ230" s="0" t="n">
        <v>385</v>
      </c>
      <c r="HK230" s="0" t="s">
        <v>909</v>
      </c>
      <c r="HL230" s="0" t="n">
        <v>0</v>
      </c>
      <c r="HM230" s="0" t="n">
        <v>45</v>
      </c>
      <c r="HN230" s="0" t="n">
        <v>73</v>
      </c>
      <c r="HO230" s="0" t="n">
        <v>0.648</v>
      </c>
      <c r="HP230" s="0" t="n">
        <v>51</v>
      </c>
      <c r="HQ230" s="0" t="n">
        <v>0.385</v>
      </c>
      <c r="HR230" s="0" t="s">
        <v>232</v>
      </c>
    </row>
    <row r="231" customFormat="false" ht="15" hidden="false" customHeight="false" outlineLevel="0" collapsed="false">
      <c r="A231" s="0" t="s">
        <v>896</v>
      </c>
      <c r="B231" s="0" t="s">
        <v>897</v>
      </c>
      <c r="C231" s="0" t="s">
        <v>898</v>
      </c>
      <c r="D231" s="0" t="s">
        <v>602</v>
      </c>
      <c r="E231" s="0" t="n">
        <v>28013</v>
      </c>
      <c r="F231" s="0" t="s">
        <v>172</v>
      </c>
      <c r="G231" s="0" t="n">
        <v>255.58</v>
      </c>
      <c r="H231" s="0" t="n">
        <v>37.52</v>
      </c>
      <c r="I231" s="0" t="n">
        <v>172</v>
      </c>
      <c r="J231" s="0" t="n">
        <v>345</v>
      </c>
      <c r="L231" s="0" t="s">
        <v>2189</v>
      </c>
      <c r="O231" s="0" t="n">
        <v>25.6</v>
      </c>
      <c r="U231" s="0" t="n">
        <v>13</v>
      </c>
      <c r="V231" s="0" t="s">
        <v>602</v>
      </c>
      <c r="W231" s="0" t="s">
        <v>901</v>
      </c>
      <c r="X231" s="0" t="s">
        <v>985</v>
      </c>
      <c r="Y231" s="0" t="s">
        <v>2190</v>
      </c>
      <c r="Z231" s="0" t="n">
        <v>28013</v>
      </c>
      <c r="AA231" s="0" t="s">
        <v>2191</v>
      </c>
      <c r="AB231" s="0" t="s">
        <v>904</v>
      </c>
      <c r="AC231" s="0" t="s">
        <v>142</v>
      </c>
      <c r="AD231" s="0" t="s">
        <v>142</v>
      </c>
      <c r="AE231" s="0" t="s">
        <v>142</v>
      </c>
      <c r="AF231" s="0" t="s">
        <v>142</v>
      </c>
      <c r="AG231" s="0" t="s">
        <v>142</v>
      </c>
      <c r="AH231" s="0" t="s">
        <v>905</v>
      </c>
      <c r="AI231" s="0" t="n">
        <v>2</v>
      </c>
      <c r="AJ231" s="0" t="s">
        <v>172</v>
      </c>
      <c r="AK231" s="0" t="n">
        <v>230</v>
      </c>
      <c r="AL231" s="0" t="n">
        <v>30</v>
      </c>
      <c r="AM231" s="0" t="s">
        <v>603</v>
      </c>
      <c r="EC231" s="0" t="s">
        <v>2192</v>
      </c>
      <c r="EG231" s="0" t="n">
        <v>2026</v>
      </c>
      <c r="EH231" s="0" t="n">
        <v>2026</v>
      </c>
      <c r="EI231" s="0" t="n">
        <v>0</v>
      </c>
      <c r="EJ231" s="0" t="n">
        <v>77</v>
      </c>
      <c r="EK231" s="0" t="n">
        <v>236</v>
      </c>
      <c r="EL231" s="0" t="s">
        <v>2193</v>
      </c>
      <c r="EM231" s="0" t="n">
        <v>22.9</v>
      </c>
      <c r="EN231" s="15" t="b">
        <f aca="false">TRUE()</f>
        <v>1</v>
      </c>
      <c r="EO231" s="0" t="n">
        <v>307</v>
      </c>
      <c r="EP231" s="0" t="n">
        <v>2.4599348534202</v>
      </c>
      <c r="EQ231" s="0" t="n">
        <v>0.257328990228013</v>
      </c>
      <c r="ER231" s="0" t="n">
        <v>1.04234527687296</v>
      </c>
      <c r="ES231" s="0" t="n">
        <v>0.605863192182411</v>
      </c>
      <c r="ET231" s="0" t="n">
        <v>30</v>
      </c>
      <c r="EU231" s="0" t="n">
        <v>11</v>
      </c>
      <c r="EV231" s="0" t="n">
        <v>3.64820846905537</v>
      </c>
      <c r="EW231" s="0" t="n">
        <v>0.366666666666667</v>
      </c>
      <c r="EX231" s="0" t="n">
        <v>2.91882875417365</v>
      </c>
      <c r="EY231" s="0" t="n">
        <v>2.49</v>
      </c>
      <c r="EZ231" s="0" t="n">
        <v>0.2502</v>
      </c>
      <c r="FA231" s="0" t="n">
        <v>1.629</v>
      </c>
      <c r="FB231" s="0" t="n">
        <v>1.94</v>
      </c>
      <c r="FC231" s="0" t="n">
        <v>30</v>
      </c>
      <c r="FD231" s="0" t="n">
        <v>598</v>
      </c>
      <c r="FE231" s="0" t="n">
        <v>0.107023411371238</v>
      </c>
      <c r="FF231" s="0" t="n">
        <v>0.1019</v>
      </c>
      <c r="FG231" s="0" t="n">
        <v>0.2641</v>
      </c>
      <c r="FH231" s="0" t="n">
        <v>2.487</v>
      </c>
      <c r="FI231" s="0" t="n">
        <v>942</v>
      </c>
      <c r="FJ231" s="0" t="n">
        <v>0.613588110403397</v>
      </c>
      <c r="FK231" s="0" t="n">
        <v>17</v>
      </c>
      <c r="FL231" s="0" t="n">
        <v>55.41</v>
      </c>
      <c r="FM231" s="0" t="n">
        <v>0.5679</v>
      </c>
      <c r="FN231" s="0" t="n">
        <v>0.4321</v>
      </c>
      <c r="FO231" s="0" t="n">
        <v>-0.0175</v>
      </c>
      <c r="FP231" s="0" t="n">
        <v>-0.2605</v>
      </c>
      <c r="FQ231" s="0" t="n">
        <v>-0.187</v>
      </c>
      <c r="FR231" s="0" t="n">
        <v>38</v>
      </c>
      <c r="FS231" s="0" t="n">
        <v>38</v>
      </c>
      <c r="FT231" s="0" t="n">
        <v>2.24</v>
      </c>
      <c r="FU231" s="0" t="n">
        <v>14.2</v>
      </c>
      <c r="FV231" s="0" t="n">
        <v>4992</v>
      </c>
      <c r="FW231" s="0" t="n">
        <v>1916</v>
      </c>
      <c r="FX231" s="0" t="n">
        <v>0.384</v>
      </c>
      <c r="FY231" s="0" t="n">
        <v>5</v>
      </c>
      <c r="FZ231" s="0" t="n">
        <v>2</v>
      </c>
      <c r="GA231" s="0" t="n">
        <v>-2.33610006354308</v>
      </c>
      <c r="GB231" s="0" t="n">
        <v>7.8</v>
      </c>
      <c r="GC231" s="0" t="n">
        <v>37.5</v>
      </c>
      <c r="GD231" s="0" t="n">
        <v>15.2</v>
      </c>
      <c r="GE231" s="0" t="n">
        <v>494</v>
      </c>
      <c r="GF231" s="0" t="n">
        <v>369</v>
      </c>
      <c r="GG231" s="0" t="n">
        <v>55</v>
      </c>
      <c r="GH231" s="0" t="n">
        <v>58</v>
      </c>
      <c r="GI231" s="0" t="n">
        <v>106</v>
      </c>
      <c r="GJ231" s="0" t="n">
        <v>13</v>
      </c>
      <c r="GK231" s="0" t="n">
        <v>0.111</v>
      </c>
      <c r="GL231" s="0" t="n">
        <v>0.157</v>
      </c>
      <c r="GM231" s="0" t="n">
        <v>0.123</v>
      </c>
      <c r="HF231" s="0" t="s">
        <v>206</v>
      </c>
      <c r="HG231" s="0" t="n">
        <v>255.58</v>
      </c>
      <c r="HH231" s="0" t="n">
        <v>37.52</v>
      </c>
      <c r="HI231" s="0" t="n">
        <v>172</v>
      </c>
      <c r="HJ231" s="0" t="n">
        <v>345</v>
      </c>
      <c r="HK231" s="0" t="s">
        <v>909</v>
      </c>
      <c r="HL231" s="0" t="n">
        <v>0</v>
      </c>
      <c r="HN231" s="0" t="n">
        <v>30</v>
      </c>
    </row>
    <row r="232" customFormat="false" ht="15" hidden="false" customHeight="false" outlineLevel="0" collapsed="false">
      <c r="A232" s="0" t="s">
        <v>896</v>
      </c>
      <c r="B232" s="0" t="s">
        <v>897</v>
      </c>
      <c r="C232" s="0" t="s">
        <v>898</v>
      </c>
      <c r="D232" s="0" t="s">
        <v>604</v>
      </c>
      <c r="E232" s="0" t="n">
        <v>15802</v>
      </c>
      <c r="F232" s="0" t="s">
        <v>99</v>
      </c>
      <c r="G232" s="0" t="n">
        <v>256.37</v>
      </c>
      <c r="H232" s="0" t="n">
        <v>47.4</v>
      </c>
      <c r="I232" s="0" t="n">
        <v>133</v>
      </c>
      <c r="J232" s="0" t="n">
        <v>340</v>
      </c>
      <c r="L232" s="0" t="s">
        <v>2194</v>
      </c>
      <c r="O232" s="0" t="n">
        <v>18</v>
      </c>
      <c r="V232" s="0" t="s">
        <v>604</v>
      </c>
      <c r="W232" s="0" t="s">
        <v>901</v>
      </c>
      <c r="X232" s="0" t="s">
        <v>2195</v>
      </c>
      <c r="Y232" s="0" t="s">
        <v>2196</v>
      </c>
      <c r="Z232" s="0" t="n">
        <v>15802</v>
      </c>
      <c r="AA232" s="0" t="s">
        <v>2197</v>
      </c>
      <c r="AB232" s="0" t="s">
        <v>904</v>
      </c>
      <c r="AE232" s="0" t="s">
        <v>161</v>
      </c>
      <c r="AG232" s="0" t="s">
        <v>161</v>
      </c>
      <c r="AH232" s="0" t="s">
        <v>2198</v>
      </c>
      <c r="AK232" s="0" t="n">
        <v>231</v>
      </c>
      <c r="AL232" s="0" t="n">
        <v>97</v>
      </c>
      <c r="AM232" s="0" t="s">
        <v>605</v>
      </c>
      <c r="AN232" s="0" t="n">
        <v>0</v>
      </c>
      <c r="AO232" s="0" t="n">
        <v>0</v>
      </c>
      <c r="AP232" s="0" t="n">
        <v>0</v>
      </c>
      <c r="AQ232" s="0" t="n">
        <v>0</v>
      </c>
      <c r="AR232" s="0" t="n">
        <v>0</v>
      </c>
      <c r="AS232" s="0" t="n">
        <v>0</v>
      </c>
      <c r="AT232" s="0" t="n">
        <v>0</v>
      </c>
      <c r="AU232" s="0" t="n">
        <v>0</v>
      </c>
      <c r="AV232" s="0" t="n">
        <v>0</v>
      </c>
      <c r="AW232" s="0" t="n">
        <v>0</v>
      </c>
      <c r="AX232" s="0" t="n">
        <v>0</v>
      </c>
      <c r="AY232" s="0" t="n">
        <v>0</v>
      </c>
      <c r="AZ232" s="0" t="n">
        <v>0</v>
      </c>
      <c r="BA232" s="0" t="n">
        <v>0</v>
      </c>
      <c r="BB232" s="0" t="n">
        <v>0</v>
      </c>
      <c r="BC232" s="0" t="n">
        <v>21</v>
      </c>
      <c r="BD232" s="0" t="n">
        <v>29</v>
      </c>
      <c r="BE232" s="0" t="n">
        <v>265</v>
      </c>
      <c r="BF232" s="0" t="n">
        <v>1</v>
      </c>
      <c r="BG232" s="0" t="n">
        <v>399</v>
      </c>
      <c r="BH232" s="0" t="n">
        <v>57</v>
      </c>
      <c r="BI232" s="0" t="n">
        <v>17</v>
      </c>
      <c r="BJ232" s="0" t="n">
        <v>19.8345950107323</v>
      </c>
      <c r="BK232" s="0" t="n">
        <v>0</v>
      </c>
      <c r="BL232" s="0" t="n">
        <v>0</v>
      </c>
      <c r="BM232" s="0" t="n">
        <v>32.5</v>
      </c>
      <c r="BN232" s="0" t="n">
        <v>53.5</v>
      </c>
      <c r="BO232" s="0" t="n">
        <v>4</v>
      </c>
      <c r="BP232" s="0" t="s">
        <v>161</v>
      </c>
      <c r="BQ232" s="0" t="n">
        <v>1</v>
      </c>
      <c r="BR232" s="0" t="n">
        <v>43</v>
      </c>
      <c r="BS232" s="0" t="n">
        <v>0.0628</v>
      </c>
      <c r="BT232" s="0" t="n">
        <v>0</v>
      </c>
      <c r="BU232" s="0" t="n">
        <v>0.1209</v>
      </c>
      <c r="BV232" s="0" t="n">
        <v>0.2397</v>
      </c>
      <c r="BW232" s="0" t="n">
        <v>0</v>
      </c>
      <c r="BX232" s="0" t="n">
        <v>0.4896</v>
      </c>
      <c r="BY232" s="0" t="n">
        <v>0.7023</v>
      </c>
      <c r="BZ232" s="0" t="n">
        <v>4</v>
      </c>
      <c r="CA232" s="0" t="n">
        <v>11.52</v>
      </c>
      <c r="CB232" s="0" t="n">
        <v>16.45</v>
      </c>
      <c r="CC232" s="0" t="n">
        <v>14.3</v>
      </c>
      <c r="CD232" s="0" t="n">
        <v>4.01</v>
      </c>
      <c r="CE232" s="0" t="n">
        <v>0</v>
      </c>
      <c r="CF232" s="0" t="n">
        <v>0</v>
      </c>
      <c r="CG232" s="0" t="n">
        <v>4</v>
      </c>
      <c r="CH232" s="0" t="n">
        <v>0</v>
      </c>
      <c r="CI232" s="0" t="n">
        <v>0</v>
      </c>
      <c r="CJ232" s="0" t="n">
        <v>0.28</v>
      </c>
      <c r="CK232" s="0" t="n">
        <v>2</v>
      </c>
      <c r="CL232" s="0" t="n">
        <v>2</v>
      </c>
      <c r="CM232" s="0" t="n">
        <v>1</v>
      </c>
      <c r="CN232" s="0" t="n">
        <v>1</v>
      </c>
      <c r="CO232" s="0" t="n">
        <v>1.23455545577083</v>
      </c>
      <c r="CP232" s="0" t="n">
        <v>0</v>
      </c>
      <c r="CQ232" s="0" t="n">
        <v>0</v>
      </c>
      <c r="CR232" s="0" t="n">
        <v>0</v>
      </c>
      <c r="CS232" s="0" t="n">
        <v>0</v>
      </c>
      <c r="CT232" s="0" t="n">
        <v>0</v>
      </c>
      <c r="CU232" s="0" t="n">
        <v>2</v>
      </c>
      <c r="CV232" s="0" t="n">
        <v>2</v>
      </c>
      <c r="CW232" s="0" t="n">
        <v>1</v>
      </c>
      <c r="CX232" s="0" t="n">
        <v>1</v>
      </c>
      <c r="CY232" s="0" t="n">
        <v>1.23</v>
      </c>
      <c r="CZ232" s="0" t="n">
        <v>-0.23</v>
      </c>
      <c r="DM232" s="0" t="s">
        <v>2199</v>
      </c>
      <c r="DS232" s="0" t="n">
        <v>29</v>
      </c>
      <c r="DT232" s="0" t="n">
        <v>0</v>
      </c>
      <c r="DU232" s="0" t="n">
        <v>0</v>
      </c>
      <c r="DV232" s="0" t="n">
        <v>9.905</v>
      </c>
      <c r="DW232" s="0" t="n">
        <v>2.714</v>
      </c>
      <c r="DX232" s="0" t="n">
        <v>13.4</v>
      </c>
      <c r="DY232" s="0" t="n">
        <v>0</v>
      </c>
      <c r="DZ232" s="0" t="n">
        <v>155</v>
      </c>
      <c r="EA232" s="0" t="n">
        <v>0.685</v>
      </c>
      <c r="EB232" s="0" t="n">
        <v>4</v>
      </c>
      <c r="EC232" s="0" t="s">
        <v>2200</v>
      </c>
      <c r="ED232" s="0" t="n">
        <v>2016</v>
      </c>
      <c r="EE232" s="0" t="n">
        <v>5</v>
      </c>
      <c r="EF232" s="0" t="n">
        <v>165</v>
      </c>
      <c r="EG232" s="0" t="n">
        <v>2016</v>
      </c>
      <c r="EH232" s="0" t="n">
        <v>2025</v>
      </c>
      <c r="EI232" s="0" t="n">
        <v>10</v>
      </c>
      <c r="EJ232" s="0" t="n">
        <v>70</v>
      </c>
      <c r="EK232" s="0" t="n">
        <v>191</v>
      </c>
      <c r="EL232" s="0" t="s">
        <v>2201</v>
      </c>
      <c r="EM232" s="0" t="n">
        <v>32.5</v>
      </c>
      <c r="EN232" s="15" t="b">
        <f aca="false">FALSE()</f>
        <v>0</v>
      </c>
      <c r="EO232" s="0" t="n">
        <v>380</v>
      </c>
      <c r="EP232" s="0" t="n">
        <v>2.83552631578947</v>
      </c>
      <c r="EQ232" s="0" t="n">
        <v>0.213157894736842</v>
      </c>
      <c r="ER232" s="0" t="n">
        <v>1.46578947368421</v>
      </c>
      <c r="ES232" s="0" t="n">
        <v>1.22631578947368</v>
      </c>
      <c r="ET232" s="0" t="n">
        <v>29</v>
      </c>
      <c r="EU232" s="0" t="n">
        <v>17</v>
      </c>
      <c r="EV232" s="0" t="n">
        <v>4.85789473684211</v>
      </c>
      <c r="EW232" s="0" t="n">
        <v>0.586206896551724</v>
      </c>
      <c r="EX232" s="0" t="n">
        <v>2.94501561107985</v>
      </c>
      <c r="EY232" s="0" t="n">
        <v>2.839</v>
      </c>
      <c r="EZ232" s="0" t="n">
        <v>0.2101</v>
      </c>
      <c r="FA232" s="0" t="n">
        <v>2.199</v>
      </c>
      <c r="FB232" s="0" t="n">
        <v>2.532</v>
      </c>
      <c r="FC232" s="0" t="n">
        <v>38</v>
      </c>
      <c r="FD232" s="0" t="n">
        <v>530</v>
      </c>
      <c r="FE232" s="0" t="n">
        <v>0.0716981132075472</v>
      </c>
      <c r="FF232" s="0" t="n">
        <v>0.0727</v>
      </c>
      <c r="FG232" s="0" t="n">
        <v>0.2422</v>
      </c>
      <c r="FH232" s="0" t="n">
        <v>2.29</v>
      </c>
      <c r="FI232" s="0" t="n">
        <v>942</v>
      </c>
      <c r="FJ232" s="0" t="n">
        <v>0.549893842887473</v>
      </c>
      <c r="FK232" s="0" t="n">
        <v>17</v>
      </c>
      <c r="FL232" s="0" t="n">
        <v>55.41</v>
      </c>
      <c r="FM232" s="0" t="n">
        <v>0.5279</v>
      </c>
      <c r="FN232" s="0" t="n">
        <v>0.4721</v>
      </c>
      <c r="FO232" s="0" t="n">
        <v>-0.0584</v>
      </c>
      <c r="FP232" s="0" t="n">
        <v>-0.026</v>
      </c>
      <c r="FQ232" s="0" t="n">
        <v>-0.0093</v>
      </c>
      <c r="FR232" s="0" t="n">
        <v>41</v>
      </c>
      <c r="FS232" s="0" t="n">
        <v>48</v>
      </c>
      <c r="FT232" s="0" t="n">
        <v>2.82</v>
      </c>
      <c r="FU232" s="0" t="n">
        <v>20.4</v>
      </c>
      <c r="FV232" s="0" t="n">
        <v>5041</v>
      </c>
      <c r="FW232" s="0" t="n">
        <v>3387</v>
      </c>
      <c r="FX232" s="0" t="n">
        <v>0.672</v>
      </c>
      <c r="FY232" s="0" t="n">
        <v>5</v>
      </c>
      <c r="FZ232" s="0" t="n">
        <v>4</v>
      </c>
      <c r="GA232" s="0" t="n">
        <v>-0.692098435941776</v>
      </c>
      <c r="GB232" s="0" t="n">
        <v>37.5</v>
      </c>
      <c r="GC232" s="0" t="n">
        <v>44.5</v>
      </c>
      <c r="GD232" s="0" t="n">
        <v>38.6</v>
      </c>
      <c r="GE232" s="0" t="n">
        <v>462</v>
      </c>
      <c r="GF232" s="0" t="n">
        <v>432</v>
      </c>
      <c r="GG232" s="0" t="n">
        <v>209</v>
      </c>
      <c r="GH232" s="0" t="n">
        <v>28</v>
      </c>
      <c r="GI232" s="0" t="n">
        <v>134</v>
      </c>
      <c r="GJ232" s="0" t="n">
        <v>32</v>
      </c>
      <c r="GK232" s="0" t="n">
        <v>0.452</v>
      </c>
      <c r="GL232" s="0" t="n">
        <v>0.065</v>
      </c>
      <c r="GM232" s="0" t="n">
        <v>0.239</v>
      </c>
      <c r="GN232" s="0" t="n">
        <v>13.375</v>
      </c>
      <c r="GO232" s="0" t="n">
        <v>10.75</v>
      </c>
      <c r="GP232" s="0" t="n">
        <v>8.125</v>
      </c>
      <c r="GQ232" s="0" t="n">
        <v>7.25</v>
      </c>
      <c r="GR232" s="0" t="n">
        <v>0</v>
      </c>
      <c r="GS232" s="0" t="n">
        <v>29</v>
      </c>
      <c r="GT232" s="0" t="n">
        <v>1.845</v>
      </c>
      <c r="GU232" s="0" t="n">
        <v>0.345</v>
      </c>
      <c r="GV232" s="0" t="n">
        <v>9.138</v>
      </c>
      <c r="GW232" s="0" t="n">
        <v>12.619</v>
      </c>
      <c r="GX232" s="0" t="n">
        <v>0.724</v>
      </c>
      <c r="GZ232" s="0" t="n">
        <v>13.759</v>
      </c>
      <c r="HA232" s="0" t="n">
        <v>2.714</v>
      </c>
      <c r="HB232" s="0" t="n">
        <v>0.664</v>
      </c>
      <c r="HC232" s="0" t="n">
        <v>0.034</v>
      </c>
      <c r="HE232" s="0" t="n">
        <v>0.684</v>
      </c>
      <c r="HF232" s="0" t="s">
        <v>606</v>
      </c>
      <c r="HG232" s="0" t="n">
        <v>256.37</v>
      </c>
      <c r="HH232" s="0" t="n">
        <v>47.4</v>
      </c>
      <c r="HI232" s="0" t="n">
        <v>133</v>
      </c>
      <c r="HJ232" s="0" t="n">
        <v>340</v>
      </c>
      <c r="HK232" s="0" t="s">
        <v>909</v>
      </c>
      <c r="HL232" s="0" t="n">
        <v>0</v>
      </c>
      <c r="HM232" s="0" t="n">
        <v>81</v>
      </c>
      <c r="HN232" s="0" t="n">
        <v>97</v>
      </c>
      <c r="HO232" s="0" t="n">
        <v>-0.079</v>
      </c>
      <c r="HP232" s="0" t="n">
        <v>18</v>
      </c>
      <c r="HQ232" s="0" t="n">
        <v>2.681</v>
      </c>
      <c r="HR232" s="0" t="s">
        <v>102</v>
      </c>
    </row>
    <row r="233" customFormat="false" ht="15" hidden="false" customHeight="false" outlineLevel="0" collapsed="false">
      <c r="A233" s="0" t="s">
        <v>896</v>
      </c>
      <c r="B233" s="0" t="s">
        <v>897</v>
      </c>
      <c r="C233" s="0" t="s">
        <v>898</v>
      </c>
      <c r="D233" s="0" t="s">
        <v>607</v>
      </c>
      <c r="E233" s="0" t="n">
        <v>28135</v>
      </c>
      <c r="F233" s="0" t="s">
        <v>99</v>
      </c>
      <c r="G233" s="0" t="n">
        <v>257.79</v>
      </c>
      <c r="H233" s="0" t="n">
        <v>57.39</v>
      </c>
      <c r="I233" s="0" t="n">
        <v>164</v>
      </c>
      <c r="J233" s="0" t="n">
        <v>390</v>
      </c>
      <c r="L233" s="0" t="s">
        <v>2202</v>
      </c>
      <c r="O233" s="0" t="n">
        <v>3.4</v>
      </c>
      <c r="U233" s="0" t="n">
        <v>6</v>
      </c>
      <c r="V233" s="0" t="s">
        <v>607</v>
      </c>
      <c r="W233" s="0" t="s">
        <v>901</v>
      </c>
      <c r="X233" s="0" t="s">
        <v>161</v>
      </c>
      <c r="Y233" s="0" t="s">
        <v>2203</v>
      </c>
      <c r="Z233" s="0" t="n">
        <v>28135</v>
      </c>
      <c r="AA233" s="0" t="s">
        <v>2204</v>
      </c>
      <c r="AB233" s="0" t="s">
        <v>904</v>
      </c>
      <c r="AC233" s="0" t="s">
        <v>161</v>
      </c>
      <c r="AD233" s="0" t="s">
        <v>161</v>
      </c>
      <c r="AE233" s="0" t="s">
        <v>161</v>
      </c>
      <c r="AF233" s="0" t="s">
        <v>161</v>
      </c>
      <c r="AG233" s="0" t="s">
        <v>161</v>
      </c>
      <c r="AH233" s="0" t="s">
        <v>905</v>
      </c>
      <c r="AI233" s="0" t="n">
        <v>3</v>
      </c>
      <c r="AJ233" s="0" t="s">
        <v>99</v>
      </c>
      <c r="AK233" s="0" t="n">
        <v>232</v>
      </c>
      <c r="AL233" s="0" t="n">
        <v>98</v>
      </c>
      <c r="AM233" s="0" t="s">
        <v>608</v>
      </c>
      <c r="EC233" s="0" t="s">
        <v>2205</v>
      </c>
      <c r="EG233" s="0" t="n">
        <v>2026</v>
      </c>
      <c r="EH233" s="0" t="n">
        <v>2026</v>
      </c>
      <c r="EI233" s="0" t="n">
        <v>0</v>
      </c>
      <c r="EJ233" s="0" t="n">
        <v>76</v>
      </c>
      <c r="EK233" s="0" t="n">
        <v>205</v>
      </c>
      <c r="EL233" s="0" t="s">
        <v>2206</v>
      </c>
      <c r="EM233" s="0" t="n">
        <v>22.9</v>
      </c>
      <c r="EN233" s="15" t="b">
        <f aca="false">TRUE()</f>
        <v>1</v>
      </c>
      <c r="EO233" s="0" t="n">
        <v>380</v>
      </c>
      <c r="EP233" s="0" t="n">
        <v>2.83552631578947</v>
      </c>
      <c r="EQ233" s="0" t="n">
        <v>0.213157894736842</v>
      </c>
      <c r="ER233" s="0" t="n">
        <v>1.46578947368421</v>
      </c>
      <c r="ES233" s="0" t="n">
        <v>1.22631578947368</v>
      </c>
      <c r="ET233" s="0" t="n">
        <v>29</v>
      </c>
      <c r="EU233" s="0" t="n">
        <v>17</v>
      </c>
      <c r="EV233" s="0" t="n">
        <v>4.85789473684211</v>
      </c>
      <c r="EW233" s="0" t="n">
        <v>0.586206896551724</v>
      </c>
      <c r="EX233" s="0" t="n">
        <v>2.94501561107985</v>
      </c>
      <c r="EY233" s="0" t="n">
        <v>2.839</v>
      </c>
      <c r="EZ233" s="0" t="n">
        <v>0.2101</v>
      </c>
      <c r="FA233" s="0" t="n">
        <v>2.199</v>
      </c>
      <c r="FB233" s="0" t="n">
        <v>2.532</v>
      </c>
      <c r="FC233" s="0" t="n">
        <v>38</v>
      </c>
      <c r="FD233" s="0" t="n">
        <v>530</v>
      </c>
      <c r="FE233" s="0" t="n">
        <v>0.0716981132075472</v>
      </c>
      <c r="FF233" s="0" t="n">
        <v>0.0727</v>
      </c>
      <c r="FG233" s="0" t="n">
        <v>0.2422</v>
      </c>
      <c r="FH233" s="0" t="n">
        <v>2.29</v>
      </c>
      <c r="FI233" s="0" t="n">
        <v>942</v>
      </c>
      <c r="FJ233" s="0" t="n">
        <v>0.549893842887473</v>
      </c>
      <c r="FK233" s="0" t="n">
        <v>17</v>
      </c>
      <c r="FL233" s="0" t="n">
        <v>55.41</v>
      </c>
      <c r="FM233" s="0" t="n">
        <v>0.5279</v>
      </c>
      <c r="FN233" s="0" t="n">
        <v>0.4721</v>
      </c>
      <c r="FO233" s="0" t="n">
        <v>-0.0584</v>
      </c>
      <c r="FP233" s="0" t="n">
        <v>-0.026</v>
      </c>
      <c r="FQ233" s="0" t="n">
        <v>-0.0093</v>
      </c>
      <c r="FR233" s="0" t="n">
        <v>41</v>
      </c>
      <c r="FS233" s="0" t="n">
        <v>48</v>
      </c>
      <c r="FT233" s="0" t="n">
        <v>2.82</v>
      </c>
      <c r="FU233" s="0" t="n">
        <v>20.4</v>
      </c>
      <c r="FV233" s="0" t="n">
        <v>5041</v>
      </c>
      <c r="FW233" s="0" t="n">
        <v>3387</v>
      </c>
      <c r="FX233" s="0" t="n">
        <v>0.672</v>
      </c>
      <c r="FY233" s="0" t="n">
        <v>5</v>
      </c>
      <c r="FZ233" s="0" t="n">
        <v>4</v>
      </c>
      <c r="GA233" s="0" t="n">
        <v>-0.692098435941776</v>
      </c>
      <c r="GB233" s="0" t="n">
        <v>37.5</v>
      </c>
      <c r="GC233" s="0" t="n">
        <v>44.5</v>
      </c>
      <c r="GD233" s="0" t="n">
        <v>38.6</v>
      </c>
      <c r="GE233" s="0" t="n">
        <v>462</v>
      </c>
      <c r="GF233" s="0" t="n">
        <v>432</v>
      </c>
      <c r="GG233" s="0" t="n">
        <v>209</v>
      </c>
      <c r="GH233" s="0" t="n">
        <v>28</v>
      </c>
      <c r="GI233" s="0" t="n">
        <v>134</v>
      </c>
      <c r="GJ233" s="0" t="n">
        <v>32</v>
      </c>
      <c r="GK233" s="0" t="n">
        <v>0.452</v>
      </c>
      <c r="GL233" s="0" t="n">
        <v>0.065</v>
      </c>
      <c r="GM233" s="0" t="n">
        <v>0.239</v>
      </c>
      <c r="HF233" s="0" t="s">
        <v>206</v>
      </c>
      <c r="HG233" s="0" t="n">
        <v>257.79</v>
      </c>
      <c r="HH233" s="0" t="n">
        <v>57.39</v>
      </c>
      <c r="HI233" s="0" t="n">
        <v>164</v>
      </c>
      <c r="HJ233" s="0" t="n">
        <v>390</v>
      </c>
      <c r="HK233" s="0" t="s">
        <v>909</v>
      </c>
      <c r="HL233" s="0" t="n">
        <v>0</v>
      </c>
      <c r="HN233" s="0" t="n">
        <v>98</v>
      </c>
    </row>
    <row r="234" customFormat="false" ht="15" hidden="false" customHeight="false" outlineLevel="0" collapsed="false">
      <c r="A234" s="0" t="s">
        <v>896</v>
      </c>
      <c r="B234" s="0" t="s">
        <v>897</v>
      </c>
      <c r="C234" s="0" t="s">
        <v>898</v>
      </c>
      <c r="D234" s="0" t="s">
        <v>609</v>
      </c>
      <c r="E234" s="0" t="n">
        <v>27463</v>
      </c>
      <c r="F234" s="0" t="s">
        <v>99</v>
      </c>
      <c r="G234" s="0" t="n">
        <v>258.99</v>
      </c>
      <c r="H234" s="0" t="n">
        <v>23.75</v>
      </c>
      <c r="I234" s="0" t="n">
        <v>208</v>
      </c>
      <c r="J234" s="0" t="n">
        <v>350</v>
      </c>
      <c r="L234" s="0" t="s">
        <v>2207</v>
      </c>
      <c r="O234" s="0" t="n">
        <v>8.5</v>
      </c>
      <c r="U234" s="0" t="n">
        <v>13</v>
      </c>
      <c r="V234" s="0" t="s">
        <v>609</v>
      </c>
      <c r="W234" s="0" t="s">
        <v>901</v>
      </c>
      <c r="X234" s="0" t="s">
        <v>183</v>
      </c>
      <c r="Y234" s="0" t="s">
        <v>2208</v>
      </c>
      <c r="Z234" s="0" t="n">
        <v>27463</v>
      </c>
      <c r="AA234" s="0" t="s">
        <v>2209</v>
      </c>
      <c r="AB234" s="0" t="s">
        <v>904</v>
      </c>
      <c r="AC234" s="0" t="s">
        <v>183</v>
      </c>
      <c r="AD234" s="0" t="s">
        <v>183</v>
      </c>
      <c r="AE234" s="0" t="s">
        <v>183</v>
      </c>
      <c r="AF234" s="0" t="s">
        <v>183</v>
      </c>
      <c r="AG234" s="0" t="s">
        <v>183</v>
      </c>
      <c r="AH234" s="0" t="s">
        <v>905</v>
      </c>
      <c r="AI234" s="0" t="n">
        <v>2</v>
      </c>
      <c r="AJ234" s="0" t="s">
        <v>270</v>
      </c>
      <c r="AK234" s="0" t="n">
        <v>233</v>
      </c>
      <c r="AL234" s="0" t="n">
        <v>99</v>
      </c>
      <c r="AM234" s="0" t="s">
        <v>610</v>
      </c>
      <c r="EC234" s="0" t="s">
        <v>2210</v>
      </c>
      <c r="EG234" s="0" t="n">
        <v>2026</v>
      </c>
      <c r="EH234" s="0" t="n">
        <v>2026</v>
      </c>
      <c r="EI234" s="0" t="n">
        <v>0</v>
      </c>
      <c r="EJ234" s="0" t="n">
        <v>74</v>
      </c>
      <c r="EK234" s="0" t="n">
        <v>209</v>
      </c>
      <c r="EL234" s="0" t="s">
        <v>2211</v>
      </c>
      <c r="EM234" s="0" t="n">
        <v>23.2</v>
      </c>
      <c r="EN234" s="15" t="b">
        <f aca="false">TRUE()</f>
        <v>1</v>
      </c>
      <c r="EO234" s="0" t="n">
        <v>392</v>
      </c>
      <c r="EP234" s="0" t="n">
        <v>3.03673469387755</v>
      </c>
      <c r="EQ234" s="0" t="n">
        <v>0.153061224489796</v>
      </c>
      <c r="ER234" s="0" t="n">
        <v>1.31122448979592</v>
      </c>
      <c r="ES234" s="0" t="n">
        <v>1.51275510204082</v>
      </c>
      <c r="ET234" s="0" t="n">
        <v>37</v>
      </c>
      <c r="EU234" s="0" t="n">
        <v>24</v>
      </c>
      <c r="EV234" s="0" t="n">
        <v>5.24489795918367</v>
      </c>
      <c r="EW234" s="0" t="n">
        <v>0.648648648648649</v>
      </c>
      <c r="EX234" s="0" t="n">
        <v>2.95276427199016</v>
      </c>
      <c r="EY234" s="0" t="n">
        <v>3.032</v>
      </c>
      <c r="EZ234" s="0" t="n">
        <v>0.1574</v>
      </c>
      <c r="FA234" s="0" t="n">
        <v>3.144</v>
      </c>
      <c r="FB234" s="0" t="n">
        <v>2.107</v>
      </c>
      <c r="FC234" s="0" t="n">
        <v>24</v>
      </c>
      <c r="FD234" s="0" t="n">
        <v>501</v>
      </c>
      <c r="FE234" s="0" t="n">
        <v>0.0898203592814371</v>
      </c>
      <c r="FF234" s="0" t="n">
        <v>0.0849</v>
      </c>
      <c r="FG234" s="0" t="n">
        <v>0.2725</v>
      </c>
      <c r="FH234" s="0" t="n">
        <v>2.454</v>
      </c>
      <c r="FI234" s="0" t="n">
        <v>956</v>
      </c>
      <c r="FJ234" s="0" t="n">
        <v>0.48744769874477</v>
      </c>
      <c r="FK234" s="0" t="n">
        <v>17</v>
      </c>
      <c r="FL234" s="0" t="n">
        <v>56.24</v>
      </c>
      <c r="FM234" s="0" t="n">
        <v>0.4667</v>
      </c>
      <c r="FN234" s="0" t="n">
        <v>0.5333</v>
      </c>
      <c r="FO234" s="0" t="n">
        <v>-0.0884</v>
      </c>
      <c r="FP234" s="0" t="n">
        <v>0.0996</v>
      </c>
      <c r="FQ234" s="0" t="n">
        <v>-0.035</v>
      </c>
      <c r="FR234" s="0" t="n">
        <v>39</v>
      </c>
      <c r="FS234" s="0" t="n">
        <v>61</v>
      </c>
      <c r="FT234" s="0" t="n">
        <v>3.59</v>
      </c>
      <c r="FU234" s="0" t="n">
        <v>24.9</v>
      </c>
      <c r="FV234" s="0" t="n">
        <v>5080</v>
      </c>
      <c r="FW234" s="0" t="n">
        <v>2908</v>
      </c>
      <c r="FX234" s="0" t="n">
        <v>0.572</v>
      </c>
      <c r="FY234" s="0" t="n">
        <v>5</v>
      </c>
      <c r="FZ234" s="0" t="n">
        <v>2</v>
      </c>
      <c r="GA234" s="0" t="n">
        <v>0.782789362458</v>
      </c>
      <c r="GB234" s="0" t="n">
        <v>64.1</v>
      </c>
      <c r="GC234" s="0" t="n">
        <v>41</v>
      </c>
      <c r="GD234" s="0" t="n">
        <v>53.2</v>
      </c>
      <c r="GE234" s="0" t="n">
        <v>407</v>
      </c>
      <c r="GF234" s="0" t="n">
        <v>507</v>
      </c>
      <c r="GG234" s="0" t="n">
        <v>75</v>
      </c>
      <c r="GH234" s="0" t="n">
        <v>64</v>
      </c>
      <c r="GI234" s="0" t="n">
        <v>160</v>
      </c>
      <c r="GJ234" s="0" t="n">
        <v>26</v>
      </c>
      <c r="GK234" s="0" t="n">
        <v>0.184</v>
      </c>
      <c r="GL234" s="0" t="n">
        <v>0.126</v>
      </c>
      <c r="GM234" s="0" t="n">
        <v>0.162</v>
      </c>
      <c r="HF234" s="0" t="s">
        <v>206</v>
      </c>
      <c r="HG234" s="0" t="n">
        <v>258.99</v>
      </c>
      <c r="HH234" s="0" t="n">
        <v>23.75</v>
      </c>
      <c r="HI234" s="0" t="n">
        <v>208</v>
      </c>
      <c r="HJ234" s="0" t="n">
        <v>350</v>
      </c>
      <c r="HK234" s="0" t="s">
        <v>909</v>
      </c>
      <c r="HL234" s="0" t="n">
        <v>0</v>
      </c>
      <c r="HN234" s="0" t="n">
        <v>99</v>
      </c>
    </row>
    <row r="235" customFormat="false" ht="15" hidden="false" customHeight="false" outlineLevel="0" collapsed="false">
      <c r="A235" s="0" t="s">
        <v>896</v>
      </c>
      <c r="B235" s="0" t="s">
        <v>897</v>
      </c>
      <c r="C235" s="0" t="s">
        <v>898</v>
      </c>
      <c r="D235" s="0" t="s">
        <v>611</v>
      </c>
      <c r="E235" s="0" t="n">
        <v>23080</v>
      </c>
      <c r="F235" s="0" t="s">
        <v>99</v>
      </c>
      <c r="G235" s="0" t="n">
        <v>259.05</v>
      </c>
      <c r="H235" s="0" t="n">
        <v>24.21</v>
      </c>
      <c r="I235" s="0" t="n">
        <v>202</v>
      </c>
      <c r="J235" s="0" t="n">
        <v>299</v>
      </c>
      <c r="L235" s="0" t="s">
        <v>2212</v>
      </c>
      <c r="O235" s="0" t="n">
        <v>6.5</v>
      </c>
      <c r="U235" s="0" t="n">
        <v>10</v>
      </c>
      <c r="V235" s="0" t="s">
        <v>2213</v>
      </c>
      <c r="W235" s="0" t="s">
        <v>901</v>
      </c>
      <c r="X235" s="0" t="s">
        <v>209</v>
      </c>
      <c r="Y235" s="0" t="s">
        <v>2214</v>
      </c>
      <c r="Z235" s="0" t="n">
        <v>23080</v>
      </c>
      <c r="AA235" s="0" t="s">
        <v>2215</v>
      </c>
      <c r="AB235" s="0" t="s">
        <v>904</v>
      </c>
      <c r="AC235" s="0" t="s">
        <v>209</v>
      </c>
      <c r="AD235" s="0" t="s">
        <v>209</v>
      </c>
      <c r="AE235" s="0" t="s">
        <v>209</v>
      </c>
      <c r="AF235" s="0" t="s">
        <v>209</v>
      </c>
      <c r="AG235" s="0" t="s">
        <v>209</v>
      </c>
      <c r="AH235" s="0" t="s">
        <v>905</v>
      </c>
      <c r="AI235" s="0" t="n">
        <v>1</v>
      </c>
      <c r="AJ235" s="0" t="s">
        <v>270</v>
      </c>
      <c r="AK235" s="0" t="n">
        <v>234</v>
      </c>
      <c r="AL235" s="0" t="n">
        <v>100</v>
      </c>
      <c r="AM235" s="0" t="s">
        <v>612</v>
      </c>
      <c r="AN235" s="0" t="n">
        <v>0</v>
      </c>
      <c r="AO235" s="0" t="n">
        <v>0</v>
      </c>
      <c r="AP235" s="0" t="n">
        <v>0</v>
      </c>
      <c r="AQ235" s="0" t="n">
        <v>0</v>
      </c>
      <c r="AR235" s="0" t="n">
        <v>0</v>
      </c>
      <c r="AS235" s="0" t="n">
        <v>0</v>
      </c>
      <c r="AT235" s="0" t="n">
        <v>0</v>
      </c>
      <c r="AU235" s="0" t="n">
        <v>0</v>
      </c>
      <c r="AV235" s="0" t="n">
        <v>0</v>
      </c>
      <c r="AW235" s="0" t="n">
        <v>12</v>
      </c>
      <c r="AX235" s="0" t="n">
        <v>78</v>
      </c>
      <c r="AY235" s="0" t="n">
        <v>1</v>
      </c>
      <c r="AZ235" s="0" t="n">
        <v>3</v>
      </c>
      <c r="BA235" s="0" t="n">
        <v>5.14469304785598</v>
      </c>
      <c r="BB235" s="0" t="n">
        <v>0</v>
      </c>
      <c r="BC235" s="0" t="n">
        <v>37</v>
      </c>
      <c r="BD235" s="0" t="n">
        <v>51</v>
      </c>
      <c r="BE235" s="0" t="n">
        <v>322</v>
      </c>
      <c r="BF235" s="0" t="n">
        <v>1</v>
      </c>
      <c r="BG235" s="0" t="n">
        <v>478</v>
      </c>
      <c r="BH235" s="0" t="n">
        <v>231</v>
      </c>
      <c r="BI235" s="0" t="n">
        <v>14</v>
      </c>
      <c r="BJ235" s="0" t="n">
        <v>3.49523350212666</v>
      </c>
      <c r="BK235" s="0" t="n">
        <v>0</v>
      </c>
      <c r="BL235" s="0" t="n">
        <v>1</v>
      </c>
      <c r="BM235" s="0" t="n">
        <v>58</v>
      </c>
      <c r="BN235" s="0" t="n">
        <v>95</v>
      </c>
      <c r="BO235" s="0" t="n">
        <v>15</v>
      </c>
      <c r="BP235" s="0" t="s">
        <v>209</v>
      </c>
      <c r="BQ235" s="0" t="n">
        <v>1</v>
      </c>
      <c r="BR235" s="0" t="n">
        <v>76.5</v>
      </c>
      <c r="BS235" s="0" t="n">
        <v>0.0873</v>
      </c>
      <c r="BT235" s="0" t="n">
        <v>0.0263</v>
      </c>
      <c r="BU235" s="0" t="n">
        <v>0.1091</v>
      </c>
      <c r="BV235" s="0" t="n">
        <v>0.0975</v>
      </c>
      <c r="BW235" s="0" t="n">
        <v>0.0296</v>
      </c>
      <c r="BX235" s="0" t="n">
        <v>0.1285</v>
      </c>
      <c r="BY235" s="0" t="n">
        <v>0.2362</v>
      </c>
      <c r="BZ235" s="0" t="n">
        <v>15</v>
      </c>
      <c r="CA235" s="0" t="n">
        <v>3.35</v>
      </c>
      <c r="CB235" s="0" t="n">
        <v>10.13</v>
      </c>
      <c r="CC235" s="0" t="n">
        <v>4.2</v>
      </c>
      <c r="CD235" s="0" t="n">
        <v>5.54</v>
      </c>
      <c r="CE235" s="0" t="n">
        <v>1</v>
      </c>
      <c r="CF235" s="0" t="n">
        <v>3</v>
      </c>
      <c r="CG235" s="0" t="n">
        <v>15</v>
      </c>
      <c r="CH235" s="0" t="n">
        <v>0.067</v>
      </c>
      <c r="CI235" s="0" t="n">
        <v>0.2</v>
      </c>
      <c r="CJ235" s="0" t="n">
        <v>1.319</v>
      </c>
      <c r="CK235" s="0" t="n">
        <v>3</v>
      </c>
      <c r="CL235" s="0" t="n">
        <v>1</v>
      </c>
      <c r="CM235" s="0" t="n">
        <v>0</v>
      </c>
      <c r="CN235" s="0" t="n">
        <v>1</v>
      </c>
      <c r="CO235" s="0" t="n">
        <v>1.26571347234051</v>
      </c>
      <c r="CP235" s="0" t="n">
        <v>2</v>
      </c>
      <c r="CQ235" s="0" t="n">
        <v>0</v>
      </c>
      <c r="CR235" s="0" t="n">
        <v>0</v>
      </c>
      <c r="CS235" s="0" t="n">
        <v>1</v>
      </c>
      <c r="CT235" s="0" t="n">
        <v>0.154887504748669</v>
      </c>
      <c r="CU235" s="0" t="n">
        <v>5</v>
      </c>
      <c r="CV235" s="0" t="n">
        <v>1</v>
      </c>
      <c r="CW235" s="0" t="n">
        <v>0</v>
      </c>
      <c r="CX235" s="0" t="n">
        <v>2</v>
      </c>
      <c r="CY235" s="0" t="n">
        <v>1.42</v>
      </c>
      <c r="CZ235" s="0" t="n">
        <v>0.58</v>
      </c>
      <c r="DA235" s="0" t="n">
        <v>4.52869989411998</v>
      </c>
      <c r="DB235" s="0" t="n">
        <v>7.81641025641026</v>
      </c>
      <c r="DC235" s="0" t="n">
        <v>8.96686274509804</v>
      </c>
      <c r="DD235" s="0" t="n">
        <v>10.4447068442967</v>
      </c>
      <c r="DE235" s="0" t="n">
        <v>0.472529158532391</v>
      </c>
      <c r="DF235" s="0" t="n">
        <v>72.5490196078431</v>
      </c>
      <c r="DM235" s="0" t="s">
        <v>2216</v>
      </c>
      <c r="DN235" s="0" t="n">
        <v>12</v>
      </c>
      <c r="DO235" s="0" t="n">
        <v>1</v>
      </c>
      <c r="DS235" s="0" t="n">
        <v>51</v>
      </c>
      <c r="DT235" s="0" t="n">
        <v>3</v>
      </c>
      <c r="DU235" s="0" t="n">
        <v>1</v>
      </c>
      <c r="DV235" s="0" t="n">
        <v>2.459</v>
      </c>
      <c r="DW235" s="0" t="n">
        <v>6.243</v>
      </c>
      <c r="DX235" s="0" t="n">
        <v>9.4</v>
      </c>
      <c r="DY235" s="0" t="n">
        <v>0.0196</v>
      </c>
      <c r="DZ235" s="0" t="n">
        <v>379</v>
      </c>
      <c r="EA235" s="0" t="n">
        <v>0.369</v>
      </c>
      <c r="EB235" s="0" t="n">
        <v>15</v>
      </c>
      <c r="EC235" s="0" t="s">
        <v>2217</v>
      </c>
      <c r="ED235" s="0" t="n">
        <v>2023</v>
      </c>
      <c r="EE235" s="0" t="n">
        <v>2</v>
      </c>
      <c r="EF235" s="0" t="n">
        <v>63</v>
      </c>
      <c r="EG235" s="0" t="n">
        <v>2023</v>
      </c>
      <c r="EH235" s="0" t="n">
        <v>2026</v>
      </c>
      <c r="EI235" s="0" t="n">
        <v>4</v>
      </c>
      <c r="EJ235" s="0" t="n">
        <v>71</v>
      </c>
      <c r="EK235" s="0" t="n">
        <v>182</v>
      </c>
      <c r="EL235" s="0" t="s">
        <v>946</v>
      </c>
      <c r="EM235" s="0" t="n">
        <v>24.4</v>
      </c>
      <c r="EN235" s="15" t="b">
        <f aca="false">FALSE()</f>
        <v>0</v>
      </c>
      <c r="EO235" s="0" t="n">
        <v>354</v>
      </c>
      <c r="EP235" s="0" t="n">
        <v>2.95932203389831</v>
      </c>
      <c r="EQ235" s="0" t="n">
        <v>0.172316384180791</v>
      </c>
      <c r="ER235" s="0" t="n">
        <v>1.24293785310735</v>
      </c>
      <c r="ES235" s="0" t="n">
        <v>0.807909604519774</v>
      </c>
      <c r="ET235" s="0" t="n">
        <v>29</v>
      </c>
      <c r="EU235" s="0" t="n">
        <v>16</v>
      </c>
      <c r="EV235" s="0" t="n">
        <v>4.42372881355932</v>
      </c>
      <c r="EW235" s="0" t="n">
        <v>0.551724137931035</v>
      </c>
      <c r="EX235" s="0" t="n">
        <v>2.95623424539257</v>
      </c>
      <c r="EY235" s="0" t="n">
        <v>2.952</v>
      </c>
      <c r="EZ235" s="0" t="n">
        <v>0.1682</v>
      </c>
      <c r="FA235" s="0" t="n">
        <v>2.592</v>
      </c>
      <c r="FB235" s="0" t="n">
        <v>1.833</v>
      </c>
      <c r="FC235" s="0" t="n">
        <v>20</v>
      </c>
      <c r="FD235" s="0" t="n">
        <v>671</v>
      </c>
      <c r="FE235" s="0" t="n">
        <v>0.0342771982116244</v>
      </c>
      <c r="FF235" s="0" t="n">
        <v>0.037</v>
      </c>
      <c r="FG235" s="0" t="n">
        <v>0.2088</v>
      </c>
      <c r="FH235" s="0" t="n">
        <v>2.401</v>
      </c>
      <c r="FI235" s="0" t="n">
        <v>1079</v>
      </c>
      <c r="FJ235" s="0" t="n">
        <v>0.593141797961075</v>
      </c>
      <c r="FK235" s="0" t="n">
        <v>17</v>
      </c>
      <c r="FL235" s="0" t="n">
        <v>63.47</v>
      </c>
      <c r="FM235" s="0" t="n">
        <v>0.59</v>
      </c>
      <c r="FN235" s="0" t="n">
        <v>0.41</v>
      </c>
      <c r="FO235" s="0" t="n">
        <v>0.0157</v>
      </c>
      <c r="FP235" s="0" t="n">
        <v>0.0004</v>
      </c>
      <c r="FQ235" s="0" t="n">
        <v>0.0835</v>
      </c>
      <c r="FR235" s="0" t="n">
        <v>38</v>
      </c>
      <c r="FS235" s="0" t="n">
        <v>59</v>
      </c>
      <c r="FT235" s="0" t="n">
        <v>3.47</v>
      </c>
      <c r="FU235" s="0" t="n">
        <v>23.6</v>
      </c>
      <c r="FV235" s="0" t="n">
        <v>5797</v>
      </c>
      <c r="FW235" s="0" t="n">
        <v>5793</v>
      </c>
      <c r="FX235" s="0" t="n">
        <v>0.999</v>
      </c>
      <c r="FY235" s="0" t="n">
        <v>5</v>
      </c>
      <c r="FZ235" s="0" t="n">
        <v>5</v>
      </c>
      <c r="GA235" s="0" t="n">
        <v>0.00253477555898343</v>
      </c>
      <c r="GB235" s="0" t="n">
        <v>50</v>
      </c>
      <c r="GC235" s="0" t="n">
        <v>70.8</v>
      </c>
      <c r="GD235" s="0" t="n">
        <v>63.2</v>
      </c>
      <c r="GE235" s="0" t="n">
        <v>584</v>
      </c>
      <c r="GF235" s="0" t="n">
        <v>456</v>
      </c>
      <c r="GG235" s="0" t="n">
        <v>4</v>
      </c>
      <c r="GH235" s="0" t="n">
        <v>0</v>
      </c>
      <c r="GI235" s="0" t="n">
        <v>157</v>
      </c>
      <c r="GJ235" s="0" t="n">
        <v>1</v>
      </c>
      <c r="GK235" s="0" t="n">
        <v>0.007</v>
      </c>
      <c r="GL235" s="0" t="n">
        <v>0</v>
      </c>
      <c r="GM235" s="0" t="n">
        <v>0.006</v>
      </c>
      <c r="GN235" s="0" t="n">
        <v>6.333</v>
      </c>
      <c r="GO235" s="0" t="n">
        <v>5.1</v>
      </c>
      <c r="GP235" s="0" t="n">
        <v>3.867</v>
      </c>
      <c r="GQ235" s="0" t="n">
        <v>3.4</v>
      </c>
      <c r="GR235" s="0" t="n">
        <v>0.8</v>
      </c>
      <c r="GS235" s="0" t="n">
        <v>63</v>
      </c>
      <c r="GT235" s="0" t="n">
        <v>1.508</v>
      </c>
      <c r="GU235" s="0" t="n">
        <v>0.251</v>
      </c>
      <c r="GV235" s="0" t="n">
        <v>6.314</v>
      </c>
      <c r="GW235" s="0" t="n">
        <v>8.703</v>
      </c>
      <c r="GX235" s="0" t="n">
        <v>0.725</v>
      </c>
      <c r="GZ235" s="0" t="n">
        <v>9.373</v>
      </c>
      <c r="HA235" s="0" t="n">
        <v>6.243</v>
      </c>
      <c r="HB235" s="0" t="n">
        <v>0.674</v>
      </c>
      <c r="HC235" s="0" t="n">
        <v>0.032</v>
      </c>
      <c r="HE235" s="0" t="n">
        <v>0.069</v>
      </c>
      <c r="HG235" s="0" t="n">
        <v>259.05</v>
      </c>
      <c r="HH235" s="0" t="n">
        <v>24.21</v>
      </c>
      <c r="HI235" s="0" t="n">
        <v>202</v>
      </c>
      <c r="HJ235" s="0" t="n">
        <v>299</v>
      </c>
      <c r="HK235" s="0" t="s">
        <v>909</v>
      </c>
      <c r="HL235" s="0" t="n">
        <v>0</v>
      </c>
      <c r="HM235" s="0" t="n">
        <v>62</v>
      </c>
      <c r="HN235" s="0" t="n">
        <v>100</v>
      </c>
      <c r="HO235" s="0" t="n">
        <v>0.86</v>
      </c>
      <c r="HP235" s="0" t="n">
        <v>72</v>
      </c>
      <c r="HQ235" s="0" t="n">
        <v>0.421</v>
      </c>
      <c r="HR235" s="0" t="s">
        <v>232</v>
      </c>
    </row>
    <row r="236" customFormat="false" ht="15" hidden="false" customHeight="false" outlineLevel="0" collapsed="false">
      <c r="A236" s="0" t="s">
        <v>896</v>
      </c>
      <c r="B236" s="0" t="s">
        <v>897</v>
      </c>
      <c r="C236" s="0" t="s">
        <v>898</v>
      </c>
      <c r="D236" s="0" t="s">
        <v>613</v>
      </c>
      <c r="E236" s="0" t="n">
        <v>26136</v>
      </c>
      <c r="F236" s="0" t="s">
        <v>99</v>
      </c>
      <c r="G236" s="0" t="n">
        <v>259.56</v>
      </c>
      <c r="H236" s="0" t="n">
        <v>31.85</v>
      </c>
      <c r="I236" s="0" t="n">
        <v>178</v>
      </c>
      <c r="J236" s="0" t="n">
        <v>332</v>
      </c>
      <c r="L236" s="0" t="s">
        <v>2218</v>
      </c>
      <c r="O236" s="0" t="n">
        <v>2.9</v>
      </c>
      <c r="U236" s="0" t="n">
        <v>5</v>
      </c>
      <c r="V236" s="0" t="s">
        <v>613</v>
      </c>
      <c r="W236" s="0" t="s">
        <v>901</v>
      </c>
      <c r="X236" s="0" t="s">
        <v>191</v>
      </c>
      <c r="Y236" s="0" t="s">
        <v>2219</v>
      </c>
      <c r="Z236" s="0" t="n">
        <v>26136</v>
      </c>
      <c r="AA236" s="0" t="s">
        <v>2220</v>
      </c>
      <c r="AB236" s="0" t="s">
        <v>904</v>
      </c>
      <c r="AC236" s="0" t="s">
        <v>191</v>
      </c>
      <c r="AD236" s="0" t="s">
        <v>191</v>
      </c>
      <c r="AE236" s="0" t="s">
        <v>191</v>
      </c>
      <c r="AF236" s="0" t="s">
        <v>191</v>
      </c>
      <c r="AG236" s="0" t="s">
        <v>191</v>
      </c>
      <c r="AH236" s="0" t="s">
        <v>905</v>
      </c>
      <c r="AI236" s="0" t="n">
        <v>3</v>
      </c>
      <c r="AJ236" s="0" t="s">
        <v>99</v>
      </c>
      <c r="AK236" s="0" t="n">
        <v>235</v>
      </c>
      <c r="AL236" s="0" t="n">
        <v>101</v>
      </c>
      <c r="AM236" s="0" t="s">
        <v>614</v>
      </c>
      <c r="AN236" s="0" t="n">
        <v>0</v>
      </c>
      <c r="AO236" s="0" t="n">
        <v>0</v>
      </c>
      <c r="AP236" s="0" t="n">
        <v>0</v>
      </c>
      <c r="AQ236" s="0" t="n">
        <v>0</v>
      </c>
      <c r="AR236" s="0" t="n">
        <v>0</v>
      </c>
      <c r="AS236" s="0" t="n">
        <v>0</v>
      </c>
      <c r="AT236" s="0" t="n">
        <v>0</v>
      </c>
      <c r="AU236" s="0" t="n">
        <v>0</v>
      </c>
      <c r="AV236" s="0" t="n">
        <v>0</v>
      </c>
      <c r="AW236" s="0" t="n">
        <v>1</v>
      </c>
      <c r="AX236" s="0" t="n">
        <v>0</v>
      </c>
      <c r="AY236" s="0" t="n">
        <v>0</v>
      </c>
      <c r="AZ236" s="0" t="n">
        <v>0</v>
      </c>
      <c r="BA236" s="0" t="n">
        <v>-0.530515918973833</v>
      </c>
      <c r="BB236" s="0" t="n">
        <v>0</v>
      </c>
      <c r="BC236" s="0" t="n">
        <v>35</v>
      </c>
      <c r="BD236" s="0" t="n">
        <v>64</v>
      </c>
      <c r="BE236" s="0" t="n">
        <v>363</v>
      </c>
      <c r="BF236" s="0" t="n">
        <v>3</v>
      </c>
      <c r="BG236" s="0" t="n">
        <v>633</v>
      </c>
      <c r="BH236" s="0" t="n">
        <v>75</v>
      </c>
      <c r="BI236" s="0" t="n">
        <v>18</v>
      </c>
      <c r="BJ236" s="0" t="n">
        <v>-4.08282124271484</v>
      </c>
      <c r="BK236" s="0" t="n">
        <v>0</v>
      </c>
      <c r="BL236" s="0" t="n">
        <v>0</v>
      </c>
      <c r="BM236" s="0" t="n">
        <v>54.3</v>
      </c>
      <c r="BN236" s="0" t="n">
        <v>89.3</v>
      </c>
      <c r="BO236" s="0" t="n">
        <v>15</v>
      </c>
      <c r="BP236" s="0" t="s">
        <v>191</v>
      </c>
      <c r="BQ236" s="0" t="n">
        <v>1</v>
      </c>
      <c r="BR236" s="0" t="n">
        <v>71.8</v>
      </c>
      <c r="BS236" s="0" t="n">
        <v>0.1333</v>
      </c>
      <c r="BT236" s="0" t="n">
        <v>0.0022</v>
      </c>
      <c r="BU236" s="0" t="n">
        <v>0.1942</v>
      </c>
      <c r="BV236" s="0" t="n">
        <v>0.1509</v>
      </c>
      <c r="BW236" s="0" t="n">
        <v>0.0025</v>
      </c>
      <c r="BX236" s="0" t="n">
        <v>0.2151</v>
      </c>
      <c r="BY236" s="0" t="n">
        <v>0.3769</v>
      </c>
      <c r="BZ236" s="0" t="n">
        <v>15</v>
      </c>
      <c r="CA236" s="0" t="n">
        <v>1.75</v>
      </c>
      <c r="CB236" s="0" t="n">
        <v>10.58</v>
      </c>
      <c r="CC236" s="0" t="n">
        <v>3.7</v>
      </c>
      <c r="CD236" s="0" t="n">
        <v>6.86</v>
      </c>
      <c r="CE236" s="0" t="n">
        <v>1</v>
      </c>
      <c r="CF236" s="0" t="n">
        <v>5</v>
      </c>
      <c r="CG236" s="0" t="n">
        <v>15</v>
      </c>
      <c r="CH236" s="0" t="n">
        <v>0.067</v>
      </c>
      <c r="CI236" s="0" t="n">
        <v>0.333</v>
      </c>
      <c r="CJ236" s="0" t="n">
        <v>1.854</v>
      </c>
      <c r="CK236" s="0" t="n">
        <v>12</v>
      </c>
      <c r="CL236" s="0" t="n">
        <v>3</v>
      </c>
      <c r="CM236" s="0" t="n">
        <v>2</v>
      </c>
      <c r="CN236" s="0" t="n">
        <v>3</v>
      </c>
      <c r="CO236" s="0" t="n">
        <v>3.34606733871521</v>
      </c>
      <c r="CP236" s="0" t="n">
        <v>0</v>
      </c>
      <c r="CQ236" s="0" t="n">
        <v>0</v>
      </c>
      <c r="CR236" s="0" t="n">
        <v>0</v>
      </c>
      <c r="CS236" s="0" t="n">
        <v>0</v>
      </c>
      <c r="CT236" s="0" t="n">
        <v>0.00858704137392662</v>
      </c>
      <c r="CU236" s="0" t="n">
        <v>12</v>
      </c>
      <c r="CV236" s="0" t="n">
        <v>3</v>
      </c>
      <c r="CW236" s="0" t="n">
        <v>2</v>
      </c>
      <c r="CX236" s="0" t="n">
        <v>3</v>
      </c>
      <c r="CY236" s="0" t="n">
        <v>3.35</v>
      </c>
      <c r="CZ236" s="0" t="n">
        <v>-0.35</v>
      </c>
      <c r="DA236" s="0" t="n">
        <v>2.59962161301118</v>
      </c>
      <c r="DB236" s="0" t="n">
        <v>6.73344827586207</v>
      </c>
      <c r="DC236" s="0" t="n">
        <v>10.80453125</v>
      </c>
      <c r="DD236" s="0" t="n">
        <v>20.3078974340902</v>
      </c>
      <c r="DE236" s="0" t="n">
        <v>-0.571655106327481</v>
      </c>
      <c r="DF236" s="0" t="n">
        <v>54.6875</v>
      </c>
      <c r="DM236" s="0" t="s">
        <v>2221</v>
      </c>
      <c r="DN236" s="0" t="n">
        <v>1</v>
      </c>
      <c r="DO236" s="0" t="n">
        <v>0</v>
      </c>
      <c r="DS236" s="0" t="n">
        <v>64</v>
      </c>
      <c r="DT236" s="0" t="n">
        <v>0</v>
      </c>
      <c r="DU236" s="0" t="n">
        <v>2</v>
      </c>
      <c r="DV236" s="0" t="n">
        <v>8.229</v>
      </c>
      <c r="DW236" s="0" t="n">
        <v>2.143</v>
      </c>
      <c r="DX236" s="0" t="n">
        <v>9.6</v>
      </c>
      <c r="DY236" s="0" t="n">
        <v>0.0312</v>
      </c>
      <c r="DZ236" s="0" t="n">
        <v>642</v>
      </c>
      <c r="EA236" s="0" t="n">
        <v>0.679</v>
      </c>
      <c r="EB236" s="0" t="n">
        <v>15</v>
      </c>
      <c r="EC236" s="0" t="s">
        <v>2222</v>
      </c>
      <c r="ED236" s="0" t="n">
        <v>2024</v>
      </c>
      <c r="EE236" s="0" t="n">
        <v>1</v>
      </c>
      <c r="EF236" s="0" t="n">
        <v>32</v>
      </c>
      <c r="EG236" s="0" t="n">
        <v>2024</v>
      </c>
      <c r="EH236" s="0" t="n">
        <v>2026</v>
      </c>
      <c r="EI236" s="0" t="n">
        <v>3</v>
      </c>
      <c r="EJ236" s="0" t="n">
        <v>75</v>
      </c>
      <c r="EK236" s="0" t="n">
        <v>218</v>
      </c>
      <c r="EL236" s="0" t="s">
        <v>1420</v>
      </c>
      <c r="EM236" s="0" t="n">
        <v>25.5</v>
      </c>
      <c r="EN236" s="15" t="b">
        <f aca="false">FALSE()</f>
        <v>0</v>
      </c>
      <c r="EO236" s="0" t="n">
        <v>391</v>
      </c>
      <c r="EP236" s="0" t="n">
        <v>3.16700767263427</v>
      </c>
      <c r="EQ236" s="0" t="n">
        <v>0.138107416879795</v>
      </c>
      <c r="ER236" s="0" t="n">
        <v>1.15856777493606</v>
      </c>
      <c r="ES236" s="0" t="n">
        <v>0.534526854219949</v>
      </c>
      <c r="ET236" s="0" t="n">
        <v>29</v>
      </c>
      <c r="EU236" s="0" t="n">
        <v>20</v>
      </c>
      <c r="EV236" s="0" t="n">
        <v>4.29923273657289</v>
      </c>
      <c r="EW236" s="0" t="n">
        <v>0.689655172413793</v>
      </c>
      <c r="EX236" s="0" t="n">
        <v>2.93615385596069</v>
      </c>
      <c r="EY236" s="0" t="n">
        <v>3.179</v>
      </c>
      <c r="EZ236" s="0" t="n">
        <v>0.1391</v>
      </c>
      <c r="FA236" s="0" t="n">
        <v>2.49</v>
      </c>
      <c r="FB236" s="0" t="n">
        <v>1.798</v>
      </c>
      <c r="FC236" s="0" t="n">
        <v>18</v>
      </c>
      <c r="FD236" s="0" t="n">
        <v>582</v>
      </c>
      <c r="FE236" s="0" t="n">
        <v>0.0601374570446735</v>
      </c>
      <c r="FF236" s="0" t="n">
        <v>0.0629</v>
      </c>
      <c r="FG236" s="0" t="n">
        <v>0.2718</v>
      </c>
      <c r="FH236" s="0" t="n">
        <v>2.4</v>
      </c>
      <c r="FI236" s="0" t="n">
        <v>996</v>
      </c>
      <c r="FJ236" s="0" t="n">
        <v>0.553212851405623</v>
      </c>
      <c r="FK236" s="0" t="n">
        <v>17</v>
      </c>
      <c r="FL236" s="0" t="n">
        <v>58.59</v>
      </c>
      <c r="FM236" s="0" t="n">
        <v>0.5106</v>
      </c>
      <c r="FN236" s="0" t="n">
        <v>0.4894</v>
      </c>
      <c r="FO236" s="0" t="n">
        <v>-0.061</v>
      </c>
      <c r="FP236" s="0" t="n">
        <v>-0.0262</v>
      </c>
      <c r="FQ236" s="0" t="n">
        <v>-0.0498</v>
      </c>
      <c r="FR236" s="0" t="n">
        <v>39</v>
      </c>
      <c r="FS236" s="0" t="n">
        <v>48</v>
      </c>
      <c r="FT236" s="0" t="n">
        <v>2.82</v>
      </c>
      <c r="FU236" s="0" t="n">
        <v>18.3</v>
      </c>
      <c r="FV236" s="0" t="n">
        <v>5317</v>
      </c>
      <c r="FW236" s="0" t="n">
        <v>3170</v>
      </c>
      <c r="FX236" s="0" t="n">
        <v>0.596</v>
      </c>
      <c r="FY236" s="0" t="n">
        <v>5</v>
      </c>
      <c r="FZ236" s="0" t="n">
        <v>3</v>
      </c>
      <c r="GA236" s="0" t="n">
        <v>0.724248193828235</v>
      </c>
      <c r="GB236" s="0" t="n">
        <v>63.1</v>
      </c>
      <c r="GC236" s="0" t="n">
        <v>47.3</v>
      </c>
      <c r="GD236" s="0" t="n">
        <v>56.6</v>
      </c>
      <c r="GE236" s="0" t="n">
        <v>480</v>
      </c>
      <c r="GF236" s="0" t="n">
        <v>461</v>
      </c>
      <c r="GG236" s="0" t="n">
        <v>50</v>
      </c>
      <c r="GH236" s="0" t="n">
        <v>242</v>
      </c>
      <c r="GI236" s="0" t="n">
        <v>136</v>
      </c>
      <c r="GJ236" s="0" t="n">
        <v>40</v>
      </c>
      <c r="GK236" s="0" t="n">
        <v>0.104</v>
      </c>
      <c r="GL236" s="0" t="n">
        <v>0.525</v>
      </c>
      <c r="GM236" s="0" t="n">
        <v>0.294</v>
      </c>
      <c r="GN236" s="0" t="n">
        <v>5.953</v>
      </c>
      <c r="GO236" s="0" t="n">
        <v>4.787</v>
      </c>
      <c r="GP236" s="0" t="n">
        <v>3.62</v>
      </c>
      <c r="GQ236" s="0" t="n">
        <v>4.267</v>
      </c>
      <c r="GR236" s="0" t="n">
        <v>0.067</v>
      </c>
      <c r="GS236" s="0" t="n">
        <v>65</v>
      </c>
      <c r="GT236" s="0" t="n">
        <v>1.374</v>
      </c>
      <c r="GU236" s="0" t="n">
        <v>0.139</v>
      </c>
      <c r="GV236" s="0" t="n">
        <v>5.672</v>
      </c>
      <c r="GW236" s="0" t="n">
        <v>10.371</v>
      </c>
      <c r="GX236" s="0" t="n">
        <v>0.547</v>
      </c>
      <c r="GZ236" s="0" t="n">
        <v>9.891</v>
      </c>
      <c r="HA236" s="0" t="n">
        <v>2.143</v>
      </c>
      <c r="HB236" s="0" t="n">
        <v>0.573</v>
      </c>
      <c r="HC236" s="0" t="n">
        <v>0.046</v>
      </c>
      <c r="HE236" s="0" t="n">
        <v>-0.064</v>
      </c>
      <c r="HG236" s="0" t="n">
        <v>259.56</v>
      </c>
      <c r="HH236" s="0" t="n">
        <v>31.85</v>
      </c>
      <c r="HI236" s="0" t="n">
        <v>178</v>
      </c>
      <c r="HJ236" s="0" t="n">
        <v>332</v>
      </c>
      <c r="HK236" s="0" t="s">
        <v>909</v>
      </c>
      <c r="HL236" s="0" t="n">
        <v>0</v>
      </c>
      <c r="HM236" s="0" t="n">
        <v>64</v>
      </c>
      <c r="HN236" s="0" t="n">
        <v>101</v>
      </c>
      <c r="HO236" s="0" t="n">
        <v>0.807</v>
      </c>
      <c r="HP236" s="0" t="n">
        <v>73</v>
      </c>
      <c r="HQ236" s="0" t="n">
        <v>0.413</v>
      </c>
      <c r="HR236" s="0" t="s">
        <v>232</v>
      </c>
    </row>
    <row r="237" customFormat="false" ht="15" hidden="false" customHeight="false" outlineLevel="0" collapsed="false">
      <c r="A237" s="0" t="s">
        <v>896</v>
      </c>
      <c r="B237" s="0" t="s">
        <v>897</v>
      </c>
      <c r="C237" s="0" t="s">
        <v>898</v>
      </c>
      <c r="D237" s="0" t="s">
        <v>615</v>
      </c>
      <c r="E237" s="0" t="n">
        <v>25388</v>
      </c>
      <c r="F237" s="0" t="s">
        <v>104</v>
      </c>
      <c r="G237" s="0" t="n">
        <v>261.14</v>
      </c>
      <c r="H237" s="0" t="n">
        <v>47.28</v>
      </c>
      <c r="I237" s="0" t="n">
        <v>145</v>
      </c>
      <c r="J237" s="0" t="n">
        <v>364</v>
      </c>
      <c r="L237" s="0" t="s">
        <v>2223</v>
      </c>
      <c r="O237" s="0" t="n">
        <v>8.9</v>
      </c>
      <c r="U237" s="0" t="n">
        <v>14</v>
      </c>
      <c r="V237" s="0" t="s">
        <v>615</v>
      </c>
      <c r="W237" s="0" t="s">
        <v>901</v>
      </c>
      <c r="X237" s="0" t="s">
        <v>151</v>
      </c>
      <c r="Y237" s="0" t="s">
        <v>2224</v>
      </c>
      <c r="Z237" s="0" t="n">
        <v>25388</v>
      </c>
      <c r="AA237" s="0" t="s">
        <v>2225</v>
      </c>
      <c r="AB237" s="0" t="s">
        <v>904</v>
      </c>
      <c r="AC237" s="0" t="s">
        <v>151</v>
      </c>
      <c r="AD237" s="0" t="s">
        <v>151</v>
      </c>
      <c r="AE237" s="0" t="s">
        <v>151</v>
      </c>
      <c r="AF237" s="0" t="s">
        <v>151</v>
      </c>
      <c r="AG237" s="0" t="s">
        <v>151</v>
      </c>
      <c r="AH237" s="0" t="s">
        <v>905</v>
      </c>
      <c r="AI237" s="0" t="n">
        <v>4</v>
      </c>
      <c r="AJ237" s="0" t="s">
        <v>104</v>
      </c>
      <c r="AK237" s="0" t="n">
        <v>236</v>
      </c>
      <c r="AL237" s="0" t="n">
        <v>74</v>
      </c>
      <c r="AM237" s="0" t="s">
        <v>616</v>
      </c>
      <c r="AN237" s="0" t="n">
        <v>0</v>
      </c>
      <c r="AO237" s="0" t="n">
        <v>0</v>
      </c>
      <c r="AP237" s="0" t="n">
        <v>0</v>
      </c>
      <c r="AQ237" s="0" t="n">
        <v>0</v>
      </c>
      <c r="AR237" s="0" t="n">
        <v>0</v>
      </c>
      <c r="AS237" s="0" t="n">
        <v>0</v>
      </c>
      <c r="AT237" s="0" t="n">
        <v>0</v>
      </c>
      <c r="AU237" s="0" t="n">
        <v>0</v>
      </c>
      <c r="AV237" s="0" t="n">
        <v>0</v>
      </c>
      <c r="AW237" s="0" t="n">
        <v>29</v>
      </c>
      <c r="AX237" s="0" t="n">
        <v>160</v>
      </c>
      <c r="AY237" s="0" t="n">
        <v>0</v>
      </c>
      <c r="AZ237" s="0" t="n">
        <v>4</v>
      </c>
      <c r="BA237" s="0" t="n">
        <v>-0.208217968573201</v>
      </c>
      <c r="BB237" s="0" t="n">
        <v>0</v>
      </c>
      <c r="BC237" s="0" t="n">
        <v>13</v>
      </c>
      <c r="BD237" s="0" t="n">
        <v>16</v>
      </c>
      <c r="BE237" s="0" t="n">
        <v>64</v>
      </c>
      <c r="BF237" s="0" t="n">
        <v>0</v>
      </c>
      <c r="BG237" s="0" t="n">
        <v>-22</v>
      </c>
      <c r="BH237" s="0" t="n">
        <v>73</v>
      </c>
      <c r="BI237" s="0" t="n">
        <v>2</v>
      </c>
      <c r="BJ237" s="0" t="n">
        <v>-8.07334305129021</v>
      </c>
      <c r="BK237" s="0" t="n">
        <v>0</v>
      </c>
      <c r="BL237" s="0" t="n">
        <v>0</v>
      </c>
      <c r="BM237" s="0" t="n">
        <v>22.4</v>
      </c>
      <c r="BN237" s="0" t="n">
        <v>35.4</v>
      </c>
      <c r="BO237" s="0" t="n">
        <v>4</v>
      </c>
      <c r="BP237" s="0" t="s">
        <v>151</v>
      </c>
      <c r="BQ237" s="0" t="n">
        <v>1</v>
      </c>
      <c r="BR237" s="0" t="n">
        <v>28.9</v>
      </c>
      <c r="BS237" s="0" t="n">
        <v>0.0259</v>
      </c>
      <c r="BT237" s="0" t="n">
        <v>0.0792</v>
      </c>
      <c r="BU237" s="0" t="n">
        <v>-0.0049</v>
      </c>
      <c r="BV237" s="0" t="n">
        <v>0.125</v>
      </c>
      <c r="BW237" s="0" t="n">
        <v>0.3085</v>
      </c>
      <c r="BX237" s="0" t="n">
        <v>-0.0301</v>
      </c>
      <c r="BY237" s="0" t="n">
        <v>0.1664</v>
      </c>
      <c r="BZ237" s="0" t="n">
        <v>4</v>
      </c>
      <c r="CA237" s="0" t="n">
        <v>8.33</v>
      </c>
      <c r="CB237" s="0" t="n">
        <v>9.54</v>
      </c>
      <c r="CC237" s="0" t="n">
        <v>8.45</v>
      </c>
      <c r="CD237" s="0" t="n">
        <v>1.05</v>
      </c>
      <c r="CE237" s="0" t="n">
        <v>0</v>
      </c>
      <c r="CF237" s="0" t="n">
        <v>0</v>
      </c>
      <c r="CG237" s="0" t="n">
        <v>4</v>
      </c>
      <c r="CH237" s="0" t="n">
        <v>0</v>
      </c>
      <c r="CI237" s="0" t="n">
        <v>0</v>
      </c>
      <c r="CJ237" s="0" t="n">
        <v>0.124</v>
      </c>
      <c r="CK237" s="0" t="n">
        <v>2</v>
      </c>
      <c r="CL237" s="0" t="n">
        <v>0</v>
      </c>
      <c r="CM237" s="0" t="n">
        <v>0</v>
      </c>
      <c r="CN237" s="0" t="n">
        <v>0</v>
      </c>
      <c r="CO237" s="0" t="n">
        <v>0.725427770333894</v>
      </c>
      <c r="CP237" s="0" t="n">
        <v>3</v>
      </c>
      <c r="CQ237" s="0" t="n">
        <v>2</v>
      </c>
      <c r="CR237" s="0" t="n">
        <v>1</v>
      </c>
      <c r="CS237" s="0" t="n">
        <v>0</v>
      </c>
      <c r="CT237" s="0" t="n">
        <v>0.923438634818648</v>
      </c>
      <c r="CU237" s="0" t="n">
        <v>5</v>
      </c>
      <c r="CV237" s="0" t="n">
        <v>2</v>
      </c>
      <c r="CW237" s="0" t="n">
        <v>1</v>
      </c>
      <c r="CX237" s="0" t="n">
        <v>0</v>
      </c>
      <c r="CY237" s="0" t="n">
        <v>1.65</v>
      </c>
      <c r="CZ237" s="0" t="n">
        <v>-1.65</v>
      </c>
      <c r="DM237" s="0" t="s">
        <v>2226</v>
      </c>
      <c r="DN237" s="0" t="n">
        <v>29</v>
      </c>
      <c r="DO237" s="0" t="n">
        <v>2</v>
      </c>
      <c r="DP237" s="0" t="n">
        <v>3.034</v>
      </c>
      <c r="DQ237" s="0" t="n">
        <v>2.483</v>
      </c>
      <c r="DR237" s="0" t="n">
        <v>14.5</v>
      </c>
      <c r="DS237" s="0" t="n">
        <v>16</v>
      </c>
      <c r="DT237" s="0" t="n">
        <v>1</v>
      </c>
      <c r="DU237" s="0" t="n">
        <v>0</v>
      </c>
      <c r="DV237" s="0" t="n">
        <v>-0.692</v>
      </c>
      <c r="DW237" s="0" t="n">
        <v>5.615</v>
      </c>
      <c r="DX237" s="0" t="n">
        <v>-1.4</v>
      </c>
      <c r="DY237" s="0" t="n">
        <v>0</v>
      </c>
      <c r="DZ237" s="0" t="n">
        <v>123</v>
      </c>
      <c r="EA237" s="0" t="n">
        <v>0.483</v>
      </c>
      <c r="EB237" s="0" t="n">
        <v>4</v>
      </c>
      <c r="EC237" s="0" t="s">
        <v>2227</v>
      </c>
      <c r="ED237" s="0" t="n">
        <v>2024</v>
      </c>
      <c r="EE237" s="0" t="n">
        <v>3</v>
      </c>
      <c r="EF237" s="0" t="n">
        <v>66</v>
      </c>
      <c r="EG237" s="0" t="n">
        <v>2024</v>
      </c>
      <c r="EH237" s="0" t="n">
        <v>2026</v>
      </c>
      <c r="EI237" s="0" t="n">
        <v>3</v>
      </c>
      <c r="EJ237" s="0" t="n">
        <v>72</v>
      </c>
      <c r="EK237" s="0" t="n">
        <v>225</v>
      </c>
      <c r="EL237" s="0" t="s">
        <v>2228</v>
      </c>
      <c r="EM237" s="0" t="n">
        <v>24.1</v>
      </c>
      <c r="EN237" s="15" t="b">
        <f aca="false">FALSE()</f>
        <v>0</v>
      </c>
      <c r="EO237" s="0" t="n">
        <v>292</v>
      </c>
      <c r="EP237" s="0" t="n">
        <v>2.76198630136986</v>
      </c>
      <c r="EQ237" s="0" t="n">
        <v>0.198630136986301</v>
      </c>
      <c r="ER237" s="0" t="n">
        <v>1.1472602739726</v>
      </c>
      <c r="ES237" s="0" t="n">
        <v>0.828767123287671</v>
      </c>
      <c r="ET237" s="0" t="n">
        <v>32</v>
      </c>
      <c r="EU237" s="0" t="n">
        <v>21</v>
      </c>
      <c r="EV237" s="0" t="n">
        <v>4.20205479452055</v>
      </c>
      <c r="EW237" s="0" t="n">
        <v>0.65625</v>
      </c>
      <c r="EX237" s="0" t="n">
        <v>2.93895253186521</v>
      </c>
      <c r="EY237" s="0" t="n">
        <v>2.771</v>
      </c>
      <c r="EZ237" s="0" t="n">
        <v>0.2005</v>
      </c>
      <c r="FA237" s="0" t="n">
        <v>2.593</v>
      </c>
      <c r="FB237" s="0" t="n">
        <v>1.732</v>
      </c>
      <c r="FC237" s="0" t="n">
        <v>22</v>
      </c>
      <c r="FD237" s="0" t="n">
        <v>745</v>
      </c>
      <c r="FE237" s="0" t="n">
        <v>0.0791946308724832</v>
      </c>
      <c r="FF237" s="0" t="n">
        <v>0.0839</v>
      </c>
      <c r="FG237" s="0" t="n">
        <v>0.282</v>
      </c>
      <c r="FH237" s="0" t="n">
        <v>2.373</v>
      </c>
      <c r="FI237" s="0" t="n">
        <v>1074</v>
      </c>
      <c r="FJ237" s="0" t="n">
        <v>0.661080074487896</v>
      </c>
      <c r="FK237" s="0" t="n">
        <v>17</v>
      </c>
      <c r="FL237" s="0" t="n">
        <v>63.18</v>
      </c>
      <c r="FM237" s="0" t="n">
        <v>0.6204</v>
      </c>
      <c r="FN237" s="0" t="n">
        <v>0.3796</v>
      </c>
      <c r="FO237" s="0" t="n">
        <v>0.0399</v>
      </c>
      <c r="FP237" s="0" t="n">
        <v>-0.0591</v>
      </c>
      <c r="FQ237" s="0" t="n">
        <v>0.0023</v>
      </c>
      <c r="FR237" s="0" t="n">
        <v>39</v>
      </c>
      <c r="FS237" s="0" t="n">
        <v>61</v>
      </c>
      <c r="FT237" s="0" t="n">
        <v>3.59</v>
      </c>
      <c r="FU237" s="0" t="n">
        <v>20.9</v>
      </c>
      <c r="FV237" s="0" t="n">
        <v>5838</v>
      </c>
      <c r="FW237" s="0" t="n">
        <v>4005</v>
      </c>
      <c r="FX237" s="0" t="n">
        <v>0.686</v>
      </c>
      <c r="FY237" s="0" t="n">
        <v>5</v>
      </c>
      <c r="FZ237" s="0" t="n">
        <v>3</v>
      </c>
      <c r="GA237" s="0" t="n">
        <v>-0.344439654226007</v>
      </c>
      <c r="GB237" s="0" t="n">
        <v>43.8</v>
      </c>
      <c r="GC237" s="0" t="n">
        <v>35.6</v>
      </c>
      <c r="GD237" s="0" t="n">
        <v>36.9</v>
      </c>
      <c r="GE237" s="0" t="n">
        <v>617</v>
      </c>
      <c r="GF237" s="0" t="n">
        <v>366</v>
      </c>
      <c r="GG237" s="0" t="n">
        <v>106</v>
      </c>
      <c r="GH237" s="0" t="n">
        <v>173</v>
      </c>
      <c r="GI237" s="0" t="n">
        <v>153</v>
      </c>
      <c r="GJ237" s="0" t="n">
        <v>41</v>
      </c>
      <c r="GK237" s="0" t="n">
        <v>0.172</v>
      </c>
      <c r="GL237" s="0" t="n">
        <v>0.473</v>
      </c>
      <c r="GM237" s="0" t="n">
        <v>0.268</v>
      </c>
      <c r="GN237" s="0" t="n">
        <v>8.85</v>
      </c>
      <c r="GO237" s="0" t="n">
        <v>7.225</v>
      </c>
      <c r="GP237" s="0" t="n">
        <v>5.6</v>
      </c>
      <c r="GQ237" s="0" t="n">
        <v>4</v>
      </c>
      <c r="GR237" s="0" t="n">
        <v>7.25</v>
      </c>
      <c r="GS237" s="0" t="n">
        <v>45</v>
      </c>
      <c r="GT237" s="0" t="n">
        <v>0.787</v>
      </c>
      <c r="GU237" s="0" t="n">
        <v>0.288</v>
      </c>
      <c r="GV237" s="0" t="n">
        <v>4</v>
      </c>
      <c r="GW237" s="0" t="n">
        <v>4.923</v>
      </c>
      <c r="GX237" s="0" t="n">
        <v>0.812</v>
      </c>
      <c r="GY237" s="0" t="n">
        <v>5.517</v>
      </c>
      <c r="GZ237" s="0" t="n">
        <v>-1.375</v>
      </c>
      <c r="HA237" s="0" t="n">
        <v>5.615</v>
      </c>
      <c r="HB237" s="0" t="n">
        <v>-2.909</v>
      </c>
      <c r="HC237" s="0" t="n">
        <v>0</v>
      </c>
      <c r="HD237" s="0" t="n">
        <v>-0.007</v>
      </c>
      <c r="HE237" s="0" t="n">
        <v>-0.505</v>
      </c>
      <c r="HG237" s="0" t="n">
        <v>261.14</v>
      </c>
      <c r="HH237" s="0" t="n">
        <v>47.28</v>
      </c>
      <c r="HI237" s="0" t="n">
        <v>145</v>
      </c>
      <c r="HJ237" s="0" t="n">
        <v>364</v>
      </c>
      <c r="HK237" s="0" t="s">
        <v>909</v>
      </c>
      <c r="HL237" s="0" t="n">
        <v>0</v>
      </c>
      <c r="HM237" s="0" t="n">
        <v>61</v>
      </c>
      <c r="HN237" s="0" t="n">
        <v>74</v>
      </c>
      <c r="HO237" s="0" t="n">
        <v>-0.017</v>
      </c>
      <c r="HP237" s="0" t="n">
        <v>38</v>
      </c>
      <c r="HQ237" s="0" t="n">
        <v>0.99</v>
      </c>
      <c r="HR237" s="0" t="s">
        <v>102</v>
      </c>
    </row>
    <row r="238" customFormat="false" ht="15" hidden="false" customHeight="false" outlineLevel="0" collapsed="false">
      <c r="A238" s="0" t="s">
        <v>896</v>
      </c>
      <c r="B238" s="0" t="s">
        <v>897</v>
      </c>
      <c r="C238" s="0" t="s">
        <v>898</v>
      </c>
      <c r="D238" s="0" t="s">
        <v>617</v>
      </c>
      <c r="E238" s="0" t="n">
        <v>19372</v>
      </c>
      <c r="F238" s="0" t="s">
        <v>149</v>
      </c>
      <c r="G238" s="0" t="n">
        <v>262.81</v>
      </c>
      <c r="H238" s="0" t="n">
        <v>20.19</v>
      </c>
      <c r="I238" s="0" t="n">
        <v>214</v>
      </c>
      <c r="J238" s="0" t="n">
        <v>353</v>
      </c>
      <c r="L238" s="0" t="s">
        <v>2229</v>
      </c>
      <c r="O238" s="0" t="n">
        <v>11.6</v>
      </c>
      <c r="U238" s="0" t="n">
        <v>11</v>
      </c>
      <c r="V238" s="0" t="s">
        <v>617</v>
      </c>
      <c r="W238" s="0" t="s">
        <v>901</v>
      </c>
      <c r="X238" s="0" t="s">
        <v>109</v>
      </c>
      <c r="Y238" s="0" t="s">
        <v>2230</v>
      </c>
      <c r="Z238" s="0" t="n">
        <v>19372</v>
      </c>
      <c r="AA238" s="0" t="s">
        <v>2231</v>
      </c>
      <c r="AB238" s="0" t="s">
        <v>904</v>
      </c>
      <c r="AC238" s="0" t="s">
        <v>109</v>
      </c>
      <c r="AD238" s="0" t="s">
        <v>109</v>
      </c>
      <c r="AE238" s="0" t="s">
        <v>109</v>
      </c>
      <c r="AF238" s="0" t="s">
        <v>109</v>
      </c>
      <c r="AG238" s="0" t="s">
        <v>109</v>
      </c>
      <c r="AH238" s="0" t="s">
        <v>905</v>
      </c>
      <c r="AI238" s="0" t="n">
        <v>1</v>
      </c>
      <c r="AJ238" s="0" t="s">
        <v>149</v>
      </c>
      <c r="AK238" s="0" t="n">
        <v>237</v>
      </c>
      <c r="AL238" s="0" t="n">
        <v>32</v>
      </c>
      <c r="AM238" s="0" t="s">
        <v>618</v>
      </c>
      <c r="AN238" s="0" t="n">
        <v>0</v>
      </c>
      <c r="AO238" s="0" t="n">
        <v>0</v>
      </c>
      <c r="AP238" s="0" t="n">
        <v>0</v>
      </c>
      <c r="AQ238" s="0" t="n">
        <v>0</v>
      </c>
      <c r="AR238" s="0" t="n">
        <v>0</v>
      </c>
      <c r="AS238" s="0" t="n">
        <v>0</v>
      </c>
      <c r="AT238" s="0" t="n">
        <v>0</v>
      </c>
      <c r="AU238" s="0" t="n">
        <v>0</v>
      </c>
      <c r="AV238" s="0" t="n">
        <v>0</v>
      </c>
      <c r="AW238" s="0" t="n">
        <v>0</v>
      </c>
      <c r="AX238" s="0" t="n">
        <v>0</v>
      </c>
      <c r="AY238" s="0" t="n">
        <v>0</v>
      </c>
      <c r="AZ238" s="0" t="n">
        <v>0</v>
      </c>
      <c r="BA238" s="0" t="n">
        <v>0</v>
      </c>
      <c r="BB238" s="0" t="n">
        <v>0</v>
      </c>
      <c r="BC238" s="0" t="n">
        <v>43</v>
      </c>
      <c r="BD238" s="0" t="n">
        <v>56</v>
      </c>
      <c r="BE238" s="0" t="n">
        <v>408</v>
      </c>
      <c r="BF238" s="0" t="n">
        <v>8</v>
      </c>
      <c r="BG238" s="0" t="n">
        <v>248</v>
      </c>
      <c r="BH238" s="0" t="n">
        <v>271</v>
      </c>
      <c r="BI238" s="0" t="n">
        <v>24</v>
      </c>
      <c r="BJ238" s="0" t="n">
        <v>12.5571114241144</v>
      </c>
      <c r="BK238" s="0" t="n">
        <v>1</v>
      </c>
      <c r="BL238" s="0" t="n">
        <v>0</v>
      </c>
      <c r="BM238" s="0" t="n">
        <v>86.8</v>
      </c>
      <c r="BN238" s="0" t="n">
        <v>129.8</v>
      </c>
      <c r="BO238" s="0" t="n">
        <v>14</v>
      </c>
      <c r="BP238" s="0" t="s">
        <v>109</v>
      </c>
      <c r="BQ238" s="0" t="n">
        <v>1</v>
      </c>
      <c r="BR238" s="0" t="n">
        <v>108.3</v>
      </c>
      <c r="BS238" s="0" t="n">
        <v>0.0964</v>
      </c>
      <c r="BT238" s="0" t="n">
        <v>0</v>
      </c>
      <c r="BU238" s="0" t="n">
        <v>0.046</v>
      </c>
      <c r="BV238" s="0" t="n">
        <v>0.1143</v>
      </c>
      <c r="BW238" s="0" t="n">
        <v>0</v>
      </c>
      <c r="BX238" s="0" t="n">
        <v>0.0534</v>
      </c>
      <c r="BY238" s="0" t="n">
        <v>0.2088</v>
      </c>
      <c r="BZ238" s="0" t="n">
        <v>14</v>
      </c>
      <c r="CA238" s="0" t="n">
        <v>3.8</v>
      </c>
      <c r="CB238" s="0" t="n">
        <v>14.37</v>
      </c>
      <c r="CC238" s="0" t="n">
        <v>8.55</v>
      </c>
      <c r="CD238" s="0" t="n">
        <v>7.27</v>
      </c>
      <c r="CE238" s="0" t="n">
        <v>3</v>
      </c>
      <c r="CF238" s="0" t="n">
        <v>2</v>
      </c>
      <c r="CG238" s="0" t="n">
        <v>14</v>
      </c>
      <c r="CH238" s="0" t="n">
        <v>0.214</v>
      </c>
      <c r="CI238" s="0" t="n">
        <v>0.143</v>
      </c>
      <c r="CJ238" s="0" t="n">
        <v>0.851</v>
      </c>
      <c r="CK238" s="0" t="n">
        <v>22</v>
      </c>
      <c r="CL238" s="0" t="n">
        <v>10</v>
      </c>
      <c r="CM238" s="0" t="n">
        <v>2</v>
      </c>
      <c r="CN238" s="0" t="n">
        <v>8</v>
      </c>
      <c r="CO238" s="0" t="n">
        <v>5.86571398842744</v>
      </c>
      <c r="CP238" s="0" t="n">
        <v>0</v>
      </c>
      <c r="CQ238" s="0" t="n">
        <v>0</v>
      </c>
      <c r="CR238" s="0" t="n">
        <v>0</v>
      </c>
      <c r="CS238" s="0" t="n">
        <v>0</v>
      </c>
      <c r="CT238" s="0" t="n">
        <v>0</v>
      </c>
      <c r="CU238" s="0" t="n">
        <v>22</v>
      </c>
      <c r="CV238" s="0" t="n">
        <v>10</v>
      </c>
      <c r="CW238" s="0" t="n">
        <v>2</v>
      </c>
      <c r="CX238" s="0" t="n">
        <v>8</v>
      </c>
      <c r="CY238" s="0" t="n">
        <v>5.87</v>
      </c>
      <c r="CZ238" s="0" t="n">
        <v>2.13</v>
      </c>
      <c r="DA238" s="0" t="n">
        <v>3.54799210641913</v>
      </c>
      <c r="DB238" s="0" t="n">
        <v>5.72297872340426</v>
      </c>
      <c r="DC238" s="0" t="n">
        <v>4.65803571428571</v>
      </c>
      <c r="DD238" s="0" t="n">
        <v>4.93392120479603</v>
      </c>
      <c r="DE238" s="0" t="n">
        <v>0.438194024447579</v>
      </c>
      <c r="DF238" s="0" t="n">
        <v>76.7857142857143</v>
      </c>
      <c r="DM238" s="0" t="s">
        <v>2232</v>
      </c>
      <c r="DS238" s="0" t="n">
        <v>56</v>
      </c>
      <c r="DT238" s="0" t="n">
        <v>4</v>
      </c>
      <c r="DU238" s="0" t="n">
        <v>3</v>
      </c>
      <c r="DV238" s="0" t="n">
        <v>3.186</v>
      </c>
      <c r="DW238" s="0" t="n">
        <v>6.302</v>
      </c>
      <c r="DX238" s="0" t="n">
        <v>4.4</v>
      </c>
      <c r="DY238" s="0" t="n">
        <v>0.0536</v>
      </c>
      <c r="DZ238" s="0" t="n">
        <v>621</v>
      </c>
      <c r="EA238" s="0" t="n">
        <v>0.604</v>
      </c>
      <c r="EB238" s="0" t="n">
        <v>15</v>
      </c>
      <c r="EC238" s="0" t="s">
        <v>2233</v>
      </c>
      <c r="ED238" s="0" t="n">
        <v>2020</v>
      </c>
      <c r="EE238" s="0" t="n">
        <v>4</v>
      </c>
      <c r="EF238" s="0" t="n">
        <v>133</v>
      </c>
      <c r="EG238" s="0" t="n">
        <v>2020</v>
      </c>
      <c r="EH238" s="0" t="n">
        <v>2026</v>
      </c>
      <c r="EI238" s="0" t="n">
        <v>7</v>
      </c>
      <c r="EJ238" s="0" t="n">
        <v>79</v>
      </c>
      <c r="EK238" s="0" t="n">
        <v>265</v>
      </c>
      <c r="EL238" s="0" t="s">
        <v>953</v>
      </c>
      <c r="EM238" s="0" t="n">
        <v>27.6</v>
      </c>
      <c r="EN238" s="15" t="b">
        <f aca="false">FALSE()</f>
        <v>0</v>
      </c>
      <c r="EO238" s="0" t="n">
        <v>413</v>
      </c>
      <c r="EP238" s="0" t="n">
        <v>3.45544794188862</v>
      </c>
      <c r="EQ238" s="0" t="n">
        <v>0.123486682808717</v>
      </c>
      <c r="ER238" s="0" t="n">
        <v>1.50847457627119</v>
      </c>
      <c r="ES238" s="0" t="n">
        <v>0.711864406779661</v>
      </c>
      <c r="ET238" s="0" t="n">
        <v>47</v>
      </c>
      <c r="EU238" s="0" t="n">
        <v>30</v>
      </c>
      <c r="EV238" s="0" t="n">
        <v>4.94915254237288</v>
      </c>
      <c r="EW238" s="0" t="n">
        <v>0.638297872340426</v>
      </c>
      <c r="EX238" s="0" t="n">
        <v>2.94176720069723</v>
      </c>
      <c r="EY238" s="0" t="n">
        <v>3.462</v>
      </c>
      <c r="EZ238" s="0" t="n">
        <v>0.1266</v>
      </c>
      <c r="FA238" s="0" t="n">
        <v>2.811</v>
      </c>
      <c r="FB238" s="0" t="n">
        <v>1.817</v>
      </c>
      <c r="FC238" s="0" t="n">
        <v>35</v>
      </c>
      <c r="FD238" s="0" t="n">
        <v>624</v>
      </c>
      <c r="FE238" s="0" t="n">
        <v>0.0368589743589744</v>
      </c>
      <c r="FF238" s="0" t="n">
        <v>0.0424</v>
      </c>
      <c r="FG238" s="0" t="n">
        <v>0.194</v>
      </c>
      <c r="FH238" s="0" t="n">
        <v>2.396</v>
      </c>
      <c r="FI238" s="0" t="n">
        <v>1056</v>
      </c>
      <c r="FJ238" s="0" t="n">
        <v>0.584280303030303</v>
      </c>
      <c r="FK238" s="0" t="n">
        <v>17</v>
      </c>
      <c r="FL238" s="0" t="n">
        <v>62.12</v>
      </c>
      <c r="FM238" s="0" t="n">
        <v>0.6185</v>
      </c>
      <c r="FN238" s="0" t="n">
        <v>0.3815</v>
      </c>
      <c r="FO238" s="0" t="n">
        <v>0.0296</v>
      </c>
      <c r="FP238" s="0" t="n">
        <v>0.0262</v>
      </c>
      <c r="FQ238" s="0" t="n">
        <v>0.2292</v>
      </c>
      <c r="FR238" s="0" t="n">
        <v>37</v>
      </c>
      <c r="FS238" s="0" t="n">
        <v>76</v>
      </c>
      <c r="FT238" s="0" t="n">
        <v>4.47</v>
      </c>
      <c r="FU238" s="0" t="n">
        <v>30.5</v>
      </c>
      <c r="FV238" s="0" t="n">
        <v>5675</v>
      </c>
      <c r="FW238" s="0" t="n">
        <v>5129</v>
      </c>
      <c r="FX238" s="0" t="n">
        <v>0.904</v>
      </c>
      <c r="FY238" s="0" t="n">
        <v>5</v>
      </c>
      <c r="FZ238" s="0" t="n">
        <v>5</v>
      </c>
      <c r="GA238" s="0" t="n">
        <v>1.46228832359079</v>
      </c>
      <c r="GB238" s="0" t="n">
        <v>76.4</v>
      </c>
      <c r="GC238" s="0" t="n">
        <v>71.5</v>
      </c>
      <c r="GD238" s="0" t="n">
        <v>80.4</v>
      </c>
      <c r="GE238" s="0" t="n">
        <v>581</v>
      </c>
      <c r="GF238" s="0" t="n">
        <v>465</v>
      </c>
      <c r="GG238" s="0" t="n">
        <v>15</v>
      </c>
      <c r="GH238" s="0" t="n">
        <v>0</v>
      </c>
      <c r="GI238" s="0" t="n">
        <v>195</v>
      </c>
      <c r="GJ238" s="0" t="n">
        <v>1</v>
      </c>
      <c r="GK238" s="0" t="n">
        <v>0.026</v>
      </c>
      <c r="GL238" s="0" t="n">
        <v>0</v>
      </c>
      <c r="GM238" s="0" t="n">
        <v>0.005</v>
      </c>
      <c r="GN238" s="0" t="n">
        <v>9.271</v>
      </c>
      <c r="GO238" s="0" t="n">
        <v>7.736</v>
      </c>
      <c r="GP238" s="0" t="n">
        <v>6.2</v>
      </c>
      <c r="GQ238" s="0" t="n">
        <v>4</v>
      </c>
      <c r="GR238" s="0" t="n">
        <v>0</v>
      </c>
      <c r="GS238" s="0" t="n">
        <v>56</v>
      </c>
      <c r="GT238" s="0" t="n">
        <v>2.318</v>
      </c>
      <c r="GU238" s="0" t="n">
        <v>0.209</v>
      </c>
      <c r="GV238" s="0" t="n">
        <v>7.286</v>
      </c>
      <c r="GW238" s="0" t="n">
        <v>9.488</v>
      </c>
      <c r="GX238" s="0" t="n">
        <v>0.768</v>
      </c>
      <c r="GZ238" s="0" t="n">
        <v>4.429</v>
      </c>
      <c r="HA238" s="0" t="n">
        <v>6.302</v>
      </c>
      <c r="HB238" s="0" t="n">
        <v>1.645</v>
      </c>
      <c r="HC238" s="0" t="n">
        <v>0.143</v>
      </c>
      <c r="HE238" s="0" t="n">
        <v>0.224</v>
      </c>
      <c r="HG238" s="0" t="n">
        <v>262.81</v>
      </c>
      <c r="HH238" s="0" t="n">
        <v>20.19</v>
      </c>
      <c r="HI238" s="0" t="n">
        <v>214</v>
      </c>
      <c r="HJ238" s="0" t="n">
        <v>353</v>
      </c>
      <c r="HK238" s="0" t="s">
        <v>909</v>
      </c>
      <c r="HL238" s="0" t="n">
        <v>0</v>
      </c>
      <c r="HM238" s="0" t="n">
        <v>17</v>
      </c>
      <c r="HN238" s="0" t="n">
        <v>32</v>
      </c>
      <c r="HO238" s="0" t="n">
        <v>0.423</v>
      </c>
      <c r="HP238" s="0" t="n">
        <v>18</v>
      </c>
      <c r="HQ238" s="0" t="n">
        <v>0.379</v>
      </c>
      <c r="HR238" s="0" t="s">
        <v>232</v>
      </c>
    </row>
    <row r="239" customFormat="false" ht="15" hidden="false" customHeight="false" outlineLevel="0" collapsed="false">
      <c r="A239" s="0" t="s">
        <v>896</v>
      </c>
      <c r="B239" s="0" t="s">
        <v>897</v>
      </c>
      <c r="C239" s="0" t="s">
        <v>898</v>
      </c>
      <c r="D239" s="0" t="s">
        <v>619</v>
      </c>
      <c r="E239" s="0" t="n">
        <v>19198</v>
      </c>
      <c r="F239" s="0" t="s">
        <v>172</v>
      </c>
      <c r="G239" s="0" t="n">
        <v>264.28</v>
      </c>
      <c r="H239" s="0" t="n">
        <v>37.9</v>
      </c>
      <c r="I239" s="0" t="n">
        <v>134</v>
      </c>
      <c r="J239" s="0" t="n">
        <v>346</v>
      </c>
      <c r="L239" s="0" t="s">
        <v>2234</v>
      </c>
      <c r="O239" s="0" t="n">
        <v>13.1</v>
      </c>
      <c r="U239" s="0" t="n">
        <v>11</v>
      </c>
      <c r="V239" s="0" t="s">
        <v>619</v>
      </c>
      <c r="W239" s="0" t="s">
        <v>901</v>
      </c>
      <c r="X239" s="0" t="s">
        <v>112</v>
      </c>
      <c r="Y239" s="0" t="s">
        <v>2235</v>
      </c>
      <c r="Z239" s="0" t="n">
        <v>19198</v>
      </c>
      <c r="AA239" s="0" t="s">
        <v>2236</v>
      </c>
      <c r="AB239" s="0" t="s">
        <v>904</v>
      </c>
      <c r="AC239" s="0" t="s">
        <v>112</v>
      </c>
      <c r="AD239" s="0" t="s">
        <v>112</v>
      </c>
      <c r="AE239" s="0" t="s">
        <v>112</v>
      </c>
      <c r="AF239" s="0" t="s">
        <v>112</v>
      </c>
      <c r="AG239" s="0" t="s">
        <v>112</v>
      </c>
      <c r="AH239" s="0" t="s">
        <v>905</v>
      </c>
      <c r="AI239" s="0" t="n">
        <v>1</v>
      </c>
      <c r="AJ239" s="0" t="s">
        <v>172</v>
      </c>
      <c r="AK239" s="0" t="n">
        <v>238</v>
      </c>
      <c r="AL239" s="0" t="n">
        <v>31</v>
      </c>
      <c r="AM239" s="0" t="s">
        <v>620</v>
      </c>
      <c r="AN239" s="0" t="n">
        <v>260</v>
      </c>
      <c r="AO239" s="0" t="n">
        <v>384</v>
      </c>
      <c r="AP239" s="0" t="n">
        <v>2660</v>
      </c>
      <c r="AQ239" s="0" t="n">
        <v>20</v>
      </c>
      <c r="AR239" s="0" t="n">
        <v>15</v>
      </c>
      <c r="AS239" s="0" t="n">
        <v>30</v>
      </c>
      <c r="AT239" s="0" t="n">
        <v>2613</v>
      </c>
      <c r="AU239" s="0" t="n">
        <v>142</v>
      </c>
      <c r="AV239" s="0" t="n">
        <v>14.3950634196548</v>
      </c>
      <c r="AW239" s="0" t="n">
        <v>20</v>
      </c>
      <c r="AX239" s="0" t="n">
        <v>43</v>
      </c>
      <c r="AY239" s="0" t="n">
        <v>0</v>
      </c>
      <c r="AZ239" s="0" t="n">
        <v>1</v>
      </c>
      <c r="BA239" s="0" t="n">
        <v>-7.46998686280804</v>
      </c>
      <c r="BB239" s="0" t="n">
        <v>0</v>
      </c>
      <c r="BC239" s="0" t="n">
        <v>0</v>
      </c>
      <c r="BD239" s="0" t="n">
        <v>0</v>
      </c>
      <c r="BE239" s="0" t="n">
        <v>0</v>
      </c>
      <c r="BF239" s="0" t="n">
        <v>0</v>
      </c>
      <c r="BG239" s="0" t="n">
        <v>0</v>
      </c>
      <c r="BH239" s="0" t="n">
        <v>0</v>
      </c>
      <c r="BI239" s="0" t="n">
        <v>0</v>
      </c>
      <c r="BJ239" s="0" t="n">
        <v>0</v>
      </c>
      <c r="BK239" s="0" t="n">
        <v>0</v>
      </c>
      <c r="BL239" s="0" t="n">
        <v>0</v>
      </c>
      <c r="BM239" s="0" t="n">
        <v>160.7</v>
      </c>
      <c r="BN239" s="0" t="n">
        <v>160.7</v>
      </c>
      <c r="BO239" s="0" t="n">
        <v>14</v>
      </c>
      <c r="BP239" s="0" t="s">
        <v>161</v>
      </c>
      <c r="BQ239" s="0" t="n">
        <v>1</v>
      </c>
      <c r="BR239" s="0" t="n">
        <v>160.7</v>
      </c>
      <c r="BS239" s="0" t="n">
        <v>0</v>
      </c>
      <c r="BT239" s="0" t="n">
        <v>0.0463</v>
      </c>
      <c r="BU239" s="0" t="n">
        <v>0</v>
      </c>
      <c r="BV239" s="0" t="n">
        <v>0</v>
      </c>
      <c r="BW239" s="0" t="n">
        <v>0.0573</v>
      </c>
      <c r="BX239" s="0" t="n">
        <v>0</v>
      </c>
      <c r="BY239" s="0" t="n">
        <v>0</v>
      </c>
      <c r="BZ239" s="0" t="n">
        <v>14</v>
      </c>
      <c r="CA239" s="0" t="n">
        <v>6.66</v>
      </c>
      <c r="CB239" s="0" t="n">
        <v>18.81</v>
      </c>
      <c r="CC239" s="0" t="n">
        <v>9.95</v>
      </c>
      <c r="CD239" s="0" t="n">
        <v>7.3</v>
      </c>
      <c r="CE239" s="0" t="n">
        <v>2</v>
      </c>
      <c r="CF239" s="0" t="n">
        <v>4</v>
      </c>
      <c r="CG239" s="0" t="n">
        <v>14</v>
      </c>
      <c r="CH239" s="0" t="n">
        <v>0.143</v>
      </c>
      <c r="CI239" s="0" t="n">
        <v>0.286</v>
      </c>
      <c r="CJ239" s="0" t="n">
        <v>0.733</v>
      </c>
      <c r="CK239" s="0" t="n">
        <v>0</v>
      </c>
      <c r="CL239" s="0" t="n">
        <v>0</v>
      </c>
      <c r="CM239" s="0" t="n">
        <v>0</v>
      </c>
      <c r="CN239" s="0" t="n">
        <v>0</v>
      </c>
      <c r="CO239" s="0" t="n">
        <v>0</v>
      </c>
      <c r="CP239" s="0" t="n">
        <v>2</v>
      </c>
      <c r="CQ239" s="0" t="n">
        <v>0</v>
      </c>
      <c r="CR239" s="0" t="n">
        <v>0</v>
      </c>
      <c r="CS239" s="0" t="n">
        <v>0</v>
      </c>
      <c r="CT239" s="0" t="n">
        <v>0.181849817136211</v>
      </c>
      <c r="CU239" s="0" t="n">
        <v>2</v>
      </c>
      <c r="CV239" s="0" t="n">
        <v>0</v>
      </c>
      <c r="CW239" s="0" t="n">
        <v>0</v>
      </c>
      <c r="CX239" s="0" t="n">
        <v>0</v>
      </c>
      <c r="CY239" s="0" t="n">
        <v>0.18</v>
      </c>
      <c r="CZ239" s="0" t="n">
        <v>-0.18</v>
      </c>
      <c r="DM239" s="0" t="s">
        <v>2237</v>
      </c>
      <c r="DN239" s="0" t="n">
        <v>20</v>
      </c>
      <c r="DO239" s="0" t="n">
        <v>0</v>
      </c>
      <c r="DP239" s="0" t="n">
        <v>2</v>
      </c>
      <c r="DQ239" s="0" t="n">
        <v>0.15</v>
      </c>
      <c r="DZ239" s="0" t="n">
        <v>776</v>
      </c>
      <c r="EA239" s="0" t="n">
        <v>0.954</v>
      </c>
      <c r="EB239" s="0" t="n">
        <v>14</v>
      </c>
      <c r="EC239" s="0" t="s">
        <v>2238</v>
      </c>
      <c r="ED239" s="0" t="n">
        <v>2020</v>
      </c>
      <c r="EE239" s="0" t="n">
        <v>1</v>
      </c>
      <c r="EF239" s="0" t="n">
        <v>5</v>
      </c>
      <c r="EG239" s="0" t="n">
        <v>2020</v>
      </c>
      <c r="EH239" s="0" t="n">
        <v>2026</v>
      </c>
      <c r="EI239" s="0" t="n">
        <v>7</v>
      </c>
      <c r="EJ239" s="0" t="n">
        <v>73</v>
      </c>
      <c r="EK239" s="0" t="n">
        <v>225</v>
      </c>
      <c r="EL239" s="0" t="s">
        <v>1045</v>
      </c>
      <c r="EM239" s="0" t="n">
        <v>28.5</v>
      </c>
      <c r="EN239" s="15" t="b">
        <f aca="false">FALSE()</f>
        <v>0</v>
      </c>
      <c r="EO239" s="0" t="n">
        <v>439</v>
      </c>
      <c r="EP239" s="0" t="n">
        <v>3.05466970387244</v>
      </c>
      <c r="EQ239" s="0" t="n">
        <v>0.16628701594533</v>
      </c>
      <c r="ER239" s="0" t="n">
        <v>1.35307517084283</v>
      </c>
      <c r="ES239" s="0" t="n">
        <v>0.89749430523918</v>
      </c>
      <c r="ET239" s="0" t="n">
        <v>42</v>
      </c>
      <c r="EU239" s="0" t="n">
        <v>22</v>
      </c>
      <c r="EV239" s="0" t="n">
        <v>4.67425968109339</v>
      </c>
      <c r="EW239" s="0" t="n">
        <v>0.523809523809524</v>
      </c>
      <c r="EX239" s="0" t="n">
        <v>2.93179766542752</v>
      </c>
      <c r="EY239" s="0" t="n">
        <v>3.071</v>
      </c>
      <c r="EZ239" s="0" t="n">
        <v>0.1627</v>
      </c>
      <c r="FA239" s="0" t="n">
        <v>2.522</v>
      </c>
      <c r="FB239" s="0" t="n">
        <v>1.96</v>
      </c>
      <c r="FC239" s="0" t="n">
        <v>31</v>
      </c>
      <c r="FD239" s="0" t="n">
        <v>583</v>
      </c>
      <c r="FE239" s="0" t="n">
        <v>0.0445969125214408</v>
      </c>
      <c r="FF239" s="0" t="n">
        <v>0.0494</v>
      </c>
      <c r="FG239" s="0" t="n">
        <v>0.2037</v>
      </c>
      <c r="FH239" s="0" t="n">
        <v>2.4</v>
      </c>
      <c r="FI239" s="0" t="n">
        <v>1036</v>
      </c>
      <c r="FJ239" s="0" t="n">
        <v>0.551158301158301</v>
      </c>
      <c r="FK239" s="0" t="n">
        <v>17</v>
      </c>
      <c r="FL239" s="0" t="n">
        <v>60.94</v>
      </c>
      <c r="FM239" s="0" t="n">
        <v>0.549</v>
      </c>
      <c r="FN239" s="0" t="n">
        <v>0.451</v>
      </c>
      <c r="FO239" s="0" t="n">
        <v>-0.0621</v>
      </c>
      <c r="FP239" s="0" t="n">
        <v>-0.0314</v>
      </c>
      <c r="FQ239" s="0" t="n">
        <v>-0.0132</v>
      </c>
      <c r="FR239" s="0" t="n">
        <v>38</v>
      </c>
      <c r="FS239" s="0" t="n">
        <v>53</v>
      </c>
      <c r="FT239" s="0" t="n">
        <v>3.12</v>
      </c>
      <c r="FU239" s="0" t="n">
        <v>20.8</v>
      </c>
      <c r="FV239" s="0" t="n">
        <v>5484</v>
      </c>
      <c r="FW239" s="0" t="n">
        <v>4377</v>
      </c>
      <c r="FX239" s="0" t="n">
        <v>0.798</v>
      </c>
      <c r="FY239" s="0" t="n">
        <v>5</v>
      </c>
      <c r="FZ239" s="0" t="n">
        <v>4</v>
      </c>
      <c r="GA239" s="0" t="n">
        <v>0.149012046753805</v>
      </c>
      <c r="GB239" s="0" t="n">
        <v>52.7</v>
      </c>
      <c r="GC239" s="0" t="n">
        <v>66.9</v>
      </c>
      <c r="GD239" s="0" t="n">
        <v>62.4</v>
      </c>
      <c r="GE239" s="0" t="n">
        <v>519</v>
      </c>
      <c r="GF239" s="0" t="n">
        <v>477</v>
      </c>
      <c r="GG239" s="0" t="n">
        <v>151</v>
      </c>
      <c r="GH239" s="0" t="n">
        <v>160</v>
      </c>
      <c r="GI239" s="0" t="n">
        <v>132</v>
      </c>
      <c r="GJ239" s="0" t="n">
        <v>49</v>
      </c>
      <c r="GK239" s="0" t="n">
        <v>0.291</v>
      </c>
      <c r="GL239" s="0" t="n">
        <v>0.335</v>
      </c>
      <c r="GM239" s="0" t="n">
        <v>0.371</v>
      </c>
      <c r="GN239" s="0" t="n">
        <v>11.479</v>
      </c>
      <c r="GO239" s="0" t="n">
        <v>11.479</v>
      </c>
      <c r="GP239" s="0" t="n">
        <v>11.479</v>
      </c>
      <c r="GQ239" s="0" t="n">
        <v>0</v>
      </c>
      <c r="GR239" s="0" t="n">
        <v>1.429</v>
      </c>
      <c r="GS239" s="0" t="n">
        <v>20</v>
      </c>
      <c r="GT239" s="0" t="n">
        <v>8.035</v>
      </c>
      <c r="GU239" s="0" t="n">
        <v>0.207</v>
      </c>
      <c r="GY239" s="0" t="n">
        <v>2.15</v>
      </c>
      <c r="HC239" s="0" t="n">
        <v>0</v>
      </c>
      <c r="HD239" s="0" t="n">
        <v>-0.373</v>
      </c>
      <c r="HG239" s="0" t="n">
        <v>264.28</v>
      </c>
      <c r="HH239" s="0" t="n">
        <v>37.9</v>
      </c>
      <c r="HI239" s="0" t="n">
        <v>134</v>
      </c>
      <c r="HJ239" s="0" t="n">
        <v>346</v>
      </c>
      <c r="HK239" s="0" t="s">
        <v>909</v>
      </c>
      <c r="HL239" s="0" t="n">
        <v>0</v>
      </c>
      <c r="HM239" s="0" t="n">
        <v>25</v>
      </c>
      <c r="HN239" s="0" t="n">
        <v>31</v>
      </c>
      <c r="HO239" s="0" t="n">
        <v>0.038</v>
      </c>
      <c r="HP239" s="0" t="n">
        <v>29</v>
      </c>
      <c r="HQ239" s="0" t="n">
        <v>-0.138</v>
      </c>
      <c r="HR239" s="0" t="s">
        <v>102</v>
      </c>
    </row>
    <row r="240" customFormat="false" ht="15" hidden="false" customHeight="false" outlineLevel="0" collapsed="false">
      <c r="A240" s="0" t="s">
        <v>896</v>
      </c>
      <c r="B240" s="0" t="s">
        <v>897</v>
      </c>
      <c r="C240" s="0" t="s">
        <v>898</v>
      </c>
      <c r="D240" s="0" t="s">
        <v>621</v>
      </c>
      <c r="E240" s="0" t="n">
        <v>27285</v>
      </c>
      <c r="F240" s="0" t="s">
        <v>104</v>
      </c>
      <c r="G240" s="0" t="n">
        <v>264.49</v>
      </c>
      <c r="H240" s="0" t="n">
        <v>27.59</v>
      </c>
      <c r="I240" s="0" t="n">
        <v>169</v>
      </c>
      <c r="J240" s="0" t="n">
        <v>326</v>
      </c>
      <c r="L240" s="0" t="s">
        <v>2239</v>
      </c>
      <c r="O240" s="0" t="n">
        <v>3.6</v>
      </c>
      <c r="U240" s="0" t="n">
        <v>7</v>
      </c>
      <c r="V240" s="0" t="s">
        <v>2240</v>
      </c>
      <c r="W240" s="0" t="s">
        <v>901</v>
      </c>
      <c r="X240" s="0" t="s">
        <v>1284</v>
      </c>
      <c r="Y240" s="0" t="s">
        <v>2241</v>
      </c>
      <c r="Z240" s="0" t="n">
        <v>27285</v>
      </c>
      <c r="AA240" s="0" t="s">
        <v>2242</v>
      </c>
      <c r="AB240" s="0" t="s">
        <v>904</v>
      </c>
      <c r="AC240" s="0" t="s">
        <v>235</v>
      </c>
      <c r="AD240" s="0" t="s">
        <v>235</v>
      </c>
      <c r="AE240" s="0" t="s">
        <v>235</v>
      </c>
      <c r="AF240" s="0" t="s">
        <v>235</v>
      </c>
      <c r="AG240" s="0" t="s">
        <v>235</v>
      </c>
      <c r="AH240" s="0" t="s">
        <v>905</v>
      </c>
      <c r="AI240" s="0" t="n">
        <v>2</v>
      </c>
      <c r="AJ240" s="0" t="s">
        <v>281</v>
      </c>
      <c r="AK240" s="0" t="n">
        <v>239</v>
      </c>
      <c r="AL240" s="0" t="n">
        <v>75</v>
      </c>
      <c r="AM240" s="0" t="s">
        <v>622</v>
      </c>
      <c r="AN240" s="0" t="n">
        <v>0</v>
      </c>
      <c r="AO240" s="0" t="n">
        <v>0</v>
      </c>
      <c r="AP240" s="0" t="n">
        <v>0</v>
      </c>
      <c r="AQ240" s="0" t="n">
        <v>0</v>
      </c>
      <c r="AR240" s="0" t="n">
        <v>0</v>
      </c>
      <c r="AS240" s="0" t="n">
        <v>0</v>
      </c>
      <c r="AT240" s="0" t="n">
        <v>0</v>
      </c>
      <c r="AU240" s="0" t="n">
        <v>0</v>
      </c>
      <c r="AV240" s="0" t="n">
        <v>0</v>
      </c>
      <c r="AW240" s="0" t="n">
        <v>23</v>
      </c>
      <c r="AX240" s="0" t="n">
        <v>94</v>
      </c>
      <c r="AY240" s="0" t="n">
        <v>0</v>
      </c>
      <c r="AZ240" s="0" t="n">
        <v>5</v>
      </c>
      <c r="BA240" s="0" t="n">
        <v>-3.23431171878474</v>
      </c>
      <c r="BB240" s="0" t="n">
        <v>0</v>
      </c>
      <c r="BC240" s="0" t="n">
        <v>10</v>
      </c>
      <c r="BD240" s="0" t="n">
        <v>11</v>
      </c>
      <c r="BE240" s="0" t="n">
        <v>54</v>
      </c>
      <c r="BF240" s="0" t="n">
        <v>0</v>
      </c>
      <c r="BG240" s="0" t="n">
        <v>-15</v>
      </c>
      <c r="BH240" s="0" t="n">
        <v>61</v>
      </c>
      <c r="BI240" s="0" t="n">
        <v>0</v>
      </c>
      <c r="BJ240" s="0" t="n">
        <v>-3.86079954135768</v>
      </c>
      <c r="BK240" s="0" t="n">
        <v>0</v>
      </c>
      <c r="BL240" s="0" t="n">
        <v>0</v>
      </c>
      <c r="BM240" s="0" t="n">
        <v>14.8</v>
      </c>
      <c r="BN240" s="0" t="n">
        <v>24.8</v>
      </c>
      <c r="BO240" s="0" t="n">
        <v>16</v>
      </c>
      <c r="BP240" s="0" t="s">
        <v>235</v>
      </c>
      <c r="BQ240" s="0" t="n">
        <v>1</v>
      </c>
      <c r="BR240" s="0" t="n">
        <v>19.8</v>
      </c>
      <c r="BS240" s="0" t="n">
        <v>0.0201</v>
      </c>
      <c r="BT240" s="0" t="n">
        <v>0.047</v>
      </c>
      <c r="BU240" s="0" t="n">
        <v>-0.0031</v>
      </c>
      <c r="BV240" s="0" t="n">
        <v>0.0213</v>
      </c>
      <c r="BW240" s="0" t="n">
        <v>0.0495</v>
      </c>
      <c r="BX240" s="0" t="n">
        <v>-0.0033</v>
      </c>
      <c r="BY240" s="0" t="n">
        <v>0.0296</v>
      </c>
      <c r="BZ240" s="0" t="n">
        <v>16</v>
      </c>
      <c r="CA240" s="0" t="n">
        <v>0.82</v>
      </c>
      <c r="CB240" s="0" t="n">
        <v>2.5</v>
      </c>
      <c r="CC240" s="0" t="n">
        <v>1.65</v>
      </c>
      <c r="CD240" s="0" t="n">
        <v>1.05</v>
      </c>
      <c r="CE240" s="0" t="n">
        <v>0</v>
      </c>
      <c r="CF240" s="0" t="n">
        <v>13</v>
      </c>
      <c r="CG240" s="0" t="n">
        <v>16</v>
      </c>
      <c r="CH240" s="0" t="n">
        <v>0</v>
      </c>
      <c r="CI240" s="0" t="n">
        <v>0.812</v>
      </c>
      <c r="CJ240" s="0" t="n">
        <v>0.638</v>
      </c>
      <c r="CK240" s="0" t="n">
        <v>2</v>
      </c>
      <c r="CL240" s="0" t="n">
        <v>0</v>
      </c>
      <c r="CM240" s="0" t="n">
        <v>0</v>
      </c>
      <c r="CN240" s="0" t="n">
        <v>0</v>
      </c>
      <c r="CO240" s="0" t="n">
        <v>0.471214424094738</v>
      </c>
      <c r="CP240" s="0" t="n">
        <v>4</v>
      </c>
      <c r="CQ240" s="0" t="n">
        <v>1</v>
      </c>
      <c r="CR240" s="0" t="n">
        <v>1</v>
      </c>
      <c r="CS240" s="0" t="n">
        <v>0</v>
      </c>
      <c r="CT240" s="0" t="n">
        <v>0.526703692952335</v>
      </c>
      <c r="CU240" s="0" t="n">
        <v>6</v>
      </c>
      <c r="CV240" s="0" t="n">
        <v>1</v>
      </c>
      <c r="CW240" s="0" t="n">
        <v>1</v>
      </c>
      <c r="CX240" s="0" t="n">
        <v>0</v>
      </c>
      <c r="CY240" s="0" t="n">
        <v>1</v>
      </c>
      <c r="CZ240" s="0" t="n">
        <v>-1</v>
      </c>
      <c r="DM240" s="0" t="s">
        <v>2243</v>
      </c>
      <c r="DN240" s="0" t="n">
        <v>23</v>
      </c>
      <c r="DO240" s="0" t="n">
        <v>2</v>
      </c>
      <c r="DP240" s="0" t="n">
        <v>2.565</v>
      </c>
      <c r="DQ240" s="0" t="n">
        <v>1.522</v>
      </c>
      <c r="DR240" s="0" t="n">
        <v>11.5</v>
      </c>
      <c r="DS240" s="0" t="n">
        <v>11</v>
      </c>
      <c r="DT240" s="0" t="n">
        <v>0</v>
      </c>
      <c r="DU240" s="0" t="n">
        <v>0</v>
      </c>
      <c r="DV240" s="0" t="n">
        <v>-0.7</v>
      </c>
      <c r="DW240" s="0" t="n">
        <v>6.1</v>
      </c>
      <c r="DX240" s="0" t="n">
        <v>-1.4</v>
      </c>
      <c r="DY240" s="0" t="n">
        <v>0</v>
      </c>
      <c r="DZ240" s="0" t="n">
        <v>259</v>
      </c>
      <c r="EA240" s="0" t="n">
        <v>0.226</v>
      </c>
      <c r="EB240" s="0" t="n">
        <v>17</v>
      </c>
      <c r="EC240" s="0" t="s">
        <v>2157</v>
      </c>
      <c r="ED240" s="0" t="n">
        <v>2025</v>
      </c>
      <c r="EE240" s="0" t="n">
        <v>7</v>
      </c>
      <c r="EF240" s="0" t="n">
        <v>236</v>
      </c>
      <c r="EG240" s="0" t="n">
        <v>2025</v>
      </c>
      <c r="EH240" s="0" t="n">
        <v>2026</v>
      </c>
      <c r="EI240" s="0" t="n">
        <v>2</v>
      </c>
      <c r="EJ240" s="0" t="n">
        <v>72</v>
      </c>
      <c r="EK240" s="0" t="n">
        <v>201</v>
      </c>
      <c r="EL240" s="0" t="s">
        <v>1855</v>
      </c>
      <c r="EM240" s="0" t="n">
        <v>22</v>
      </c>
      <c r="EN240" s="15" t="b">
        <f aca="false">FALSE()</f>
        <v>0</v>
      </c>
      <c r="EO240" s="0" t="n">
        <v>373</v>
      </c>
      <c r="EP240" s="0" t="n">
        <v>2.85254691689008</v>
      </c>
      <c r="EQ240" s="0" t="n">
        <v>0.184986595174263</v>
      </c>
      <c r="ER240" s="0" t="n">
        <v>1.10991957104558</v>
      </c>
      <c r="ES240" s="0" t="n">
        <v>0.683646112600536</v>
      </c>
      <c r="ET240" s="0" t="n">
        <v>30</v>
      </c>
      <c r="EU240" s="0" t="n">
        <v>15</v>
      </c>
      <c r="EV240" s="0" t="n">
        <v>4.1313672922252</v>
      </c>
      <c r="EW240" s="0" t="n">
        <v>0.5</v>
      </c>
      <c r="EX240" s="0" t="n">
        <v>2.91568836248392</v>
      </c>
      <c r="EY240" s="0" t="n">
        <v>2.885</v>
      </c>
      <c r="EZ240" s="0" t="n">
        <v>0.1784</v>
      </c>
      <c r="FA240" s="0" t="n">
        <v>2.219</v>
      </c>
      <c r="FB240" s="0" t="n">
        <v>1.781</v>
      </c>
      <c r="FC240" s="0" t="n">
        <v>22</v>
      </c>
      <c r="FD240" s="0" t="n">
        <v>644</v>
      </c>
      <c r="FE240" s="0" t="n">
        <v>0.0636645962732919</v>
      </c>
      <c r="FF240" s="0" t="n">
        <v>0.0647</v>
      </c>
      <c r="FG240" s="0" t="n">
        <v>0.2504</v>
      </c>
      <c r="FH240" s="0" t="n">
        <v>2.395</v>
      </c>
      <c r="FI240" s="0" t="n">
        <v>1074</v>
      </c>
      <c r="FJ240" s="0" t="n">
        <v>0.56145251396648</v>
      </c>
      <c r="FK240" s="0" t="n">
        <v>17</v>
      </c>
      <c r="FL240" s="0" t="n">
        <v>63.18</v>
      </c>
      <c r="FM240" s="0" t="n">
        <v>0.5756</v>
      </c>
      <c r="FN240" s="0" t="n">
        <v>0.4244</v>
      </c>
      <c r="FO240" s="0" t="n">
        <v>0.0164</v>
      </c>
      <c r="FP240" s="0" t="n">
        <v>-0.0041</v>
      </c>
      <c r="FQ240" s="0" t="n">
        <v>0.0592</v>
      </c>
      <c r="FR240" s="0" t="n">
        <v>40</v>
      </c>
      <c r="FS240" s="0" t="n">
        <v>72</v>
      </c>
      <c r="FT240" s="0" t="n">
        <v>4.24</v>
      </c>
      <c r="FU240" s="0" t="n">
        <v>27.9</v>
      </c>
      <c r="FV240" s="0" t="n">
        <v>5856</v>
      </c>
      <c r="FW240" s="0" t="n">
        <v>5856</v>
      </c>
      <c r="FX240" s="0" t="n">
        <v>1</v>
      </c>
      <c r="FY240" s="0" t="n">
        <v>5</v>
      </c>
      <c r="FZ240" s="0" t="n">
        <v>5</v>
      </c>
      <c r="GA240" s="0" t="n">
        <v>-0.543031520615496</v>
      </c>
      <c r="GB240" s="0" t="n">
        <v>40.2</v>
      </c>
      <c r="GC240" s="0" t="n">
        <v>50.8</v>
      </c>
      <c r="GD240" s="0" t="n">
        <v>44.3</v>
      </c>
      <c r="GE240" s="0" t="n">
        <v>547</v>
      </c>
      <c r="GF240" s="0" t="n">
        <v>489</v>
      </c>
      <c r="GG240" s="0" t="n">
        <v>132</v>
      </c>
      <c r="GH240" s="0" t="n">
        <v>271</v>
      </c>
      <c r="GI240" s="0" t="n">
        <v>198</v>
      </c>
      <c r="GJ240" s="0" t="n">
        <v>85</v>
      </c>
      <c r="GK240" s="0" t="n">
        <v>0.241</v>
      </c>
      <c r="GL240" s="0" t="n">
        <v>0.554</v>
      </c>
      <c r="GM240" s="0" t="n">
        <v>0.429</v>
      </c>
      <c r="GN240" s="0" t="n">
        <v>1.55</v>
      </c>
      <c r="GO240" s="0" t="n">
        <v>1.238</v>
      </c>
      <c r="GP240" s="0" t="n">
        <v>0.925</v>
      </c>
      <c r="GQ240" s="0" t="n">
        <v>0.688</v>
      </c>
      <c r="GR240" s="0" t="n">
        <v>1.438</v>
      </c>
      <c r="GS240" s="0" t="n">
        <v>34</v>
      </c>
      <c r="GT240" s="0" t="n">
        <v>0.729</v>
      </c>
      <c r="GU240" s="0" t="n">
        <v>0.096</v>
      </c>
      <c r="GV240" s="0" t="n">
        <v>4.909</v>
      </c>
      <c r="GW240" s="0" t="n">
        <v>5.4</v>
      </c>
      <c r="GX240" s="0" t="n">
        <v>0.909</v>
      </c>
      <c r="GY240" s="0" t="n">
        <v>4.087</v>
      </c>
      <c r="GZ240" s="0" t="n">
        <v>-1.364</v>
      </c>
      <c r="HA240" s="0" t="n">
        <v>6.1</v>
      </c>
      <c r="HB240" s="0" t="n">
        <v>-3.6</v>
      </c>
      <c r="HC240" s="0" t="n">
        <v>0</v>
      </c>
      <c r="HD240" s="0" t="n">
        <v>-0.141</v>
      </c>
      <c r="HE240" s="0" t="n">
        <v>-0.351</v>
      </c>
      <c r="HG240" s="0" t="n">
        <v>264.49</v>
      </c>
      <c r="HH240" s="0" t="n">
        <v>27.59</v>
      </c>
      <c r="HI240" s="0" t="n">
        <v>169</v>
      </c>
      <c r="HJ240" s="0" t="n">
        <v>326</v>
      </c>
      <c r="HK240" s="0" t="s">
        <v>909</v>
      </c>
      <c r="HL240" s="0" t="n">
        <v>0</v>
      </c>
      <c r="HM240" s="0" t="n">
        <v>64</v>
      </c>
      <c r="HN240" s="0" t="n">
        <v>75</v>
      </c>
      <c r="HO240" s="0" t="n">
        <v>-0.113</v>
      </c>
      <c r="HP240" s="0" t="n">
        <v>68</v>
      </c>
      <c r="HQ240" s="0" t="n">
        <v>-0.289</v>
      </c>
      <c r="HR240" s="0" t="s">
        <v>102</v>
      </c>
    </row>
    <row r="241" customFormat="false" ht="15" hidden="false" customHeight="false" outlineLevel="0" collapsed="false">
      <c r="A241" s="0" t="s">
        <v>896</v>
      </c>
      <c r="B241" s="0" t="s">
        <v>897</v>
      </c>
      <c r="C241" s="0" t="s">
        <v>898</v>
      </c>
      <c r="D241" s="0" t="s">
        <v>623</v>
      </c>
      <c r="E241" s="0" t="n">
        <v>27310</v>
      </c>
      <c r="F241" s="0" t="s">
        <v>104</v>
      </c>
      <c r="G241" s="0" t="n">
        <v>264.7</v>
      </c>
      <c r="H241" s="0" t="n">
        <v>40.56</v>
      </c>
      <c r="I241" s="0" t="n">
        <v>160</v>
      </c>
      <c r="J241" s="0" t="n">
        <v>401</v>
      </c>
      <c r="L241" s="0" t="s">
        <v>2244</v>
      </c>
      <c r="O241" s="0" t="n">
        <v>7.7</v>
      </c>
      <c r="U241" s="0" t="n">
        <v>8</v>
      </c>
      <c r="V241" s="0" t="s">
        <v>623</v>
      </c>
      <c r="W241" s="0" t="s">
        <v>901</v>
      </c>
      <c r="X241" s="0" t="s">
        <v>948</v>
      </c>
      <c r="Y241" s="0" t="s">
        <v>2245</v>
      </c>
      <c r="Z241" s="0" t="n">
        <v>27310</v>
      </c>
      <c r="AA241" s="0" t="s">
        <v>2246</v>
      </c>
      <c r="AB241" s="0" t="s">
        <v>904</v>
      </c>
      <c r="AC241" s="0" t="s">
        <v>124</v>
      </c>
      <c r="AD241" s="0" t="s">
        <v>124</v>
      </c>
      <c r="AE241" s="0" t="s">
        <v>124</v>
      </c>
      <c r="AF241" s="0" t="s">
        <v>124</v>
      </c>
      <c r="AG241" s="0" t="s">
        <v>124</v>
      </c>
      <c r="AH241" s="0" t="s">
        <v>905</v>
      </c>
      <c r="AI241" s="0" t="n">
        <v>2</v>
      </c>
      <c r="AJ241" s="0" t="s">
        <v>104</v>
      </c>
      <c r="AK241" s="0" t="n">
        <v>240</v>
      </c>
      <c r="AL241" s="0" t="n">
        <v>76</v>
      </c>
      <c r="AM241" s="0" t="s">
        <v>624</v>
      </c>
      <c r="DZ241" s="0" t="n">
        <v>3</v>
      </c>
      <c r="EA241" s="0" t="n">
        <v>0.017</v>
      </c>
      <c r="EB241" s="0" t="n">
        <v>3</v>
      </c>
      <c r="EC241" s="0" t="s">
        <v>2059</v>
      </c>
      <c r="ED241" s="0" t="n">
        <v>2025</v>
      </c>
      <c r="EE241" s="0" t="n">
        <v>5</v>
      </c>
      <c r="EF241" s="0" t="n">
        <v>147</v>
      </c>
      <c r="EG241" s="0" t="n">
        <v>2025</v>
      </c>
      <c r="EH241" s="0" t="n">
        <v>2026</v>
      </c>
      <c r="EI241" s="0" t="n">
        <v>2</v>
      </c>
      <c r="EJ241" s="0" t="n">
        <v>69</v>
      </c>
      <c r="EK241" s="0" t="n">
        <v>208</v>
      </c>
      <c r="EL241" s="0" t="s">
        <v>1300</v>
      </c>
      <c r="EM241" s="0" t="n">
        <v>22.4</v>
      </c>
      <c r="EN241" s="15" t="b">
        <f aca="false">FALSE()</f>
        <v>0</v>
      </c>
      <c r="EO241" s="0" t="n">
        <v>405</v>
      </c>
      <c r="EP241" s="0" t="n">
        <v>2.91456790123457</v>
      </c>
      <c r="EQ241" s="0" t="n">
        <v>0.180246913580247</v>
      </c>
      <c r="ER241" s="0" t="n">
        <v>1.17530864197531</v>
      </c>
      <c r="ES241" s="0" t="n">
        <v>0.402469135802469</v>
      </c>
      <c r="ET241" s="0" t="n">
        <v>29</v>
      </c>
      <c r="EU241" s="0" t="n">
        <v>19</v>
      </c>
      <c r="EV241" s="0" t="n">
        <v>3.94814814814815</v>
      </c>
      <c r="EW241" s="0" t="n">
        <v>0.655172413793103</v>
      </c>
      <c r="EX241" s="0" t="n">
        <v>2.9571088201075</v>
      </c>
      <c r="EY241" s="0" t="n">
        <v>2.906</v>
      </c>
      <c r="EZ241" s="0" t="n">
        <v>0.1848</v>
      </c>
      <c r="FA241" s="0" t="n">
        <v>2.349</v>
      </c>
      <c r="FB241" s="0" t="n">
        <v>1.428</v>
      </c>
      <c r="FC241" s="0" t="n">
        <v>23</v>
      </c>
      <c r="FD241" s="0" t="n">
        <v>624</v>
      </c>
      <c r="FE241" s="0" t="n">
        <v>0.0432692307692308</v>
      </c>
      <c r="FF241" s="0" t="n">
        <v>0.0428</v>
      </c>
      <c r="FG241" s="0" t="n">
        <v>0.2125</v>
      </c>
      <c r="FH241" s="0" t="n">
        <v>2.547</v>
      </c>
      <c r="FI241" s="0" t="n">
        <v>1065</v>
      </c>
      <c r="FJ241" s="0" t="n">
        <v>0.566197183098592</v>
      </c>
      <c r="FK241" s="0" t="n">
        <v>17</v>
      </c>
      <c r="FL241" s="0" t="n">
        <v>62.65</v>
      </c>
      <c r="FM241" s="0" t="n">
        <v>0.5521</v>
      </c>
      <c r="FN241" s="0" t="n">
        <v>0.4479</v>
      </c>
      <c r="FO241" s="0" t="n">
        <v>-0.0088</v>
      </c>
      <c r="FP241" s="0" t="n">
        <v>-0.0044</v>
      </c>
      <c r="FQ241" s="0" t="n">
        <v>0.1587</v>
      </c>
      <c r="FR241" s="0" t="n">
        <v>38</v>
      </c>
      <c r="FS241" s="0" t="n">
        <v>66</v>
      </c>
      <c r="FT241" s="0" t="n">
        <v>3.88</v>
      </c>
      <c r="FU241" s="0" t="n">
        <v>25.7</v>
      </c>
      <c r="FV241" s="0" t="n">
        <v>5615</v>
      </c>
      <c r="FW241" s="0" t="n">
        <v>4784</v>
      </c>
      <c r="FX241" s="0" t="n">
        <v>0.852</v>
      </c>
      <c r="FY241" s="0" t="n">
        <v>5</v>
      </c>
      <c r="FZ241" s="0" t="n">
        <v>4</v>
      </c>
      <c r="GA241" s="0" t="n">
        <v>-0.196965652614142</v>
      </c>
      <c r="GB241" s="0" t="n">
        <v>46.4</v>
      </c>
      <c r="GC241" s="0" t="n">
        <v>74.5</v>
      </c>
      <c r="GD241" s="0" t="n">
        <v>63.3</v>
      </c>
      <c r="GE241" s="0" t="n">
        <v>550</v>
      </c>
      <c r="GF241" s="0" t="n">
        <v>481</v>
      </c>
      <c r="GG241" s="0" t="n">
        <v>170</v>
      </c>
      <c r="GH241" s="0" t="n">
        <v>94</v>
      </c>
      <c r="GI241" s="0" t="n">
        <v>185</v>
      </c>
      <c r="GJ241" s="0" t="n">
        <v>38</v>
      </c>
      <c r="GK241" s="0" t="n">
        <v>0.309</v>
      </c>
      <c r="GL241" s="0" t="n">
        <v>0.195</v>
      </c>
      <c r="GM241" s="0" t="n">
        <v>0.205</v>
      </c>
      <c r="GS241" s="0" t="n">
        <v>0</v>
      </c>
      <c r="HF241" s="0" t="s">
        <v>354</v>
      </c>
      <c r="HG241" s="0" t="n">
        <v>264.7</v>
      </c>
      <c r="HH241" s="0" t="n">
        <v>40.56</v>
      </c>
      <c r="HI241" s="0" t="n">
        <v>160</v>
      </c>
      <c r="HJ241" s="0" t="n">
        <v>401</v>
      </c>
      <c r="HK241" s="0" t="s">
        <v>909</v>
      </c>
      <c r="HL241" s="0" t="n">
        <v>0</v>
      </c>
      <c r="HN241" s="0" t="n">
        <v>76</v>
      </c>
    </row>
    <row r="242" customFormat="false" ht="15" hidden="false" customHeight="false" outlineLevel="0" collapsed="false">
      <c r="A242" s="0" t="s">
        <v>896</v>
      </c>
      <c r="B242" s="0" t="s">
        <v>897</v>
      </c>
      <c r="C242" s="0" t="s">
        <v>898</v>
      </c>
      <c r="D242" s="0" t="s">
        <v>625</v>
      </c>
      <c r="E242" s="0" t="n">
        <v>25823</v>
      </c>
      <c r="F242" s="0" t="s">
        <v>104</v>
      </c>
      <c r="G242" s="0" t="n">
        <v>265.18</v>
      </c>
      <c r="H242" s="0" t="n">
        <v>28.24</v>
      </c>
      <c r="I242" s="0" t="n">
        <v>182</v>
      </c>
      <c r="J242" s="0" t="n">
        <v>321</v>
      </c>
      <c r="L242" s="0" t="s">
        <v>2247</v>
      </c>
      <c r="O242" s="0" t="n">
        <v>3.8</v>
      </c>
      <c r="U242" s="0" t="n">
        <v>11</v>
      </c>
      <c r="V242" s="0" t="s">
        <v>625</v>
      </c>
      <c r="W242" s="0" t="s">
        <v>901</v>
      </c>
      <c r="X242" s="0" t="s">
        <v>1153</v>
      </c>
      <c r="Y242" s="0" t="s">
        <v>2248</v>
      </c>
      <c r="Z242" s="0" t="n">
        <v>25823</v>
      </c>
      <c r="AA242" s="0" t="s">
        <v>2249</v>
      </c>
      <c r="AB242" s="0" t="s">
        <v>904</v>
      </c>
      <c r="AC242" s="0" t="s">
        <v>218</v>
      </c>
      <c r="AD242" s="0" t="s">
        <v>218</v>
      </c>
      <c r="AE242" s="0" t="s">
        <v>218</v>
      </c>
      <c r="AF242" s="0" t="s">
        <v>218</v>
      </c>
      <c r="AG242" s="0" t="s">
        <v>218</v>
      </c>
      <c r="AH242" s="0" t="s">
        <v>905</v>
      </c>
      <c r="AI242" s="0" t="n">
        <v>3</v>
      </c>
      <c r="AJ242" s="0" t="s">
        <v>104</v>
      </c>
      <c r="AK242" s="0" t="n">
        <v>241</v>
      </c>
      <c r="AL242" s="0" t="n">
        <v>77</v>
      </c>
      <c r="AM242" s="0" t="s">
        <v>626</v>
      </c>
      <c r="AN242" s="0" t="n">
        <v>0</v>
      </c>
      <c r="AO242" s="0" t="n">
        <v>0</v>
      </c>
      <c r="AP242" s="0" t="n">
        <v>0</v>
      </c>
      <c r="AQ242" s="0" t="n">
        <v>0</v>
      </c>
      <c r="AR242" s="0" t="n">
        <v>0</v>
      </c>
      <c r="AS242" s="0" t="n">
        <v>0</v>
      </c>
      <c r="AT242" s="0" t="n">
        <v>0</v>
      </c>
      <c r="AU242" s="0" t="n">
        <v>0</v>
      </c>
      <c r="AV242" s="0" t="n">
        <v>0</v>
      </c>
      <c r="AW242" s="0" t="n">
        <v>27</v>
      </c>
      <c r="AX242" s="0" t="n">
        <v>106</v>
      </c>
      <c r="AY242" s="0" t="n">
        <v>0</v>
      </c>
      <c r="AZ242" s="0" t="n">
        <v>5</v>
      </c>
      <c r="BA242" s="0" t="n">
        <v>-4.85968700838873</v>
      </c>
      <c r="BB242" s="0" t="n">
        <v>0</v>
      </c>
      <c r="BC242" s="0" t="n">
        <v>13</v>
      </c>
      <c r="BD242" s="0" t="n">
        <v>17</v>
      </c>
      <c r="BE242" s="0" t="n">
        <v>91</v>
      </c>
      <c r="BF242" s="0" t="n">
        <v>0</v>
      </c>
      <c r="BG242" s="0" t="n">
        <v>6</v>
      </c>
      <c r="BH242" s="0" t="n">
        <v>106</v>
      </c>
      <c r="BI242" s="0" t="n">
        <v>3</v>
      </c>
      <c r="BJ242" s="0" t="n">
        <v>-1.1175940929119</v>
      </c>
      <c r="BK242" s="0" t="n">
        <v>0</v>
      </c>
      <c r="BL242" s="0" t="n">
        <v>0</v>
      </c>
      <c r="BM242" s="0" t="n">
        <v>19.7</v>
      </c>
      <c r="BN242" s="0" t="n">
        <v>32.7</v>
      </c>
      <c r="BO242" s="0" t="n">
        <v>17</v>
      </c>
      <c r="BP242" s="0" t="s">
        <v>218</v>
      </c>
      <c r="BQ242" s="0" t="n">
        <v>1</v>
      </c>
      <c r="BR242" s="0" t="n">
        <v>26.2</v>
      </c>
      <c r="BS242" s="0" t="n">
        <v>0.037</v>
      </c>
      <c r="BT242" s="0" t="n">
        <v>0.0549</v>
      </c>
      <c r="BU242" s="0" t="n">
        <v>0.0015</v>
      </c>
      <c r="BV242" s="0" t="n">
        <v>0.037</v>
      </c>
      <c r="BW242" s="0" t="n">
        <v>0.0549</v>
      </c>
      <c r="BX242" s="0" t="n">
        <v>0.0015</v>
      </c>
      <c r="BY242" s="0" t="n">
        <v>0.0566</v>
      </c>
      <c r="BZ242" s="0" t="n">
        <v>17</v>
      </c>
      <c r="CA242" s="0" t="n">
        <v>0.1</v>
      </c>
      <c r="CB242" s="0" t="n">
        <v>4.08</v>
      </c>
      <c r="CC242" s="0" t="n">
        <v>1.3</v>
      </c>
      <c r="CD242" s="0" t="n">
        <v>2.02</v>
      </c>
      <c r="CE242" s="0" t="n">
        <v>0</v>
      </c>
      <c r="CF242" s="0" t="n">
        <v>12</v>
      </c>
      <c r="CG242" s="0" t="n">
        <v>17</v>
      </c>
      <c r="CH242" s="0" t="n">
        <v>0</v>
      </c>
      <c r="CI242" s="0" t="n">
        <v>0.706</v>
      </c>
      <c r="CJ242" s="0" t="n">
        <v>1.55</v>
      </c>
      <c r="CK242" s="0" t="n">
        <v>3</v>
      </c>
      <c r="CL242" s="0" t="n">
        <v>0</v>
      </c>
      <c r="CM242" s="0" t="n">
        <v>0</v>
      </c>
      <c r="CN242" s="0" t="n">
        <v>0</v>
      </c>
      <c r="CO242" s="0" t="n">
        <v>0.763191466415231</v>
      </c>
      <c r="CP242" s="0" t="n">
        <v>3</v>
      </c>
      <c r="CQ242" s="0" t="n">
        <v>1</v>
      </c>
      <c r="CR242" s="0" t="n">
        <v>0</v>
      </c>
      <c r="CS242" s="0" t="n">
        <v>0</v>
      </c>
      <c r="CT242" s="0" t="n">
        <v>0.381289272716594</v>
      </c>
      <c r="CU242" s="0" t="n">
        <v>6</v>
      </c>
      <c r="CV242" s="0" t="n">
        <v>1</v>
      </c>
      <c r="CW242" s="0" t="n">
        <v>0</v>
      </c>
      <c r="CX242" s="0" t="n">
        <v>0</v>
      </c>
      <c r="CY242" s="0" t="n">
        <v>1.14</v>
      </c>
      <c r="CZ242" s="0" t="n">
        <v>-1.14</v>
      </c>
      <c r="DM242" s="0" t="s">
        <v>2250</v>
      </c>
      <c r="DN242" s="0" t="n">
        <v>27</v>
      </c>
      <c r="DO242" s="0" t="n">
        <v>1</v>
      </c>
      <c r="DP242" s="0" t="n">
        <v>2.074</v>
      </c>
      <c r="DQ242" s="0" t="n">
        <v>1.852</v>
      </c>
      <c r="DR242" s="0" t="n">
        <v>27</v>
      </c>
      <c r="DS242" s="0" t="n">
        <v>17</v>
      </c>
      <c r="DT242" s="0" t="n">
        <v>1</v>
      </c>
      <c r="DU242" s="0" t="n">
        <v>2</v>
      </c>
      <c r="DV242" s="0" t="n">
        <v>-1.154</v>
      </c>
      <c r="DW242" s="0" t="n">
        <v>8.154</v>
      </c>
      <c r="DX242" s="0" t="n">
        <v>0.4</v>
      </c>
      <c r="DY242" s="0" t="n">
        <v>0.1176</v>
      </c>
      <c r="DZ242" s="0" t="n">
        <v>203</v>
      </c>
      <c r="EA242" s="0" t="n">
        <v>0.201</v>
      </c>
      <c r="EB242" s="0" t="n">
        <v>17</v>
      </c>
      <c r="EC242" s="0" t="s">
        <v>2251</v>
      </c>
      <c r="EG242" s="0" t="n">
        <v>2023</v>
      </c>
      <c r="EH242" s="0" t="n">
        <v>2026</v>
      </c>
      <c r="EI242" s="0" t="n">
        <v>4</v>
      </c>
      <c r="EJ242" s="0" t="n">
        <v>73</v>
      </c>
      <c r="EK242" s="0" t="n">
        <v>219</v>
      </c>
      <c r="EL242" s="0" t="s">
        <v>2252</v>
      </c>
      <c r="EM242" s="0" t="n">
        <v>26.6</v>
      </c>
      <c r="EN242" s="15" t="b">
        <f aca="false">FALSE()</f>
        <v>0</v>
      </c>
      <c r="EO242" s="0" t="n">
        <v>386</v>
      </c>
      <c r="EP242" s="0" t="n">
        <v>2.97227979274611</v>
      </c>
      <c r="EQ242" s="0" t="n">
        <v>0.155440414507772</v>
      </c>
      <c r="ER242" s="0" t="n">
        <v>1.12694300518135</v>
      </c>
      <c r="ES242" s="0" t="n">
        <v>0.39119170984456</v>
      </c>
      <c r="ET242" s="0" t="n">
        <v>43</v>
      </c>
      <c r="EU242" s="0" t="n">
        <v>26</v>
      </c>
      <c r="EV242" s="0" t="n">
        <v>3.96632124352332</v>
      </c>
      <c r="EW242" s="0" t="n">
        <v>0.604651162790698</v>
      </c>
      <c r="EX242" s="0" t="n">
        <v>3.01595136627878</v>
      </c>
      <c r="EY242" s="0" t="n">
        <v>2.905</v>
      </c>
      <c r="EZ242" s="0" t="n">
        <v>0.1629</v>
      </c>
      <c r="FA242" s="0" t="n">
        <v>2.199</v>
      </c>
      <c r="FB242" s="0" t="n">
        <v>1.941</v>
      </c>
      <c r="FC242" s="0" t="n">
        <v>30</v>
      </c>
      <c r="FD242" s="0" t="n">
        <v>552</v>
      </c>
      <c r="FE242" s="0" t="n">
        <v>0.052536231884058</v>
      </c>
      <c r="FF242" s="0" t="n">
        <v>0.0493</v>
      </c>
      <c r="FG242" s="0" t="n">
        <v>0.2454</v>
      </c>
      <c r="FH242" s="0" t="n">
        <v>2.41</v>
      </c>
      <c r="FI242" s="0" t="n">
        <v>993</v>
      </c>
      <c r="FJ242" s="0" t="n">
        <v>0.522658610271903</v>
      </c>
      <c r="FK242" s="0" t="n">
        <v>17</v>
      </c>
      <c r="FL242" s="0" t="n">
        <v>58.41</v>
      </c>
      <c r="FM242" s="0" t="n">
        <v>0.5063</v>
      </c>
      <c r="FN242" s="0" t="n">
        <v>0.4937</v>
      </c>
      <c r="FO242" s="0" t="n">
        <v>-0.0441</v>
      </c>
      <c r="FP242" s="0" t="n">
        <v>-0.0102</v>
      </c>
      <c r="FQ242" s="0" t="n">
        <v>0.229</v>
      </c>
      <c r="FR242" s="0" t="n">
        <v>39</v>
      </c>
      <c r="FS242" s="0" t="n">
        <v>59</v>
      </c>
      <c r="FT242" s="0" t="n">
        <v>3.47</v>
      </c>
      <c r="FU242" s="0" t="n">
        <v>23</v>
      </c>
      <c r="FV242" s="0" t="n">
        <v>5321</v>
      </c>
      <c r="FW242" s="0" t="n">
        <v>3745</v>
      </c>
      <c r="FX242" s="0" t="n">
        <v>0.704</v>
      </c>
      <c r="FY242" s="0" t="n">
        <v>5</v>
      </c>
      <c r="FZ242" s="0" t="n">
        <v>4</v>
      </c>
      <c r="GA242" s="0" t="n">
        <v>-0.261697082182323</v>
      </c>
      <c r="GB242" s="0" t="n">
        <v>45.3</v>
      </c>
      <c r="GC242" s="0" t="n">
        <v>58.7</v>
      </c>
      <c r="GD242" s="0" t="n">
        <v>52.5</v>
      </c>
      <c r="GE242" s="0" t="n">
        <v>460</v>
      </c>
      <c r="GF242" s="0" t="n">
        <v>492</v>
      </c>
      <c r="GG242" s="0" t="n">
        <v>155</v>
      </c>
      <c r="GH242" s="0" t="n">
        <v>148</v>
      </c>
      <c r="GI242" s="0" t="n">
        <v>161</v>
      </c>
      <c r="GJ242" s="0" t="n">
        <v>52</v>
      </c>
      <c r="GK242" s="0" t="n">
        <v>0.337</v>
      </c>
      <c r="GL242" s="0" t="n">
        <v>0.301</v>
      </c>
      <c r="GM242" s="0" t="n">
        <v>0.323</v>
      </c>
      <c r="GN242" s="0" t="n">
        <v>1.924</v>
      </c>
      <c r="GO242" s="0" t="n">
        <v>1.541</v>
      </c>
      <c r="GP242" s="0" t="n">
        <v>1.159</v>
      </c>
      <c r="GQ242" s="0" t="n">
        <v>1</v>
      </c>
      <c r="GR242" s="0" t="n">
        <v>1.588</v>
      </c>
      <c r="GS242" s="0" t="n">
        <v>44</v>
      </c>
      <c r="GT242" s="0" t="n">
        <v>0.743</v>
      </c>
      <c r="GU242" s="0" t="n">
        <v>0.161</v>
      </c>
      <c r="GV242" s="0" t="n">
        <v>5.353</v>
      </c>
      <c r="GW242" s="0" t="n">
        <v>7</v>
      </c>
      <c r="GX242" s="0" t="n">
        <v>0.765</v>
      </c>
      <c r="GY242" s="0" t="n">
        <v>3.926</v>
      </c>
      <c r="GZ242" s="0" t="n">
        <v>0.353</v>
      </c>
      <c r="HA242" s="0" t="n">
        <v>8.154</v>
      </c>
      <c r="HB242" s="0" t="n">
        <v>15.167</v>
      </c>
      <c r="HC242" s="0" t="n">
        <v>0</v>
      </c>
      <c r="HD242" s="0" t="n">
        <v>-0.18</v>
      </c>
      <c r="HE242" s="0" t="n">
        <v>-0.066</v>
      </c>
      <c r="HG242" s="0" t="n">
        <v>265.18</v>
      </c>
      <c r="HH242" s="0" t="n">
        <v>28.24</v>
      </c>
      <c r="HI242" s="0" t="n">
        <v>182</v>
      </c>
      <c r="HJ242" s="0" t="n">
        <v>321</v>
      </c>
      <c r="HK242" s="0" t="s">
        <v>909</v>
      </c>
      <c r="HL242" s="0" t="n">
        <v>0</v>
      </c>
      <c r="HM242" s="0" t="n">
        <v>63</v>
      </c>
      <c r="HN242" s="0" t="n">
        <v>77</v>
      </c>
      <c r="HO242" s="0" t="n">
        <v>0.001</v>
      </c>
      <c r="HP242" s="0" t="n">
        <v>66</v>
      </c>
      <c r="HQ242" s="0" t="n">
        <v>-0.131</v>
      </c>
      <c r="HR242" s="0" t="s">
        <v>102</v>
      </c>
    </row>
    <row r="243" customFormat="false" ht="15" hidden="false" customHeight="false" outlineLevel="0" collapsed="false">
      <c r="A243" s="0" t="s">
        <v>896</v>
      </c>
      <c r="B243" s="0" t="s">
        <v>897</v>
      </c>
      <c r="C243" s="0" t="s">
        <v>898</v>
      </c>
      <c r="D243" s="0" t="s">
        <v>627</v>
      </c>
      <c r="E243" s="0" t="n">
        <v>27097</v>
      </c>
      <c r="F243" s="0" t="s">
        <v>104</v>
      </c>
      <c r="G243" s="0" t="n">
        <v>266.77</v>
      </c>
      <c r="H243" s="0" t="n">
        <v>24.16</v>
      </c>
      <c r="I243" s="0" t="n">
        <v>177</v>
      </c>
      <c r="J243" s="0" t="n">
        <v>329</v>
      </c>
      <c r="L243" s="0" t="s">
        <v>2253</v>
      </c>
      <c r="O243" s="0" t="n">
        <v>2</v>
      </c>
      <c r="U243" s="0" t="n">
        <v>13</v>
      </c>
      <c r="V243" s="0" t="s">
        <v>627</v>
      </c>
      <c r="W243" s="0" t="s">
        <v>901</v>
      </c>
      <c r="X243" s="0" t="s">
        <v>130</v>
      </c>
      <c r="Y243" s="0" t="s">
        <v>2254</v>
      </c>
      <c r="Z243" s="0" t="n">
        <v>27097</v>
      </c>
      <c r="AA243" s="0" t="s">
        <v>2255</v>
      </c>
      <c r="AB243" s="0" t="s">
        <v>904</v>
      </c>
      <c r="AC243" s="0" t="s">
        <v>130</v>
      </c>
      <c r="AD243" s="0" t="s">
        <v>130</v>
      </c>
      <c r="AE243" s="0" t="s">
        <v>130</v>
      </c>
      <c r="AF243" s="0" t="s">
        <v>130</v>
      </c>
      <c r="AG243" s="0" t="s">
        <v>130</v>
      </c>
      <c r="AH243" s="0" t="s">
        <v>905</v>
      </c>
      <c r="AI243" s="0" t="n">
        <v>2</v>
      </c>
      <c r="AJ243" s="0" t="s">
        <v>104</v>
      </c>
      <c r="AK243" s="0" t="n">
        <v>242</v>
      </c>
      <c r="AL243" s="0" t="n">
        <v>78</v>
      </c>
      <c r="AM243" s="0" t="s">
        <v>628</v>
      </c>
      <c r="AN243" s="0" t="n">
        <v>0</v>
      </c>
      <c r="AO243" s="0" t="n">
        <v>0</v>
      </c>
      <c r="AP243" s="0" t="n">
        <v>0</v>
      </c>
      <c r="AQ243" s="0" t="n">
        <v>0</v>
      </c>
      <c r="AR243" s="0" t="n">
        <v>0</v>
      </c>
      <c r="AS243" s="0" t="n">
        <v>0</v>
      </c>
      <c r="AT243" s="0" t="n">
        <v>0</v>
      </c>
      <c r="AU243" s="0" t="n">
        <v>0</v>
      </c>
      <c r="AV243" s="0" t="n">
        <v>0</v>
      </c>
      <c r="AW243" s="0" t="n">
        <v>26</v>
      </c>
      <c r="AX243" s="0" t="n">
        <v>96</v>
      </c>
      <c r="AY243" s="0" t="n">
        <v>0</v>
      </c>
      <c r="AZ243" s="0" t="n">
        <v>5</v>
      </c>
      <c r="BA243" s="0" t="n">
        <v>0.020433476078324</v>
      </c>
      <c r="BB243" s="0" t="n">
        <v>0</v>
      </c>
      <c r="BC243" s="0" t="n">
        <v>0</v>
      </c>
      <c r="BD243" s="0" t="n">
        <v>2</v>
      </c>
      <c r="BE243" s="0" t="n">
        <v>0</v>
      </c>
      <c r="BF243" s="0" t="n">
        <v>0</v>
      </c>
      <c r="BG243" s="0" t="n">
        <v>-6</v>
      </c>
      <c r="BH243" s="0" t="n">
        <v>0</v>
      </c>
      <c r="BI243" s="0" t="n">
        <v>0</v>
      </c>
      <c r="BJ243" s="0" t="n">
        <v>-1.65773248531269</v>
      </c>
      <c r="BK243" s="0" t="n">
        <v>0</v>
      </c>
      <c r="BL243" s="0" t="n">
        <v>0</v>
      </c>
      <c r="BM243" s="0" t="n">
        <v>9.6</v>
      </c>
      <c r="BN243" s="0" t="n">
        <v>9.6</v>
      </c>
      <c r="BO243" s="0" t="n">
        <v>5</v>
      </c>
      <c r="BP243" s="0" t="s">
        <v>130</v>
      </c>
      <c r="BQ243" s="0" t="n">
        <v>1</v>
      </c>
      <c r="BR243" s="0" t="n">
        <v>9.6</v>
      </c>
      <c r="BS243" s="0" t="n">
        <v>0.0038</v>
      </c>
      <c r="BT243" s="0" t="n">
        <v>0.0588</v>
      </c>
      <c r="BU243" s="0" t="n">
        <v>-0.0014</v>
      </c>
      <c r="BV243" s="0" t="n">
        <v>0.0132</v>
      </c>
      <c r="BW243" s="0" t="n">
        <v>0.1699</v>
      </c>
      <c r="BX243" s="0" t="n">
        <v>-0.0047</v>
      </c>
      <c r="BY243" s="0" t="n">
        <v>0.0165</v>
      </c>
      <c r="BZ243" s="0" t="n">
        <v>5</v>
      </c>
      <c r="CA243" s="0" t="n">
        <v>0.3</v>
      </c>
      <c r="CB243" s="0" t="n">
        <v>3.44</v>
      </c>
      <c r="CC243" s="0" t="n">
        <v>2.2</v>
      </c>
      <c r="CD243" s="0" t="n">
        <v>1.75</v>
      </c>
      <c r="CE243" s="0" t="n">
        <v>0</v>
      </c>
      <c r="CF243" s="0" t="n">
        <v>2</v>
      </c>
      <c r="CG243" s="0" t="n">
        <v>5</v>
      </c>
      <c r="CH243" s="0" t="n">
        <v>0</v>
      </c>
      <c r="CI243" s="0" t="n">
        <v>0.4</v>
      </c>
      <c r="CJ243" s="0" t="n">
        <v>0.797</v>
      </c>
      <c r="CK243" s="0" t="n">
        <v>1</v>
      </c>
      <c r="CL243" s="0" t="n">
        <v>1</v>
      </c>
      <c r="CM243" s="0" t="n">
        <v>0</v>
      </c>
      <c r="CN243" s="0" t="n">
        <v>0</v>
      </c>
      <c r="CO243" s="0" t="n">
        <v>0.343482815944371</v>
      </c>
      <c r="CP243" s="0" t="n">
        <v>5</v>
      </c>
      <c r="CQ243" s="0" t="n">
        <v>1</v>
      </c>
      <c r="CR243" s="0" t="n">
        <v>1</v>
      </c>
      <c r="CS243" s="0" t="n">
        <v>0</v>
      </c>
      <c r="CT243" s="0" t="n">
        <v>0.870875016499177</v>
      </c>
      <c r="CU243" s="0" t="n">
        <v>6</v>
      </c>
      <c r="CV243" s="0" t="n">
        <v>2</v>
      </c>
      <c r="CW243" s="0" t="n">
        <v>1</v>
      </c>
      <c r="CX243" s="0" t="n">
        <v>0</v>
      </c>
      <c r="CY243" s="0" t="n">
        <v>1.21</v>
      </c>
      <c r="CZ243" s="0" t="n">
        <v>-1.21</v>
      </c>
      <c r="DM243" s="0" t="s">
        <v>2256</v>
      </c>
      <c r="DN243" s="0" t="n">
        <v>26</v>
      </c>
      <c r="DO243" s="0" t="n">
        <v>0</v>
      </c>
      <c r="DP243" s="0" t="n">
        <v>1.846</v>
      </c>
      <c r="DQ243" s="0" t="n">
        <v>1.846</v>
      </c>
      <c r="DS243" s="0" t="n">
        <v>2</v>
      </c>
      <c r="DT243" s="0" t="n">
        <v>0</v>
      </c>
      <c r="DU243" s="0" t="n">
        <v>0</v>
      </c>
      <c r="DZ243" s="0" t="n">
        <v>70</v>
      </c>
      <c r="EA243" s="0" t="n">
        <v>0.12</v>
      </c>
      <c r="EB243" s="0" t="n">
        <v>9</v>
      </c>
      <c r="EC243" s="0" t="s">
        <v>2182</v>
      </c>
      <c r="ED243" s="0" t="n">
        <v>2025</v>
      </c>
      <c r="EE243" s="0" t="n">
        <v>5</v>
      </c>
      <c r="EF243" s="0" t="n">
        <v>151</v>
      </c>
      <c r="EG243" s="0" t="n">
        <v>2025</v>
      </c>
      <c r="EH243" s="0" t="n">
        <v>2026</v>
      </c>
      <c r="EI243" s="0" t="n">
        <v>2</v>
      </c>
      <c r="EJ243" s="0" t="n">
        <v>73</v>
      </c>
      <c r="EK243" s="0" t="n">
        <v>212</v>
      </c>
      <c r="EL243" s="0" t="s">
        <v>2257</v>
      </c>
      <c r="EM243" s="0" t="n">
        <v>23</v>
      </c>
      <c r="EN243" s="15" t="b">
        <f aca="false">FALSE()</f>
        <v>0</v>
      </c>
      <c r="EO243" s="0" t="n">
        <v>373</v>
      </c>
      <c r="EP243" s="0" t="n">
        <v>3.01769436997319</v>
      </c>
      <c r="EQ243" s="0" t="n">
        <v>0.152815013404826</v>
      </c>
      <c r="ER243" s="0" t="n">
        <v>1.2171581769437</v>
      </c>
      <c r="ES243" s="0" t="n">
        <v>1.07506702412869</v>
      </c>
      <c r="ET243" s="0" t="n">
        <v>32</v>
      </c>
      <c r="EU243" s="0" t="n">
        <v>22</v>
      </c>
      <c r="EV243" s="0" t="n">
        <v>4.73190348525469</v>
      </c>
      <c r="EW243" s="0" t="n">
        <v>0.6875</v>
      </c>
      <c r="EX243" s="0" t="n">
        <v>2.89403637630104</v>
      </c>
      <c r="EY243" s="0" t="n">
        <v>3.072</v>
      </c>
      <c r="EZ243" s="0" t="n">
        <v>0.1487</v>
      </c>
      <c r="FA243" s="0" t="n">
        <v>2.428</v>
      </c>
      <c r="FB243" s="0" t="n">
        <v>2.113</v>
      </c>
      <c r="FC243" s="0" t="n">
        <v>29</v>
      </c>
      <c r="FD243" s="0" t="n">
        <v>599</v>
      </c>
      <c r="FE243" s="0" t="n">
        <v>0.0484140233722872</v>
      </c>
      <c r="FF243" s="0" t="n">
        <v>0.047</v>
      </c>
      <c r="FG243" s="0" t="n">
        <v>0.2121</v>
      </c>
      <c r="FH243" s="0" t="n">
        <v>2.237</v>
      </c>
      <c r="FI243" s="0" t="n">
        <v>1011</v>
      </c>
      <c r="FJ243" s="0" t="n">
        <v>0.573689416419387</v>
      </c>
      <c r="FK243" s="0" t="n">
        <v>17</v>
      </c>
      <c r="FL243" s="0" t="n">
        <v>59.47</v>
      </c>
      <c r="FM243" s="0" t="n">
        <v>0.5637</v>
      </c>
      <c r="FN243" s="0" t="n">
        <v>0.4363</v>
      </c>
      <c r="FO243" s="0" t="n">
        <v>-0.0091</v>
      </c>
      <c r="FP243" s="0" t="n">
        <v>0.094</v>
      </c>
      <c r="FQ243" s="0" t="n">
        <v>0.0558</v>
      </c>
      <c r="FR243" s="0" t="n">
        <v>39</v>
      </c>
      <c r="FS243" s="0" t="n">
        <v>70</v>
      </c>
      <c r="FT243" s="0" t="n">
        <v>4.12</v>
      </c>
      <c r="FU243" s="0" t="n">
        <v>27.4</v>
      </c>
      <c r="FV243" s="0" t="n">
        <v>5369</v>
      </c>
      <c r="FW243" s="0" t="n">
        <v>4465</v>
      </c>
      <c r="FX243" s="0" t="n">
        <v>0.832</v>
      </c>
      <c r="FY243" s="0" t="n">
        <v>5</v>
      </c>
      <c r="FZ243" s="0" t="n">
        <v>5</v>
      </c>
      <c r="GA243" s="0" t="n">
        <v>0.42626114302074</v>
      </c>
      <c r="GB243" s="0" t="n">
        <v>57.7</v>
      </c>
      <c r="GC243" s="0" t="n">
        <v>58.5</v>
      </c>
      <c r="GD243" s="0" t="n">
        <v>60.3</v>
      </c>
      <c r="GE243" s="0" t="n">
        <v>530</v>
      </c>
      <c r="GF243" s="0" t="n">
        <v>442</v>
      </c>
      <c r="GG243" s="0" t="n">
        <v>147</v>
      </c>
      <c r="GH243" s="0" t="n">
        <v>24</v>
      </c>
      <c r="GI243" s="0" t="n">
        <v>179</v>
      </c>
      <c r="GJ243" s="0" t="n">
        <v>20</v>
      </c>
      <c r="GK243" s="0" t="n">
        <v>0.277</v>
      </c>
      <c r="GL243" s="0" t="n">
        <v>0.054</v>
      </c>
      <c r="GM243" s="0" t="n">
        <v>0.112</v>
      </c>
      <c r="GN243" s="0" t="n">
        <v>1.92</v>
      </c>
      <c r="GO243" s="0" t="n">
        <v>1.92</v>
      </c>
      <c r="GP243" s="0" t="n">
        <v>1.92</v>
      </c>
      <c r="GQ243" s="0" t="n">
        <v>0.4</v>
      </c>
      <c r="GR243" s="0" t="n">
        <v>5.2</v>
      </c>
      <c r="GS243" s="0" t="n">
        <v>28</v>
      </c>
      <c r="GT243" s="0" t="n">
        <v>0.343</v>
      </c>
      <c r="GU243" s="0" t="n">
        <v>0.137</v>
      </c>
      <c r="GY243" s="0" t="n">
        <v>3.692</v>
      </c>
      <c r="HC243" s="0" t="n">
        <v>0</v>
      </c>
      <c r="HD243" s="0" t="n">
        <v>0.001</v>
      </c>
      <c r="HE243" s="0" t="n">
        <v>-0.829</v>
      </c>
      <c r="HG243" s="0" t="n">
        <v>266.77</v>
      </c>
      <c r="HH243" s="0" t="n">
        <v>24.16</v>
      </c>
      <c r="HI243" s="0" t="n">
        <v>177</v>
      </c>
      <c r="HJ243" s="0" t="n">
        <v>329</v>
      </c>
      <c r="HK243" s="0" t="s">
        <v>909</v>
      </c>
      <c r="HL243" s="0" t="n">
        <v>0</v>
      </c>
      <c r="HM243" s="0" t="n">
        <v>68</v>
      </c>
      <c r="HN243" s="0" t="n">
        <v>78</v>
      </c>
      <c r="HO243" s="0" t="n">
        <v>-0.182</v>
      </c>
      <c r="HP243" s="0" t="n">
        <v>67</v>
      </c>
      <c r="HQ243" s="0" t="n">
        <v>-0.139</v>
      </c>
      <c r="HR243" s="0" t="s">
        <v>102</v>
      </c>
    </row>
    <row r="244" customFormat="false" ht="15" hidden="false" customHeight="false" outlineLevel="0" collapsed="false">
      <c r="A244" s="0" t="s">
        <v>896</v>
      </c>
      <c r="B244" s="0" t="s">
        <v>897</v>
      </c>
      <c r="C244" s="0" t="s">
        <v>898</v>
      </c>
      <c r="D244" s="0" t="s">
        <v>629</v>
      </c>
      <c r="E244" s="0" t="n">
        <v>18706</v>
      </c>
      <c r="F244" s="0" t="s">
        <v>99</v>
      </c>
      <c r="G244" s="0" t="n">
        <v>267.21</v>
      </c>
      <c r="H244" s="0" t="n">
        <v>28</v>
      </c>
      <c r="I244" s="0" t="n">
        <v>199</v>
      </c>
      <c r="J244" s="0" t="n">
        <v>371</v>
      </c>
      <c r="L244" s="0" t="s">
        <v>2258</v>
      </c>
      <c r="O244" s="0" t="n">
        <v>3.8</v>
      </c>
      <c r="U244" s="0" t="n">
        <v>8</v>
      </c>
      <c r="V244" s="0" t="s">
        <v>629</v>
      </c>
      <c r="W244" s="0" t="s">
        <v>901</v>
      </c>
      <c r="X244" s="0" t="s">
        <v>178</v>
      </c>
      <c r="Y244" s="0" t="s">
        <v>2259</v>
      </c>
      <c r="Z244" s="0" t="n">
        <v>18706</v>
      </c>
      <c r="AA244" s="0" t="s">
        <v>2260</v>
      </c>
      <c r="AB244" s="0" t="s">
        <v>904</v>
      </c>
      <c r="AC244" s="0" t="s">
        <v>178</v>
      </c>
      <c r="AD244" s="0" t="s">
        <v>178</v>
      </c>
      <c r="AE244" s="0" t="s">
        <v>178</v>
      </c>
      <c r="AF244" s="0" t="s">
        <v>178</v>
      </c>
      <c r="AG244" s="0" t="s">
        <v>178</v>
      </c>
      <c r="AH244" s="0" t="s">
        <v>905</v>
      </c>
      <c r="AI244" s="0" t="n">
        <v>2</v>
      </c>
      <c r="AJ244" s="0" t="s">
        <v>99</v>
      </c>
      <c r="AK244" s="0" t="n">
        <v>243</v>
      </c>
      <c r="AL244" s="0" t="n">
        <v>102</v>
      </c>
      <c r="AM244" s="0" t="s">
        <v>630</v>
      </c>
      <c r="AN244" s="0" t="n">
        <v>0</v>
      </c>
      <c r="AO244" s="0" t="n">
        <v>0</v>
      </c>
      <c r="AP244" s="0" t="n">
        <v>0</v>
      </c>
      <c r="AQ244" s="0" t="n">
        <v>0</v>
      </c>
      <c r="AR244" s="0" t="n">
        <v>0</v>
      </c>
      <c r="AS244" s="0" t="n">
        <v>0</v>
      </c>
      <c r="AT244" s="0" t="n">
        <v>0</v>
      </c>
      <c r="AU244" s="0" t="n">
        <v>0</v>
      </c>
      <c r="AV244" s="0" t="n">
        <v>0</v>
      </c>
      <c r="AW244" s="0" t="n">
        <v>0</v>
      </c>
      <c r="AX244" s="0" t="n">
        <v>0</v>
      </c>
      <c r="AY244" s="0" t="n">
        <v>0</v>
      </c>
      <c r="AZ244" s="0" t="n">
        <v>0</v>
      </c>
      <c r="BA244" s="0" t="n">
        <v>0</v>
      </c>
      <c r="BB244" s="0" t="n">
        <v>0</v>
      </c>
      <c r="BC244" s="0" t="n">
        <v>37</v>
      </c>
      <c r="BD244" s="0" t="n">
        <v>63</v>
      </c>
      <c r="BE244" s="0" t="n">
        <v>538</v>
      </c>
      <c r="BF244" s="0" t="n">
        <v>1</v>
      </c>
      <c r="BG244" s="0" t="n">
        <v>843</v>
      </c>
      <c r="BH244" s="0" t="n">
        <v>198</v>
      </c>
      <c r="BI244" s="0" t="n">
        <v>23</v>
      </c>
      <c r="BJ244" s="0" t="n">
        <v>18.0014051749713</v>
      </c>
      <c r="BK244" s="0" t="n">
        <v>1</v>
      </c>
      <c r="BL244" s="0" t="n">
        <v>0</v>
      </c>
      <c r="BM244" s="0" t="n">
        <v>61.8</v>
      </c>
      <c r="BN244" s="0" t="n">
        <v>98.8</v>
      </c>
      <c r="BO244" s="0" t="n">
        <v>14</v>
      </c>
      <c r="BP244" s="0" t="s">
        <v>178</v>
      </c>
      <c r="BQ244" s="0" t="n">
        <v>1</v>
      </c>
      <c r="BR244" s="0" t="n">
        <v>80.3</v>
      </c>
      <c r="BS244" s="0" t="n">
        <v>0.1252</v>
      </c>
      <c r="BT244" s="0" t="n">
        <v>0</v>
      </c>
      <c r="BU244" s="0" t="n">
        <v>0.1955</v>
      </c>
      <c r="BV244" s="0" t="n">
        <v>0.1518</v>
      </c>
      <c r="BW244" s="0" t="n">
        <v>0</v>
      </c>
      <c r="BX244" s="0" t="n">
        <v>0.24</v>
      </c>
      <c r="BY244" s="0" t="n">
        <v>0.3957</v>
      </c>
      <c r="BZ244" s="0" t="n">
        <v>14</v>
      </c>
      <c r="CA244" s="0" t="n">
        <v>4.22</v>
      </c>
      <c r="CB244" s="0" t="n">
        <v>11.28</v>
      </c>
      <c r="CC244" s="0" t="n">
        <v>7.2</v>
      </c>
      <c r="CD244" s="0" t="n">
        <v>4.12</v>
      </c>
      <c r="CE244" s="0" t="n">
        <v>0</v>
      </c>
      <c r="CF244" s="0" t="n">
        <v>2</v>
      </c>
      <c r="CG244" s="0" t="n">
        <v>14</v>
      </c>
      <c r="CH244" s="0" t="n">
        <v>0</v>
      </c>
      <c r="CI244" s="0" t="n">
        <v>0.143</v>
      </c>
      <c r="CJ244" s="0" t="n">
        <v>0.573</v>
      </c>
      <c r="CK244" s="0" t="n">
        <v>6</v>
      </c>
      <c r="CL244" s="0" t="n">
        <v>5</v>
      </c>
      <c r="CM244" s="0" t="n">
        <v>0</v>
      </c>
      <c r="CN244" s="0" t="n">
        <v>1</v>
      </c>
      <c r="CO244" s="0" t="n">
        <v>2.36300448556062</v>
      </c>
      <c r="CP244" s="0" t="n">
        <v>0</v>
      </c>
      <c r="CQ244" s="0" t="n">
        <v>0</v>
      </c>
      <c r="CR244" s="0" t="n">
        <v>0</v>
      </c>
      <c r="CS244" s="0" t="n">
        <v>0</v>
      </c>
      <c r="CT244" s="0" t="n">
        <v>0</v>
      </c>
      <c r="CU244" s="0" t="n">
        <v>6</v>
      </c>
      <c r="CV244" s="0" t="n">
        <v>5</v>
      </c>
      <c r="CW244" s="0" t="n">
        <v>0</v>
      </c>
      <c r="CX244" s="0" t="n">
        <v>1</v>
      </c>
      <c r="CY244" s="0" t="n">
        <v>2.36</v>
      </c>
      <c r="CZ244" s="0" t="n">
        <v>-1.36</v>
      </c>
      <c r="DA244" s="0" t="n">
        <v>2.7084140568845</v>
      </c>
      <c r="DB244" s="0" t="n">
        <v>5.72047619047619</v>
      </c>
      <c r="DC244" s="0" t="n">
        <v>13.3849206349206</v>
      </c>
      <c r="DD244" s="0" t="n">
        <v>19.2184971625225</v>
      </c>
      <c r="DE244" s="0" t="n">
        <v>0.782344891861625</v>
      </c>
      <c r="DF244" s="0" t="n">
        <v>58.7301587301587</v>
      </c>
      <c r="DM244" s="0" t="s">
        <v>2261</v>
      </c>
      <c r="DS244" s="0" t="n">
        <v>63</v>
      </c>
      <c r="DT244" s="0" t="n">
        <v>2</v>
      </c>
      <c r="DU244" s="0" t="n">
        <v>5</v>
      </c>
      <c r="DV244" s="0" t="n">
        <v>9.189</v>
      </c>
      <c r="DW244" s="0" t="n">
        <v>5.351</v>
      </c>
      <c r="DX244" s="0" t="n">
        <v>13</v>
      </c>
      <c r="DY244" s="0" t="n">
        <v>0.0794</v>
      </c>
      <c r="DZ244" s="0" t="n">
        <v>755</v>
      </c>
      <c r="EA244" s="0" t="n">
        <v>0.813</v>
      </c>
      <c r="EB244" s="0" t="n">
        <v>14</v>
      </c>
      <c r="EC244" s="0" t="s">
        <v>2262</v>
      </c>
      <c r="ED244" s="0" t="n">
        <v>2019</v>
      </c>
      <c r="EE244" s="0" t="n">
        <v>5</v>
      </c>
      <c r="EF244" s="0" t="n">
        <v>171</v>
      </c>
      <c r="EG244" s="0" t="n">
        <v>2019</v>
      </c>
      <c r="EH244" s="0" t="n">
        <v>2026</v>
      </c>
      <c r="EI244" s="0" t="n">
        <v>8</v>
      </c>
      <c r="EJ244" s="0" t="n">
        <v>73</v>
      </c>
      <c r="EK244" s="0" t="n">
        <v>198</v>
      </c>
      <c r="EL244" s="0" t="s">
        <v>1815</v>
      </c>
      <c r="EM244" s="0" t="n">
        <v>29.6</v>
      </c>
      <c r="EN244" s="15" t="b">
        <f aca="false">FALSE()</f>
        <v>0</v>
      </c>
      <c r="EO244" s="0" t="n">
        <v>396</v>
      </c>
      <c r="EP244" s="0" t="n">
        <v>2.99646464646465</v>
      </c>
      <c r="EQ244" s="0" t="n">
        <v>0.146464646464647</v>
      </c>
      <c r="ER244" s="0" t="n">
        <v>1.08080808080808</v>
      </c>
      <c r="ES244" s="0" t="n">
        <v>0.441919191919192</v>
      </c>
      <c r="ET244" s="0" t="n">
        <v>24</v>
      </c>
      <c r="EU244" s="0" t="n">
        <v>15</v>
      </c>
      <c r="EV244" s="0" t="n">
        <v>4.00757575757576</v>
      </c>
      <c r="EW244" s="0" t="n">
        <v>0.625</v>
      </c>
      <c r="EX244" s="0" t="n">
        <v>2.97085160992848</v>
      </c>
      <c r="EY244" s="0" t="n">
        <v>2.974</v>
      </c>
      <c r="EZ244" s="0" t="n">
        <v>0.1475</v>
      </c>
      <c r="FA244" s="0" t="n">
        <v>2.714</v>
      </c>
      <c r="FB244" s="0" t="n">
        <v>1.581</v>
      </c>
      <c r="FC244" s="0" t="n">
        <v>16</v>
      </c>
      <c r="FD244" s="0" t="n">
        <v>624</v>
      </c>
      <c r="FE244" s="0" t="n">
        <v>0.0769230769230769</v>
      </c>
      <c r="FF244" s="0" t="n">
        <v>0.076</v>
      </c>
      <c r="FG244" s="0" t="n">
        <v>0.2947</v>
      </c>
      <c r="FH244" s="0" t="n">
        <v>2.388</v>
      </c>
      <c r="FI244" s="0" t="n">
        <v>1079</v>
      </c>
      <c r="FJ244" s="0" t="n">
        <v>0.533827618164968</v>
      </c>
      <c r="FK244" s="0" t="n">
        <v>17</v>
      </c>
      <c r="FL244" s="0" t="n">
        <v>63.47</v>
      </c>
      <c r="FM244" s="0" t="n">
        <v>0.494</v>
      </c>
      <c r="FN244" s="0" t="n">
        <v>0.506</v>
      </c>
      <c r="FO244" s="0" t="n">
        <v>-0.0466</v>
      </c>
      <c r="FP244" s="0" t="n">
        <v>0.0356</v>
      </c>
      <c r="FQ244" s="0" t="n">
        <v>-0.008</v>
      </c>
      <c r="FR244" s="0" t="n">
        <v>36</v>
      </c>
      <c r="FS244" s="0" t="n">
        <v>61</v>
      </c>
      <c r="FT244" s="0" t="n">
        <v>3.59</v>
      </c>
      <c r="FU244" s="0" t="n">
        <v>22.4</v>
      </c>
      <c r="FV244" s="0" t="n">
        <v>5756</v>
      </c>
      <c r="FW244" s="0" t="n">
        <v>4159</v>
      </c>
      <c r="FX244" s="0" t="n">
        <v>0.723</v>
      </c>
      <c r="FY244" s="0" t="n">
        <v>5</v>
      </c>
      <c r="FZ244" s="0" t="n">
        <v>4</v>
      </c>
      <c r="GA244" s="0" t="n">
        <v>0.375872277758655</v>
      </c>
      <c r="GB244" s="0" t="n">
        <v>56.8</v>
      </c>
      <c r="GC244" s="0" t="n">
        <v>36.8</v>
      </c>
      <c r="GD244" s="0" t="n">
        <v>45.9</v>
      </c>
      <c r="GE244" s="0" t="n">
        <v>503</v>
      </c>
      <c r="GF244" s="0" t="n">
        <v>511</v>
      </c>
      <c r="GG244" s="0" t="n">
        <v>177</v>
      </c>
      <c r="GH244" s="0" t="n">
        <v>3</v>
      </c>
      <c r="GI244" s="0" t="n">
        <v>162</v>
      </c>
      <c r="GJ244" s="0" t="n">
        <v>21</v>
      </c>
      <c r="GK244" s="0" t="n">
        <v>0.352</v>
      </c>
      <c r="GL244" s="0" t="n">
        <v>0.006</v>
      </c>
      <c r="GM244" s="0" t="n">
        <v>0.13</v>
      </c>
      <c r="GN244" s="0" t="n">
        <v>7.057</v>
      </c>
      <c r="GO244" s="0" t="n">
        <v>5.736</v>
      </c>
      <c r="GP244" s="0" t="n">
        <v>4.414</v>
      </c>
      <c r="GQ244" s="0" t="n">
        <v>4.5</v>
      </c>
      <c r="GR244" s="0" t="n">
        <v>0</v>
      </c>
      <c r="GS244" s="0" t="n">
        <v>63</v>
      </c>
      <c r="GT244" s="0" t="n">
        <v>1.568</v>
      </c>
      <c r="GU244" s="0" t="n">
        <v>0.131</v>
      </c>
      <c r="GV244" s="0" t="n">
        <v>8.54</v>
      </c>
      <c r="GW244" s="0" t="n">
        <v>14.541</v>
      </c>
      <c r="GX244" s="0" t="n">
        <v>0.587</v>
      </c>
      <c r="GZ244" s="0" t="n">
        <v>13.381</v>
      </c>
      <c r="HA244" s="0" t="n">
        <v>5.351</v>
      </c>
      <c r="HB244" s="0" t="n">
        <v>0.638</v>
      </c>
      <c r="HC244" s="0" t="n">
        <v>0.016</v>
      </c>
      <c r="HE244" s="0" t="n">
        <v>0.286</v>
      </c>
      <c r="HG244" s="0" t="n">
        <v>267.21</v>
      </c>
      <c r="HH244" s="0" t="n">
        <v>28</v>
      </c>
      <c r="HI244" s="0" t="n">
        <v>199</v>
      </c>
      <c r="HJ244" s="0" t="n">
        <v>371</v>
      </c>
      <c r="HK244" s="0" t="s">
        <v>909</v>
      </c>
      <c r="HL244" s="0" t="n">
        <v>0</v>
      </c>
      <c r="HM244" s="0" t="n">
        <v>61</v>
      </c>
      <c r="HN244" s="0" t="n">
        <v>102</v>
      </c>
      <c r="HO244" s="0" t="n">
        <v>0.974</v>
      </c>
      <c r="HP244" s="0" t="n">
        <v>68</v>
      </c>
      <c r="HQ244" s="0" t="n">
        <v>0.667</v>
      </c>
      <c r="HR244" s="0" t="s">
        <v>232</v>
      </c>
    </row>
    <row r="245" customFormat="false" ht="15" hidden="false" customHeight="false" outlineLevel="0" collapsed="false">
      <c r="A245" s="0" t="s">
        <v>896</v>
      </c>
      <c r="B245" s="0" t="s">
        <v>897</v>
      </c>
      <c r="C245" s="0" t="s">
        <v>898</v>
      </c>
      <c r="D245" s="0" t="s">
        <v>631</v>
      </c>
      <c r="E245" s="0" t="n">
        <v>22913</v>
      </c>
      <c r="F245" s="0" t="s">
        <v>99</v>
      </c>
      <c r="G245" s="0" t="n">
        <v>267.62</v>
      </c>
      <c r="H245" s="0" t="n">
        <v>31.88</v>
      </c>
      <c r="I245" s="0" t="n">
        <v>170</v>
      </c>
      <c r="J245" s="0" t="n">
        <v>370</v>
      </c>
      <c r="L245" s="0" t="s">
        <v>2263</v>
      </c>
      <c r="O245" s="0" t="n">
        <v>3.5</v>
      </c>
      <c r="U245" s="0" t="n">
        <v>5</v>
      </c>
      <c r="V245" s="0" t="s">
        <v>631</v>
      </c>
      <c r="W245" s="0" t="s">
        <v>901</v>
      </c>
      <c r="X245" s="0" t="s">
        <v>1034</v>
      </c>
      <c r="Y245" s="0" t="s">
        <v>2264</v>
      </c>
      <c r="Z245" s="0" t="n">
        <v>22913</v>
      </c>
      <c r="AA245" s="0" t="s">
        <v>2265</v>
      </c>
      <c r="AB245" s="0" t="s">
        <v>904</v>
      </c>
      <c r="AC245" s="0" t="s">
        <v>164</v>
      </c>
      <c r="AD245" s="0" t="s">
        <v>164</v>
      </c>
      <c r="AE245" s="0" t="s">
        <v>164</v>
      </c>
      <c r="AF245" s="0" t="s">
        <v>164</v>
      </c>
      <c r="AG245" s="0" t="s">
        <v>164</v>
      </c>
      <c r="AH245" s="0" t="s">
        <v>905</v>
      </c>
      <c r="AI245" s="0" t="n">
        <v>3</v>
      </c>
      <c r="AJ245" s="0" t="s">
        <v>99</v>
      </c>
      <c r="AK245" s="0" t="n">
        <v>244</v>
      </c>
      <c r="AL245" s="0" t="n">
        <v>103</v>
      </c>
      <c r="AM245" s="0" t="s">
        <v>632</v>
      </c>
      <c r="AN245" s="0" t="n">
        <v>0</v>
      </c>
      <c r="AO245" s="0" t="n">
        <v>0</v>
      </c>
      <c r="AP245" s="0" t="n">
        <v>0</v>
      </c>
      <c r="AQ245" s="0" t="n">
        <v>0</v>
      </c>
      <c r="AR245" s="0" t="n">
        <v>0</v>
      </c>
      <c r="AS245" s="0" t="n">
        <v>0</v>
      </c>
      <c r="AT245" s="0" t="n">
        <v>0</v>
      </c>
      <c r="AU245" s="0" t="n">
        <v>0</v>
      </c>
      <c r="AV245" s="0" t="n">
        <v>0</v>
      </c>
      <c r="AW245" s="0" t="n">
        <v>0</v>
      </c>
      <c r="AX245" s="0" t="n">
        <v>0</v>
      </c>
      <c r="AY245" s="0" t="n">
        <v>0</v>
      </c>
      <c r="AZ245" s="0" t="n">
        <v>0</v>
      </c>
      <c r="BA245" s="0" t="n">
        <v>0</v>
      </c>
      <c r="BB245" s="0" t="n">
        <v>0</v>
      </c>
      <c r="BC245" s="0" t="n">
        <v>19</v>
      </c>
      <c r="BD245" s="0" t="n">
        <v>37</v>
      </c>
      <c r="BE245" s="0" t="n">
        <v>438</v>
      </c>
      <c r="BF245" s="0" t="n">
        <v>3</v>
      </c>
      <c r="BG245" s="0" t="n">
        <v>995</v>
      </c>
      <c r="BH245" s="0" t="n">
        <v>59</v>
      </c>
      <c r="BI245" s="0" t="n">
        <v>15</v>
      </c>
      <c r="BJ245" s="0" t="n">
        <v>26.2481328128121</v>
      </c>
      <c r="BK245" s="0" t="n">
        <v>0</v>
      </c>
      <c r="BL245" s="0" t="n">
        <v>0</v>
      </c>
      <c r="BM245" s="0" t="n">
        <v>61.8</v>
      </c>
      <c r="BN245" s="0" t="n">
        <v>80.8</v>
      </c>
      <c r="BO245" s="0" t="n">
        <v>12</v>
      </c>
      <c r="BP245" s="0" t="s">
        <v>164</v>
      </c>
      <c r="BQ245" s="0" t="n">
        <v>1</v>
      </c>
      <c r="BR245" s="0" t="n">
        <v>71.3</v>
      </c>
      <c r="BS245" s="0" t="n">
        <v>0.0674</v>
      </c>
      <c r="BT245" s="0" t="n">
        <v>0</v>
      </c>
      <c r="BU245" s="0" t="n">
        <v>0.2315</v>
      </c>
      <c r="BV245" s="0" t="n">
        <v>0.0887</v>
      </c>
      <c r="BW245" s="0" t="n">
        <v>0</v>
      </c>
      <c r="BX245" s="0" t="n">
        <v>0.2805</v>
      </c>
      <c r="BY245" s="0" t="n">
        <v>0.3294</v>
      </c>
      <c r="BZ245" s="0" t="n">
        <v>12</v>
      </c>
      <c r="CA245" s="0" t="n">
        <v>2.92</v>
      </c>
      <c r="CB245" s="0" t="n">
        <v>12.66</v>
      </c>
      <c r="CC245" s="0" t="n">
        <v>6.4</v>
      </c>
      <c r="CD245" s="0" t="n">
        <v>5.71</v>
      </c>
      <c r="CE245" s="0" t="n">
        <v>0</v>
      </c>
      <c r="CF245" s="0" t="n">
        <v>3</v>
      </c>
      <c r="CG245" s="0" t="n">
        <v>12</v>
      </c>
      <c r="CH245" s="0" t="n">
        <v>0</v>
      </c>
      <c r="CI245" s="0" t="n">
        <v>0.25</v>
      </c>
      <c r="CJ245" s="0" t="n">
        <v>0.892</v>
      </c>
      <c r="CK245" s="0" t="n">
        <v>4</v>
      </c>
      <c r="CL245" s="0" t="n">
        <v>2</v>
      </c>
      <c r="CM245" s="0" t="n">
        <v>2</v>
      </c>
      <c r="CN245" s="0" t="n">
        <v>3</v>
      </c>
      <c r="CO245" s="0" t="n">
        <v>1.71544764273709</v>
      </c>
      <c r="CP245" s="0" t="n">
        <v>0</v>
      </c>
      <c r="CQ245" s="0" t="n">
        <v>0</v>
      </c>
      <c r="CR245" s="0" t="n">
        <v>0</v>
      </c>
      <c r="CS245" s="0" t="n">
        <v>0</v>
      </c>
      <c r="CT245" s="0" t="n">
        <v>0</v>
      </c>
      <c r="CU245" s="0" t="n">
        <v>4</v>
      </c>
      <c r="CV245" s="0" t="n">
        <v>2</v>
      </c>
      <c r="CW245" s="0" t="n">
        <v>2</v>
      </c>
      <c r="CX245" s="0" t="n">
        <v>3</v>
      </c>
      <c r="CY245" s="0" t="n">
        <v>1.72</v>
      </c>
      <c r="CZ245" s="0" t="n">
        <v>1.28</v>
      </c>
      <c r="DM245" s="0" t="s">
        <v>2266</v>
      </c>
      <c r="DS245" s="0" t="n">
        <v>37</v>
      </c>
      <c r="DT245" s="0" t="n">
        <v>0</v>
      </c>
      <c r="DU245" s="0" t="n">
        <v>3</v>
      </c>
      <c r="DV245" s="0" t="n">
        <v>19.947</v>
      </c>
      <c r="DW245" s="0" t="n">
        <v>3.105</v>
      </c>
      <c r="DX245" s="0" t="n">
        <v>26.9</v>
      </c>
      <c r="DY245" s="0" t="n">
        <v>0.0811</v>
      </c>
      <c r="DZ245" s="0" t="n">
        <v>368</v>
      </c>
      <c r="EA245" s="0" t="n">
        <v>0.39</v>
      </c>
      <c r="EB245" s="0" t="n">
        <v>14</v>
      </c>
      <c r="EC245" s="0" t="s">
        <v>2267</v>
      </c>
      <c r="ED245" s="0" t="n">
        <v>2022</v>
      </c>
      <c r="EE245" s="0" t="n">
        <v>2</v>
      </c>
      <c r="EF245" s="0" t="n">
        <v>50</v>
      </c>
      <c r="EG245" s="0" t="n">
        <v>2022</v>
      </c>
      <c r="EH245" s="0" t="n">
        <v>2026</v>
      </c>
      <c r="EI245" s="0" t="n">
        <v>5</v>
      </c>
      <c r="EJ245" s="0" t="n">
        <v>74</v>
      </c>
      <c r="EK245" s="0" t="n">
        <v>185</v>
      </c>
      <c r="EL245" s="0" t="s">
        <v>2268</v>
      </c>
      <c r="EM245" s="0" t="n">
        <v>26</v>
      </c>
      <c r="EN245" s="15" t="b">
        <f aca="false">FALSE()</f>
        <v>0</v>
      </c>
      <c r="EO245" s="0" t="n">
        <v>336</v>
      </c>
      <c r="EP245" s="0" t="n">
        <v>3.01964285714286</v>
      </c>
      <c r="EQ245" s="0" t="n">
        <v>0.133928571428571</v>
      </c>
      <c r="ER245" s="0" t="n">
        <v>0.958333333333333</v>
      </c>
      <c r="ES245" s="0" t="n">
        <v>0.196428571428571</v>
      </c>
      <c r="ET245" s="0" t="n">
        <v>48</v>
      </c>
      <c r="EU245" s="0" t="n">
        <v>39</v>
      </c>
      <c r="EV245" s="0" t="n">
        <v>3.71130952380952</v>
      </c>
      <c r="EW245" s="0" t="n">
        <v>0.8125</v>
      </c>
      <c r="EX245" s="0" t="n">
        <v>2.90619800347793</v>
      </c>
      <c r="EY245" s="0" t="n">
        <v>3.062</v>
      </c>
      <c r="EZ245" s="0" t="n">
        <v>0.1258</v>
      </c>
      <c r="FA245" s="0" t="n">
        <v>2.623</v>
      </c>
      <c r="FB245" s="0" t="n">
        <v>1.591</v>
      </c>
      <c r="FC245" s="0" t="n">
        <v>14</v>
      </c>
      <c r="FD245" s="0" t="n">
        <v>686</v>
      </c>
      <c r="FE245" s="0" t="n">
        <v>0.0685131195335277</v>
      </c>
      <c r="FF245" s="0" t="n">
        <v>0.0659</v>
      </c>
      <c r="FG245" s="0" t="n">
        <v>0.2877</v>
      </c>
      <c r="FH245" s="0" t="n">
        <v>2.212</v>
      </c>
      <c r="FI245" s="0" t="n">
        <v>1048</v>
      </c>
      <c r="FJ245" s="0" t="n">
        <v>0.602099236641221</v>
      </c>
      <c r="FK245" s="0" t="n">
        <v>17</v>
      </c>
      <c r="FL245" s="0" t="n">
        <v>61.65</v>
      </c>
      <c r="FM245" s="0" t="n">
        <v>0.5721</v>
      </c>
      <c r="FN245" s="0" t="n">
        <v>0.4279</v>
      </c>
      <c r="FO245" s="0" t="n">
        <v>0.0395</v>
      </c>
      <c r="FP245" s="0" t="n">
        <v>0.0273</v>
      </c>
      <c r="FQ245" s="0" t="n">
        <v>0.0399</v>
      </c>
      <c r="FR245" s="0" t="n">
        <v>38</v>
      </c>
      <c r="FS245" s="0" t="n">
        <v>63</v>
      </c>
      <c r="FT245" s="0" t="n">
        <v>3.71</v>
      </c>
      <c r="FU245" s="0" t="n">
        <v>21.3</v>
      </c>
      <c r="FV245" s="0" t="n">
        <v>5605</v>
      </c>
      <c r="FW245" s="0" t="n">
        <v>4845</v>
      </c>
      <c r="FX245" s="0" t="n">
        <v>0.864</v>
      </c>
      <c r="FY245" s="0" t="n">
        <v>5</v>
      </c>
      <c r="FZ245" s="0" t="n">
        <v>5</v>
      </c>
      <c r="GA245" s="0" t="n">
        <v>0.894249870072499</v>
      </c>
      <c r="GB245" s="0" t="n">
        <v>66.2</v>
      </c>
      <c r="GC245" s="0" t="n">
        <v>34</v>
      </c>
      <c r="GD245" s="0" t="n">
        <v>50.1</v>
      </c>
      <c r="GE245" s="0" t="n">
        <v>549</v>
      </c>
      <c r="GF245" s="0" t="n">
        <v>430</v>
      </c>
      <c r="GG245" s="0" t="n">
        <v>147</v>
      </c>
      <c r="GH245" s="0" t="n">
        <v>129</v>
      </c>
      <c r="GI245" s="0" t="n">
        <v>166</v>
      </c>
      <c r="GJ245" s="0" t="n">
        <v>43</v>
      </c>
      <c r="GK245" s="0" t="n">
        <v>0.268</v>
      </c>
      <c r="GL245" s="0" t="n">
        <v>0.3</v>
      </c>
      <c r="GM245" s="0" t="n">
        <v>0.259</v>
      </c>
      <c r="GN245" s="0" t="n">
        <v>6.733</v>
      </c>
      <c r="GO245" s="0" t="n">
        <v>5.942</v>
      </c>
      <c r="GP245" s="0" t="n">
        <v>5.15</v>
      </c>
      <c r="GQ245" s="0" t="n">
        <v>3.083</v>
      </c>
      <c r="GR245" s="0" t="n">
        <v>0</v>
      </c>
      <c r="GS245" s="0" t="n">
        <v>37</v>
      </c>
      <c r="GT245" s="0" t="n">
        <v>2.184</v>
      </c>
      <c r="GU245" s="0" t="n">
        <v>0.22</v>
      </c>
      <c r="GV245" s="0" t="n">
        <v>11.838</v>
      </c>
      <c r="GW245" s="0" t="n">
        <v>23.053</v>
      </c>
      <c r="GX245" s="0" t="n">
        <v>0.514</v>
      </c>
      <c r="GZ245" s="0" t="n">
        <v>26.892</v>
      </c>
      <c r="HA245" s="0" t="n">
        <v>3.105</v>
      </c>
      <c r="HB245" s="0" t="n">
        <v>0.44</v>
      </c>
      <c r="HC245" s="0" t="n">
        <v>0.081</v>
      </c>
      <c r="HE245" s="0" t="n">
        <v>0.709</v>
      </c>
      <c r="HG245" s="0" t="n">
        <v>267.62</v>
      </c>
      <c r="HH245" s="0" t="n">
        <v>31.88</v>
      </c>
      <c r="HI245" s="0" t="n">
        <v>170</v>
      </c>
      <c r="HJ245" s="0" t="n">
        <v>370</v>
      </c>
      <c r="HK245" s="0" t="s">
        <v>909</v>
      </c>
      <c r="HL245" s="0" t="n">
        <v>0</v>
      </c>
      <c r="HM245" s="0" t="n">
        <v>69</v>
      </c>
      <c r="HN245" s="0" t="n">
        <v>103</v>
      </c>
      <c r="HO245" s="0" t="n">
        <v>0.659</v>
      </c>
      <c r="HP245" s="0" t="n">
        <v>71</v>
      </c>
      <c r="HQ245" s="0" t="n">
        <v>0.571</v>
      </c>
      <c r="HR245" s="0" t="s">
        <v>232</v>
      </c>
    </row>
    <row r="246" customFormat="false" ht="15" hidden="false" customHeight="false" outlineLevel="0" collapsed="false">
      <c r="A246" s="0" t="s">
        <v>896</v>
      </c>
      <c r="B246" s="0" t="s">
        <v>897</v>
      </c>
      <c r="C246" s="0" t="s">
        <v>898</v>
      </c>
      <c r="D246" s="0" t="s">
        <v>633</v>
      </c>
      <c r="E246" s="0" t="n">
        <v>11616</v>
      </c>
      <c r="F246" s="0" t="s">
        <v>99</v>
      </c>
      <c r="G246" s="0" t="n">
        <v>267.75</v>
      </c>
      <c r="H246" s="0" t="n">
        <v>28.87</v>
      </c>
      <c r="I246" s="0" t="n">
        <v>168</v>
      </c>
      <c r="J246" s="0" t="n">
        <v>298</v>
      </c>
      <c r="L246" s="0" t="s">
        <v>2269</v>
      </c>
      <c r="O246" s="0" t="n">
        <v>6</v>
      </c>
      <c r="U246" s="0" t="n">
        <v>7</v>
      </c>
      <c r="V246" s="0" t="s">
        <v>633</v>
      </c>
      <c r="W246" s="0" t="s">
        <v>901</v>
      </c>
      <c r="X246" s="0" t="s">
        <v>170</v>
      </c>
      <c r="Y246" s="0" t="s">
        <v>2270</v>
      </c>
      <c r="Z246" s="0" t="n">
        <v>11616</v>
      </c>
      <c r="AA246" s="0" t="s">
        <v>2271</v>
      </c>
      <c r="AB246" s="0" t="s">
        <v>904</v>
      </c>
      <c r="AE246" s="0" t="s">
        <v>170</v>
      </c>
      <c r="AF246" s="0" t="s">
        <v>170</v>
      </c>
      <c r="AG246" s="0" t="s">
        <v>170</v>
      </c>
      <c r="AH246" s="0" t="s">
        <v>2198</v>
      </c>
      <c r="AK246" s="0" t="n">
        <v>245</v>
      </c>
      <c r="AL246" s="0" t="n">
        <v>104</v>
      </c>
      <c r="AM246" s="0" t="s">
        <v>634</v>
      </c>
      <c r="AN246" s="0" t="n">
        <v>0</v>
      </c>
      <c r="AO246" s="0" t="n">
        <v>0</v>
      </c>
      <c r="AP246" s="0" t="n">
        <v>0</v>
      </c>
      <c r="AQ246" s="0" t="n">
        <v>0</v>
      </c>
      <c r="AR246" s="0" t="n">
        <v>0</v>
      </c>
      <c r="AS246" s="0" t="n">
        <v>0</v>
      </c>
      <c r="AT246" s="0" t="n">
        <v>0</v>
      </c>
      <c r="AU246" s="0" t="n">
        <v>0</v>
      </c>
      <c r="AV246" s="0" t="n">
        <v>0</v>
      </c>
      <c r="AW246" s="0" t="n">
        <v>0</v>
      </c>
      <c r="AX246" s="0" t="n">
        <v>0</v>
      </c>
      <c r="AY246" s="0" t="n">
        <v>0</v>
      </c>
      <c r="AZ246" s="0" t="n">
        <v>0</v>
      </c>
      <c r="BA246" s="0" t="n">
        <v>0</v>
      </c>
      <c r="BB246" s="0" t="n">
        <v>0</v>
      </c>
      <c r="BC246" s="0" t="n">
        <v>81</v>
      </c>
      <c r="BD246" s="0" t="n">
        <v>122</v>
      </c>
      <c r="BE246" s="0" t="n">
        <v>777</v>
      </c>
      <c r="BF246" s="0" t="n">
        <v>4</v>
      </c>
      <c r="BG246" s="0" t="n">
        <v>1027</v>
      </c>
      <c r="BH246" s="0" t="n">
        <v>231</v>
      </c>
      <c r="BI246" s="0" t="n">
        <v>49</v>
      </c>
      <c r="BJ246" s="0" t="n">
        <v>34.9205234385767</v>
      </c>
      <c r="BK246" s="0" t="n">
        <v>0</v>
      </c>
      <c r="BL246" s="0" t="n">
        <v>0</v>
      </c>
      <c r="BM246" s="0" t="n">
        <v>101.7</v>
      </c>
      <c r="BN246" s="0" t="n">
        <v>182.7</v>
      </c>
      <c r="BO246" s="0" t="n">
        <v>17</v>
      </c>
      <c r="BP246" s="0" t="s">
        <v>170</v>
      </c>
      <c r="BQ246" s="0" t="n">
        <v>1</v>
      </c>
      <c r="BR246" s="0" t="n">
        <v>142.2</v>
      </c>
      <c r="BS246" s="0" t="n">
        <v>0.2243</v>
      </c>
      <c r="BT246" s="0" t="n">
        <v>0</v>
      </c>
      <c r="BU246" s="0" t="n">
        <v>0.233</v>
      </c>
      <c r="BV246" s="0" t="n">
        <v>0.2243</v>
      </c>
      <c r="BW246" s="0" t="n">
        <v>0</v>
      </c>
      <c r="BX246" s="0" t="n">
        <v>0.233</v>
      </c>
      <c r="BY246" s="0" t="n">
        <v>0.4996</v>
      </c>
      <c r="BZ246" s="0" t="n">
        <v>17</v>
      </c>
      <c r="CA246" s="0" t="n">
        <v>6.7</v>
      </c>
      <c r="CB246" s="0" t="n">
        <v>18.54</v>
      </c>
      <c r="CC246" s="0" t="n">
        <v>8.7</v>
      </c>
      <c r="CD246" s="0" t="n">
        <v>6.81</v>
      </c>
      <c r="CE246" s="0" t="n">
        <v>3</v>
      </c>
      <c r="CF246" s="0" t="n">
        <v>0</v>
      </c>
      <c r="CG246" s="0" t="n">
        <v>17</v>
      </c>
      <c r="CH246" s="0" t="n">
        <v>0.176</v>
      </c>
      <c r="CI246" s="0" t="n">
        <v>0</v>
      </c>
      <c r="CJ246" s="0" t="n">
        <v>0.782</v>
      </c>
      <c r="CK246" s="0" t="n">
        <v>16</v>
      </c>
      <c r="CL246" s="0" t="n">
        <v>7</v>
      </c>
      <c r="CM246" s="0" t="n">
        <v>3</v>
      </c>
      <c r="CN246" s="0" t="n">
        <v>4</v>
      </c>
      <c r="CO246" s="0" t="n">
        <v>5.72997967778915</v>
      </c>
      <c r="CP246" s="0" t="n">
        <v>0</v>
      </c>
      <c r="CQ246" s="0" t="n">
        <v>0</v>
      </c>
      <c r="CR246" s="0" t="n">
        <v>0</v>
      </c>
      <c r="CS246" s="0" t="n">
        <v>0</v>
      </c>
      <c r="CT246" s="0" t="n">
        <v>0</v>
      </c>
      <c r="CU246" s="0" t="n">
        <v>16</v>
      </c>
      <c r="CV246" s="0" t="n">
        <v>7</v>
      </c>
      <c r="CW246" s="0" t="n">
        <v>3</v>
      </c>
      <c r="CX246" s="0" t="n">
        <v>4</v>
      </c>
      <c r="CY246" s="0" t="n">
        <v>5.73</v>
      </c>
      <c r="CZ246" s="0" t="n">
        <v>-1.73</v>
      </c>
      <c r="DA246" s="0" t="n">
        <v>2.56317384006557</v>
      </c>
      <c r="DB246" s="0" t="n">
        <v>6.1756779661017</v>
      </c>
      <c r="DC246" s="0" t="n">
        <v>8.48196721311475</v>
      </c>
      <c r="DD246" s="0" t="n">
        <v>23.3676199939029</v>
      </c>
      <c r="DE246" s="0" t="n">
        <v>0.31398707678399</v>
      </c>
      <c r="DF246" s="0" t="n">
        <v>66.3934426229508</v>
      </c>
      <c r="DM246" s="0" t="s">
        <v>2272</v>
      </c>
      <c r="DS246" s="0" t="n">
        <v>122</v>
      </c>
      <c r="DT246" s="0" t="n">
        <v>3</v>
      </c>
      <c r="DU246" s="0" t="n">
        <v>6</v>
      </c>
      <c r="DV246" s="0" t="n">
        <v>6.741</v>
      </c>
      <c r="DW246" s="0" t="n">
        <v>2.852</v>
      </c>
      <c r="DX246" s="0" t="n">
        <v>8.4</v>
      </c>
      <c r="DY246" s="0" t="n">
        <v>0.0492</v>
      </c>
      <c r="DZ246" s="0" t="n">
        <v>630</v>
      </c>
      <c r="EA246" s="0" t="n">
        <v>0.555</v>
      </c>
      <c r="EB246" s="0" t="n">
        <v>17</v>
      </c>
      <c r="EC246" s="0" t="s">
        <v>2273</v>
      </c>
      <c r="ED246" s="0" t="n">
        <v>2013</v>
      </c>
      <c r="EE246" s="0" t="n">
        <v>3</v>
      </c>
      <c r="EF246" s="0" t="n">
        <v>76</v>
      </c>
      <c r="EG246" s="0" t="n">
        <v>2013</v>
      </c>
      <c r="EH246" s="0" t="n">
        <v>2025</v>
      </c>
      <c r="EI246" s="0" t="n">
        <v>13</v>
      </c>
      <c r="EJ246" s="0" t="n">
        <v>74</v>
      </c>
      <c r="EK246" s="0" t="n">
        <v>211</v>
      </c>
      <c r="EL246" s="0" t="s">
        <v>1519</v>
      </c>
      <c r="EM246" s="0" t="n">
        <v>34.3</v>
      </c>
      <c r="EN246" s="15" t="b">
        <f aca="false">FALSE()</f>
        <v>0</v>
      </c>
      <c r="EO246" s="0" t="n">
        <v>359</v>
      </c>
      <c r="EP246" s="0" t="n">
        <v>2.71309192200557</v>
      </c>
      <c r="EQ246" s="0" t="n">
        <v>0.22841225626741</v>
      </c>
      <c r="ER246" s="0" t="n">
        <v>1.12534818941504</v>
      </c>
      <c r="ES246" s="0" t="n">
        <v>0.746518105849582</v>
      </c>
      <c r="ET246" s="0" t="n">
        <v>36</v>
      </c>
      <c r="EU246" s="0" t="n">
        <v>22</v>
      </c>
      <c r="EV246" s="0" t="n">
        <v>4.06685236768802</v>
      </c>
      <c r="EW246" s="0" t="n">
        <v>0.611111111111111</v>
      </c>
      <c r="EX246" s="0" t="n">
        <v>2.89104964249176</v>
      </c>
      <c r="EY246" s="0" t="n">
        <v>2.77</v>
      </c>
      <c r="EZ246" s="0" t="n">
        <v>0.2195</v>
      </c>
      <c r="FA246" s="0" t="n">
        <v>2.614</v>
      </c>
      <c r="FB246" s="0" t="n">
        <v>1.822</v>
      </c>
      <c r="FC246" s="0" t="n">
        <v>24</v>
      </c>
      <c r="FD246" s="0" t="n">
        <v>681</v>
      </c>
      <c r="FE246" s="0" t="n">
        <v>0.0881057268722467</v>
      </c>
      <c r="FF246" s="0" t="n">
        <v>0.0832</v>
      </c>
      <c r="FG246" s="0" t="n">
        <v>0.3427</v>
      </c>
      <c r="FH246" s="0" t="n">
        <v>2.37</v>
      </c>
      <c r="FI246" s="0" t="n">
        <v>1080</v>
      </c>
      <c r="FJ246" s="0" t="n">
        <v>0.578703703703704</v>
      </c>
      <c r="FK246" s="0" t="n">
        <v>17</v>
      </c>
      <c r="FL246" s="0" t="n">
        <v>63.53</v>
      </c>
      <c r="FM246" s="0" t="n">
        <v>0.579</v>
      </c>
      <c r="FN246" s="0" t="n">
        <v>0.421</v>
      </c>
      <c r="FO246" s="0" t="n">
        <v>0.0064</v>
      </c>
      <c r="FP246" s="0" t="n">
        <v>0.0187</v>
      </c>
      <c r="FQ246" s="0" t="n">
        <v>-0.0542</v>
      </c>
      <c r="FR246" s="0" t="n">
        <v>39</v>
      </c>
      <c r="FS246" s="0" t="n">
        <v>59</v>
      </c>
      <c r="FT246" s="0" t="n">
        <v>3.47</v>
      </c>
      <c r="FU246" s="0" t="n">
        <v>21.6</v>
      </c>
      <c r="FV246" s="0" t="n">
        <v>5784</v>
      </c>
      <c r="FW246" s="0" t="n">
        <v>1183</v>
      </c>
      <c r="FX246" s="0" t="n">
        <v>0.205</v>
      </c>
      <c r="FY246" s="0" t="n">
        <v>5</v>
      </c>
      <c r="FZ246" s="0" t="n">
        <v>1</v>
      </c>
      <c r="GA246" s="0" t="n">
        <v>-0.516900207039375</v>
      </c>
      <c r="GB246" s="0" t="n">
        <v>40.7</v>
      </c>
      <c r="GC246" s="0" t="n">
        <v>23</v>
      </c>
      <c r="GD246" s="0" t="n">
        <v>26.9</v>
      </c>
      <c r="GE246" s="0" t="n">
        <v>544</v>
      </c>
      <c r="GF246" s="0" t="n">
        <v>466</v>
      </c>
      <c r="GG246" s="0" t="n">
        <v>15</v>
      </c>
      <c r="GH246" s="0" t="n">
        <v>23</v>
      </c>
      <c r="GI246" s="0" t="n">
        <v>152</v>
      </c>
      <c r="GJ246" s="0" t="n">
        <v>2</v>
      </c>
      <c r="GK246" s="0" t="n">
        <v>0.028</v>
      </c>
      <c r="GL246" s="0" t="n">
        <v>0.049</v>
      </c>
      <c r="GM246" s="0" t="n">
        <v>0.013</v>
      </c>
      <c r="GN246" s="0" t="n">
        <v>10.747</v>
      </c>
      <c r="GO246" s="0" t="n">
        <v>8.365</v>
      </c>
      <c r="GP246" s="0" t="n">
        <v>5.982</v>
      </c>
      <c r="GQ246" s="0" t="n">
        <v>7.176</v>
      </c>
      <c r="GR246" s="0" t="n">
        <v>0</v>
      </c>
      <c r="GS246" s="0" t="n">
        <v>122</v>
      </c>
      <c r="GT246" s="0" t="n">
        <v>1.498</v>
      </c>
      <c r="GU246" s="0" t="n">
        <v>0.29</v>
      </c>
      <c r="GV246" s="0" t="n">
        <v>6.369</v>
      </c>
      <c r="GW246" s="0" t="n">
        <v>9.593</v>
      </c>
      <c r="GX246" s="0" t="n">
        <v>0.664</v>
      </c>
      <c r="GZ246" s="0" t="n">
        <v>8.418</v>
      </c>
      <c r="HA246" s="0" t="n">
        <v>2.852</v>
      </c>
      <c r="HB246" s="0" t="n">
        <v>0.757</v>
      </c>
      <c r="HC246" s="0" t="n">
        <v>0.033</v>
      </c>
      <c r="HE246" s="0" t="n">
        <v>0.286</v>
      </c>
      <c r="HF246" s="0" t="s">
        <v>606</v>
      </c>
      <c r="HG246" s="0" t="n">
        <v>267.75</v>
      </c>
      <c r="HH246" s="0" t="n">
        <v>28.87</v>
      </c>
      <c r="HI246" s="0" t="n">
        <v>168</v>
      </c>
      <c r="HJ246" s="0" t="n">
        <v>298</v>
      </c>
      <c r="HK246" s="0" t="s">
        <v>909</v>
      </c>
      <c r="HL246" s="0" t="n">
        <v>0</v>
      </c>
      <c r="HM246" s="0" t="n">
        <v>29</v>
      </c>
      <c r="HN246" s="0" t="n">
        <v>104</v>
      </c>
      <c r="HO246" s="0" t="n">
        <v>2.447</v>
      </c>
      <c r="HP246" s="0" t="n">
        <v>40</v>
      </c>
      <c r="HQ246" s="0" t="n">
        <v>1.965</v>
      </c>
      <c r="HR246" s="0" t="s">
        <v>321</v>
      </c>
    </row>
    <row r="247" customFormat="false" ht="15" hidden="false" customHeight="false" outlineLevel="0" collapsed="false">
      <c r="A247" s="0" t="s">
        <v>896</v>
      </c>
      <c r="B247" s="0" t="s">
        <v>897</v>
      </c>
      <c r="C247" s="0" t="s">
        <v>898</v>
      </c>
      <c r="D247" s="0" t="s">
        <v>635</v>
      </c>
      <c r="E247" s="0" t="n">
        <v>28401</v>
      </c>
      <c r="F247" s="0" t="s">
        <v>104</v>
      </c>
      <c r="G247" s="0" t="n">
        <v>268.09</v>
      </c>
      <c r="H247" s="0" t="n">
        <v>45.39</v>
      </c>
      <c r="I247" s="0" t="n">
        <v>160</v>
      </c>
      <c r="J247" s="0" t="n">
        <v>337</v>
      </c>
      <c r="L247" s="0" t="s">
        <v>2274</v>
      </c>
      <c r="O247" s="0" t="n">
        <v>8.6</v>
      </c>
      <c r="U247" s="0" t="n">
        <v>8</v>
      </c>
      <c r="V247" s="0" t="s">
        <v>635</v>
      </c>
      <c r="W247" s="0" t="s">
        <v>901</v>
      </c>
      <c r="X247" s="0" t="s">
        <v>948</v>
      </c>
      <c r="Y247" s="0" t="s">
        <v>2275</v>
      </c>
      <c r="Z247" s="0" t="n">
        <v>28401</v>
      </c>
      <c r="AA247" s="0" t="s">
        <v>2276</v>
      </c>
      <c r="AB247" s="0" t="s">
        <v>904</v>
      </c>
      <c r="AC247" s="0" t="s">
        <v>124</v>
      </c>
      <c r="AD247" s="0" t="s">
        <v>124</v>
      </c>
      <c r="AE247" s="0" t="s">
        <v>124</v>
      </c>
      <c r="AF247" s="0" t="s">
        <v>124</v>
      </c>
      <c r="AG247" s="0" t="s">
        <v>124</v>
      </c>
      <c r="AH247" s="0" t="s">
        <v>905</v>
      </c>
      <c r="AI247" s="0" t="n">
        <v>3</v>
      </c>
      <c r="AJ247" s="0" t="s">
        <v>104</v>
      </c>
      <c r="AK247" s="0" t="n">
        <v>246</v>
      </c>
      <c r="AL247" s="0" t="n">
        <v>79</v>
      </c>
      <c r="AM247" s="0" t="s">
        <v>636</v>
      </c>
      <c r="EC247" s="0" t="s">
        <v>2277</v>
      </c>
      <c r="EG247" s="0" t="n">
        <v>2026</v>
      </c>
      <c r="EH247" s="0" t="n">
        <v>2026</v>
      </c>
      <c r="EI247" s="0" t="n">
        <v>0</v>
      </c>
      <c r="EJ247" s="0" t="n">
        <v>69</v>
      </c>
      <c r="EK247" s="0" t="n">
        <v>208</v>
      </c>
      <c r="EL247" s="0" t="s">
        <v>2278</v>
      </c>
      <c r="EM247" s="0" t="n">
        <v>24.8</v>
      </c>
      <c r="EN247" s="15" t="b">
        <f aca="false">TRUE()</f>
        <v>1</v>
      </c>
      <c r="EO247" s="0" t="n">
        <v>405</v>
      </c>
      <c r="EP247" s="0" t="n">
        <v>2.91456790123457</v>
      </c>
      <c r="EQ247" s="0" t="n">
        <v>0.180246913580247</v>
      </c>
      <c r="ER247" s="0" t="n">
        <v>1.17530864197531</v>
      </c>
      <c r="ES247" s="0" t="n">
        <v>0.402469135802469</v>
      </c>
      <c r="ET247" s="0" t="n">
        <v>29</v>
      </c>
      <c r="EU247" s="0" t="n">
        <v>19</v>
      </c>
      <c r="EV247" s="0" t="n">
        <v>3.94814814814815</v>
      </c>
      <c r="EW247" s="0" t="n">
        <v>0.655172413793103</v>
      </c>
      <c r="EX247" s="0" t="n">
        <v>2.9571088201075</v>
      </c>
      <c r="EY247" s="0" t="n">
        <v>2.906</v>
      </c>
      <c r="EZ247" s="0" t="n">
        <v>0.1848</v>
      </c>
      <c r="FA247" s="0" t="n">
        <v>2.349</v>
      </c>
      <c r="FB247" s="0" t="n">
        <v>1.428</v>
      </c>
      <c r="FC247" s="0" t="n">
        <v>23</v>
      </c>
      <c r="FD247" s="0" t="n">
        <v>624</v>
      </c>
      <c r="FE247" s="0" t="n">
        <v>0.0432692307692308</v>
      </c>
      <c r="FF247" s="0" t="n">
        <v>0.0428</v>
      </c>
      <c r="FG247" s="0" t="n">
        <v>0.2125</v>
      </c>
      <c r="FH247" s="0" t="n">
        <v>2.547</v>
      </c>
      <c r="FI247" s="0" t="n">
        <v>1065</v>
      </c>
      <c r="FJ247" s="0" t="n">
        <v>0.566197183098592</v>
      </c>
      <c r="FK247" s="0" t="n">
        <v>17</v>
      </c>
      <c r="FL247" s="0" t="n">
        <v>62.65</v>
      </c>
      <c r="FM247" s="0" t="n">
        <v>0.5521</v>
      </c>
      <c r="FN247" s="0" t="n">
        <v>0.4479</v>
      </c>
      <c r="FO247" s="0" t="n">
        <v>-0.0088</v>
      </c>
      <c r="FP247" s="0" t="n">
        <v>-0.0044</v>
      </c>
      <c r="FQ247" s="0" t="n">
        <v>0.1587</v>
      </c>
      <c r="FR247" s="0" t="n">
        <v>38</v>
      </c>
      <c r="FS247" s="0" t="n">
        <v>66</v>
      </c>
      <c r="FT247" s="0" t="n">
        <v>3.88</v>
      </c>
      <c r="FU247" s="0" t="n">
        <v>25.7</v>
      </c>
      <c r="FV247" s="0" t="n">
        <v>5615</v>
      </c>
      <c r="FW247" s="0" t="n">
        <v>4784</v>
      </c>
      <c r="FX247" s="0" t="n">
        <v>0.852</v>
      </c>
      <c r="FY247" s="0" t="n">
        <v>5</v>
      </c>
      <c r="FZ247" s="0" t="n">
        <v>4</v>
      </c>
      <c r="GA247" s="0" t="n">
        <v>-0.196965652614142</v>
      </c>
      <c r="GB247" s="0" t="n">
        <v>46.4</v>
      </c>
      <c r="GC247" s="0" t="n">
        <v>74.5</v>
      </c>
      <c r="GD247" s="0" t="n">
        <v>63.3</v>
      </c>
      <c r="GE247" s="0" t="n">
        <v>550</v>
      </c>
      <c r="GF247" s="0" t="n">
        <v>481</v>
      </c>
      <c r="GG247" s="0" t="n">
        <v>170</v>
      </c>
      <c r="GH247" s="0" t="n">
        <v>94</v>
      </c>
      <c r="GI247" s="0" t="n">
        <v>185</v>
      </c>
      <c r="GJ247" s="0" t="n">
        <v>38</v>
      </c>
      <c r="GK247" s="0" t="n">
        <v>0.309</v>
      </c>
      <c r="GL247" s="0" t="n">
        <v>0.195</v>
      </c>
      <c r="GM247" s="0" t="n">
        <v>0.205</v>
      </c>
      <c r="HF247" s="0" t="s">
        <v>206</v>
      </c>
      <c r="HG247" s="0" t="n">
        <v>268.09</v>
      </c>
      <c r="HH247" s="0" t="n">
        <v>45.39</v>
      </c>
      <c r="HI247" s="0" t="n">
        <v>160</v>
      </c>
      <c r="HJ247" s="0" t="n">
        <v>337</v>
      </c>
      <c r="HK247" s="0" t="s">
        <v>909</v>
      </c>
      <c r="HL247" s="0" t="n">
        <v>0</v>
      </c>
      <c r="HN247" s="0" t="n">
        <v>79</v>
      </c>
    </row>
    <row r="248" customFormat="false" ht="15" hidden="false" customHeight="false" outlineLevel="0" collapsed="false">
      <c r="A248" s="0" t="s">
        <v>896</v>
      </c>
      <c r="B248" s="0" t="s">
        <v>897</v>
      </c>
      <c r="C248" s="0" t="s">
        <v>898</v>
      </c>
      <c r="D248" s="0" t="s">
        <v>637</v>
      </c>
      <c r="E248" s="0" t="n">
        <v>16423</v>
      </c>
      <c r="F248" s="0" t="s">
        <v>104</v>
      </c>
      <c r="G248" s="0" t="n">
        <v>270.44</v>
      </c>
      <c r="H248" s="0" t="n">
        <v>39.7</v>
      </c>
      <c r="I248" s="0" t="n">
        <v>157</v>
      </c>
      <c r="J248" s="0" t="n">
        <v>414</v>
      </c>
      <c r="L248" s="0" t="s">
        <v>2279</v>
      </c>
      <c r="O248" s="0" t="n">
        <v>4</v>
      </c>
      <c r="U248" s="0" t="n">
        <v>6</v>
      </c>
      <c r="V248" s="0" t="s">
        <v>637</v>
      </c>
      <c r="W248" s="0" t="s">
        <v>901</v>
      </c>
      <c r="X248" s="0" t="s">
        <v>101</v>
      </c>
      <c r="Y248" s="0" t="s">
        <v>2280</v>
      </c>
      <c r="Z248" s="0" t="n">
        <v>16423</v>
      </c>
      <c r="AA248" s="0" t="s">
        <v>2281</v>
      </c>
      <c r="AB248" s="0" t="s">
        <v>904</v>
      </c>
      <c r="AC248" s="0" t="s">
        <v>101</v>
      </c>
      <c r="AD248" s="0" t="s">
        <v>101</v>
      </c>
      <c r="AE248" s="0" t="s">
        <v>101</v>
      </c>
      <c r="AF248" s="0" t="s">
        <v>101</v>
      </c>
      <c r="AG248" s="0" t="s">
        <v>101</v>
      </c>
      <c r="AH248" s="0" t="s">
        <v>905</v>
      </c>
      <c r="AI248" s="0" t="n">
        <v>2</v>
      </c>
      <c r="AJ248" s="0" t="s">
        <v>104</v>
      </c>
      <c r="AK248" s="0" t="n">
        <v>247</v>
      </c>
      <c r="AL248" s="0" t="n">
        <v>80</v>
      </c>
      <c r="AM248" s="0" t="s">
        <v>638</v>
      </c>
      <c r="AN248" s="0" t="n">
        <v>0</v>
      </c>
      <c r="AO248" s="0" t="n">
        <v>0</v>
      </c>
      <c r="AP248" s="0" t="n">
        <v>0</v>
      </c>
      <c r="AQ248" s="0" t="n">
        <v>0</v>
      </c>
      <c r="AR248" s="0" t="n">
        <v>0</v>
      </c>
      <c r="AS248" s="0" t="n">
        <v>0</v>
      </c>
      <c r="AT248" s="0" t="n">
        <v>0</v>
      </c>
      <c r="AU248" s="0" t="n">
        <v>0</v>
      </c>
      <c r="AV248" s="0" t="n">
        <v>0</v>
      </c>
      <c r="AW248" s="0" t="n">
        <v>84</v>
      </c>
      <c r="AX248" s="0" t="n">
        <v>382</v>
      </c>
      <c r="AY248" s="0" t="n">
        <v>3</v>
      </c>
      <c r="AZ248" s="0" t="n">
        <v>32</v>
      </c>
      <c r="BA248" s="0" t="n">
        <v>-0.24908348934861</v>
      </c>
      <c r="BB248" s="0" t="n">
        <v>2</v>
      </c>
      <c r="BC248" s="0" t="n">
        <v>17</v>
      </c>
      <c r="BD248" s="0" t="n">
        <v>21</v>
      </c>
      <c r="BE248" s="0" t="n">
        <v>87</v>
      </c>
      <c r="BF248" s="0" t="n">
        <v>0</v>
      </c>
      <c r="BG248" s="0" t="n">
        <v>-32</v>
      </c>
      <c r="BH248" s="0" t="n">
        <v>109</v>
      </c>
      <c r="BI248" s="0" t="n">
        <v>5</v>
      </c>
      <c r="BJ248" s="0" t="n">
        <v>-2.59301438659781</v>
      </c>
      <c r="BK248" s="0" t="n">
        <v>0</v>
      </c>
      <c r="BL248" s="0" t="n">
        <v>0</v>
      </c>
      <c r="BM248" s="0" t="n">
        <v>60.9</v>
      </c>
      <c r="BN248" s="0" t="n">
        <v>77.9</v>
      </c>
      <c r="BO248" s="0" t="n">
        <v>15</v>
      </c>
      <c r="BP248" s="0" t="s">
        <v>101</v>
      </c>
      <c r="BQ248" s="0" t="n">
        <v>1</v>
      </c>
      <c r="BR248" s="0" t="n">
        <v>69.4</v>
      </c>
      <c r="BS248" s="0" t="n">
        <v>0.0345</v>
      </c>
      <c r="BT248" s="0" t="n">
        <v>0.2205</v>
      </c>
      <c r="BU248" s="0" t="n">
        <v>-0.007</v>
      </c>
      <c r="BV248" s="0" t="n">
        <v>0.0393</v>
      </c>
      <c r="BW248" s="0" t="n">
        <v>0.25</v>
      </c>
      <c r="BX248" s="0" t="n">
        <v>-0.0081</v>
      </c>
      <c r="BY248" s="0" t="n">
        <v>0.0533</v>
      </c>
      <c r="BZ248" s="0" t="n">
        <v>15</v>
      </c>
      <c r="CA248" s="0" t="n">
        <v>1.55</v>
      </c>
      <c r="CB248" s="0" t="n">
        <v>8.29</v>
      </c>
      <c r="CC248" s="0" t="n">
        <v>4.9</v>
      </c>
      <c r="CD248" s="0" t="n">
        <v>4.74</v>
      </c>
      <c r="CE248" s="0" t="n">
        <v>0</v>
      </c>
      <c r="CF248" s="0" t="n">
        <v>4</v>
      </c>
      <c r="CG248" s="0" t="n">
        <v>15</v>
      </c>
      <c r="CH248" s="0" t="n">
        <v>0</v>
      </c>
      <c r="CI248" s="0" t="n">
        <v>0.267</v>
      </c>
      <c r="CJ248" s="0" t="n">
        <v>0.968</v>
      </c>
      <c r="CK248" s="0" t="n">
        <v>1</v>
      </c>
      <c r="CL248" s="0" t="n">
        <v>0</v>
      </c>
      <c r="CM248" s="0" t="n">
        <v>0</v>
      </c>
      <c r="CN248" s="0" t="n">
        <v>0</v>
      </c>
      <c r="CO248" s="0" t="n">
        <v>0.544488410244053</v>
      </c>
      <c r="CP248" s="0" t="n">
        <v>16</v>
      </c>
      <c r="CQ248" s="0" t="n">
        <v>8</v>
      </c>
      <c r="CR248" s="0" t="n">
        <v>4</v>
      </c>
      <c r="CS248" s="0" t="n">
        <v>3</v>
      </c>
      <c r="CT248" s="0" t="n">
        <v>2.97235760969841</v>
      </c>
      <c r="CU248" s="0" t="n">
        <v>17</v>
      </c>
      <c r="CV248" s="0" t="n">
        <v>8</v>
      </c>
      <c r="CW248" s="0" t="n">
        <v>4</v>
      </c>
      <c r="CX248" s="0" t="n">
        <v>3</v>
      </c>
      <c r="CY248" s="0" t="n">
        <v>3.52</v>
      </c>
      <c r="CZ248" s="0" t="n">
        <v>-0.52</v>
      </c>
      <c r="DM248" s="0" t="s">
        <v>2282</v>
      </c>
      <c r="DN248" s="0" t="n">
        <v>84</v>
      </c>
      <c r="DO248" s="0" t="n">
        <v>4</v>
      </c>
      <c r="DP248" s="0" t="n">
        <v>2.286</v>
      </c>
      <c r="DQ248" s="0" t="n">
        <v>2.262</v>
      </c>
      <c r="DR248" s="0" t="n">
        <v>21</v>
      </c>
      <c r="DS248" s="0" t="n">
        <v>21</v>
      </c>
      <c r="DT248" s="0" t="n">
        <v>2</v>
      </c>
      <c r="DU248" s="0" t="n">
        <v>1</v>
      </c>
      <c r="DV248" s="0" t="n">
        <v>-1.294</v>
      </c>
      <c r="DW248" s="0" t="n">
        <v>6.412</v>
      </c>
      <c r="DX248" s="0" t="n">
        <v>-1.5</v>
      </c>
      <c r="DY248" s="0" t="n">
        <v>0.0476</v>
      </c>
      <c r="DZ248" s="0" t="n">
        <v>346</v>
      </c>
      <c r="EA248" s="0" t="n">
        <v>0.351</v>
      </c>
      <c r="EB248" s="0" t="n">
        <v>15</v>
      </c>
      <c r="EC248" s="0" t="s">
        <v>2283</v>
      </c>
      <c r="ED248" s="0" t="n">
        <v>2017</v>
      </c>
      <c r="EE248" s="0" t="n">
        <v>4</v>
      </c>
      <c r="EF248" s="0" t="n">
        <v>114</v>
      </c>
      <c r="EG248" s="0" t="n">
        <v>2017</v>
      </c>
      <c r="EH248" s="0" t="n">
        <v>2026</v>
      </c>
      <c r="EI248" s="0" t="n">
        <v>10</v>
      </c>
      <c r="EJ248" s="0" t="n">
        <v>70</v>
      </c>
      <c r="EK248" s="0" t="n">
        <v>240</v>
      </c>
      <c r="EL248" s="0" t="s">
        <v>946</v>
      </c>
      <c r="EM248" s="0" t="n">
        <v>30.9</v>
      </c>
      <c r="EN248" s="15" t="b">
        <f aca="false">FALSE()</f>
        <v>0</v>
      </c>
      <c r="EO248" s="0" t="n">
        <v>334</v>
      </c>
      <c r="EP248" s="0" t="n">
        <v>3.15059880239521</v>
      </c>
      <c r="EQ248" s="0" t="n">
        <v>0.110778443113773</v>
      </c>
      <c r="ER248" s="0" t="n">
        <v>1.15269461077844</v>
      </c>
      <c r="ES248" s="0" t="n">
        <v>0.583832335329341</v>
      </c>
      <c r="ET248" s="0" t="n">
        <v>35</v>
      </c>
      <c r="EU248" s="0" t="n">
        <v>23</v>
      </c>
      <c r="EV248" s="0" t="n">
        <v>4.33532934131737</v>
      </c>
      <c r="EW248" s="0" t="n">
        <v>0.657142857142857</v>
      </c>
      <c r="EX248" s="0" t="n">
        <v>2.88704171718939</v>
      </c>
      <c r="EY248" s="0" t="n">
        <v>3.212</v>
      </c>
      <c r="EZ248" s="0" t="n">
        <v>0.1072</v>
      </c>
      <c r="FA248" s="0" t="n">
        <v>2.249</v>
      </c>
      <c r="FB248" s="0" t="n">
        <v>1.927</v>
      </c>
      <c r="FC248" s="0" t="n">
        <v>22</v>
      </c>
      <c r="FD248" s="0" t="n">
        <v>687</v>
      </c>
      <c r="FE248" s="0" t="n">
        <v>0.0524017467248908</v>
      </c>
      <c r="FF248" s="0" t="n">
        <v>0.0527</v>
      </c>
      <c r="FG248" s="0" t="n">
        <v>0.2234</v>
      </c>
      <c r="FH248" s="0" t="n">
        <v>2.22</v>
      </c>
      <c r="FI248" s="0" t="n">
        <v>1049</v>
      </c>
      <c r="FJ248" s="0" t="n">
        <v>0.645376549094376</v>
      </c>
      <c r="FK248" s="0" t="n">
        <v>17</v>
      </c>
      <c r="FL248" s="0" t="n">
        <v>61.71</v>
      </c>
      <c r="FM248" s="0" t="n">
        <v>0.6322</v>
      </c>
      <c r="FN248" s="0" t="n">
        <v>0.3678</v>
      </c>
      <c r="FO248" s="0" t="n">
        <v>0.0172</v>
      </c>
      <c r="FP248" s="0" t="n">
        <v>0.0246</v>
      </c>
      <c r="FQ248" s="0" t="n">
        <v>-0.0266</v>
      </c>
      <c r="FR248" s="0" t="n">
        <v>38</v>
      </c>
      <c r="FS248" s="0" t="n">
        <v>56</v>
      </c>
      <c r="FT248" s="0" t="n">
        <v>3.29</v>
      </c>
      <c r="FU248" s="0" t="n">
        <v>24.4</v>
      </c>
      <c r="FV248" s="0" t="n">
        <v>5575</v>
      </c>
      <c r="FW248" s="0" t="n">
        <v>5552</v>
      </c>
      <c r="FX248" s="0" t="n">
        <v>0.996</v>
      </c>
      <c r="FY248" s="0" t="n">
        <v>5</v>
      </c>
      <c r="FZ248" s="0" t="n">
        <v>5</v>
      </c>
      <c r="GA248" s="0" t="n">
        <v>0.739940369212519</v>
      </c>
      <c r="GB248" s="0" t="n">
        <v>63.4</v>
      </c>
      <c r="GC248" s="0" t="n">
        <v>53</v>
      </c>
      <c r="GD248" s="0" t="n">
        <v>60.4</v>
      </c>
      <c r="GE248" s="0" t="n">
        <v>608</v>
      </c>
      <c r="GF248" s="0" t="n">
        <v>381</v>
      </c>
      <c r="GG248" s="0" t="n">
        <v>41</v>
      </c>
      <c r="GH248" s="0" t="n">
        <v>9</v>
      </c>
      <c r="GI248" s="0" t="n">
        <v>137</v>
      </c>
      <c r="GJ248" s="0" t="n">
        <v>6</v>
      </c>
      <c r="GK248" s="0" t="n">
        <v>0.067</v>
      </c>
      <c r="GL248" s="0" t="n">
        <v>0.024</v>
      </c>
      <c r="GM248" s="0" t="n">
        <v>0.044</v>
      </c>
      <c r="GN248" s="0" t="n">
        <v>5.193</v>
      </c>
      <c r="GO248" s="0" t="n">
        <v>4.627</v>
      </c>
      <c r="GP248" s="0" t="n">
        <v>4.06</v>
      </c>
      <c r="GQ248" s="0" t="n">
        <v>1.4</v>
      </c>
      <c r="GR248" s="0" t="n">
        <v>5.6</v>
      </c>
      <c r="GS248" s="0" t="n">
        <v>105</v>
      </c>
      <c r="GT248" s="0" t="n">
        <v>0.742</v>
      </c>
      <c r="GU248" s="0" t="n">
        <v>0.225</v>
      </c>
      <c r="GV248" s="0" t="n">
        <v>4.143</v>
      </c>
      <c r="GW248" s="0" t="n">
        <v>5.118</v>
      </c>
      <c r="GX248" s="0" t="n">
        <v>0.81</v>
      </c>
      <c r="GY248" s="0" t="n">
        <v>4.548</v>
      </c>
      <c r="GZ248" s="0" t="n">
        <v>-1.524</v>
      </c>
      <c r="HA248" s="0" t="n">
        <v>6.412</v>
      </c>
      <c r="HB248" s="0" t="n">
        <v>-2.719</v>
      </c>
      <c r="HC248" s="0" t="n">
        <v>0.029</v>
      </c>
      <c r="HD248" s="0" t="n">
        <v>-0.003</v>
      </c>
      <c r="HE248" s="0" t="n">
        <v>-0.123</v>
      </c>
      <c r="HG248" s="0" t="n">
        <v>270.44</v>
      </c>
      <c r="HH248" s="0" t="n">
        <v>39.7</v>
      </c>
      <c r="HI248" s="0" t="n">
        <v>157</v>
      </c>
      <c r="HJ248" s="0" t="n">
        <v>414</v>
      </c>
      <c r="HK248" s="0" t="s">
        <v>909</v>
      </c>
      <c r="HL248" s="0" t="n">
        <v>0</v>
      </c>
      <c r="HM248" s="0" t="n">
        <v>52</v>
      </c>
      <c r="HN248" s="0" t="n">
        <v>80</v>
      </c>
      <c r="HO248" s="0" t="n">
        <v>0.59</v>
      </c>
      <c r="HP248" s="0" t="n">
        <v>56</v>
      </c>
      <c r="HQ248" s="0" t="n">
        <v>0.414</v>
      </c>
      <c r="HR248" s="0" t="s">
        <v>232</v>
      </c>
    </row>
    <row r="249" customFormat="false" ht="15" hidden="false" customHeight="false" outlineLevel="0" collapsed="false">
      <c r="A249" s="0" t="s">
        <v>896</v>
      </c>
      <c r="B249" s="0" t="s">
        <v>897</v>
      </c>
      <c r="C249" s="0" t="s">
        <v>898</v>
      </c>
      <c r="D249" s="0" t="s">
        <v>639</v>
      </c>
      <c r="E249" s="0" t="n">
        <v>17272</v>
      </c>
      <c r="F249" s="0" t="s">
        <v>149</v>
      </c>
      <c r="G249" s="0" t="n">
        <v>270.5</v>
      </c>
      <c r="H249" s="0" t="n">
        <v>25.05</v>
      </c>
      <c r="I249" s="0" t="n">
        <v>226</v>
      </c>
      <c r="J249" s="0" t="n">
        <v>355</v>
      </c>
      <c r="L249" s="0" t="s">
        <v>2284</v>
      </c>
      <c r="O249" s="0" t="n">
        <v>7.9</v>
      </c>
      <c r="U249" s="0" t="n">
        <v>6</v>
      </c>
      <c r="V249" s="0" t="s">
        <v>639</v>
      </c>
      <c r="W249" s="0" t="s">
        <v>901</v>
      </c>
      <c r="X249" s="0" t="s">
        <v>101</v>
      </c>
      <c r="Y249" s="0" t="s">
        <v>2285</v>
      </c>
      <c r="Z249" s="0" t="n">
        <v>17272</v>
      </c>
      <c r="AA249" s="0" t="s">
        <v>2286</v>
      </c>
      <c r="AB249" s="0" t="s">
        <v>904</v>
      </c>
      <c r="AC249" s="0" t="s">
        <v>101</v>
      </c>
      <c r="AD249" s="0" t="s">
        <v>101</v>
      </c>
      <c r="AE249" s="0" t="s">
        <v>101</v>
      </c>
      <c r="AF249" s="0" t="s">
        <v>101</v>
      </c>
      <c r="AG249" s="0" t="s">
        <v>101</v>
      </c>
      <c r="AH249" s="0" t="s">
        <v>905</v>
      </c>
      <c r="AI249" s="0" t="n">
        <v>1</v>
      </c>
      <c r="AJ249" s="0" t="s">
        <v>149</v>
      </c>
      <c r="AK249" s="0" t="n">
        <v>248</v>
      </c>
      <c r="AL249" s="0" t="n">
        <v>33</v>
      </c>
      <c r="AM249" s="0" t="s">
        <v>640</v>
      </c>
      <c r="AN249" s="0" t="n">
        <v>0</v>
      </c>
      <c r="AO249" s="0" t="n">
        <v>0</v>
      </c>
      <c r="AP249" s="0" t="n">
        <v>0</v>
      </c>
      <c r="AQ249" s="0" t="n">
        <v>0</v>
      </c>
      <c r="AR249" s="0" t="n">
        <v>0</v>
      </c>
      <c r="AS249" s="0" t="n">
        <v>0</v>
      </c>
      <c r="AT249" s="0" t="n">
        <v>0</v>
      </c>
      <c r="AU249" s="0" t="n">
        <v>0</v>
      </c>
      <c r="AV249" s="0" t="n">
        <v>0</v>
      </c>
      <c r="AW249" s="0" t="n">
        <v>0</v>
      </c>
      <c r="AX249" s="0" t="n">
        <v>0</v>
      </c>
      <c r="AY249" s="0" t="n">
        <v>0</v>
      </c>
      <c r="AZ249" s="0" t="n">
        <v>0</v>
      </c>
      <c r="BA249" s="0" t="n">
        <v>0</v>
      </c>
      <c r="BB249" s="0" t="n">
        <v>0</v>
      </c>
      <c r="BC249" s="0" t="n">
        <v>28</v>
      </c>
      <c r="BD249" s="0" t="n">
        <v>42</v>
      </c>
      <c r="BE249" s="0" t="n">
        <v>307</v>
      </c>
      <c r="BF249" s="0" t="n">
        <v>2</v>
      </c>
      <c r="BG249" s="0" t="n">
        <v>418</v>
      </c>
      <c r="BH249" s="0" t="n">
        <v>63</v>
      </c>
      <c r="BI249" s="0" t="n">
        <v>19</v>
      </c>
      <c r="BJ249" s="0" t="n">
        <v>4.38470020618127</v>
      </c>
      <c r="BK249" s="0" t="n">
        <v>0</v>
      </c>
      <c r="BL249" s="0" t="n">
        <v>0</v>
      </c>
      <c r="BM249" s="0" t="n">
        <v>42.7</v>
      </c>
      <c r="BN249" s="0" t="n">
        <v>70.7</v>
      </c>
      <c r="BO249" s="0" t="n">
        <v>12</v>
      </c>
      <c r="BP249" s="0" t="s">
        <v>101</v>
      </c>
      <c r="BQ249" s="0" t="n">
        <v>1</v>
      </c>
      <c r="BR249" s="0" t="n">
        <v>56.7</v>
      </c>
      <c r="BS249" s="0" t="n">
        <v>0.0691</v>
      </c>
      <c r="BT249" s="0" t="n">
        <v>0</v>
      </c>
      <c r="BU249" s="0" t="n">
        <v>0.0916</v>
      </c>
      <c r="BV249" s="0" t="n">
        <v>0.1034</v>
      </c>
      <c r="BW249" s="0" t="n">
        <v>0</v>
      </c>
      <c r="BX249" s="0" t="n">
        <v>0.1336</v>
      </c>
      <c r="BY249" s="0" t="n">
        <v>0.2486</v>
      </c>
      <c r="BZ249" s="0" t="n">
        <v>12</v>
      </c>
      <c r="CA249" s="0" t="n">
        <v>2.33</v>
      </c>
      <c r="CB249" s="0" t="n">
        <v>9.25</v>
      </c>
      <c r="CC249" s="0" t="n">
        <v>3.7</v>
      </c>
      <c r="CD249" s="0" t="n">
        <v>5.58</v>
      </c>
      <c r="CE249" s="0" t="n">
        <v>1</v>
      </c>
      <c r="CF249" s="0" t="n">
        <v>2</v>
      </c>
      <c r="CG249" s="0" t="n">
        <v>12</v>
      </c>
      <c r="CH249" s="0" t="n">
        <v>0.083</v>
      </c>
      <c r="CI249" s="0" t="n">
        <v>0.167</v>
      </c>
      <c r="CJ249" s="0" t="n">
        <v>1.508</v>
      </c>
      <c r="CK249" s="0" t="n">
        <v>7</v>
      </c>
      <c r="CL249" s="0" t="n">
        <v>4</v>
      </c>
      <c r="CM249" s="0" t="n">
        <v>3</v>
      </c>
      <c r="CN249" s="0" t="n">
        <v>2</v>
      </c>
      <c r="CO249" s="0" t="n">
        <v>2.76875584920735</v>
      </c>
      <c r="CP249" s="0" t="n">
        <v>0</v>
      </c>
      <c r="CQ249" s="0" t="n">
        <v>0</v>
      </c>
      <c r="CR249" s="0" t="n">
        <v>0</v>
      </c>
      <c r="CS249" s="0" t="n">
        <v>0</v>
      </c>
      <c r="CT249" s="0" t="n">
        <v>0</v>
      </c>
      <c r="CU249" s="0" t="n">
        <v>7</v>
      </c>
      <c r="CV249" s="0" t="n">
        <v>4</v>
      </c>
      <c r="CW249" s="0" t="n">
        <v>3</v>
      </c>
      <c r="CX249" s="0" t="n">
        <v>2</v>
      </c>
      <c r="CY249" s="0" t="n">
        <v>2.77</v>
      </c>
      <c r="CZ249" s="0" t="n">
        <v>-0.77</v>
      </c>
      <c r="DM249" s="0" t="s">
        <v>2287</v>
      </c>
      <c r="DS249" s="0" t="n">
        <v>42</v>
      </c>
      <c r="DT249" s="0" t="n">
        <v>0</v>
      </c>
      <c r="DU249" s="0" t="n">
        <v>1</v>
      </c>
      <c r="DV249" s="0" t="n">
        <v>8.714</v>
      </c>
      <c r="DW249" s="0" t="n">
        <v>2.25</v>
      </c>
      <c r="DX249" s="0" t="n">
        <v>10</v>
      </c>
      <c r="DY249" s="0" t="n">
        <v>0.0238</v>
      </c>
      <c r="DZ249" s="0" t="n">
        <v>321</v>
      </c>
      <c r="EA249" s="0" t="n">
        <v>0.385</v>
      </c>
      <c r="EB249" s="0" t="n">
        <v>13</v>
      </c>
      <c r="EC249" s="0" t="s">
        <v>2288</v>
      </c>
      <c r="ED249" s="0" t="n">
        <v>2018</v>
      </c>
      <c r="EE249" s="0" t="n">
        <v>2</v>
      </c>
      <c r="EF249" s="0" t="n">
        <v>42</v>
      </c>
      <c r="EG249" s="0" t="n">
        <v>2018</v>
      </c>
      <c r="EH249" s="0" t="n">
        <v>2026</v>
      </c>
      <c r="EI249" s="0" t="n">
        <v>9</v>
      </c>
      <c r="EJ249" s="0" t="n">
        <v>78</v>
      </c>
      <c r="EK249" s="0" t="n">
        <v>245</v>
      </c>
      <c r="EL249" s="0" t="s">
        <v>1063</v>
      </c>
      <c r="EM249" s="0" t="n">
        <v>30.9</v>
      </c>
      <c r="EN249" s="15" t="b">
        <f aca="false">FALSE()</f>
        <v>0</v>
      </c>
      <c r="EO249" s="0" t="n">
        <v>334</v>
      </c>
      <c r="EP249" s="0" t="n">
        <v>3.15059880239521</v>
      </c>
      <c r="EQ249" s="0" t="n">
        <v>0.110778443113773</v>
      </c>
      <c r="ER249" s="0" t="n">
        <v>1.15269461077844</v>
      </c>
      <c r="ES249" s="0" t="n">
        <v>0.583832335329341</v>
      </c>
      <c r="ET249" s="0" t="n">
        <v>35</v>
      </c>
      <c r="EU249" s="0" t="n">
        <v>23</v>
      </c>
      <c r="EV249" s="0" t="n">
        <v>4.33532934131737</v>
      </c>
      <c r="EW249" s="0" t="n">
        <v>0.657142857142857</v>
      </c>
      <c r="EX249" s="0" t="n">
        <v>2.88704171718939</v>
      </c>
      <c r="EY249" s="0" t="n">
        <v>3.212</v>
      </c>
      <c r="EZ249" s="0" t="n">
        <v>0.1072</v>
      </c>
      <c r="FA249" s="0" t="n">
        <v>2.249</v>
      </c>
      <c r="FB249" s="0" t="n">
        <v>1.927</v>
      </c>
      <c r="FC249" s="0" t="n">
        <v>22</v>
      </c>
      <c r="FD249" s="0" t="n">
        <v>687</v>
      </c>
      <c r="FE249" s="0" t="n">
        <v>0.0524017467248908</v>
      </c>
      <c r="FF249" s="0" t="n">
        <v>0.0527</v>
      </c>
      <c r="FG249" s="0" t="n">
        <v>0.2234</v>
      </c>
      <c r="FH249" s="0" t="n">
        <v>2.22</v>
      </c>
      <c r="FI249" s="0" t="n">
        <v>1049</v>
      </c>
      <c r="FJ249" s="0" t="n">
        <v>0.645376549094376</v>
      </c>
      <c r="FK249" s="0" t="n">
        <v>17</v>
      </c>
      <c r="FL249" s="0" t="n">
        <v>61.71</v>
      </c>
      <c r="FM249" s="0" t="n">
        <v>0.6322</v>
      </c>
      <c r="FN249" s="0" t="n">
        <v>0.3678</v>
      </c>
      <c r="FO249" s="0" t="n">
        <v>0.0172</v>
      </c>
      <c r="FP249" s="0" t="n">
        <v>0.0246</v>
      </c>
      <c r="FQ249" s="0" t="n">
        <v>-0.0266</v>
      </c>
      <c r="FR249" s="0" t="n">
        <v>38</v>
      </c>
      <c r="FS249" s="0" t="n">
        <v>56</v>
      </c>
      <c r="FT249" s="0" t="n">
        <v>3.29</v>
      </c>
      <c r="FU249" s="0" t="n">
        <v>24.4</v>
      </c>
      <c r="FV249" s="0" t="n">
        <v>5575</v>
      </c>
      <c r="FW249" s="0" t="n">
        <v>5552</v>
      </c>
      <c r="FX249" s="0" t="n">
        <v>0.996</v>
      </c>
      <c r="FY249" s="0" t="n">
        <v>5</v>
      </c>
      <c r="FZ249" s="0" t="n">
        <v>5</v>
      </c>
      <c r="GA249" s="0" t="n">
        <v>0.739940369212519</v>
      </c>
      <c r="GB249" s="0" t="n">
        <v>63.4</v>
      </c>
      <c r="GC249" s="0" t="n">
        <v>53</v>
      </c>
      <c r="GD249" s="0" t="n">
        <v>60.4</v>
      </c>
      <c r="GE249" s="0" t="n">
        <v>608</v>
      </c>
      <c r="GF249" s="0" t="n">
        <v>381</v>
      </c>
      <c r="GG249" s="0" t="n">
        <v>41</v>
      </c>
      <c r="GH249" s="0" t="n">
        <v>9</v>
      </c>
      <c r="GI249" s="0" t="n">
        <v>137</v>
      </c>
      <c r="GJ249" s="0" t="n">
        <v>6</v>
      </c>
      <c r="GK249" s="0" t="n">
        <v>0.067</v>
      </c>
      <c r="GL249" s="0" t="n">
        <v>0.024</v>
      </c>
      <c r="GM249" s="0" t="n">
        <v>0.044</v>
      </c>
      <c r="GN249" s="0" t="n">
        <v>5.892</v>
      </c>
      <c r="GO249" s="0" t="n">
        <v>4.725</v>
      </c>
      <c r="GP249" s="0" t="n">
        <v>3.558</v>
      </c>
      <c r="GQ249" s="0" t="n">
        <v>3.5</v>
      </c>
      <c r="GR249" s="0" t="n">
        <v>0</v>
      </c>
      <c r="GS249" s="0" t="n">
        <v>42</v>
      </c>
      <c r="GT249" s="0" t="n">
        <v>1.683</v>
      </c>
      <c r="GU249" s="0" t="n">
        <v>0.22</v>
      </c>
      <c r="GV249" s="0" t="n">
        <v>7.31</v>
      </c>
      <c r="GW249" s="0" t="n">
        <v>10.964</v>
      </c>
      <c r="GX249" s="0" t="n">
        <v>0.667</v>
      </c>
      <c r="GZ249" s="0" t="n">
        <v>9.952</v>
      </c>
      <c r="HA249" s="0" t="n">
        <v>2.25</v>
      </c>
      <c r="HB249" s="0" t="n">
        <v>0.734</v>
      </c>
      <c r="HC249" s="0" t="n">
        <v>0.048</v>
      </c>
      <c r="HE249" s="0" t="n">
        <v>0.104</v>
      </c>
      <c r="HG249" s="0" t="n">
        <v>270.5</v>
      </c>
      <c r="HH249" s="0" t="n">
        <v>25.05</v>
      </c>
      <c r="HI249" s="0" t="n">
        <v>226</v>
      </c>
      <c r="HJ249" s="0" t="n">
        <v>355</v>
      </c>
      <c r="HK249" s="0" t="s">
        <v>909</v>
      </c>
      <c r="HL249" s="0" t="n">
        <v>0</v>
      </c>
      <c r="HM249" s="0" t="n">
        <v>29</v>
      </c>
      <c r="HN249" s="0" t="n">
        <v>33</v>
      </c>
      <c r="HO249" s="0" t="n">
        <v>-0.067</v>
      </c>
      <c r="HP249" s="0" t="n">
        <v>29</v>
      </c>
      <c r="HQ249" s="0" t="n">
        <v>-0.067</v>
      </c>
      <c r="HR249" s="0" t="s">
        <v>102</v>
      </c>
    </row>
    <row r="250" customFormat="false" ht="15" hidden="false" customHeight="false" outlineLevel="0" collapsed="false">
      <c r="A250" s="0" t="s">
        <v>896</v>
      </c>
      <c r="B250" s="0" t="s">
        <v>897</v>
      </c>
      <c r="C250" s="0" t="s">
        <v>898</v>
      </c>
      <c r="D250" s="0" t="s">
        <v>641</v>
      </c>
      <c r="E250" s="0" t="n">
        <v>27487</v>
      </c>
      <c r="F250" s="0" t="s">
        <v>99</v>
      </c>
      <c r="G250" s="0" t="n">
        <v>270.51</v>
      </c>
      <c r="H250" s="0" t="n">
        <v>32.31</v>
      </c>
      <c r="I250" s="0" t="n">
        <v>195</v>
      </c>
      <c r="J250" s="0" t="n">
        <v>343</v>
      </c>
      <c r="L250" s="0" t="s">
        <v>2289</v>
      </c>
      <c r="O250" s="0" t="n">
        <v>4.5</v>
      </c>
      <c r="U250" s="0" t="n">
        <v>11</v>
      </c>
      <c r="V250" s="0" t="s">
        <v>641</v>
      </c>
      <c r="W250" s="0" t="s">
        <v>901</v>
      </c>
      <c r="X250" s="0" t="s">
        <v>972</v>
      </c>
      <c r="Y250" s="0" t="s">
        <v>2290</v>
      </c>
      <c r="Z250" s="0" t="n">
        <v>27487</v>
      </c>
      <c r="AA250" s="0" t="s">
        <v>2291</v>
      </c>
      <c r="AB250" s="0" t="s">
        <v>904</v>
      </c>
      <c r="AC250" s="0" t="s">
        <v>135</v>
      </c>
      <c r="AD250" s="0" t="s">
        <v>135</v>
      </c>
      <c r="AE250" s="0" t="s">
        <v>135</v>
      </c>
      <c r="AF250" s="0" t="s">
        <v>135</v>
      </c>
      <c r="AG250" s="0" t="s">
        <v>135</v>
      </c>
      <c r="AH250" s="0" t="s">
        <v>905</v>
      </c>
      <c r="AI250" s="0" t="n">
        <v>1</v>
      </c>
      <c r="AJ250" s="0" t="s">
        <v>281</v>
      </c>
      <c r="AK250" s="0" t="n">
        <v>249</v>
      </c>
      <c r="AL250" s="0" t="n">
        <v>105</v>
      </c>
      <c r="AM250" s="0" t="s">
        <v>642</v>
      </c>
      <c r="AN250" s="0" t="n">
        <v>0</v>
      </c>
      <c r="AO250" s="0" t="n">
        <v>0</v>
      </c>
      <c r="AP250" s="0" t="n">
        <v>0</v>
      </c>
      <c r="AQ250" s="0" t="n">
        <v>0</v>
      </c>
      <c r="AR250" s="0" t="n">
        <v>0</v>
      </c>
      <c r="AS250" s="0" t="n">
        <v>0</v>
      </c>
      <c r="AT250" s="0" t="n">
        <v>0</v>
      </c>
      <c r="AU250" s="0" t="n">
        <v>0</v>
      </c>
      <c r="AV250" s="0" t="n">
        <v>0</v>
      </c>
      <c r="AW250" s="0" t="n">
        <v>2</v>
      </c>
      <c r="AX250" s="0" t="n">
        <v>3</v>
      </c>
      <c r="AY250" s="0" t="n">
        <v>0</v>
      </c>
      <c r="AZ250" s="0" t="n">
        <v>0</v>
      </c>
      <c r="BA250" s="0" t="n">
        <v>-0.624384041875601</v>
      </c>
      <c r="BB250" s="0" t="n">
        <v>0</v>
      </c>
      <c r="BC250" s="0" t="n">
        <v>10</v>
      </c>
      <c r="BD250" s="0" t="n">
        <v>21</v>
      </c>
      <c r="BE250" s="0" t="n">
        <v>209</v>
      </c>
      <c r="BF250" s="0" t="n">
        <v>3</v>
      </c>
      <c r="BG250" s="0" t="n">
        <v>400</v>
      </c>
      <c r="BH250" s="0" t="n">
        <v>79</v>
      </c>
      <c r="BI250" s="0" t="n">
        <v>7</v>
      </c>
      <c r="BJ250" s="0" t="n">
        <v>9.8375975379447</v>
      </c>
      <c r="BK250" s="0" t="n">
        <v>0</v>
      </c>
      <c r="BL250" s="0" t="n">
        <v>0</v>
      </c>
      <c r="BM250" s="0" t="n">
        <v>39.2</v>
      </c>
      <c r="BN250" s="0" t="n">
        <v>49.2</v>
      </c>
      <c r="BO250" s="0" t="n">
        <v>14</v>
      </c>
      <c r="BP250" s="0" t="s">
        <v>135</v>
      </c>
      <c r="BQ250" s="0" t="n">
        <v>1</v>
      </c>
      <c r="BR250" s="0" t="n">
        <v>44.2</v>
      </c>
      <c r="BS250" s="0" t="n">
        <v>0.0436</v>
      </c>
      <c r="BT250" s="0" t="n">
        <v>0.004</v>
      </c>
      <c r="BU250" s="0" t="n">
        <v>0.0894</v>
      </c>
      <c r="BV250" s="0" t="n">
        <v>0.0515</v>
      </c>
      <c r="BW250" s="0" t="n">
        <v>0.0049</v>
      </c>
      <c r="BX250" s="0" t="n">
        <v>0.1038</v>
      </c>
      <c r="BY250" s="0" t="n">
        <v>0.1499</v>
      </c>
      <c r="BZ250" s="0" t="n">
        <v>14</v>
      </c>
      <c r="CA250" s="0" t="n">
        <v>0</v>
      </c>
      <c r="CB250" s="0" t="n">
        <v>10.42</v>
      </c>
      <c r="CC250" s="0" t="n">
        <v>1.15</v>
      </c>
      <c r="CD250" s="0" t="n">
        <v>5.07</v>
      </c>
      <c r="CE250" s="0" t="n">
        <v>0</v>
      </c>
      <c r="CF250" s="0" t="n">
        <v>9</v>
      </c>
      <c r="CG250" s="0" t="n">
        <v>14</v>
      </c>
      <c r="CH250" s="0" t="n">
        <v>0</v>
      </c>
      <c r="CI250" s="0" t="n">
        <v>0.643</v>
      </c>
      <c r="CJ250" s="0" t="n">
        <v>4.413</v>
      </c>
      <c r="CK250" s="0" t="n">
        <v>0</v>
      </c>
      <c r="CL250" s="0" t="n">
        <v>0</v>
      </c>
      <c r="CM250" s="0" t="n">
        <v>0</v>
      </c>
      <c r="CN250" s="0" t="n">
        <v>3</v>
      </c>
      <c r="CO250" s="0" t="n">
        <v>0.36440003931201</v>
      </c>
      <c r="CP250" s="0" t="n">
        <v>0</v>
      </c>
      <c r="CQ250" s="0" t="n">
        <v>0</v>
      </c>
      <c r="CR250" s="0" t="n">
        <v>0</v>
      </c>
      <c r="CS250" s="0" t="n">
        <v>0</v>
      </c>
      <c r="CT250" s="0" t="n">
        <v>0.0195438129223138</v>
      </c>
      <c r="CU250" s="0" t="n">
        <v>0</v>
      </c>
      <c r="CV250" s="0" t="n">
        <v>0</v>
      </c>
      <c r="CW250" s="0" t="n">
        <v>0</v>
      </c>
      <c r="CX250" s="0" t="n">
        <v>3</v>
      </c>
      <c r="CY250" s="0" t="n">
        <v>0.38</v>
      </c>
      <c r="CZ250" s="0" t="n">
        <v>2.62</v>
      </c>
      <c r="DM250" s="0" t="s">
        <v>2292</v>
      </c>
      <c r="DN250" s="0" t="n">
        <v>2</v>
      </c>
      <c r="DO250" s="0" t="n">
        <v>0</v>
      </c>
      <c r="DS250" s="0" t="n">
        <v>21</v>
      </c>
      <c r="DT250" s="0" t="n">
        <v>0</v>
      </c>
      <c r="DU250" s="0" t="n">
        <v>1</v>
      </c>
      <c r="DV250" s="0" t="n">
        <v>13</v>
      </c>
      <c r="DW250" s="0" t="n">
        <v>7.9</v>
      </c>
      <c r="DX250" s="0" t="n">
        <v>19</v>
      </c>
      <c r="DY250" s="0" t="n">
        <v>0.0476</v>
      </c>
      <c r="DZ250" s="0" t="n">
        <v>336</v>
      </c>
      <c r="EA250" s="0" t="n">
        <v>0.308</v>
      </c>
      <c r="EB250" s="0" t="n">
        <v>17</v>
      </c>
      <c r="EC250" s="0" t="s">
        <v>2293</v>
      </c>
      <c r="ED250" s="0" t="n">
        <v>2025</v>
      </c>
      <c r="EE250" s="0" t="n">
        <v>3</v>
      </c>
      <c r="EF250" s="0" t="n">
        <v>69</v>
      </c>
      <c r="EG250" s="0" t="n">
        <v>2025</v>
      </c>
      <c r="EH250" s="0" t="n">
        <v>2026</v>
      </c>
      <c r="EI250" s="0" t="n">
        <v>2</v>
      </c>
      <c r="EJ250" s="0" t="n">
        <v>71</v>
      </c>
      <c r="EK250" s="0" t="n">
        <v>190</v>
      </c>
      <c r="EL250" s="0" t="s">
        <v>2294</v>
      </c>
      <c r="EM250" s="0" t="n">
        <v>23.8</v>
      </c>
      <c r="EN250" s="15" t="b">
        <f aca="false">FALSE()</f>
        <v>0</v>
      </c>
      <c r="EO250" s="0" t="n">
        <v>371</v>
      </c>
      <c r="EP250" s="0" t="n">
        <v>2.77951482479784</v>
      </c>
      <c r="EQ250" s="0" t="n">
        <v>0.194070080862534</v>
      </c>
      <c r="ER250" s="0" t="n">
        <v>1.19676549865229</v>
      </c>
      <c r="ES250" s="0" t="n">
        <v>1.20485175202156</v>
      </c>
      <c r="ET250" s="0" t="n">
        <v>33</v>
      </c>
      <c r="EU250" s="0" t="n">
        <v>19</v>
      </c>
      <c r="EV250" s="0" t="n">
        <v>4.63072776280323</v>
      </c>
      <c r="EW250" s="0" t="n">
        <v>0.575757575757576</v>
      </c>
      <c r="EX250" s="0" t="n">
        <v>2.9254952414656</v>
      </c>
      <c r="EY250" s="0" t="n">
        <v>2.802</v>
      </c>
      <c r="EZ250" s="0" t="n">
        <v>0.1883</v>
      </c>
      <c r="FA250" s="0" t="n">
        <v>2.561</v>
      </c>
      <c r="FB250" s="0" t="n">
        <v>1.874</v>
      </c>
      <c r="FC250" s="0" t="n">
        <v>33</v>
      </c>
      <c r="FD250" s="0" t="n">
        <v>613</v>
      </c>
      <c r="FE250" s="0" t="n">
        <v>0.0783034257748776</v>
      </c>
      <c r="FF250" s="0" t="n">
        <v>0.0789</v>
      </c>
      <c r="FG250" s="0" t="n">
        <v>0.261</v>
      </c>
      <c r="FH250" s="0" t="n">
        <v>2.406</v>
      </c>
      <c r="FI250" s="0" t="n">
        <v>1017</v>
      </c>
      <c r="FJ250" s="0" t="n">
        <v>0.541789577187807</v>
      </c>
      <c r="FK250" s="0" t="n">
        <v>17</v>
      </c>
      <c r="FL250" s="0" t="n">
        <v>59.82</v>
      </c>
      <c r="FM250" s="0" t="n">
        <v>0.5691</v>
      </c>
      <c r="FN250" s="0" t="n">
        <v>0.4309</v>
      </c>
      <c r="FO250" s="0" t="n">
        <v>0.0242</v>
      </c>
      <c r="FP250" s="0" t="n">
        <v>0.0077</v>
      </c>
      <c r="FQ250" s="0" t="n">
        <v>0.2873</v>
      </c>
      <c r="FR250" s="0" t="n">
        <v>38</v>
      </c>
      <c r="FS250" s="0" t="n">
        <v>64</v>
      </c>
      <c r="FT250" s="0" t="n">
        <v>3.76</v>
      </c>
      <c r="FU250" s="0" t="n">
        <v>28.8</v>
      </c>
      <c r="FV250" s="0" t="n">
        <v>5553</v>
      </c>
      <c r="FW250" s="0" t="n">
        <v>2959</v>
      </c>
      <c r="FX250" s="0" t="n">
        <v>0.533</v>
      </c>
      <c r="FY250" s="0" t="n">
        <v>5</v>
      </c>
      <c r="FZ250" s="0" t="n">
        <v>3</v>
      </c>
      <c r="GA250" s="0" t="n">
        <v>-0.369404903105602</v>
      </c>
      <c r="GB250" s="0" t="n">
        <v>43.3</v>
      </c>
      <c r="GC250" s="0" t="n">
        <v>43.5</v>
      </c>
      <c r="GD250" s="0" t="n">
        <v>41.6</v>
      </c>
      <c r="GE250" s="0" t="n">
        <v>482</v>
      </c>
      <c r="GF250" s="0" t="n">
        <v>494</v>
      </c>
      <c r="GG250" s="0" t="n">
        <v>128</v>
      </c>
      <c r="GH250" s="0" t="n">
        <v>10</v>
      </c>
      <c r="GI250" s="0" t="n">
        <v>154</v>
      </c>
      <c r="GJ250" s="0" t="n">
        <v>17</v>
      </c>
      <c r="GK250" s="0" t="n">
        <v>0.266</v>
      </c>
      <c r="GL250" s="0" t="n">
        <v>0.02</v>
      </c>
      <c r="GM250" s="0" t="n">
        <v>0.11</v>
      </c>
      <c r="GN250" s="0" t="n">
        <v>3.514</v>
      </c>
      <c r="GO250" s="0" t="n">
        <v>3.157</v>
      </c>
      <c r="GP250" s="0" t="n">
        <v>2.8</v>
      </c>
      <c r="GQ250" s="0" t="n">
        <v>1.5</v>
      </c>
      <c r="GR250" s="0" t="n">
        <v>0.143</v>
      </c>
      <c r="GS250" s="0" t="n">
        <v>23</v>
      </c>
      <c r="GT250" s="0" t="n">
        <v>2.139</v>
      </c>
      <c r="GU250" s="0" t="n">
        <v>0.146</v>
      </c>
      <c r="GV250" s="0" t="n">
        <v>9.952</v>
      </c>
      <c r="GW250" s="0" t="n">
        <v>20.9</v>
      </c>
      <c r="GX250" s="0" t="n">
        <v>0.476</v>
      </c>
      <c r="GZ250" s="0" t="n">
        <v>19.048</v>
      </c>
      <c r="HA250" s="0" t="n">
        <v>7.9</v>
      </c>
      <c r="HB250" s="0" t="n">
        <v>0.522</v>
      </c>
      <c r="HC250" s="0" t="n">
        <v>0.13</v>
      </c>
      <c r="HE250" s="0" t="n">
        <v>0.468</v>
      </c>
      <c r="HG250" s="0" t="n">
        <v>270.51</v>
      </c>
      <c r="HH250" s="0" t="n">
        <v>32.31</v>
      </c>
      <c r="HI250" s="0" t="n">
        <v>195</v>
      </c>
      <c r="HJ250" s="0" t="n">
        <v>343</v>
      </c>
      <c r="HK250" s="0" t="s">
        <v>909</v>
      </c>
      <c r="HL250" s="0" t="n">
        <v>0</v>
      </c>
      <c r="HM250" s="0" t="n">
        <v>82</v>
      </c>
      <c r="HN250" s="0" t="n">
        <v>105</v>
      </c>
      <c r="HO250" s="0" t="n">
        <v>0.16</v>
      </c>
      <c r="HP250" s="0" t="n">
        <v>85</v>
      </c>
      <c r="HQ250" s="0" t="n">
        <v>0.028</v>
      </c>
      <c r="HR250" s="0" t="s">
        <v>102</v>
      </c>
    </row>
    <row r="251" customFormat="false" ht="15" hidden="false" customHeight="false" outlineLevel="0" collapsed="false">
      <c r="A251" s="0" t="s">
        <v>896</v>
      </c>
      <c r="B251" s="0" t="s">
        <v>897</v>
      </c>
      <c r="C251" s="0" t="s">
        <v>898</v>
      </c>
      <c r="D251" s="0" t="s">
        <v>643</v>
      </c>
      <c r="E251" s="0" t="n">
        <v>27165</v>
      </c>
      <c r="F251" s="0" t="s">
        <v>104</v>
      </c>
      <c r="G251" s="0" t="n">
        <v>271.06</v>
      </c>
      <c r="H251" s="0" t="n">
        <v>34.33</v>
      </c>
      <c r="I251" s="0" t="n">
        <v>145</v>
      </c>
      <c r="J251" s="0" t="n">
        <v>343</v>
      </c>
      <c r="L251" s="0" t="s">
        <v>2295</v>
      </c>
      <c r="O251" s="0" t="n">
        <v>6.1</v>
      </c>
      <c r="U251" s="0" t="n">
        <v>9</v>
      </c>
      <c r="V251" s="0" t="s">
        <v>643</v>
      </c>
      <c r="W251" s="0" t="s">
        <v>901</v>
      </c>
      <c r="X251" s="0" t="s">
        <v>284</v>
      </c>
      <c r="Y251" s="0" t="s">
        <v>2296</v>
      </c>
      <c r="Z251" s="0" t="n">
        <v>27165</v>
      </c>
      <c r="AA251" s="0" t="s">
        <v>2297</v>
      </c>
      <c r="AB251" s="0" t="s">
        <v>904</v>
      </c>
      <c r="AC251" s="0" t="s">
        <v>284</v>
      </c>
      <c r="AD251" s="0" t="s">
        <v>284</v>
      </c>
      <c r="AE251" s="0" t="s">
        <v>284</v>
      </c>
      <c r="AF251" s="0" t="s">
        <v>284</v>
      </c>
      <c r="AG251" s="0" t="s">
        <v>284</v>
      </c>
      <c r="AH251" s="0" t="s">
        <v>905</v>
      </c>
      <c r="AI251" s="0" t="n">
        <v>3</v>
      </c>
      <c r="AJ251" s="0" t="s">
        <v>104</v>
      </c>
      <c r="AK251" s="0" t="n">
        <v>250</v>
      </c>
      <c r="AL251" s="0" t="n">
        <v>81</v>
      </c>
      <c r="AM251" s="0" t="s">
        <v>644</v>
      </c>
      <c r="AN251" s="0" t="n">
        <v>0</v>
      </c>
      <c r="AO251" s="0" t="n">
        <v>0</v>
      </c>
      <c r="AP251" s="0" t="n">
        <v>0</v>
      </c>
      <c r="AQ251" s="0" t="n">
        <v>0</v>
      </c>
      <c r="AR251" s="0" t="n">
        <v>0</v>
      </c>
      <c r="AS251" s="0" t="n">
        <v>0</v>
      </c>
      <c r="AT251" s="0" t="n">
        <v>0</v>
      </c>
      <c r="AU251" s="0" t="n">
        <v>0</v>
      </c>
      <c r="AV251" s="0" t="n">
        <v>0</v>
      </c>
      <c r="AW251" s="0" t="n">
        <v>28</v>
      </c>
      <c r="AX251" s="0" t="n">
        <v>69</v>
      </c>
      <c r="AY251" s="0" t="n">
        <v>0</v>
      </c>
      <c r="AZ251" s="0" t="n">
        <v>2</v>
      </c>
      <c r="BA251" s="0" t="n">
        <v>-7.71743768820417</v>
      </c>
      <c r="BB251" s="0" t="n">
        <v>0</v>
      </c>
      <c r="BC251" s="0" t="n">
        <v>1</v>
      </c>
      <c r="BD251" s="0" t="n">
        <v>2</v>
      </c>
      <c r="BE251" s="0" t="n">
        <v>9</v>
      </c>
      <c r="BF251" s="0" t="n">
        <v>0</v>
      </c>
      <c r="BG251" s="0" t="n">
        <v>-8</v>
      </c>
      <c r="BH251" s="0" t="n">
        <v>14</v>
      </c>
      <c r="BI251" s="0" t="n">
        <v>0</v>
      </c>
      <c r="BJ251" s="0" t="n">
        <v>0.244885928928852</v>
      </c>
      <c r="BK251" s="0" t="n">
        <v>0</v>
      </c>
      <c r="BL251" s="0" t="n">
        <v>0</v>
      </c>
      <c r="BM251" s="0" t="n">
        <v>7.8</v>
      </c>
      <c r="BN251" s="0" t="n">
        <v>8.8</v>
      </c>
      <c r="BO251" s="0" t="n">
        <v>10</v>
      </c>
      <c r="BP251" s="0" t="s">
        <v>284</v>
      </c>
      <c r="BQ251" s="0" t="n">
        <v>1</v>
      </c>
      <c r="BR251" s="0" t="n">
        <v>8.3</v>
      </c>
      <c r="BS251" s="0" t="n">
        <v>0.0038</v>
      </c>
      <c r="BT251" s="0" t="n">
        <v>0.0688</v>
      </c>
      <c r="BU251" s="0" t="n">
        <v>-0.0025</v>
      </c>
      <c r="BV251" s="0" t="n">
        <v>0.007</v>
      </c>
      <c r="BW251" s="0" t="n">
        <v>0.1207</v>
      </c>
      <c r="BX251" s="0" t="n">
        <v>-0.0052</v>
      </c>
      <c r="BY251" s="0" t="n">
        <v>0.0069</v>
      </c>
      <c r="BZ251" s="0" t="n">
        <v>10</v>
      </c>
      <c r="CA251" s="0" t="n">
        <v>0.3</v>
      </c>
      <c r="CB251" s="0" t="n">
        <v>1.95</v>
      </c>
      <c r="CC251" s="0" t="n">
        <v>0.4</v>
      </c>
      <c r="CD251" s="0" t="n">
        <v>0.91</v>
      </c>
      <c r="CE251" s="0" t="n">
        <v>0</v>
      </c>
      <c r="CF251" s="0" t="n">
        <v>9</v>
      </c>
      <c r="CG251" s="0" t="n">
        <v>10</v>
      </c>
      <c r="CH251" s="0" t="n">
        <v>0</v>
      </c>
      <c r="CI251" s="0" t="n">
        <v>0.9</v>
      </c>
      <c r="CJ251" s="0" t="n">
        <v>2.272</v>
      </c>
      <c r="CK251" s="0" t="n">
        <v>0</v>
      </c>
      <c r="CL251" s="0" t="n">
        <v>0</v>
      </c>
      <c r="CM251" s="0" t="n">
        <v>0</v>
      </c>
      <c r="CN251" s="0" t="n">
        <v>0</v>
      </c>
      <c r="CO251" s="0" t="n">
        <v>0.0792562278858108</v>
      </c>
      <c r="CP251" s="0" t="n">
        <v>4</v>
      </c>
      <c r="CQ251" s="0" t="n">
        <v>0</v>
      </c>
      <c r="CR251" s="0" t="n">
        <v>0</v>
      </c>
      <c r="CS251" s="0" t="n">
        <v>0</v>
      </c>
      <c r="CT251" s="0" t="n">
        <v>0.363911004143077</v>
      </c>
      <c r="CU251" s="0" t="n">
        <v>4</v>
      </c>
      <c r="CV251" s="0" t="n">
        <v>0</v>
      </c>
      <c r="CW251" s="0" t="n">
        <v>0</v>
      </c>
      <c r="CX251" s="0" t="n">
        <v>0</v>
      </c>
      <c r="CY251" s="0" t="n">
        <v>0.44</v>
      </c>
      <c r="CZ251" s="0" t="n">
        <v>-0.44</v>
      </c>
      <c r="DM251" s="0" t="s">
        <v>2298</v>
      </c>
      <c r="DN251" s="0" t="n">
        <v>28</v>
      </c>
      <c r="DO251" s="0" t="n">
        <v>2</v>
      </c>
      <c r="DP251" s="0" t="n">
        <v>1.25</v>
      </c>
      <c r="DQ251" s="0" t="n">
        <v>1.214</v>
      </c>
      <c r="DR251" s="0" t="n">
        <v>14</v>
      </c>
      <c r="DS251" s="0" t="n">
        <v>2</v>
      </c>
      <c r="DT251" s="0" t="n">
        <v>0</v>
      </c>
      <c r="DU251" s="0" t="n">
        <v>1</v>
      </c>
      <c r="DZ251" s="0" t="n">
        <v>51</v>
      </c>
      <c r="EA251" s="0" t="n">
        <v>0.091</v>
      </c>
      <c r="EB251" s="0" t="n">
        <v>10</v>
      </c>
      <c r="EC251" s="0" t="s">
        <v>2299</v>
      </c>
      <c r="ED251" s="0" t="n">
        <v>2025</v>
      </c>
      <c r="EE251" s="0" t="n">
        <v>3</v>
      </c>
      <c r="EF251" s="0" t="n">
        <v>83</v>
      </c>
      <c r="EG251" s="0" t="n">
        <v>2025</v>
      </c>
      <c r="EH251" s="0" t="n">
        <v>2026</v>
      </c>
      <c r="EI251" s="0" t="n">
        <v>2</v>
      </c>
      <c r="EJ251" s="0" t="n">
        <v>72</v>
      </c>
      <c r="EK251" s="0" t="n">
        <v>225</v>
      </c>
      <c r="EL251" s="0" t="s">
        <v>1374</v>
      </c>
      <c r="EM251" s="0" t="n">
        <v>23</v>
      </c>
      <c r="EN251" s="15" t="b">
        <f aca="false">FALSE()</f>
        <v>0</v>
      </c>
      <c r="EO251" s="0" t="n">
        <v>368</v>
      </c>
      <c r="EP251" s="0" t="n">
        <v>2.85652173913044</v>
      </c>
      <c r="EQ251" s="0" t="n">
        <v>0.173913043478261</v>
      </c>
      <c r="ER251" s="0" t="n">
        <v>1.21739130434783</v>
      </c>
      <c r="ES251" s="0" t="n">
        <v>0.864130434782609</v>
      </c>
      <c r="ET251" s="0" t="n">
        <v>50</v>
      </c>
      <c r="EU251" s="0" t="n">
        <v>34</v>
      </c>
      <c r="EV251" s="0" t="n">
        <v>4.36684782608696</v>
      </c>
      <c r="EW251" s="0" t="n">
        <v>0.68</v>
      </c>
      <c r="EX251" s="0" t="n">
        <v>2.93472293301175</v>
      </c>
      <c r="EY251" s="0" t="n">
        <v>2.87</v>
      </c>
      <c r="EZ251" s="0" t="n">
        <v>0.172</v>
      </c>
      <c r="FA251" s="0" t="n">
        <v>2.285</v>
      </c>
      <c r="FB251" s="0" t="n">
        <v>2.029</v>
      </c>
      <c r="FC251" s="0" t="n">
        <v>42</v>
      </c>
      <c r="FD251" s="0" t="n">
        <v>591</v>
      </c>
      <c r="FE251" s="0" t="n">
        <v>0.0524534686971235</v>
      </c>
      <c r="FF251" s="0" t="n">
        <v>0.0526</v>
      </c>
      <c r="FG251" s="0" t="n">
        <v>0.1636</v>
      </c>
      <c r="FH251" s="0" t="n">
        <v>2.209</v>
      </c>
      <c r="FI251" s="0" t="n">
        <v>975</v>
      </c>
      <c r="FJ251" s="0" t="n">
        <v>0.594871794871795</v>
      </c>
      <c r="FK251" s="0" t="n">
        <v>17</v>
      </c>
      <c r="FL251" s="0" t="n">
        <v>57.35</v>
      </c>
      <c r="FM251" s="0" t="n">
        <v>0.5795</v>
      </c>
      <c r="FN251" s="0" t="n">
        <v>0.4205</v>
      </c>
      <c r="FO251" s="0" t="n">
        <v>-0.007</v>
      </c>
      <c r="FP251" s="0" t="n">
        <v>0.0188</v>
      </c>
      <c r="FQ251" s="0" t="n">
        <v>0.0312</v>
      </c>
      <c r="FR251" s="0" t="n">
        <v>40</v>
      </c>
      <c r="FS251" s="0" t="n">
        <v>51</v>
      </c>
      <c r="FT251" s="0" t="n">
        <v>3</v>
      </c>
      <c r="FU251" s="0" t="n">
        <v>23.4</v>
      </c>
      <c r="FV251" s="0" t="n">
        <v>5344</v>
      </c>
      <c r="FW251" s="0" t="n">
        <v>4403</v>
      </c>
      <c r="FX251" s="0" t="n">
        <v>0.824</v>
      </c>
      <c r="FY251" s="0" t="n">
        <v>5</v>
      </c>
      <c r="FZ251" s="0" t="n">
        <v>5</v>
      </c>
      <c r="GA251" s="0" t="n">
        <v>-0.192560883952718</v>
      </c>
      <c r="GB251" s="0" t="n">
        <v>46.5</v>
      </c>
      <c r="GC251" s="0" t="n">
        <v>65.1</v>
      </c>
      <c r="GD251" s="0" t="n">
        <v>57.4</v>
      </c>
      <c r="GE251" s="0" t="n">
        <v>522</v>
      </c>
      <c r="GF251" s="0" t="n">
        <v>407</v>
      </c>
      <c r="GG251" s="0" t="n">
        <v>179</v>
      </c>
      <c r="GH251" s="0" t="n">
        <v>129</v>
      </c>
      <c r="GI251" s="0" t="n">
        <v>156</v>
      </c>
      <c r="GJ251" s="0" t="n">
        <v>59</v>
      </c>
      <c r="GK251" s="0" t="n">
        <v>0.343</v>
      </c>
      <c r="GL251" s="0" t="n">
        <v>0.317</v>
      </c>
      <c r="GM251" s="0" t="n">
        <v>0.378</v>
      </c>
      <c r="GN251" s="0" t="n">
        <v>0.88</v>
      </c>
      <c r="GO251" s="0" t="n">
        <v>0.83</v>
      </c>
      <c r="GP251" s="0" t="n">
        <v>0.78</v>
      </c>
      <c r="GQ251" s="0" t="n">
        <v>0.2</v>
      </c>
      <c r="GR251" s="0" t="n">
        <v>2.8</v>
      </c>
      <c r="GS251" s="0" t="n">
        <v>30</v>
      </c>
      <c r="GT251" s="0" t="n">
        <v>0.293</v>
      </c>
      <c r="GU251" s="0" t="n">
        <v>0.173</v>
      </c>
      <c r="GY251" s="0" t="n">
        <v>2.464</v>
      </c>
      <c r="HC251" s="0" t="n">
        <v>0</v>
      </c>
      <c r="HD251" s="0" t="n">
        <v>-0.276</v>
      </c>
      <c r="HE251" s="0" t="n">
        <v>0.122</v>
      </c>
      <c r="HG251" s="0" t="n">
        <v>271.06</v>
      </c>
      <c r="HH251" s="0" t="n">
        <v>34.33</v>
      </c>
      <c r="HI251" s="0" t="n">
        <v>145</v>
      </c>
      <c r="HJ251" s="0" t="n">
        <v>343</v>
      </c>
      <c r="HK251" s="0" t="s">
        <v>909</v>
      </c>
      <c r="HL251" s="0" t="n">
        <v>0</v>
      </c>
      <c r="HM251" s="0" t="n">
        <v>69</v>
      </c>
      <c r="HN251" s="0" t="n">
        <v>81</v>
      </c>
      <c r="HO251" s="0" t="n">
        <v>-0.12</v>
      </c>
      <c r="HP251" s="0" t="n">
        <v>69</v>
      </c>
      <c r="HQ251" s="0" t="n">
        <v>-0.12</v>
      </c>
      <c r="HR251" s="0" t="s">
        <v>102</v>
      </c>
    </row>
  </sheetData>
  <autoFilter ref="A1:HR2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6"/>
  </cols>
  <sheetData>
    <row r="1" customFormat="false" ht="16.15" hidden="false" customHeight="false" outlineLevel="0" collapsed="false">
      <c r="A1" s="16" t="s">
        <v>2300</v>
      </c>
    </row>
    <row r="2" customFormat="false" ht="15" hidden="false" customHeight="false" outlineLevel="0" collapsed="false">
      <c r="A2" s="17" t="s">
        <v>2301</v>
      </c>
      <c r="B2" s="18" t="s">
        <v>2302</v>
      </c>
    </row>
    <row r="3" customFormat="false" ht="22.35" hidden="false" customHeight="false" outlineLevel="0" collapsed="false">
      <c r="A3" s="17" t="s">
        <v>2303</v>
      </c>
      <c r="B3" s="18" t="s">
        <v>2304</v>
      </c>
    </row>
    <row r="4" customFormat="false" ht="15" hidden="false" customHeight="false" outlineLevel="0" collapsed="false">
      <c r="A4" s="17" t="s">
        <v>2305</v>
      </c>
      <c r="B4" s="18" t="s">
        <v>2306</v>
      </c>
    </row>
    <row r="5" customFormat="false" ht="22.35" hidden="false" customHeight="false" outlineLevel="0" collapsed="false">
      <c r="A5" s="17" t="s">
        <v>2307</v>
      </c>
      <c r="B5" s="18" t="s">
        <v>2308</v>
      </c>
    </row>
    <row r="6" customFormat="false" ht="15" hidden="false" customHeight="false" outlineLevel="0" collapsed="false">
      <c r="A6" s="17" t="s">
        <v>2309</v>
      </c>
      <c r="B6" s="18" t="s">
        <v>909</v>
      </c>
    </row>
    <row r="7" customFormat="false" ht="15" hidden="false" customHeight="false" outlineLevel="0" collapsed="false">
      <c r="A7" s="17" t="s">
        <v>2310</v>
      </c>
      <c r="B7" s="18" t="s">
        <v>2311</v>
      </c>
    </row>
    <row r="8" customFormat="false" ht="15" hidden="false" customHeight="false" outlineLevel="0" collapsed="false">
      <c r="A8" s="17" t="s">
        <v>2312</v>
      </c>
      <c r="B8" s="18" t="s">
        <v>2313</v>
      </c>
    </row>
    <row r="10" customFormat="false" ht="16.15" hidden="false" customHeight="false" outlineLevel="0" collapsed="false">
      <c r="A10" s="16" t="s">
        <v>2314</v>
      </c>
    </row>
    <row r="11" customFormat="false" ht="22.35" hidden="false" customHeight="false" outlineLevel="0" collapsed="false">
      <c r="A11" s="17" t="s">
        <v>2315</v>
      </c>
      <c r="B11" s="18" t="s">
        <v>2316</v>
      </c>
    </row>
    <row r="12" customFormat="false" ht="32.8" hidden="false" customHeight="false" outlineLevel="0" collapsed="false">
      <c r="A12" s="17" t="s">
        <v>2317</v>
      </c>
      <c r="B12" s="18" t="s">
        <v>2318</v>
      </c>
    </row>
    <row r="13" customFormat="false" ht="15" hidden="false" customHeight="false" outlineLevel="0" collapsed="false">
      <c r="A13" s="17" t="s">
        <v>73</v>
      </c>
      <c r="B13" s="18" t="s">
        <v>2319</v>
      </c>
    </row>
    <row r="14" customFormat="false" ht="15" hidden="false" customHeight="false" outlineLevel="0" collapsed="false">
      <c r="A14" s="17" t="s">
        <v>74</v>
      </c>
      <c r="B14" s="18" t="s">
        <v>2320</v>
      </c>
    </row>
    <row r="15" customFormat="false" ht="15" hidden="false" customHeight="false" outlineLevel="0" collapsed="false">
      <c r="A15" s="17" t="s">
        <v>2321</v>
      </c>
      <c r="B15" s="18" t="s">
        <v>2322</v>
      </c>
    </row>
    <row r="16" customFormat="false" ht="22.35" hidden="false" customHeight="false" outlineLevel="0" collapsed="false">
      <c r="A16" s="17" t="s">
        <v>2323</v>
      </c>
      <c r="B16" s="18" t="s">
        <v>2324</v>
      </c>
    </row>
    <row r="17" customFormat="false" ht="15" hidden="false" customHeight="false" outlineLevel="0" collapsed="false">
      <c r="A17" s="17" t="s">
        <v>2325</v>
      </c>
      <c r="B17" s="18" t="s">
        <v>2326</v>
      </c>
    </row>
    <row r="18" customFormat="false" ht="22.35" hidden="false" customHeight="false" outlineLevel="0" collapsed="false">
      <c r="A18" s="17" t="s">
        <v>79</v>
      </c>
      <c r="B18" s="18" t="s">
        <v>2327</v>
      </c>
    </row>
    <row r="20" customFormat="false" ht="16.15" hidden="false" customHeight="false" outlineLevel="0" collapsed="false">
      <c r="A20" s="16" t="s">
        <v>2328</v>
      </c>
    </row>
    <row r="21" customFormat="false" ht="22.35" hidden="false" customHeight="false" outlineLevel="0" collapsed="false">
      <c r="A21" s="17" t="s">
        <v>2329</v>
      </c>
      <c r="B21" s="18" t="s">
        <v>2330</v>
      </c>
    </row>
    <row r="22" customFormat="false" ht="15" hidden="false" customHeight="false" outlineLevel="0" collapsed="false">
      <c r="A22" s="17" t="s">
        <v>39</v>
      </c>
      <c r="B22" s="18" t="s">
        <v>2331</v>
      </c>
    </row>
    <row r="23" customFormat="false" ht="22.35" hidden="false" customHeight="false" outlineLevel="0" collapsed="false">
      <c r="A23" s="17" t="s">
        <v>2332</v>
      </c>
      <c r="B23" s="18" t="s">
        <v>2333</v>
      </c>
    </row>
    <row r="24" customFormat="false" ht="15" hidden="false" customHeight="false" outlineLevel="0" collapsed="false">
      <c r="A24" s="17" t="s">
        <v>2334</v>
      </c>
      <c r="B24" s="18" t="s">
        <v>2335</v>
      </c>
    </row>
    <row r="25" customFormat="false" ht="32.8" hidden="false" customHeight="false" outlineLevel="0" collapsed="false">
      <c r="A25" s="17" t="s">
        <v>66</v>
      </c>
      <c r="B25" s="18" t="s">
        <v>2336</v>
      </c>
    </row>
    <row r="26" customFormat="false" ht="22.35" hidden="false" customHeight="false" outlineLevel="0" collapsed="false">
      <c r="A26" s="17" t="s">
        <v>2337</v>
      </c>
      <c r="B26" s="18" t="s">
        <v>2338</v>
      </c>
    </row>
    <row r="27" customFormat="false" ht="32.8" hidden="false" customHeight="false" outlineLevel="0" collapsed="false">
      <c r="A27" s="17" t="s">
        <v>94</v>
      </c>
      <c r="B27" s="18" t="s">
        <v>2339</v>
      </c>
    </row>
    <row r="28" customFormat="false" ht="22.35" hidden="false" customHeight="false" outlineLevel="0" collapsed="false">
      <c r="A28" s="17" t="s">
        <v>2340</v>
      </c>
      <c r="B28" s="18" t="s">
        <v>2341</v>
      </c>
    </row>
    <row r="30" customFormat="false" ht="16.15" hidden="false" customHeight="false" outlineLevel="0" collapsed="false">
      <c r="A30" s="16" t="s">
        <v>2342</v>
      </c>
    </row>
    <row r="31" customFormat="false" ht="22.35" hidden="false" customHeight="false" outlineLevel="0" collapsed="false">
      <c r="A31" s="17" t="s">
        <v>2343</v>
      </c>
      <c r="B31" s="18" t="s">
        <v>2344</v>
      </c>
    </row>
    <row r="32" customFormat="false" ht="15" hidden="false" customHeight="false" outlineLevel="0" collapsed="false">
      <c r="A32" s="17" t="s">
        <v>2345</v>
      </c>
      <c r="B32" s="18" t="s">
        <v>2346</v>
      </c>
    </row>
    <row r="33" customFormat="false" ht="22.35" hidden="false" customHeight="false" outlineLevel="0" collapsed="false">
      <c r="A33" s="17" t="s">
        <v>2347</v>
      </c>
      <c r="B33" s="18" t="s">
        <v>2348</v>
      </c>
    </row>
    <row r="34" customFormat="false" ht="15" hidden="false" customHeight="false" outlineLevel="0" collapsed="false">
      <c r="A34" s="17" t="s">
        <v>2349</v>
      </c>
      <c r="B34" s="18" t="s">
        <v>2350</v>
      </c>
    </row>
    <row r="36" customFormat="false" ht="16.15" hidden="false" customHeight="false" outlineLevel="0" collapsed="false">
      <c r="A36" s="16" t="s">
        <v>2351</v>
      </c>
    </row>
    <row r="37" customFormat="false" ht="15" hidden="false" customHeight="false" outlineLevel="0" collapsed="false">
      <c r="A37" s="17" t="s">
        <v>2352</v>
      </c>
      <c r="B37" s="18" t="s">
        <v>2353</v>
      </c>
    </row>
    <row r="38" customFormat="false" ht="15" hidden="false" customHeight="false" outlineLevel="0" collapsed="false">
      <c r="A38" s="17" t="s">
        <v>2354</v>
      </c>
      <c r="B38" s="18" t="s">
        <v>2355</v>
      </c>
    </row>
    <row r="39" customFormat="false" ht="15" hidden="false" customHeight="false" outlineLevel="0" collapsed="false">
      <c r="A39" s="17" t="s">
        <v>2356</v>
      </c>
      <c r="B39" s="18" t="s">
        <v>2357</v>
      </c>
    </row>
    <row r="40" customFormat="false" ht="15" hidden="false" customHeight="false" outlineLevel="0" collapsed="false">
      <c r="A40" s="17" t="s">
        <v>2358</v>
      </c>
      <c r="B40" s="18" t="s">
        <v>2359</v>
      </c>
    </row>
    <row r="41" customFormat="false" ht="15" hidden="false" customHeight="false" outlineLevel="0" collapsed="false">
      <c r="A41" s="17" t="s">
        <v>2360</v>
      </c>
      <c r="B41" s="18" t="s">
        <v>2361</v>
      </c>
    </row>
    <row r="42" customFormat="false" ht="15" hidden="false" customHeight="false" outlineLevel="0" collapsed="false">
      <c r="A42" s="17" t="s">
        <v>2362</v>
      </c>
      <c r="B42" s="18" t="s">
        <v>2363</v>
      </c>
    </row>
    <row r="43" customFormat="false" ht="15" hidden="false" customHeight="false" outlineLevel="0" collapsed="false">
      <c r="A43" s="17" t="s">
        <v>2364</v>
      </c>
      <c r="B43" s="18" t="s">
        <v>2365</v>
      </c>
    </row>
    <row r="44" customFormat="false" ht="15" hidden="false" customHeight="false" outlineLevel="0" collapsed="false">
      <c r="A44" s="17" t="s">
        <v>2366</v>
      </c>
      <c r="B44" s="18" t="s">
        <v>2367</v>
      </c>
    </row>
    <row r="45" customFormat="false" ht="15" hidden="false" customHeight="false" outlineLevel="0" collapsed="false">
      <c r="A45" s="17" t="s">
        <v>2368</v>
      </c>
      <c r="B45" s="18" t="s">
        <v>2369</v>
      </c>
    </row>
    <row r="46" customFormat="false" ht="15" hidden="false" customHeight="false" outlineLevel="0" collapsed="false">
      <c r="A46" s="17" t="s">
        <v>2370</v>
      </c>
      <c r="B46" s="18" t="s">
        <v>2371</v>
      </c>
    </row>
    <row r="47" customFormat="false" ht="15" hidden="false" customHeight="false" outlineLevel="0" collapsed="false">
      <c r="A47" s="17" t="s">
        <v>2372</v>
      </c>
      <c r="B47" s="18" t="s">
        <v>2373</v>
      </c>
    </row>
    <row r="48" customFormat="false" ht="15" hidden="false" customHeight="false" outlineLevel="0" collapsed="false">
      <c r="A48" s="17" t="s">
        <v>2374</v>
      </c>
      <c r="B48" s="18" t="s">
        <v>2375</v>
      </c>
    </row>
    <row r="49" customFormat="false" ht="15" hidden="false" customHeight="false" outlineLevel="0" collapsed="false">
      <c r="A49" s="17" t="s">
        <v>2376</v>
      </c>
      <c r="B49" s="18" t="s">
        <v>2377</v>
      </c>
    </row>
    <row r="50" customFormat="false" ht="15" hidden="false" customHeight="false" outlineLevel="0" collapsed="false">
      <c r="A50" s="17" t="s">
        <v>2378</v>
      </c>
      <c r="B50" s="18" t="s">
        <v>2379</v>
      </c>
    </row>
    <row r="51" customFormat="false" ht="15" hidden="false" customHeight="false" outlineLevel="0" collapsed="false">
      <c r="A51" s="17" t="s">
        <v>2380</v>
      </c>
      <c r="B51" s="18" t="s">
        <v>2381</v>
      </c>
    </row>
    <row r="52" customFormat="false" ht="15" hidden="false" customHeight="false" outlineLevel="0" collapsed="false">
      <c r="A52" s="17" t="s">
        <v>2382</v>
      </c>
      <c r="B52" s="18" t="s">
        <v>2383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2026-08-18T04:09:26Z</dcterms:created>
  <dc:creator>openpyxl</dc:creator>
  <dc:description/>
  <dc:language>en-US</dc:language>
  <cp:lastModifiedBy/>
  <dcterms:modified xsi:type="dcterms:W3CDTF">2026-08-18T04:09:27Z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